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c85b5142ce30164/Desktop/"/>
    </mc:Choice>
  </mc:AlternateContent>
  <xr:revisionPtr revIDLastSave="0" documentId="8_{61309089-DE2A-4C79-A185-DCC4CCB126DC}" xr6:coauthVersionLast="47" xr6:coauthVersionMax="47" xr10:uidLastSave="{00000000-0000-0000-0000-000000000000}"/>
  <bookViews>
    <workbookView xWindow="-120" yWindow="-120" windowWidth="29040" windowHeight="15720" activeTab="3" xr2:uid="{C13719E5-3E34-4A51-A8E3-25119CBEDD7C}"/>
  </bookViews>
  <sheets>
    <sheet name="📞 Call Tracker" sheetId="10" r:id="rId1"/>
    <sheet name="Summary" sheetId="4" r:id="rId2"/>
    <sheet name="Docketed Comments" sheetId="1" r:id="rId3"/>
    <sheet name="📋 Build Guides" sheetId="11" r:id="rId4"/>
    <sheet name="Call Queue" sheetId="3" state="hidden"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4" l="1"/>
  <c r="G5" i="4"/>
  <c r="B41" i="4"/>
  <c r="B40" i="4"/>
  <c r="G38" i="4"/>
  <c r="G37" i="4"/>
  <c r="G36" i="4"/>
  <c r="G35" i="4"/>
  <c r="G34" i="4"/>
  <c r="G33" i="4"/>
  <c r="G32" i="4"/>
  <c r="D34" i="4"/>
  <c r="C34" i="4"/>
  <c r="D33" i="4"/>
  <c r="C33" i="4"/>
  <c r="D32" i="4"/>
  <c r="C32" i="4"/>
  <c r="B15" i="4" a="1"/>
  <c r="F10" i="4"/>
  <c r="E10" i="4"/>
  <c r="D10" i="4"/>
  <c r="F5" i="4"/>
  <c r="E5" i="4"/>
  <c r="D5" i="4"/>
  <c r="C5" i="4" a="1"/>
  <c r="C5" i="4" s="1"/>
  <c r="B5" i="4"/>
  <c r="B15" i="4" l="1"/>
  <c r="F24" i="4"/>
  <c r="D18" i="4"/>
  <c r="E24" i="4"/>
  <c r="C18" i="4"/>
  <c r="E16" i="4"/>
  <c r="D24" i="4"/>
  <c r="G17" i="4"/>
  <c r="C22" i="4"/>
  <c r="C24" i="4"/>
  <c r="F17" i="4"/>
  <c r="G23" i="4"/>
  <c r="E17" i="4"/>
  <c r="E26" i="4"/>
  <c r="F23" i="4"/>
  <c r="D17" i="4"/>
  <c r="C23" i="4"/>
  <c r="F22" i="4"/>
  <c r="E23" i="4"/>
  <c r="C17" i="4"/>
  <c r="F18" i="4"/>
  <c r="D23" i="4"/>
  <c r="G16" i="4"/>
  <c r="F16" i="4"/>
  <c r="C26" i="4"/>
  <c r="G22" i="4"/>
  <c r="D16" i="4"/>
  <c r="F19" i="4"/>
  <c r="E22" i="4"/>
  <c r="C16" i="4"/>
  <c r="D22" i="4"/>
  <c r="E18" i="4"/>
  <c r="G21" i="4"/>
  <c r="D21" i="4"/>
  <c r="F21" i="4"/>
  <c r="G24" i="4"/>
  <c r="C25" i="4"/>
  <c r="G18" i="4"/>
  <c r="D25" i="4"/>
  <c r="C19" i="4"/>
  <c r="E25" i="4"/>
  <c r="D19" i="4"/>
  <c r="F25" i="4"/>
  <c r="E19" i="4"/>
  <c r="G25" i="4"/>
  <c r="C20" i="4"/>
  <c r="D20" i="4"/>
  <c r="G26" i="4"/>
  <c r="F26" i="4"/>
  <c r="E20" i="4"/>
  <c r="C27" i="4"/>
  <c r="F20" i="4"/>
  <c r="D27" i="4"/>
  <c r="G20" i="4"/>
  <c r="E27" i="4"/>
  <c r="G19" i="4"/>
  <c r="C21" i="4"/>
  <c r="F27" i="4"/>
  <c r="G27" i="4"/>
  <c r="E21" i="4"/>
  <c r="F15" i="4" l="1"/>
  <c r="G15" i="4"/>
  <c r="E15" i="4"/>
  <c r="D15" i="4"/>
  <c r="C15" i="4"/>
  <c r="V1438" i="1" l="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82" i="3"/>
  <c r="AA181" i="3"/>
  <c r="AA180" i="3"/>
  <c r="AA179" i="3"/>
  <c r="AA178" i="3"/>
  <c r="AA177" i="3"/>
  <c r="AA176" i="3"/>
  <c r="AA175" i="3"/>
  <c r="AA174" i="3"/>
  <c r="AA173" i="3"/>
  <c r="AA172" i="3"/>
  <c r="AA171" i="3"/>
  <c r="AA170" i="3"/>
  <c r="AA169" i="3"/>
  <c r="AA168" i="3"/>
  <c r="AA167" i="3"/>
  <c r="AA166" i="3"/>
  <c r="AA165" i="3"/>
  <c r="AA164" i="3"/>
  <c r="AA163" i="3"/>
  <c r="AA162" i="3"/>
  <c r="AA161" i="3"/>
  <c r="AA160"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Z1311" i="3"/>
  <c r="Z1310" i="3"/>
  <c r="Z1309" i="3"/>
  <c r="Z1308" i="3"/>
  <c r="Z1307" i="3"/>
  <c r="Z1306" i="3"/>
  <c r="Z1305" i="3"/>
  <c r="Z1304" i="3"/>
  <c r="Z1303" i="3"/>
  <c r="Z1302" i="3"/>
  <c r="Z1301" i="3"/>
  <c r="Z1300" i="3"/>
  <c r="Z1299" i="3"/>
  <c r="Z1298" i="3"/>
  <c r="Z1297" i="3"/>
  <c r="Z1296" i="3"/>
  <c r="Z1295" i="3"/>
  <c r="Z1294" i="3"/>
  <c r="Z1293" i="3"/>
  <c r="Z1292" i="3"/>
  <c r="Z1291" i="3"/>
  <c r="Z1290" i="3"/>
  <c r="Z1289" i="3"/>
  <c r="Z1288" i="3"/>
  <c r="Z1287" i="3"/>
  <c r="Z1286" i="3"/>
  <c r="Z1285" i="3"/>
  <c r="Z1284" i="3"/>
  <c r="Z1283" i="3"/>
  <c r="Z1282" i="3"/>
  <c r="Z1281" i="3"/>
  <c r="Z1280" i="3"/>
  <c r="Z1279" i="3"/>
  <c r="Z1278" i="3"/>
  <c r="Z1277" i="3"/>
  <c r="Z1276" i="3"/>
  <c r="Z1275" i="3"/>
  <c r="Z1274" i="3"/>
  <c r="Z1273" i="3"/>
  <c r="Z1272" i="3"/>
  <c r="Z1271" i="3"/>
  <c r="Z1270" i="3"/>
  <c r="Z1269" i="3"/>
  <c r="Z1268" i="3"/>
  <c r="Z1267" i="3"/>
  <c r="Z1266" i="3"/>
  <c r="Z1265" i="3"/>
  <c r="Z1264" i="3"/>
  <c r="Z1263" i="3"/>
  <c r="Z1262" i="3"/>
  <c r="Z1261" i="3"/>
  <c r="Z1260" i="3"/>
  <c r="Z1259" i="3"/>
  <c r="Z1258" i="3"/>
  <c r="Z1257" i="3"/>
  <c r="Z1256" i="3"/>
  <c r="Z1255" i="3"/>
  <c r="Z1254" i="3"/>
  <c r="Z1253" i="3"/>
  <c r="Z1252" i="3"/>
  <c r="Z1251" i="3"/>
  <c r="Z1250" i="3"/>
  <c r="Z1249" i="3"/>
  <c r="Z1248" i="3"/>
  <c r="Z1247" i="3"/>
  <c r="Z1246" i="3"/>
  <c r="Z1245" i="3"/>
  <c r="Z1244" i="3"/>
  <c r="Z1243" i="3"/>
  <c r="Z1242" i="3"/>
  <c r="Z1241" i="3"/>
  <c r="Z1240" i="3"/>
  <c r="Z1239" i="3"/>
  <c r="Z1238" i="3"/>
  <c r="Z1237" i="3"/>
  <c r="Z1236" i="3"/>
  <c r="Z1235" i="3"/>
  <c r="Z1234" i="3"/>
  <c r="Z1233" i="3"/>
  <c r="Z1232" i="3"/>
  <c r="Z1231" i="3"/>
  <c r="Z1230" i="3"/>
  <c r="Z1229" i="3"/>
  <c r="Z1228" i="3"/>
  <c r="Z1227" i="3"/>
  <c r="Z1226" i="3"/>
  <c r="Z1225" i="3"/>
  <c r="Z1224" i="3"/>
  <c r="Z1223" i="3"/>
  <c r="Z1222" i="3"/>
  <c r="Z1221" i="3"/>
  <c r="Z1220" i="3"/>
  <c r="Z1219" i="3"/>
  <c r="Z1218" i="3"/>
  <c r="Z1217" i="3"/>
  <c r="Z1216" i="3"/>
  <c r="Z1215" i="3"/>
  <c r="Z1214" i="3"/>
  <c r="Z1213" i="3"/>
  <c r="Z1212" i="3"/>
  <c r="Z1211" i="3"/>
  <c r="Z1210" i="3"/>
  <c r="Z1209" i="3"/>
  <c r="Z1208" i="3"/>
  <c r="Z1207" i="3"/>
  <c r="Z1206" i="3"/>
  <c r="Z1205" i="3"/>
  <c r="Z1204" i="3"/>
  <c r="Z1203" i="3"/>
  <c r="Z1202" i="3"/>
  <c r="Z1201" i="3"/>
  <c r="Z1200" i="3"/>
  <c r="Z1199" i="3"/>
  <c r="Z1198" i="3"/>
  <c r="Z1197" i="3"/>
  <c r="Z1196" i="3"/>
  <c r="Z1195" i="3"/>
  <c r="Z1194" i="3"/>
  <c r="Z1193" i="3"/>
  <c r="Z1192" i="3"/>
  <c r="Z1191" i="3"/>
  <c r="Z1190" i="3"/>
  <c r="Z1189" i="3"/>
  <c r="Z1188" i="3"/>
  <c r="Z1187" i="3"/>
  <c r="Z1186" i="3"/>
  <c r="Z1185" i="3"/>
  <c r="Z1184" i="3"/>
  <c r="Z1183" i="3"/>
  <c r="Z1182" i="3"/>
  <c r="Z1181" i="3"/>
  <c r="Z1180" i="3"/>
  <c r="Z1179" i="3"/>
  <c r="Z1178" i="3"/>
  <c r="Z1177" i="3"/>
  <c r="Z1176" i="3"/>
  <c r="Z1175" i="3"/>
  <c r="Z1174" i="3"/>
  <c r="Z1173" i="3"/>
  <c r="Z1172" i="3"/>
  <c r="Z1171" i="3"/>
  <c r="Z1170" i="3"/>
  <c r="Z1169" i="3"/>
  <c r="Z1168" i="3"/>
  <c r="Z1167" i="3"/>
  <c r="Z1166" i="3"/>
  <c r="Z1165" i="3"/>
  <c r="Z1164" i="3"/>
  <c r="Z1163" i="3"/>
  <c r="Z1162" i="3"/>
  <c r="Z1161" i="3"/>
  <c r="Z1160" i="3"/>
  <c r="Z1159" i="3"/>
  <c r="Z1158" i="3"/>
  <c r="Z1157" i="3"/>
  <c r="Z1156" i="3"/>
  <c r="Z1155" i="3"/>
  <c r="Z1154" i="3"/>
  <c r="Z1153" i="3"/>
  <c r="Z1152" i="3"/>
  <c r="Z1151" i="3"/>
  <c r="Z1150" i="3"/>
  <c r="Z1149" i="3"/>
  <c r="Z1148" i="3"/>
  <c r="Z1147" i="3"/>
  <c r="Z1146" i="3"/>
  <c r="Z1145" i="3"/>
  <c r="Z1144" i="3"/>
  <c r="Z1143" i="3"/>
  <c r="Z1142" i="3"/>
  <c r="Z1141" i="3"/>
  <c r="Z1140" i="3"/>
  <c r="Z1139" i="3"/>
  <c r="Z1138" i="3"/>
  <c r="Z1137" i="3"/>
  <c r="Z1136" i="3"/>
  <c r="Z1135" i="3"/>
  <c r="Z1134" i="3"/>
  <c r="Z1133" i="3"/>
  <c r="Z1132" i="3"/>
  <c r="Z1131" i="3"/>
  <c r="Z1130" i="3"/>
  <c r="Z1129" i="3"/>
  <c r="Z1128" i="3"/>
  <c r="Z1127" i="3"/>
  <c r="Z1126" i="3"/>
  <c r="Z1125" i="3"/>
  <c r="Z1124" i="3"/>
  <c r="Z1123" i="3"/>
  <c r="Z1122" i="3"/>
  <c r="Z1121" i="3"/>
  <c r="Z1120" i="3"/>
  <c r="Z1119" i="3"/>
  <c r="Z1118" i="3"/>
  <c r="Z1117" i="3"/>
  <c r="Z1116" i="3"/>
  <c r="Z1115" i="3"/>
  <c r="Z1114" i="3"/>
  <c r="Z1113" i="3"/>
  <c r="Z1112" i="3"/>
  <c r="Z1111" i="3"/>
  <c r="Z1110" i="3"/>
  <c r="Z1109" i="3"/>
  <c r="Z1108" i="3"/>
  <c r="Z1107" i="3"/>
  <c r="Z1106" i="3"/>
  <c r="Z1105" i="3"/>
  <c r="Z1104" i="3"/>
  <c r="Z1103" i="3"/>
  <c r="Z1102" i="3"/>
  <c r="Z1101" i="3"/>
  <c r="Z1100" i="3"/>
  <c r="Z1099" i="3"/>
  <c r="Z1098" i="3"/>
  <c r="Z1097" i="3"/>
  <c r="Z1096" i="3"/>
  <c r="Z1095" i="3"/>
  <c r="Z1094" i="3"/>
  <c r="Z1093" i="3"/>
  <c r="Z1092" i="3"/>
  <c r="Z1091" i="3"/>
  <c r="Z1090" i="3"/>
  <c r="Z1089" i="3"/>
  <c r="Z1088" i="3"/>
  <c r="Z1087" i="3"/>
  <c r="Z1086" i="3"/>
  <c r="Z1085" i="3"/>
  <c r="Z1084" i="3"/>
  <c r="Z1083" i="3"/>
  <c r="Z1082" i="3"/>
  <c r="Z1081" i="3"/>
  <c r="Z1080" i="3"/>
  <c r="Z1079" i="3"/>
  <c r="Z1078" i="3"/>
  <c r="Z1077" i="3"/>
  <c r="Z1076" i="3"/>
  <c r="Z1075" i="3"/>
  <c r="Z1074" i="3"/>
  <c r="Z1073" i="3"/>
  <c r="Z1072" i="3"/>
  <c r="Z1071" i="3"/>
  <c r="Z1070" i="3"/>
  <c r="Z1069" i="3"/>
  <c r="Z1068" i="3"/>
  <c r="Z1067" i="3"/>
  <c r="Z1066" i="3"/>
  <c r="Z1065" i="3"/>
  <c r="Z1064" i="3"/>
  <c r="Z1063" i="3"/>
  <c r="Z1062" i="3"/>
  <c r="Z1061" i="3"/>
  <c r="Z1060" i="3"/>
  <c r="Z1059" i="3"/>
  <c r="Z1058" i="3"/>
  <c r="Z1057" i="3"/>
  <c r="Z1056" i="3"/>
  <c r="Z1055" i="3"/>
  <c r="Z1054" i="3"/>
  <c r="Z1053" i="3"/>
  <c r="Z1052" i="3"/>
  <c r="Z1051" i="3"/>
  <c r="Z1050" i="3"/>
  <c r="Z1049" i="3"/>
  <c r="Z1048" i="3"/>
  <c r="Z1047" i="3"/>
  <c r="Z1046" i="3"/>
  <c r="Z1045" i="3"/>
  <c r="Z1044" i="3"/>
  <c r="Z1043" i="3"/>
  <c r="Z1042" i="3"/>
  <c r="Z1041" i="3"/>
  <c r="Z1040" i="3"/>
  <c r="Z1039" i="3"/>
  <c r="Z1038" i="3"/>
  <c r="Z1037" i="3"/>
  <c r="Z1036" i="3"/>
  <c r="Z1035" i="3"/>
  <c r="Z1034" i="3"/>
  <c r="Z1033" i="3"/>
  <c r="Z1032" i="3"/>
  <c r="Z1031" i="3"/>
  <c r="Z1030" i="3"/>
  <c r="Z1029" i="3"/>
  <c r="Z1028" i="3"/>
  <c r="Z1027" i="3"/>
  <c r="Z1026" i="3"/>
  <c r="Z1025" i="3"/>
  <c r="Z1024" i="3"/>
  <c r="Z1023" i="3"/>
  <c r="Z1022" i="3"/>
  <c r="Z1021" i="3"/>
  <c r="Z1020" i="3"/>
  <c r="Z1019" i="3"/>
  <c r="Z1018" i="3"/>
  <c r="Z1017" i="3"/>
  <c r="Z1016" i="3"/>
  <c r="Z1015" i="3"/>
  <c r="Z1014" i="3"/>
  <c r="Z1013" i="3"/>
  <c r="Z1012" i="3"/>
  <c r="Z1011" i="3"/>
  <c r="Z1010" i="3"/>
  <c r="Z1009" i="3"/>
  <c r="Z1008" i="3"/>
  <c r="Z1007" i="3"/>
  <c r="Z1006" i="3"/>
  <c r="Z1005" i="3"/>
  <c r="Z1004" i="3"/>
  <c r="Z1003" i="3"/>
  <c r="Z1002" i="3"/>
  <c r="Z1001" i="3"/>
  <c r="Z1000" i="3"/>
  <c r="Z999" i="3"/>
  <c r="Z998" i="3"/>
  <c r="Z997" i="3"/>
  <c r="Z996" i="3"/>
  <c r="Z995" i="3"/>
  <c r="Z994" i="3"/>
  <c r="Z993" i="3"/>
  <c r="Z992" i="3"/>
  <c r="Z991" i="3"/>
  <c r="Z990" i="3"/>
  <c r="Z989" i="3"/>
  <c r="Z988" i="3"/>
  <c r="Z987" i="3"/>
  <c r="Z986" i="3"/>
  <c r="Z985" i="3"/>
  <c r="Z984" i="3"/>
  <c r="Z983" i="3"/>
  <c r="Z982" i="3"/>
  <c r="Z981" i="3"/>
  <c r="Z980" i="3"/>
  <c r="Z979" i="3"/>
  <c r="Z978" i="3"/>
  <c r="Z977" i="3"/>
  <c r="Z976" i="3"/>
  <c r="Z975" i="3"/>
  <c r="Z974" i="3"/>
  <c r="Z973" i="3"/>
  <c r="Z972" i="3"/>
  <c r="Z971" i="3"/>
  <c r="Z970" i="3"/>
  <c r="Z969" i="3"/>
  <c r="Z968" i="3"/>
  <c r="Z967" i="3"/>
  <c r="Z966" i="3"/>
  <c r="Z965" i="3"/>
  <c r="Z964" i="3"/>
  <c r="Z963" i="3"/>
  <c r="Z962" i="3"/>
  <c r="Z961" i="3"/>
  <c r="Z960" i="3"/>
  <c r="Z959" i="3"/>
  <c r="Z958" i="3"/>
  <c r="Z957" i="3"/>
  <c r="Z956" i="3"/>
  <c r="Z955" i="3"/>
  <c r="Z954" i="3"/>
  <c r="Z953" i="3"/>
  <c r="Z952" i="3"/>
  <c r="Z951" i="3"/>
  <c r="Z950" i="3"/>
  <c r="Z949" i="3"/>
  <c r="Z948" i="3"/>
  <c r="Z947" i="3"/>
  <c r="Z946" i="3"/>
  <c r="Z945" i="3"/>
  <c r="Z944" i="3"/>
  <c r="Z943" i="3"/>
  <c r="Z942" i="3"/>
  <c r="Z941" i="3"/>
  <c r="Z940" i="3"/>
  <c r="Z939" i="3"/>
  <c r="Z938" i="3"/>
  <c r="Z937" i="3"/>
  <c r="Z936" i="3"/>
  <c r="Z935" i="3"/>
  <c r="Z934" i="3"/>
  <c r="Z933" i="3"/>
  <c r="Z932" i="3"/>
  <c r="Z931" i="3"/>
  <c r="Z930" i="3"/>
  <c r="Z929" i="3"/>
  <c r="Z928" i="3"/>
  <c r="Z927" i="3"/>
  <c r="Z926" i="3"/>
  <c r="Z925" i="3"/>
  <c r="Z924" i="3"/>
  <c r="Z923" i="3"/>
  <c r="Z922" i="3"/>
  <c r="Z921" i="3"/>
  <c r="Z920" i="3"/>
  <c r="Z919" i="3"/>
  <c r="Z918" i="3"/>
  <c r="Z917" i="3"/>
  <c r="Z916" i="3"/>
  <c r="Z915" i="3"/>
  <c r="Z914" i="3"/>
  <c r="Z913" i="3"/>
  <c r="Z912" i="3"/>
  <c r="Z911" i="3"/>
  <c r="Z910" i="3"/>
  <c r="Z909" i="3"/>
  <c r="Z908" i="3"/>
  <c r="Z907" i="3"/>
  <c r="Z906" i="3"/>
  <c r="Z905" i="3"/>
  <c r="Z904" i="3"/>
  <c r="Z903" i="3"/>
  <c r="Z902" i="3"/>
  <c r="Z901" i="3"/>
  <c r="Z900" i="3"/>
  <c r="Z899" i="3"/>
  <c r="Z898" i="3"/>
  <c r="Z897" i="3"/>
  <c r="Z896" i="3"/>
  <c r="Z895" i="3"/>
  <c r="Z894" i="3"/>
  <c r="Z893" i="3"/>
  <c r="Z892" i="3"/>
  <c r="Z891" i="3"/>
  <c r="Z890" i="3"/>
  <c r="Z889" i="3"/>
  <c r="Z888" i="3"/>
  <c r="Z887" i="3"/>
  <c r="Z886" i="3"/>
  <c r="Z885" i="3"/>
  <c r="Z884" i="3"/>
  <c r="Z883" i="3"/>
  <c r="Z882" i="3"/>
  <c r="Z881" i="3"/>
  <c r="Z880" i="3"/>
  <c r="Z879" i="3"/>
  <c r="Z878" i="3"/>
  <c r="Z877" i="3"/>
  <c r="Z876" i="3"/>
  <c r="Z875" i="3"/>
  <c r="Z874" i="3"/>
  <c r="Z873" i="3"/>
  <c r="Z872" i="3"/>
  <c r="Z871" i="3"/>
  <c r="Z870" i="3"/>
  <c r="Z869" i="3"/>
  <c r="Z868" i="3"/>
  <c r="Z867" i="3"/>
  <c r="Z866" i="3"/>
  <c r="Z865" i="3"/>
  <c r="Z864" i="3"/>
  <c r="Z863" i="3"/>
  <c r="Z862" i="3"/>
  <c r="Z861" i="3"/>
  <c r="Z860" i="3"/>
  <c r="Z859" i="3"/>
  <c r="Z858" i="3"/>
  <c r="Z857" i="3"/>
  <c r="Z856" i="3"/>
  <c r="Z855" i="3"/>
  <c r="Z854" i="3"/>
  <c r="Z853" i="3"/>
  <c r="Z852" i="3"/>
  <c r="Z851" i="3"/>
  <c r="Z850" i="3"/>
  <c r="Z849" i="3"/>
  <c r="Z848" i="3"/>
  <c r="Z847" i="3"/>
  <c r="Z846" i="3"/>
  <c r="Z845" i="3"/>
  <c r="Z844" i="3"/>
  <c r="Z843" i="3"/>
  <c r="Z842" i="3"/>
  <c r="Z841" i="3"/>
  <c r="Z840" i="3"/>
  <c r="Z839" i="3"/>
  <c r="Z838" i="3"/>
  <c r="Z837" i="3"/>
  <c r="Z836" i="3"/>
  <c r="Z835" i="3"/>
  <c r="Z834" i="3"/>
  <c r="Z833" i="3"/>
  <c r="Z832" i="3"/>
  <c r="Z831" i="3"/>
  <c r="Z830" i="3"/>
  <c r="Z829" i="3"/>
  <c r="Z828" i="3"/>
  <c r="Z827" i="3"/>
  <c r="Z826" i="3"/>
  <c r="Z825" i="3"/>
  <c r="Z824" i="3"/>
  <c r="Z823" i="3"/>
  <c r="Z822" i="3"/>
  <c r="Z821" i="3"/>
  <c r="Z820" i="3"/>
  <c r="Z819" i="3"/>
  <c r="Z818" i="3"/>
  <c r="Z817" i="3"/>
  <c r="Z816" i="3"/>
  <c r="Z815" i="3"/>
  <c r="Z814" i="3"/>
  <c r="Z813" i="3"/>
  <c r="Z812" i="3"/>
  <c r="Z811" i="3"/>
  <c r="Z810" i="3"/>
  <c r="Z809" i="3"/>
  <c r="Z808" i="3"/>
  <c r="Z807" i="3"/>
  <c r="Z806" i="3"/>
  <c r="Z805" i="3"/>
  <c r="Z804" i="3"/>
  <c r="Z803" i="3"/>
  <c r="Z802" i="3"/>
  <c r="Z801" i="3"/>
  <c r="Z800" i="3"/>
  <c r="Z799" i="3"/>
  <c r="Z798" i="3"/>
  <c r="Z797" i="3"/>
  <c r="Z796" i="3"/>
  <c r="Z795" i="3"/>
  <c r="Z794" i="3"/>
  <c r="Z793" i="3"/>
  <c r="Z792" i="3"/>
  <c r="Z791" i="3"/>
  <c r="Z790" i="3"/>
  <c r="Z789" i="3"/>
  <c r="Z788" i="3"/>
  <c r="Z787" i="3"/>
  <c r="Z786" i="3"/>
  <c r="Z785" i="3"/>
  <c r="Z784" i="3"/>
  <c r="Z783" i="3"/>
  <c r="Z782" i="3"/>
  <c r="Z781" i="3"/>
  <c r="Z780" i="3"/>
  <c r="Z779" i="3"/>
  <c r="Z778" i="3"/>
  <c r="Z777" i="3"/>
  <c r="Z776" i="3"/>
  <c r="Z775" i="3"/>
  <c r="Z774" i="3"/>
  <c r="Z773" i="3"/>
  <c r="Z772" i="3"/>
  <c r="Z771" i="3"/>
  <c r="Z770" i="3"/>
  <c r="Z769" i="3"/>
  <c r="Z768" i="3"/>
  <c r="Z767" i="3"/>
  <c r="Z766" i="3"/>
  <c r="Z765" i="3"/>
  <c r="Z764" i="3"/>
  <c r="Z763" i="3"/>
  <c r="Z762" i="3"/>
  <c r="Z761" i="3"/>
  <c r="Z760" i="3"/>
  <c r="Z759" i="3"/>
  <c r="Z758" i="3"/>
  <c r="Z757" i="3"/>
  <c r="Z756" i="3"/>
  <c r="Z755" i="3"/>
  <c r="Z754" i="3"/>
  <c r="Z753" i="3"/>
  <c r="Z752" i="3"/>
  <c r="Z751" i="3"/>
  <c r="Z750" i="3"/>
  <c r="Z749" i="3"/>
  <c r="Z748" i="3"/>
  <c r="Z747" i="3"/>
  <c r="Z746" i="3"/>
  <c r="Z745" i="3"/>
  <c r="Z744" i="3"/>
  <c r="Z743" i="3"/>
  <c r="Z742" i="3"/>
  <c r="Z741" i="3"/>
  <c r="Z740" i="3"/>
  <c r="Z739" i="3"/>
  <c r="Z738" i="3"/>
  <c r="Z737" i="3"/>
  <c r="Z736" i="3"/>
  <c r="Z735" i="3"/>
  <c r="Z734" i="3"/>
  <c r="Z733" i="3"/>
  <c r="Z732" i="3"/>
  <c r="Z731" i="3"/>
  <c r="Z730" i="3"/>
  <c r="Z729" i="3"/>
  <c r="Z728" i="3"/>
  <c r="Z727" i="3"/>
  <c r="Z726" i="3"/>
  <c r="Z725" i="3"/>
  <c r="Z724" i="3"/>
  <c r="Z723" i="3"/>
  <c r="Z722" i="3"/>
  <c r="Z721" i="3"/>
  <c r="Z720" i="3"/>
  <c r="Z719" i="3"/>
  <c r="Z718" i="3"/>
  <c r="Z717" i="3"/>
  <c r="Z716" i="3"/>
  <c r="Z715" i="3"/>
  <c r="Z714" i="3"/>
  <c r="Z713" i="3"/>
  <c r="Z712" i="3"/>
  <c r="Z711" i="3"/>
  <c r="Z710" i="3"/>
  <c r="Z709" i="3"/>
  <c r="Z708" i="3"/>
  <c r="Z707" i="3"/>
  <c r="Z706" i="3"/>
  <c r="Z705" i="3"/>
  <c r="Z704" i="3"/>
  <c r="Z703" i="3"/>
  <c r="Z702" i="3"/>
  <c r="Z701" i="3"/>
  <c r="Z700" i="3"/>
  <c r="Z699" i="3"/>
  <c r="Z698" i="3"/>
  <c r="Z697" i="3"/>
  <c r="Z696" i="3"/>
  <c r="Z695" i="3"/>
  <c r="Z694" i="3"/>
  <c r="Z693" i="3"/>
  <c r="Z692" i="3"/>
  <c r="Z691" i="3"/>
  <c r="Z690" i="3"/>
  <c r="Z689" i="3"/>
  <c r="Z688" i="3"/>
  <c r="Z687" i="3"/>
  <c r="Z686" i="3"/>
  <c r="Z685" i="3"/>
  <c r="Z684" i="3"/>
  <c r="Z683" i="3"/>
  <c r="Z682" i="3"/>
  <c r="Z681" i="3"/>
  <c r="Z680" i="3"/>
  <c r="Z679" i="3"/>
  <c r="Z678" i="3"/>
  <c r="Z677" i="3"/>
  <c r="Z676" i="3"/>
  <c r="Z675" i="3"/>
  <c r="Z674" i="3"/>
  <c r="Z673" i="3"/>
  <c r="Z672" i="3"/>
  <c r="Z671" i="3"/>
  <c r="Z670" i="3"/>
  <c r="Z669" i="3"/>
  <c r="Z668" i="3"/>
  <c r="Z667" i="3"/>
  <c r="Z666" i="3"/>
  <c r="Z665" i="3"/>
  <c r="Z664" i="3"/>
  <c r="Z663" i="3"/>
  <c r="Z662" i="3"/>
  <c r="Z661" i="3"/>
  <c r="Z660" i="3"/>
  <c r="Z659" i="3"/>
  <c r="Z658" i="3"/>
  <c r="Z657" i="3"/>
  <c r="Z656" i="3"/>
  <c r="Z655" i="3"/>
  <c r="Z654" i="3"/>
  <c r="Z653" i="3"/>
  <c r="Z652" i="3"/>
  <c r="Z651" i="3"/>
  <c r="Z650" i="3"/>
  <c r="Z649" i="3"/>
  <c r="Z648" i="3"/>
  <c r="Z647" i="3"/>
  <c r="Z646" i="3"/>
  <c r="Z645" i="3"/>
  <c r="Z644" i="3"/>
  <c r="Z643" i="3"/>
  <c r="Z642" i="3"/>
  <c r="Z641" i="3"/>
  <c r="Z640" i="3"/>
  <c r="Z639" i="3"/>
  <c r="Z638" i="3"/>
  <c r="Z637" i="3"/>
  <c r="Z636" i="3"/>
  <c r="Z635" i="3"/>
  <c r="Z634" i="3"/>
  <c r="Z633" i="3"/>
  <c r="Z632" i="3"/>
  <c r="Z631" i="3"/>
  <c r="Z630" i="3"/>
  <c r="Z629" i="3"/>
  <c r="Z628" i="3"/>
  <c r="Z627" i="3"/>
  <c r="Z626" i="3"/>
  <c r="Z625" i="3"/>
  <c r="Z624" i="3"/>
  <c r="Z623" i="3"/>
  <c r="Z622" i="3"/>
  <c r="Z621" i="3"/>
  <c r="Z620" i="3"/>
  <c r="Z619" i="3"/>
  <c r="Z618" i="3"/>
  <c r="Z617" i="3"/>
  <c r="Z616" i="3"/>
  <c r="Z615" i="3"/>
  <c r="Z614" i="3"/>
  <c r="Z613" i="3"/>
  <c r="Z612" i="3"/>
  <c r="Z611" i="3"/>
  <c r="Z610" i="3"/>
  <c r="Z609" i="3"/>
  <c r="Z608" i="3"/>
  <c r="Z607" i="3"/>
  <c r="Z606" i="3"/>
  <c r="Z605" i="3"/>
  <c r="Z604" i="3"/>
  <c r="Z603" i="3"/>
  <c r="Z602" i="3"/>
  <c r="Z601" i="3"/>
  <c r="Z600" i="3"/>
  <c r="Z599" i="3"/>
  <c r="Z598" i="3"/>
  <c r="Z597" i="3"/>
  <c r="Z596" i="3"/>
  <c r="Z595" i="3"/>
  <c r="Z594" i="3"/>
  <c r="Z593" i="3"/>
  <c r="Z592" i="3"/>
  <c r="Z591" i="3"/>
  <c r="Z590" i="3"/>
  <c r="Z589" i="3"/>
  <c r="Z588" i="3"/>
  <c r="Z587" i="3"/>
  <c r="Z586" i="3"/>
  <c r="Z585" i="3"/>
  <c r="Z584" i="3"/>
  <c r="Z583" i="3"/>
  <c r="Z582" i="3"/>
  <c r="Z581" i="3"/>
  <c r="Z580" i="3"/>
  <c r="Z579" i="3"/>
  <c r="Z578" i="3"/>
  <c r="Z577" i="3"/>
  <c r="Z576" i="3"/>
  <c r="Z575" i="3"/>
  <c r="Z574" i="3"/>
  <c r="Z573" i="3"/>
  <c r="Z572" i="3"/>
  <c r="Z571" i="3"/>
  <c r="Z570" i="3"/>
  <c r="Z569" i="3"/>
  <c r="Z568" i="3"/>
  <c r="Z567" i="3"/>
  <c r="Z566" i="3"/>
  <c r="Z565" i="3"/>
  <c r="Z564" i="3"/>
  <c r="Z563" i="3"/>
  <c r="Z562" i="3"/>
  <c r="Z561" i="3"/>
  <c r="Z560" i="3"/>
  <c r="Z559" i="3"/>
  <c r="Z558" i="3"/>
  <c r="Z557" i="3"/>
  <c r="Z556" i="3"/>
  <c r="Z555" i="3"/>
  <c r="Z554" i="3"/>
  <c r="Z553" i="3"/>
  <c r="Z552" i="3"/>
  <c r="Z551" i="3"/>
  <c r="Z550" i="3"/>
  <c r="Z549" i="3"/>
  <c r="Z548" i="3"/>
  <c r="Z547" i="3"/>
  <c r="Z546" i="3"/>
  <c r="Z545" i="3"/>
  <c r="Z544" i="3"/>
  <c r="Z543" i="3"/>
  <c r="Z542" i="3"/>
  <c r="Z541" i="3"/>
  <c r="Z540" i="3"/>
  <c r="Z539" i="3"/>
  <c r="Z538" i="3"/>
  <c r="Z537" i="3"/>
  <c r="Z536" i="3"/>
  <c r="Z535" i="3"/>
  <c r="Z534" i="3"/>
  <c r="Z533" i="3"/>
  <c r="Z532" i="3"/>
  <c r="Z531" i="3"/>
  <c r="Z530" i="3"/>
  <c r="Z529" i="3"/>
  <c r="Z528" i="3"/>
  <c r="Z527" i="3"/>
  <c r="Z526" i="3"/>
  <c r="Z525" i="3"/>
  <c r="Z524" i="3"/>
  <c r="Z523" i="3"/>
  <c r="Z522" i="3"/>
  <c r="Z521" i="3"/>
  <c r="Z520" i="3"/>
  <c r="Z519" i="3"/>
  <c r="Z518" i="3"/>
  <c r="Z517" i="3"/>
  <c r="Z516" i="3"/>
  <c r="Z515" i="3"/>
  <c r="Z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78" i="3"/>
  <c r="Z477" i="3"/>
  <c r="Z476" i="3"/>
  <c r="Z475" i="3"/>
  <c r="Z474" i="3"/>
  <c r="Z473" i="3"/>
  <c r="Z472" i="3"/>
  <c r="Z471" i="3"/>
  <c r="Z470" i="3"/>
  <c r="Z469" i="3"/>
  <c r="Z468" i="3"/>
  <c r="Z467" i="3"/>
  <c r="Z466" i="3"/>
  <c r="Z465" i="3"/>
  <c r="Z464" i="3"/>
  <c r="Z463" i="3"/>
  <c r="Z462" i="3"/>
  <c r="Z461" i="3"/>
  <c r="Z460" i="3"/>
  <c r="Z459" i="3"/>
  <c r="Z458" i="3"/>
  <c r="Z457" i="3"/>
  <c r="Z456" i="3"/>
  <c r="Z455" i="3"/>
  <c r="Z454" i="3"/>
  <c r="Z453" i="3"/>
  <c r="Z452" i="3"/>
  <c r="Z451" i="3"/>
  <c r="Z450" i="3"/>
  <c r="Z449" i="3"/>
  <c r="Z448" i="3"/>
  <c r="Z447"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Z416" i="3"/>
  <c r="Z415" i="3"/>
  <c r="Z414" i="3"/>
  <c r="Z413" i="3"/>
  <c r="Z412" i="3"/>
  <c r="Z411" i="3"/>
  <c r="Z410" i="3"/>
  <c r="Z409" i="3"/>
  <c r="Z408" i="3"/>
  <c r="Z407" i="3"/>
  <c r="Z406" i="3"/>
  <c r="Z405" i="3"/>
  <c r="Z404" i="3"/>
  <c r="Z403" i="3"/>
  <c r="Z402" i="3"/>
  <c r="Z401" i="3"/>
  <c r="Z400" i="3"/>
  <c r="Z399" i="3"/>
  <c r="Z398" i="3"/>
  <c r="Z397" i="3"/>
  <c r="Z396" i="3"/>
  <c r="Z395" i="3"/>
  <c r="Z394" i="3"/>
  <c r="Z393" i="3"/>
  <c r="Z392" i="3"/>
  <c r="Z391" i="3"/>
  <c r="Z390" i="3"/>
  <c r="Z389" i="3"/>
  <c r="Z388" i="3"/>
  <c r="Z387" i="3"/>
  <c r="Z386" i="3"/>
  <c r="Z385" i="3"/>
  <c r="Z384" i="3"/>
  <c r="Z383" i="3"/>
  <c r="Z382" i="3"/>
  <c r="Z381" i="3"/>
  <c r="Z380" i="3"/>
  <c r="Z379" i="3"/>
  <c r="Z378" i="3"/>
  <c r="Z377" i="3"/>
  <c r="Z376" i="3"/>
  <c r="Z375" i="3"/>
  <c r="Z374" i="3"/>
  <c r="Z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43" i="3"/>
  <c r="Z242" i="3"/>
  <c r="Z241" i="3"/>
  <c r="Z240" i="3"/>
  <c r="Z239" i="3"/>
  <c r="Z238" i="3"/>
  <c r="Z237" i="3"/>
  <c r="Z236" i="3"/>
  <c r="Z235" i="3"/>
  <c r="Z234" i="3"/>
  <c r="Z233" i="3"/>
  <c r="Z232" i="3"/>
  <c r="Z231" i="3"/>
  <c r="Z230" i="3"/>
  <c r="Z229" i="3"/>
  <c r="Z228" i="3"/>
  <c r="Z227" i="3"/>
  <c r="Z226" i="3"/>
  <c r="Z225" i="3"/>
  <c r="Z224" i="3"/>
  <c r="Z223" i="3"/>
  <c r="Z222" i="3"/>
  <c r="Z221" i="3"/>
  <c r="Z220"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2" i="3"/>
  <c r="Z161"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Z56" i="3"/>
  <c r="Z55" i="3"/>
  <c r="Z54" i="3"/>
  <c r="Z53" i="3"/>
  <c r="Z52" i="3"/>
  <c r="Z51" i="3"/>
  <c r="Z50" i="3"/>
  <c r="Z49" i="3"/>
  <c r="Z48" i="3"/>
  <c r="Z47" i="3"/>
  <c r="Z46" i="3"/>
  <c r="Z45" i="3"/>
  <c r="Z44" i="3"/>
  <c r="Z43" i="3"/>
  <c r="Z42" i="3"/>
  <c r="Z41" i="3"/>
  <c r="Z40" i="3"/>
  <c r="Z39" i="3"/>
  <c r="Z38" i="3"/>
  <c r="Z37" i="3"/>
  <c r="Z36" i="3"/>
  <c r="Z35" i="3"/>
  <c r="Z34" i="3"/>
  <c r="Z33" i="3"/>
  <c r="Z32" i="3"/>
  <c r="Z31" i="3"/>
  <c r="Z30" i="3"/>
  <c r="Z29" i="3"/>
  <c r="Z28" i="3"/>
  <c r="Z27" i="3"/>
  <c r="Z26" i="3"/>
  <c r="Z25" i="3"/>
  <c r="Z24" i="3"/>
  <c r="Z23" i="3"/>
  <c r="Z22" i="3"/>
  <c r="Z21" i="3"/>
  <c r="Z20" i="3"/>
  <c r="Z19" i="3"/>
  <c r="Z18" i="3"/>
  <c r="Z17" i="3"/>
  <c r="Z16" i="3"/>
  <c r="Z15" i="3"/>
  <c r="Z14" i="3"/>
  <c r="Z13" i="3"/>
  <c r="Z12" i="3"/>
  <c r="Z11" i="3"/>
  <c r="Z10" i="3"/>
  <c r="Z9" i="3"/>
  <c r="Z8" i="3"/>
  <c r="Z7" i="3"/>
  <c r="Z6" i="3"/>
  <c r="Z5" i="3"/>
  <c r="Z4" i="3"/>
  <c r="Z3" i="3"/>
  <c r="Y1311" i="3"/>
  <c r="Y1310" i="3"/>
  <c r="Y1309" i="3"/>
  <c r="Y1308" i="3"/>
  <c r="Y1307" i="3"/>
  <c r="Y1306" i="3"/>
  <c r="Y1305" i="3"/>
  <c r="Y1304" i="3"/>
  <c r="Y1303" i="3"/>
  <c r="Y1302" i="3"/>
  <c r="Y1301" i="3"/>
  <c r="Y1300" i="3"/>
  <c r="Y1299" i="3"/>
  <c r="Y1298" i="3"/>
  <c r="Y1297" i="3"/>
  <c r="Y1296" i="3"/>
  <c r="Y1295" i="3"/>
  <c r="Y1294" i="3"/>
  <c r="Y1293" i="3"/>
  <c r="Y1292" i="3"/>
  <c r="Y1291" i="3"/>
  <c r="Y1290" i="3"/>
  <c r="Y1289" i="3"/>
  <c r="Y1288" i="3"/>
  <c r="Y1287" i="3"/>
  <c r="Y1286" i="3"/>
  <c r="Y1285" i="3"/>
  <c r="Y1284" i="3"/>
  <c r="Y1283" i="3"/>
  <c r="Y1282" i="3"/>
  <c r="Y1281" i="3"/>
  <c r="Y1280" i="3"/>
  <c r="Y1279" i="3"/>
  <c r="Y1278" i="3"/>
  <c r="Y1277" i="3"/>
  <c r="Y1276" i="3"/>
  <c r="Y1275" i="3"/>
  <c r="Y1274" i="3"/>
  <c r="Y1273" i="3"/>
  <c r="Y1272" i="3"/>
  <c r="Y1271" i="3"/>
  <c r="Y1270" i="3"/>
  <c r="Y1269" i="3"/>
  <c r="Y1268" i="3"/>
  <c r="Y1267" i="3"/>
  <c r="Y1266" i="3"/>
  <c r="Y1265" i="3"/>
  <c r="Y1264" i="3"/>
  <c r="Y1263" i="3"/>
  <c r="Y1262" i="3"/>
  <c r="Y1261" i="3"/>
  <c r="Y1260" i="3"/>
  <c r="Y1259" i="3"/>
  <c r="Y1258" i="3"/>
  <c r="Y1257" i="3"/>
  <c r="Y1256" i="3"/>
  <c r="Y1255" i="3"/>
  <c r="Y1254" i="3"/>
  <c r="Y1253" i="3"/>
  <c r="Y1252" i="3"/>
  <c r="Y1251" i="3"/>
  <c r="Y1250" i="3"/>
  <c r="Y1249" i="3"/>
  <c r="Y1248" i="3"/>
  <c r="Y1247" i="3"/>
  <c r="Y1246" i="3"/>
  <c r="Y1245" i="3"/>
  <c r="Y1244" i="3"/>
  <c r="Y1243" i="3"/>
  <c r="Y1242" i="3"/>
  <c r="Y1241" i="3"/>
  <c r="Y1240" i="3"/>
  <c r="Y1239" i="3"/>
  <c r="Y1238" i="3"/>
  <c r="Y1237" i="3"/>
  <c r="Y1236" i="3"/>
  <c r="Y1235" i="3"/>
  <c r="Y1234" i="3"/>
  <c r="Y1233" i="3"/>
  <c r="Y1232" i="3"/>
  <c r="Y1231" i="3"/>
  <c r="Y1230" i="3"/>
  <c r="Y1229" i="3"/>
  <c r="Y1228" i="3"/>
  <c r="Y1227" i="3"/>
  <c r="Y1226" i="3"/>
  <c r="Y1225" i="3"/>
  <c r="Y1224" i="3"/>
  <c r="Y1223" i="3"/>
  <c r="Y1222" i="3"/>
  <c r="Y1221" i="3"/>
  <c r="Y1220" i="3"/>
  <c r="Y1219" i="3"/>
  <c r="Y1218" i="3"/>
  <c r="Y1217" i="3"/>
  <c r="Y1216" i="3"/>
  <c r="Y1215" i="3"/>
  <c r="Y1214" i="3"/>
  <c r="Y1213" i="3"/>
  <c r="Y1212" i="3"/>
  <c r="Y1211" i="3"/>
  <c r="Y1210" i="3"/>
  <c r="Y1209" i="3"/>
  <c r="Y1208" i="3"/>
  <c r="Y1207" i="3"/>
  <c r="Y1206" i="3"/>
  <c r="Y1205" i="3"/>
  <c r="Y1204" i="3"/>
  <c r="Y1203" i="3"/>
  <c r="Y1202" i="3"/>
  <c r="Y1201" i="3"/>
  <c r="Y1200" i="3"/>
  <c r="Y1199" i="3"/>
  <c r="Y1198" i="3"/>
  <c r="Y1197" i="3"/>
  <c r="Y1196" i="3"/>
  <c r="Y1195" i="3"/>
  <c r="Y1194" i="3"/>
  <c r="Y1193" i="3"/>
  <c r="Y1192" i="3"/>
  <c r="Y1191" i="3"/>
  <c r="Y1190" i="3"/>
  <c r="Y1189" i="3"/>
  <c r="Y1188" i="3"/>
  <c r="Y1187" i="3"/>
  <c r="Y1186" i="3"/>
  <c r="Y1185" i="3"/>
  <c r="Y1184" i="3"/>
  <c r="Y1183" i="3"/>
  <c r="Y1182" i="3"/>
  <c r="Y1181" i="3"/>
  <c r="Y1180" i="3"/>
  <c r="Y1179" i="3"/>
  <c r="Y1178" i="3"/>
  <c r="Y1177" i="3"/>
  <c r="Y1176" i="3"/>
  <c r="Y1175" i="3"/>
  <c r="Y1174" i="3"/>
  <c r="Y1173" i="3"/>
  <c r="Y1172" i="3"/>
  <c r="Y1171" i="3"/>
  <c r="Y1170" i="3"/>
  <c r="Y1169" i="3"/>
  <c r="Y1168" i="3"/>
  <c r="Y1167" i="3"/>
  <c r="Y1166" i="3"/>
  <c r="Y1165" i="3"/>
  <c r="Y1164" i="3"/>
  <c r="Y1163" i="3"/>
  <c r="Y1162" i="3"/>
  <c r="Y1161" i="3"/>
  <c r="Y1160" i="3"/>
  <c r="Y1159" i="3"/>
  <c r="Y1158" i="3"/>
  <c r="Y1157" i="3"/>
  <c r="Y1156" i="3"/>
  <c r="Y1155" i="3"/>
  <c r="Y1154" i="3"/>
  <c r="Y1153" i="3"/>
  <c r="Y1152" i="3"/>
  <c r="Y1151" i="3"/>
  <c r="Y1150" i="3"/>
  <c r="Y1149" i="3"/>
  <c r="Y1148" i="3"/>
  <c r="Y1147" i="3"/>
  <c r="Y1146" i="3"/>
  <c r="Y1145" i="3"/>
  <c r="Y1144" i="3"/>
  <c r="Y1143" i="3"/>
  <c r="Y1142" i="3"/>
  <c r="Y1141" i="3"/>
  <c r="Y1140" i="3"/>
  <c r="Y1139" i="3"/>
  <c r="Y1138" i="3"/>
  <c r="Y1137" i="3"/>
  <c r="Y1136" i="3"/>
  <c r="Y1135" i="3"/>
  <c r="Y1134" i="3"/>
  <c r="Y1133" i="3"/>
  <c r="Y1132" i="3"/>
  <c r="Y1131" i="3"/>
  <c r="Y1130" i="3"/>
  <c r="Y1129" i="3"/>
  <c r="Y1128" i="3"/>
  <c r="Y1127" i="3"/>
  <c r="Y1126" i="3"/>
  <c r="Y1125" i="3"/>
  <c r="Y1124" i="3"/>
  <c r="Y1123" i="3"/>
  <c r="Y1122" i="3"/>
  <c r="Y1121" i="3"/>
  <c r="Y1120" i="3"/>
  <c r="Y1119" i="3"/>
  <c r="Y1118" i="3"/>
  <c r="Y1117" i="3"/>
  <c r="Y1116" i="3"/>
  <c r="Y1115" i="3"/>
  <c r="Y1114" i="3"/>
  <c r="Y1113" i="3"/>
  <c r="Y1112" i="3"/>
  <c r="Y1111" i="3"/>
  <c r="Y1110" i="3"/>
  <c r="Y1109" i="3"/>
  <c r="Y1108" i="3"/>
  <c r="Y1107" i="3"/>
  <c r="Y1106" i="3"/>
  <c r="Y1105" i="3"/>
  <c r="Y1104" i="3"/>
  <c r="Y1103" i="3"/>
  <c r="Y1102" i="3"/>
  <c r="Y1101" i="3"/>
  <c r="Y1100" i="3"/>
  <c r="Y1099" i="3"/>
  <c r="Y1098" i="3"/>
  <c r="Y1097" i="3"/>
  <c r="Y1096" i="3"/>
  <c r="Y1095" i="3"/>
  <c r="Y1094" i="3"/>
  <c r="Y1093" i="3"/>
  <c r="Y1092" i="3"/>
  <c r="Y1091" i="3"/>
  <c r="Y1090" i="3"/>
  <c r="Y1089" i="3"/>
  <c r="Y1088" i="3"/>
  <c r="Y1087" i="3"/>
  <c r="Y1086" i="3"/>
  <c r="Y1085" i="3"/>
  <c r="Y1084" i="3"/>
  <c r="Y1083" i="3"/>
  <c r="Y1082" i="3"/>
  <c r="Y1081" i="3"/>
  <c r="Y1080" i="3"/>
  <c r="Y1079" i="3"/>
  <c r="Y1078" i="3"/>
  <c r="Y1077" i="3"/>
  <c r="Y1076" i="3"/>
  <c r="Y1075" i="3"/>
  <c r="Y1074" i="3"/>
  <c r="Y1073" i="3"/>
  <c r="Y1072" i="3"/>
  <c r="Y1071" i="3"/>
  <c r="Y1070" i="3"/>
  <c r="Y1069" i="3"/>
  <c r="Y1068" i="3"/>
  <c r="Y1067" i="3"/>
  <c r="Y1066" i="3"/>
  <c r="Y1065" i="3"/>
  <c r="Y1064" i="3"/>
  <c r="Y1063" i="3"/>
  <c r="Y1062" i="3"/>
  <c r="Y1061" i="3"/>
  <c r="Y1060" i="3"/>
  <c r="Y1059" i="3"/>
  <c r="Y1058" i="3"/>
  <c r="Y1057" i="3"/>
  <c r="Y1056" i="3"/>
  <c r="Y1055" i="3"/>
  <c r="Y1054" i="3"/>
  <c r="Y1053" i="3"/>
  <c r="Y1052" i="3"/>
  <c r="Y1051" i="3"/>
  <c r="Y1050" i="3"/>
  <c r="Y1049" i="3"/>
  <c r="Y1048" i="3"/>
  <c r="Y1047" i="3"/>
  <c r="Y1046" i="3"/>
  <c r="Y1045" i="3"/>
  <c r="Y1044" i="3"/>
  <c r="Y1043" i="3"/>
  <c r="Y1042" i="3"/>
  <c r="Y1041" i="3"/>
  <c r="Y1040" i="3"/>
  <c r="Y1039" i="3"/>
  <c r="Y1038" i="3"/>
  <c r="Y1037" i="3"/>
  <c r="Y1036" i="3"/>
  <c r="Y1035" i="3"/>
  <c r="Y1034" i="3"/>
  <c r="Y1033" i="3"/>
  <c r="Y1032" i="3"/>
  <c r="Y1031" i="3"/>
  <c r="Y1030" i="3"/>
  <c r="Y1029" i="3"/>
  <c r="Y1028" i="3"/>
  <c r="Y1027" i="3"/>
  <c r="Y1026" i="3"/>
  <c r="Y1025" i="3"/>
  <c r="Y1024" i="3"/>
  <c r="Y1023" i="3"/>
  <c r="Y1022" i="3"/>
  <c r="Y1021" i="3"/>
  <c r="Y1020" i="3"/>
  <c r="Y1019" i="3"/>
  <c r="Y1018" i="3"/>
  <c r="Y1017" i="3"/>
  <c r="Y1016" i="3"/>
  <c r="Y1015" i="3"/>
  <c r="Y1014" i="3"/>
  <c r="Y1013" i="3"/>
  <c r="Y1012" i="3"/>
  <c r="Y1011" i="3"/>
  <c r="Y1010" i="3"/>
  <c r="Y1009" i="3"/>
  <c r="Y1008" i="3"/>
  <c r="Y1007" i="3"/>
  <c r="Y1006" i="3"/>
  <c r="Y1005" i="3"/>
  <c r="Y1004" i="3"/>
  <c r="Y1003" i="3"/>
  <c r="Y1002" i="3"/>
  <c r="Y1001" i="3"/>
  <c r="Y1000" i="3"/>
  <c r="Y999" i="3"/>
  <c r="Y998" i="3"/>
  <c r="Y997" i="3"/>
  <c r="Y996" i="3"/>
  <c r="Y995" i="3"/>
  <c r="Y994" i="3"/>
  <c r="Y993" i="3"/>
  <c r="Y992" i="3"/>
  <c r="Y991" i="3"/>
  <c r="Y990" i="3"/>
  <c r="Y989" i="3"/>
  <c r="Y988" i="3"/>
  <c r="Y987" i="3"/>
  <c r="Y986" i="3"/>
  <c r="Y985" i="3"/>
  <c r="Y984" i="3"/>
  <c r="Y983" i="3"/>
  <c r="Y982" i="3"/>
  <c r="Y981" i="3"/>
  <c r="Y980" i="3"/>
  <c r="Y979" i="3"/>
  <c r="Y978" i="3"/>
  <c r="Y977" i="3"/>
  <c r="Y976" i="3"/>
  <c r="Y975" i="3"/>
  <c r="Y974" i="3"/>
  <c r="Y973" i="3"/>
  <c r="Y972" i="3"/>
  <c r="Y971" i="3"/>
  <c r="Y970" i="3"/>
  <c r="Y969" i="3"/>
  <c r="Y968" i="3"/>
  <c r="Y967" i="3"/>
  <c r="Y966" i="3"/>
  <c r="Y965" i="3"/>
  <c r="Y964" i="3"/>
  <c r="Y963" i="3"/>
  <c r="Y962" i="3"/>
  <c r="Y961" i="3"/>
  <c r="Y960" i="3"/>
  <c r="Y959" i="3"/>
  <c r="Y958" i="3"/>
  <c r="Y957" i="3"/>
  <c r="Y956" i="3"/>
  <c r="Y955" i="3"/>
  <c r="Y954" i="3"/>
  <c r="Y953" i="3"/>
  <c r="Y952" i="3"/>
  <c r="Y951" i="3"/>
  <c r="Y950" i="3"/>
  <c r="Y949" i="3"/>
  <c r="Y948" i="3"/>
  <c r="Y947" i="3"/>
  <c r="Y946" i="3"/>
  <c r="Y945" i="3"/>
  <c r="Y944" i="3"/>
  <c r="Y943" i="3"/>
  <c r="Y942" i="3"/>
  <c r="Y941" i="3"/>
  <c r="Y940" i="3"/>
  <c r="Y939" i="3"/>
  <c r="Y938" i="3"/>
  <c r="Y937" i="3"/>
  <c r="Y936" i="3"/>
  <c r="Y935" i="3"/>
  <c r="Y934" i="3"/>
  <c r="Y933" i="3"/>
  <c r="Y932" i="3"/>
  <c r="Y931" i="3"/>
  <c r="Y930" i="3"/>
  <c r="Y929" i="3"/>
  <c r="Y928" i="3"/>
  <c r="Y927" i="3"/>
  <c r="Y926" i="3"/>
  <c r="Y925" i="3"/>
  <c r="Y924" i="3"/>
  <c r="Y923" i="3"/>
  <c r="Y922" i="3"/>
  <c r="Y921" i="3"/>
  <c r="Y920" i="3"/>
  <c r="Y919" i="3"/>
  <c r="Y918" i="3"/>
  <c r="Y917" i="3"/>
  <c r="Y916" i="3"/>
  <c r="Y915" i="3"/>
  <c r="Y914" i="3"/>
  <c r="Y913" i="3"/>
  <c r="Y912" i="3"/>
  <c r="Y911" i="3"/>
  <c r="Y910" i="3"/>
  <c r="Y909" i="3"/>
  <c r="Y908" i="3"/>
  <c r="Y907" i="3"/>
  <c r="Y906" i="3"/>
  <c r="Y905" i="3"/>
  <c r="Y904" i="3"/>
  <c r="Y903" i="3"/>
  <c r="Y902" i="3"/>
  <c r="Y901" i="3"/>
  <c r="Y900" i="3"/>
  <c r="Y899" i="3"/>
  <c r="Y898" i="3"/>
  <c r="Y897" i="3"/>
  <c r="Y896" i="3"/>
  <c r="Y895" i="3"/>
  <c r="Y894" i="3"/>
  <c r="Y893" i="3"/>
  <c r="Y892" i="3"/>
  <c r="Y891" i="3"/>
  <c r="Y890" i="3"/>
  <c r="Y889" i="3"/>
  <c r="Y888" i="3"/>
  <c r="Y887" i="3"/>
  <c r="Y886" i="3"/>
  <c r="Y885" i="3"/>
  <c r="Y884" i="3"/>
  <c r="Y883" i="3"/>
  <c r="Y882" i="3"/>
  <c r="Y881" i="3"/>
  <c r="Y880" i="3"/>
  <c r="Y879" i="3"/>
  <c r="Y878" i="3"/>
  <c r="Y877" i="3"/>
  <c r="Y876" i="3"/>
  <c r="Y875" i="3"/>
  <c r="Y874" i="3"/>
  <c r="Y873" i="3"/>
  <c r="Y872" i="3"/>
  <c r="Y871" i="3"/>
  <c r="Y870" i="3"/>
  <c r="Y869" i="3"/>
  <c r="Y868" i="3"/>
  <c r="Y867" i="3"/>
  <c r="Y866" i="3"/>
  <c r="Y865" i="3"/>
  <c r="Y864" i="3"/>
  <c r="Y863" i="3"/>
  <c r="Y862" i="3"/>
  <c r="Y861" i="3"/>
  <c r="Y860" i="3"/>
  <c r="Y859" i="3"/>
  <c r="Y858" i="3"/>
  <c r="Y857" i="3"/>
  <c r="Y856" i="3"/>
  <c r="Y855" i="3"/>
  <c r="Y854" i="3"/>
  <c r="Y853" i="3"/>
  <c r="Y852" i="3"/>
  <c r="Y851" i="3"/>
  <c r="Y850" i="3"/>
  <c r="Y849" i="3"/>
  <c r="Y848" i="3"/>
  <c r="Y847" i="3"/>
  <c r="Y846" i="3"/>
  <c r="Y845" i="3"/>
  <c r="Y844" i="3"/>
  <c r="Y843" i="3"/>
  <c r="Y842" i="3"/>
  <c r="Y841" i="3"/>
  <c r="Y840" i="3"/>
  <c r="Y839" i="3"/>
  <c r="Y838" i="3"/>
  <c r="Y837" i="3"/>
  <c r="Y836" i="3"/>
  <c r="Y835" i="3"/>
  <c r="Y834" i="3"/>
  <c r="Y833" i="3"/>
  <c r="Y832" i="3"/>
  <c r="Y831" i="3"/>
  <c r="Y830" i="3"/>
  <c r="Y829" i="3"/>
  <c r="Y828" i="3"/>
  <c r="Y827" i="3"/>
  <c r="Y826" i="3"/>
  <c r="Y825" i="3"/>
  <c r="Y824" i="3"/>
  <c r="Y823" i="3"/>
  <c r="Y822" i="3"/>
  <c r="Y821" i="3"/>
  <c r="Y820" i="3"/>
  <c r="Y819" i="3"/>
  <c r="Y818" i="3"/>
  <c r="Y817" i="3"/>
  <c r="Y816" i="3"/>
  <c r="Y815" i="3"/>
  <c r="Y814" i="3"/>
  <c r="Y813" i="3"/>
  <c r="Y812" i="3"/>
  <c r="Y811" i="3"/>
  <c r="Y810" i="3"/>
  <c r="Y809" i="3"/>
  <c r="Y808" i="3"/>
  <c r="Y807" i="3"/>
  <c r="Y806" i="3"/>
  <c r="Y805" i="3"/>
  <c r="Y804" i="3"/>
  <c r="Y803" i="3"/>
  <c r="Y802" i="3"/>
  <c r="Y801" i="3"/>
  <c r="Y800" i="3"/>
  <c r="Y799" i="3"/>
  <c r="Y798" i="3"/>
  <c r="Y797" i="3"/>
  <c r="Y796" i="3"/>
  <c r="Y795" i="3"/>
  <c r="Y794" i="3"/>
  <c r="Y793" i="3"/>
  <c r="Y792" i="3"/>
  <c r="Y791" i="3"/>
  <c r="Y790" i="3"/>
  <c r="Y789" i="3"/>
  <c r="Y788" i="3"/>
  <c r="Y787" i="3"/>
  <c r="Y786" i="3"/>
  <c r="Y785" i="3"/>
  <c r="Y784" i="3"/>
  <c r="Y783" i="3"/>
  <c r="Y782" i="3"/>
  <c r="Y781" i="3"/>
  <c r="Y780" i="3"/>
  <c r="Y779" i="3"/>
  <c r="Y778" i="3"/>
  <c r="Y777" i="3"/>
  <c r="Y776" i="3"/>
  <c r="Y775" i="3"/>
  <c r="Y774" i="3"/>
  <c r="Y773" i="3"/>
  <c r="Y772" i="3"/>
  <c r="Y771" i="3"/>
  <c r="Y770" i="3"/>
  <c r="Y769" i="3"/>
  <c r="Y768" i="3"/>
  <c r="Y767" i="3"/>
  <c r="Y766" i="3"/>
  <c r="Y765" i="3"/>
  <c r="Y764" i="3"/>
  <c r="Y763" i="3"/>
  <c r="Y762" i="3"/>
  <c r="Y761" i="3"/>
  <c r="Y760" i="3"/>
  <c r="Y759" i="3"/>
  <c r="Y758" i="3"/>
  <c r="Y757" i="3"/>
  <c r="Y756" i="3"/>
  <c r="Y755" i="3"/>
  <c r="Y754" i="3"/>
  <c r="Y753" i="3"/>
  <c r="Y752" i="3"/>
  <c r="Y751" i="3"/>
  <c r="Y750" i="3"/>
  <c r="Y749" i="3"/>
  <c r="Y748" i="3"/>
  <c r="Y747" i="3"/>
  <c r="Y746" i="3"/>
  <c r="Y745" i="3"/>
  <c r="Y744" i="3"/>
  <c r="Y743" i="3"/>
  <c r="Y742" i="3"/>
  <c r="Y741" i="3"/>
  <c r="Y740" i="3"/>
  <c r="Y739" i="3"/>
  <c r="Y738" i="3"/>
  <c r="Y737" i="3"/>
  <c r="Y736" i="3"/>
  <c r="Y735" i="3"/>
  <c r="Y734" i="3"/>
  <c r="Y733" i="3"/>
  <c r="Y732" i="3"/>
  <c r="Y731" i="3"/>
  <c r="Y730" i="3"/>
  <c r="Y729" i="3"/>
  <c r="Y728" i="3"/>
  <c r="Y727" i="3"/>
  <c r="Y726" i="3"/>
  <c r="Y725" i="3"/>
  <c r="Y724" i="3"/>
  <c r="Y723" i="3"/>
  <c r="Y722" i="3"/>
  <c r="Y721" i="3"/>
  <c r="Y720" i="3"/>
  <c r="Y719" i="3"/>
  <c r="Y718" i="3"/>
  <c r="Y717" i="3"/>
  <c r="Y716" i="3"/>
  <c r="Y715" i="3"/>
  <c r="Y714" i="3"/>
  <c r="Y713" i="3"/>
  <c r="Y712" i="3"/>
  <c r="Y711" i="3"/>
  <c r="Y710" i="3"/>
  <c r="Y709" i="3"/>
  <c r="Y708" i="3"/>
  <c r="Y707" i="3"/>
  <c r="Y706" i="3"/>
  <c r="Y705" i="3"/>
  <c r="Y704" i="3"/>
  <c r="Y703" i="3"/>
  <c r="Y702" i="3"/>
  <c r="Y701" i="3"/>
  <c r="Y700" i="3"/>
  <c r="Y699" i="3"/>
  <c r="Y698" i="3"/>
  <c r="Y697" i="3"/>
  <c r="Y696" i="3"/>
  <c r="Y695" i="3"/>
  <c r="Y694" i="3"/>
  <c r="Y693" i="3"/>
  <c r="Y692" i="3"/>
  <c r="Y691" i="3"/>
  <c r="Y690" i="3"/>
  <c r="Y689" i="3"/>
  <c r="Y688" i="3"/>
  <c r="Y687" i="3"/>
  <c r="Y686" i="3"/>
  <c r="Y685" i="3"/>
  <c r="Y684" i="3"/>
  <c r="Y683" i="3"/>
  <c r="Y682" i="3"/>
  <c r="Y681" i="3"/>
  <c r="Y680" i="3"/>
  <c r="Y679" i="3"/>
  <c r="Y678" i="3"/>
  <c r="Y677" i="3"/>
  <c r="Y676" i="3"/>
  <c r="Y675" i="3"/>
  <c r="Y674" i="3"/>
  <c r="Y673" i="3"/>
  <c r="Y672" i="3"/>
  <c r="Y671" i="3"/>
  <c r="Y670" i="3"/>
  <c r="Y669" i="3"/>
  <c r="Y668" i="3"/>
  <c r="Y667" i="3"/>
  <c r="Y666" i="3"/>
  <c r="Y665" i="3"/>
  <c r="Y664" i="3"/>
  <c r="Y663" i="3"/>
  <c r="Y662" i="3"/>
  <c r="Y661" i="3"/>
  <c r="Y660" i="3"/>
  <c r="Y659" i="3"/>
  <c r="Y658" i="3"/>
  <c r="Y657" i="3"/>
  <c r="Y656" i="3"/>
  <c r="Y655" i="3"/>
  <c r="Y654" i="3"/>
  <c r="Y653" i="3"/>
  <c r="Y652" i="3"/>
  <c r="Y651" i="3"/>
  <c r="Y650" i="3"/>
  <c r="Y649" i="3"/>
  <c r="Y648" i="3"/>
  <c r="Y647" i="3"/>
  <c r="Y646" i="3"/>
  <c r="Y645" i="3"/>
  <c r="Y644" i="3"/>
  <c r="Y643" i="3"/>
  <c r="Y642" i="3"/>
  <c r="Y641" i="3"/>
  <c r="Y640" i="3"/>
  <c r="Y639" i="3"/>
  <c r="Y638" i="3"/>
  <c r="Y637" i="3"/>
  <c r="Y636" i="3"/>
  <c r="Y635" i="3"/>
  <c r="Y634" i="3"/>
  <c r="Y633" i="3"/>
  <c r="Y632" i="3"/>
  <c r="Y631" i="3"/>
  <c r="Y630" i="3"/>
  <c r="Y629" i="3"/>
  <c r="Y628" i="3"/>
  <c r="Y627" i="3"/>
  <c r="Y626" i="3"/>
  <c r="Y625" i="3"/>
  <c r="Y624" i="3"/>
  <c r="Y623" i="3"/>
  <c r="Y622" i="3"/>
  <c r="Y621" i="3"/>
  <c r="Y620" i="3"/>
  <c r="Y619" i="3"/>
  <c r="Y618" i="3"/>
  <c r="Y617" i="3"/>
  <c r="Y616" i="3"/>
  <c r="Y615" i="3"/>
  <c r="Y614" i="3"/>
  <c r="Y613" i="3"/>
  <c r="Y612" i="3"/>
  <c r="Y611" i="3"/>
  <c r="Y610" i="3"/>
  <c r="Y609" i="3"/>
  <c r="Y608" i="3"/>
  <c r="Y607" i="3"/>
  <c r="Y606" i="3"/>
  <c r="Y605" i="3"/>
  <c r="Y604" i="3"/>
  <c r="Y603" i="3"/>
  <c r="Y602" i="3"/>
  <c r="Y601" i="3"/>
  <c r="Y600" i="3"/>
  <c r="Y599" i="3"/>
  <c r="Y598" i="3"/>
  <c r="Y597" i="3"/>
  <c r="Y596" i="3"/>
  <c r="Y595" i="3"/>
  <c r="Y594" i="3"/>
  <c r="Y593" i="3"/>
  <c r="Y592" i="3"/>
  <c r="Y591" i="3"/>
  <c r="Y590" i="3"/>
  <c r="Y589" i="3"/>
  <c r="Y588" i="3"/>
  <c r="Y587" i="3"/>
  <c r="Y586" i="3"/>
  <c r="Y585" i="3"/>
  <c r="Y584" i="3"/>
  <c r="Y583" i="3"/>
  <c r="Y582" i="3"/>
  <c r="Y581" i="3"/>
  <c r="Y580" i="3"/>
  <c r="Y579" i="3"/>
  <c r="Y578" i="3"/>
  <c r="Y577" i="3"/>
  <c r="Y576" i="3"/>
  <c r="Y575" i="3"/>
  <c r="Y574" i="3"/>
  <c r="Y573" i="3"/>
  <c r="Y572" i="3"/>
  <c r="Y571" i="3"/>
  <c r="Y570" i="3"/>
  <c r="Y569" i="3"/>
  <c r="Y568" i="3"/>
  <c r="Y567" i="3"/>
  <c r="Y566" i="3"/>
  <c r="Y565" i="3"/>
  <c r="Y564" i="3"/>
  <c r="Y563" i="3"/>
  <c r="Y562" i="3"/>
  <c r="Y561" i="3"/>
  <c r="Y560" i="3"/>
  <c r="Y559" i="3"/>
  <c r="Y558" i="3"/>
  <c r="Y557" i="3"/>
  <c r="Y556" i="3"/>
  <c r="Y555" i="3"/>
  <c r="Y554" i="3"/>
  <c r="Y553" i="3"/>
  <c r="Y552" i="3"/>
  <c r="Y551" i="3"/>
  <c r="Y550" i="3"/>
  <c r="Y549" i="3"/>
  <c r="Y548" i="3"/>
  <c r="Y547" i="3"/>
  <c r="Y546" i="3"/>
  <c r="Y545" i="3"/>
  <c r="Y544" i="3"/>
  <c r="Y543" i="3"/>
  <c r="Y542" i="3"/>
  <c r="Y541" i="3"/>
  <c r="Y540" i="3"/>
  <c r="Y539" i="3"/>
  <c r="Y538" i="3"/>
  <c r="Y537" i="3"/>
  <c r="Y536" i="3"/>
  <c r="Y535" i="3"/>
  <c r="Y534" i="3"/>
  <c r="Y533" i="3"/>
  <c r="Y532" i="3"/>
  <c r="Y531" i="3"/>
  <c r="Y530" i="3"/>
  <c r="Y529" i="3"/>
  <c r="Y528" i="3"/>
  <c r="Y527" i="3"/>
  <c r="Y526" i="3"/>
  <c r="Y525" i="3"/>
  <c r="Y524" i="3"/>
  <c r="Y523" i="3"/>
  <c r="Y522" i="3"/>
  <c r="Y521" i="3"/>
  <c r="Y520" i="3"/>
  <c r="Y519" i="3"/>
  <c r="Y518" i="3"/>
  <c r="Y517" i="3"/>
  <c r="Y516" i="3"/>
  <c r="Y515" i="3"/>
  <c r="Y514"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4" i="3"/>
  <c r="Y483" i="3"/>
  <c r="Y482" i="3"/>
  <c r="Y481" i="3"/>
  <c r="Y480" i="3"/>
  <c r="Y479" i="3"/>
  <c r="Y478" i="3"/>
  <c r="Y477" i="3"/>
  <c r="Y476" i="3"/>
  <c r="Y475" i="3"/>
  <c r="Y474" i="3"/>
  <c r="Y473" i="3"/>
  <c r="Y472" i="3"/>
  <c r="Y471" i="3"/>
  <c r="Y470" i="3"/>
  <c r="Y469" i="3"/>
  <c r="Y468" i="3"/>
  <c r="Y467" i="3"/>
  <c r="Y466" i="3"/>
  <c r="Y465" i="3"/>
  <c r="Y464" i="3"/>
  <c r="Y463" i="3"/>
  <c r="Y462" i="3"/>
  <c r="Y461" i="3"/>
  <c r="Y460" i="3"/>
  <c r="Y459" i="3"/>
  <c r="Y458" i="3"/>
  <c r="Y457" i="3"/>
  <c r="Y456" i="3"/>
  <c r="Y455" i="3"/>
  <c r="Y454" i="3"/>
  <c r="Y453" i="3"/>
  <c r="Y452" i="3"/>
  <c r="Y451" i="3"/>
  <c r="Y450"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7" i="3"/>
  <c r="Y416" i="3"/>
  <c r="Y415" i="3"/>
  <c r="Y414" i="3"/>
  <c r="Y413" i="3"/>
  <c r="Y412" i="3"/>
  <c r="Y411" i="3"/>
  <c r="Y410" i="3"/>
  <c r="Y409" i="3"/>
  <c r="Y408" i="3"/>
  <c r="Y407" i="3"/>
  <c r="Y406" i="3"/>
  <c r="Y405" i="3"/>
  <c r="Y404" i="3"/>
  <c r="Y403" i="3"/>
  <c r="Y402" i="3"/>
  <c r="Y401" i="3"/>
  <c r="Y400" i="3"/>
  <c r="Y399" i="3"/>
  <c r="Y398" i="3"/>
  <c r="Y397" i="3"/>
  <c r="Y396" i="3"/>
  <c r="Y395" i="3"/>
  <c r="Y394" i="3"/>
  <c r="Y393" i="3"/>
  <c r="Y392" i="3"/>
  <c r="Y391" i="3"/>
  <c r="Y390" i="3"/>
  <c r="Y389" i="3"/>
  <c r="Y388" i="3"/>
  <c r="Y387" i="3"/>
  <c r="Y386" i="3"/>
  <c r="Y385" i="3"/>
  <c r="Y384" i="3"/>
  <c r="Y383" i="3"/>
  <c r="Y382" i="3"/>
  <c r="Y381" i="3"/>
  <c r="Y380" i="3"/>
  <c r="Y379" i="3"/>
  <c r="Y378" i="3"/>
  <c r="Y377" i="3"/>
  <c r="Y376" i="3"/>
  <c r="Y375" i="3"/>
  <c r="Y374" i="3"/>
  <c r="Y373" i="3"/>
  <c r="Y372" i="3"/>
  <c r="Y371" i="3"/>
  <c r="Y370" i="3"/>
  <c r="Y369" i="3"/>
  <c r="Y368" i="3"/>
  <c r="Y367" i="3"/>
  <c r="Y366" i="3"/>
  <c r="Y365" i="3"/>
  <c r="Y364" i="3"/>
  <c r="Y363" i="3"/>
  <c r="Y362" i="3"/>
  <c r="Y361" i="3"/>
  <c r="Y360" i="3"/>
  <c r="Y359" i="3"/>
  <c r="Y358" i="3"/>
  <c r="Y357" i="3"/>
  <c r="Y356" i="3"/>
  <c r="Y355" i="3"/>
  <c r="Y354" i="3"/>
  <c r="Y353" i="3"/>
  <c r="Y352" i="3"/>
  <c r="Y351"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302" i="3"/>
  <c r="Y301" i="3"/>
  <c r="Y300" i="3"/>
  <c r="Y299" i="3"/>
  <c r="Y298"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50" i="3"/>
  <c r="Y249" i="3"/>
  <c r="Y248" i="3"/>
  <c r="Y247" i="3"/>
  <c r="Y246" i="3"/>
  <c r="Y245" i="3"/>
  <c r="Y244" i="3"/>
  <c r="Y243" i="3"/>
  <c r="Y242" i="3"/>
  <c r="Y241" i="3"/>
  <c r="Y240" i="3"/>
  <c r="Y239" i="3"/>
  <c r="Y238" i="3"/>
  <c r="Y237" i="3"/>
  <c r="Y236" i="3"/>
  <c r="Y235" i="3"/>
  <c r="Y234" i="3"/>
  <c r="Y233" i="3"/>
  <c r="Y232" i="3"/>
  <c r="Y231" i="3"/>
  <c r="Y230" i="3"/>
  <c r="Y229" i="3"/>
  <c r="Y228" i="3"/>
  <c r="Y227" i="3"/>
  <c r="Y226" i="3"/>
  <c r="Y225" i="3"/>
  <c r="Y224" i="3"/>
  <c r="Y223" i="3"/>
  <c r="Y222" i="3"/>
  <c r="Y221" i="3"/>
  <c r="Y220" i="3"/>
  <c r="Y219" i="3"/>
  <c r="Y218" i="3"/>
  <c r="Y217"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Y165" i="3"/>
  <c r="Y164" i="3"/>
  <c r="Y163" i="3"/>
  <c r="Y162" i="3"/>
  <c r="Y161" i="3"/>
  <c r="Y160" i="3"/>
  <c r="Y159" i="3"/>
  <c r="Y158" i="3"/>
  <c r="Y157" i="3"/>
  <c r="Y156" i="3"/>
  <c r="Y155" i="3"/>
  <c r="Y154" i="3"/>
  <c r="Y153" i="3"/>
  <c r="Y152" i="3"/>
  <c r="Y151" i="3"/>
  <c r="Y150" i="3"/>
  <c r="Y149" i="3"/>
  <c r="Y148" i="3"/>
  <c r="Y147" i="3"/>
  <c r="Y146" i="3"/>
  <c r="Y145" i="3"/>
  <c r="Y144" i="3"/>
  <c r="Y143" i="3"/>
  <c r="Y142" i="3"/>
  <c r="Y141" i="3"/>
  <c r="Y140" i="3"/>
  <c r="Y139" i="3"/>
  <c r="Y138" i="3"/>
  <c r="Y137" i="3"/>
  <c r="Y136" i="3"/>
  <c r="Y135" i="3"/>
  <c r="Y134" i="3"/>
  <c r="Y133" i="3"/>
  <c r="Y132" i="3"/>
  <c r="Y131" i="3"/>
  <c r="Y130" i="3"/>
  <c r="Y129" i="3"/>
  <c r="Y128" i="3"/>
  <c r="Y127" i="3"/>
  <c r="Y126" i="3"/>
  <c r="Y125" i="3"/>
  <c r="Y124" i="3"/>
  <c r="Y123" i="3"/>
  <c r="Y122" i="3"/>
  <c r="Y121" i="3"/>
  <c r="Y120" i="3"/>
  <c r="Y119" i="3"/>
  <c r="Y118" i="3"/>
  <c r="Y117" i="3"/>
  <c r="Y116" i="3"/>
  <c r="Y115" i="3"/>
  <c r="Y114" i="3"/>
  <c r="Y113" i="3"/>
  <c r="Y112" i="3"/>
  <c r="Y111" i="3"/>
  <c r="Y110" i="3"/>
  <c r="Y109" i="3"/>
  <c r="Y108" i="3"/>
  <c r="Y107" i="3"/>
  <c r="Y106" i="3"/>
  <c r="Y105" i="3"/>
  <c r="Y104" i="3"/>
  <c r="Y103" i="3"/>
  <c r="Y102" i="3"/>
  <c r="Y101" i="3"/>
  <c r="Y100" i="3"/>
  <c r="Y99" i="3"/>
  <c r="Y98" i="3"/>
  <c r="Y97" i="3"/>
  <c r="Y96" i="3"/>
  <c r="Y95" i="3"/>
  <c r="Y94" i="3"/>
  <c r="Y93" i="3"/>
  <c r="Y92" i="3"/>
  <c r="Y91" i="3"/>
  <c r="Y90" i="3"/>
  <c r="Y89" i="3"/>
  <c r="Y88" i="3"/>
  <c r="Y87" i="3"/>
  <c r="Y86" i="3"/>
  <c r="Y85" i="3"/>
  <c r="Y84" i="3"/>
  <c r="Y83" i="3"/>
  <c r="Y82" i="3"/>
  <c r="Y81" i="3"/>
  <c r="Y80" i="3"/>
  <c r="Y79" i="3"/>
  <c r="Y78" i="3"/>
  <c r="Y77" i="3"/>
  <c r="Y76" i="3"/>
  <c r="Y75" i="3"/>
  <c r="Y74" i="3"/>
  <c r="Y73" i="3"/>
  <c r="Y72" i="3"/>
  <c r="Y71" i="3"/>
  <c r="Y70" i="3"/>
  <c r="Y69" i="3"/>
  <c r="Y68"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Y37" i="3"/>
  <c r="Y36" i="3"/>
  <c r="Y35" i="3"/>
  <c r="Y34" i="3"/>
  <c r="Y33" i="3"/>
  <c r="Y32" i="3"/>
  <c r="Y31" i="3"/>
  <c r="Y30" i="3"/>
  <c r="Y29" i="3"/>
  <c r="Y28" i="3"/>
  <c r="Y27" i="3"/>
  <c r="Y26" i="3"/>
  <c r="Y25" i="3"/>
  <c r="Y24" i="3"/>
  <c r="Y23" i="3"/>
  <c r="Y22" i="3"/>
  <c r="Y21" i="3"/>
  <c r="Y20" i="3"/>
  <c r="Y19" i="3"/>
  <c r="Y18" i="3"/>
  <c r="Y17" i="3"/>
  <c r="Y16" i="3"/>
  <c r="Y15" i="3"/>
  <c r="Y14" i="3"/>
  <c r="Y13" i="3"/>
  <c r="Y12" i="3"/>
  <c r="Y11" i="3"/>
  <c r="Y10" i="3"/>
  <c r="Y9" i="3"/>
  <c r="Y8" i="3"/>
  <c r="Y7" i="3"/>
  <c r="Y6" i="3"/>
  <c r="Y5" i="3"/>
  <c r="Y4" i="3"/>
  <c r="Y3" i="3"/>
  <c r="X1311" i="3"/>
  <c r="X1310" i="3"/>
  <c r="X1309" i="3"/>
  <c r="X1308" i="3"/>
  <c r="X1307" i="3"/>
  <c r="X1306" i="3"/>
  <c r="X1305" i="3"/>
  <c r="X1304" i="3"/>
  <c r="X1303" i="3"/>
  <c r="X1302" i="3"/>
  <c r="X1301" i="3"/>
  <c r="X1300" i="3"/>
  <c r="X1299" i="3"/>
  <c r="X1298" i="3"/>
  <c r="X1297" i="3"/>
  <c r="X1296" i="3"/>
  <c r="X1295" i="3"/>
  <c r="X1294" i="3"/>
  <c r="X1293" i="3"/>
  <c r="X1292" i="3"/>
  <c r="X1291" i="3"/>
  <c r="X1290" i="3"/>
  <c r="X1289" i="3"/>
  <c r="X1288" i="3"/>
  <c r="X1287" i="3"/>
  <c r="X1286" i="3"/>
  <c r="X1285" i="3"/>
  <c r="X1284" i="3"/>
  <c r="X1283" i="3"/>
  <c r="X1282" i="3"/>
  <c r="X1281" i="3"/>
  <c r="X1280" i="3"/>
  <c r="X1279" i="3"/>
  <c r="X1278" i="3"/>
  <c r="X1277" i="3"/>
  <c r="X1276" i="3"/>
  <c r="X1275" i="3"/>
  <c r="X1274" i="3"/>
  <c r="X1273" i="3"/>
  <c r="X1272" i="3"/>
  <c r="X1271" i="3"/>
  <c r="X1270" i="3"/>
  <c r="X1269" i="3"/>
  <c r="X1268" i="3"/>
  <c r="X1267" i="3"/>
  <c r="X1266" i="3"/>
  <c r="X1265" i="3"/>
  <c r="X1264" i="3"/>
  <c r="X1263" i="3"/>
  <c r="X1262" i="3"/>
  <c r="X1261" i="3"/>
  <c r="X1260" i="3"/>
  <c r="X1259" i="3"/>
  <c r="X1258" i="3"/>
  <c r="X1257" i="3"/>
  <c r="X1256" i="3"/>
  <c r="X1255" i="3"/>
  <c r="X1254" i="3"/>
  <c r="X1253" i="3"/>
  <c r="X1252" i="3"/>
  <c r="X1251" i="3"/>
  <c r="X1250" i="3"/>
  <c r="X1249" i="3"/>
  <c r="X1248" i="3"/>
  <c r="X1247" i="3"/>
  <c r="X1246" i="3"/>
  <c r="X1245" i="3"/>
  <c r="X1244" i="3"/>
  <c r="X1243" i="3"/>
  <c r="X1242" i="3"/>
  <c r="X1241" i="3"/>
  <c r="X1240" i="3"/>
  <c r="X1239" i="3"/>
  <c r="X1238" i="3"/>
  <c r="X1237" i="3"/>
  <c r="X1236" i="3"/>
  <c r="X1235" i="3"/>
  <c r="X1234" i="3"/>
  <c r="X1233" i="3"/>
  <c r="X1232" i="3"/>
  <c r="X1231" i="3"/>
  <c r="X1230" i="3"/>
  <c r="X1229" i="3"/>
  <c r="X1228" i="3"/>
  <c r="X1227" i="3"/>
  <c r="X1226" i="3"/>
  <c r="X1225" i="3"/>
  <c r="X1224" i="3"/>
  <c r="X1223" i="3"/>
  <c r="X1222" i="3"/>
  <c r="X1221" i="3"/>
  <c r="X1220" i="3"/>
  <c r="X1219" i="3"/>
  <c r="X1218" i="3"/>
  <c r="X1217" i="3"/>
  <c r="X1216" i="3"/>
  <c r="X1215" i="3"/>
  <c r="X1214" i="3"/>
  <c r="X1213" i="3"/>
  <c r="X1212" i="3"/>
  <c r="X1211" i="3"/>
  <c r="X1210" i="3"/>
  <c r="X1209" i="3"/>
  <c r="X1208" i="3"/>
  <c r="X1207" i="3"/>
  <c r="X1206" i="3"/>
  <c r="X1205" i="3"/>
  <c r="X1204" i="3"/>
  <c r="X1203" i="3"/>
  <c r="X1202" i="3"/>
  <c r="X1201" i="3"/>
  <c r="X1200" i="3"/>
  <c r="X1199" i="3"/>
  <c r="X1198" i="3"/>
  <c r="X1197" i="3"/>
  <c r="X1196" i="3"/>
  <c r="X1195" i="3"/>
  <c r="X1194" i="3"/>
  <c r="X1193" i="3"/>
  <c r="X1192" i="3"/>
  <c r="X1191" i="3"/>
  <c r="X1190" i="3"/>
  <c r="X1189" i="3"/>
  <c r="X1188" i="3"/>
  <c r="X1187" i="3"/>
  <c r="X1186" i="3"/>
  <c r="X1185" i="3"/>
  <c r="X1184" i="3"/>
  <c r="X1183" i="3"/>
  <c r="X1182" i="3"/>
  <c r="X1181" i="3"/>
  <c r="X1180" i="3"/>
  <c r="X1179" i="3"/>
  <c r="X1178" i="3"/>
  <c r="X1177" i="3"/>
  <c r="X1176" i="3"/>
  <c r="X1175" i="3"/>
  <c r="X1174" i="3"/>
  <c r="X1173" i="3"/>
  <c r="X1172" i="3"/>
  <c r="X1171" i="3"/>
  <c r="X1170" i="3"/>
  <c r="X1169" i="3"/>
  <c r="X1168" i="3"/>
  <c r="X1167" i="3"/>
  <c r="X1166" i="3"/>
  <c r="X1165" i="3"/>
  <c r="X1164" i="3"/>
  <c r="X1163" i="3"/>
  <c r="X1162" i="3"/>
  <c r="X1161" i="3"/>
  <c r="X1160" i="3"/>
  <c r="X1159" i="3"/>
  <c r="X1158" i="3"/>
  <c r="X1157" i="3"/>
  <c r="X1156" i="3"/>
  <c r="X1155" i="3"/>
  <c r="X1154" i="3"/>
  <c r="X1153" i="3"/>
  <c r="X1152" i="3"/>
  <c r="X1151" i="3"/>
  <c r="X1150" i="3"/>
  <c r="X1149" i="3"/>
  <c r="X1148" i="3"/>
  <c r="X1147" i="3"/>
  <c r="X1146" i="3"/>
  <c r="X1145" i="3"/>
  <c r="X1144" i="3"/>
  <c r="X1143" i="3"/>
  <c r="X1142" i="3"/>
  <c r="X1141" i="3"/>
  <c r="X1140" i="3"/>
  <c r="X1139" i="3"/>
  <c r="X1138" i="3"/>
  <c r="X1137" i="3"/>
  <c r="X1136" i="3"/>
  <c r="X1135" i="3"/>
  <c r="X1134" i="3"/>
  <c r="X1133" i="3"/>
  <c r="X1132" i="3"/>
  <c r="X1131" i="3"/>
  <c r="X1130" i="3"/>
  <c r="X1129" i="3"/>
  <c r="X1128" i="3"/>
  <c r="X1127" i="3"/>
  <c r="X1126" i="3"/>
  <c r="X1125" i="3"/>
  <c r="X1124" i="3"/>
  <c r="X1123" i="3"/>
  <c r="X1122" i="3"/>
  <c r="X1121" i="3"/>
  <c r="X1120" i="3"/>
  <c r="X1119" i="3"/>
  <c r="X1118" i="3"/>
  <c r="X1117" i="3"/>
  <c r="X1116" i="3"/>
  <c r="X1115" i="3"/>
  <c r="X1114" i="3"/>
  <c r="X1113" i="3"/>
  <c r="X1112" i="3"/>
  <c r="X1111" i="3"/>
  <c r="X1110" i="3"/>
  <c r="X1109" i="3"/>
  <c r="X1108" i="3"/>
  <c r="X1107" i="3"/>
  <c r="X1106" i="3"/>
  <c r="X1105" i="3"/>
  <c r="X1104" i="3"/>
  <c r="X1103" i="3"/>
  <c r="X1102" i="3"/>
  <c r="X1101" i="3"/>
  <c r="X1100" i="3"/>
  <c r="X1099" i="3"/>
  <c r="X1098" i="3"/>
  <c r="X1097" i="3"/>
  <c r="X1096" i="3"/>
  <c r="X1095" i="3"/>
  <c r="X1094" i="3"/>
  <c r="X1093" i="3"/>
  <c r="X1092" i="3"/>
  <c r="X1091" i="3"/>
  <c r="X1090" i="3"/>
  <c r="X1089" i="3"/>
  <c r="X1088" i="3"/>
  <c r="X1087" i="3"/>
  <c r="X1086" i="3"/>
  <c r="X1085" i="3"/>
  <c r="X1084" i="3"/>
  <c r="X1083" i="3"/>
  <c r="X1082" i="3"/>
  <c r="X1081" i="3"/>
  <c r="X1080" i="3"/>
  <c r="X1079" i="3"/>
  <c r="X1078" i="3"/>
  <c r="X1077" i="3"/>
  <c r="X1076" i="3"/>
  <c r="X1075" i="3"/>
  <c r="X1074" i="3"/>
  <c r="X1073" i="3"/>
  <c r="X1072" i="3"/>
  <c r="X1071" i="3"/>
  <c r="X1070" i="3"/>
  <c r="X1069" i="3"/>
  <c r="X1068" i="3"/>
  <c r="X1067" i="3"/>
  <c r="X1066" i="3"/>
  <c r="X1065" i="3"/>
  <c r="X1064" i="3"/>
  <c r="X1063" i="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X1035" i="3"/>
  <c r="X1034" i="3"/>
  <c r="X1033" i="3"/>
  <c r="X1032" i="3"/>
  <c r="X1031" i="3"/>
  <c r="X1030" i="3"/>
  <c r="X1029" i="3"/>
  <c r="X1028" i="3"/>
  <c r="X1027" i="3"/>
  <c r="X1026" i="3"/>
  <c r="X1025" i="3"/>
  <c r="X1024" i="3"/>
  <c r="X1023" i="3"/>
  <c r="X1022" i="3"/>
  <c r="X1021" i="3"/>
  <c r="X1020" i="3"/>
  <c r="X1019" i="3"/>
  <c r="X1018" i="3"/>
  <c r="X1017" i="3"/>
  <c r="X1016" i="3"/>
  <c r="X1015" i="3"/>
  <c r="X1014" i="3"/>
  <c r="X1013" i="3"/>
  <c r="X1012" i="3"/>
  <c r="X1011" i="3"/>
  <c r="X1010" i="3"/>
  <c r="X1009" i="3"/>
  <c r="X1008" i="3"/>
  <c r="X1007" i="3"/>
  <c r="X1006" i="3"/>
  <c r="X1005" i="3"/>
  <c r="X1004" i="3"/>
  <c r="X1003" i="3"/>
  <c r="X1002" i="3"/>
  <c r="X1001" i="3"/>
  <c r="X1000" i="3"/>
  <c r="X999" i="3"/>
  <c r="X998" i="3"/>
  <c r="X997" i="3"/>
  <c r="X996" i="3"/>
  <c r="X995" i="3"/>
  <c r="X994" i="3"/>
  <c r="X993" i="3"/>
  <c r="X992" i="3"/>
  <c r="X991" i="3"/>
  <c r="X990" i="3"/>
  <c r="X989" i="3"/>
  <c r="X988" i="3"/>
  <c r="X987" i="3"/>
  <c r="X986" i="3"/>
  <c r="X985" i="3"/>
  <c r="X984" i="3"/>
  <c r="X983" i="3"/>
  <c r="X982" i="3"/>
  <c r="X981" i="3"/>
  <c r="X980" i="3"/>
  <c r="X979" i="3"/>
  <c r="X978" i="3"/>
  <c r="X977" i="3"/>
  <c r="X976" i="3"/>
  <c r="X975" i="3"/>
  <c r="X974" i="3"/>
  <c r="X973" i="3"/>
  <c r="X972" i="3"/>
  <c r="X971" i="3"/>
  <c r="X970" i="3"/>
  <c r="X969" i="3"/>
  <c r="X968" i="3"/>
  <c r="X967" i="3"/>
  <c r="X966" i="3"/>
  <c r="X965" i="3"/>
  <c r="X964" i="3"/>
  <c r="X963" i="3"/>
  <c r="X962" i="3"/>
  <c r="X961" i="3"/>
  <c r="X960" i="3"/>
  <c r="X959" i="3"/>
  <c r="X958" i="3"/>
  <c r="X957" i="3"/>
  <c r="X956" i="3"/>
  <c r="X955" i="3"/>
  <c r="X954" i="3"/>
  <c r="X953" i="3"/>
  <c r="X952" i="3"/>
  <c r="X951" i="3"/>
  <c r="X950" i="3"/>
  <c r="X949" i="3"/>
  <c r="X948" i="3"/>
  <c r="X947" i="3"/>
  <c r="X946" i="3"/>
  <c r="X945" i="3"/>
  <c r="X944" i="3"/>
  <c r="X943" i="3"/>
  <c r="X942" i="3"/>
  <c r="X941" i="3"/>
  <c r="X940" i="3"/>
  <c r="X939" i="3"/>
  <c r="X938" i="3"/>
  <c r="X937" i="3"/>
  <c r="X936" i="3"/>
  <c r="X935" i="3"/>
  <c r="X934" i="3"/>
  <c r="X933" i="3"/>
  <c r="X932" i="3"/>
  <c r="X931" i="3"/>
  <c r="X930" i="3"/>
  <c r="X929" i="3"/>
  <c r="X928" i="3"/>
  <c r="X927" i="3"/>
  <c r="X926" i="3"/>
  <c r="X925" i="3"/>
  <c r="X924" i="3"/>
  <c r="X923" i="3"/>
  <c r="X922" i="3"/>
  <c r="X921" i="3"/>
  <c r="X920" i="3"/>
  <c r="X919" i="3"/>
  <c r="X918" i="3"/>
  <c r="X917" i="3"/>
  <c r="X916" i="3"/>
  <c r="X915" i="3"/>
  <c r="X914" i="3"/>
  <c r="X913" i="3"/>
  <c r="X912" i="3"/>
  <c r="X911" i="3"/>
  <c r="X910" i="3"/>
  <c r="X909" i="3"/>
  <c r="X908" i="3"/>
  <c r="X907" i="3"/>
  <c r="X906" i="3"/>
  <c r="X905" i="3"/>
  <c r="X904" i="3"/>
  <c r="X903" i="3"/>
  <c r="X902" i="3"/>
  <c r="X901" i="3"/>
  <c r="X900" i="3"/>
  <c r="X899" i="3"/>
  <c r="X898" i="3"/>
  <c r="X897" i="3"/>
  <c r="X896" i="3"/>
  <c r="X895" i="3"/>
  <c r="X894" i="3"/>
  <c r="X893" i="3"/>
  <c r="X892" i="3"/>
  <c r="X891" i="3"/>
  <c r="X890" i="3"/>
  <c r="X889" i="3"/>
  <c r="X888" i="3"/>
  <c r="X887" i="3"/>
  <c r="X886" i="3"/>
  <c r="X885" i="3"/>
  <c r="X884" i="3"/>
  <c r="X883" i="3"/>
  <c r="X882" i="3"/>
  <c r="X881" i="3"/>
  <c r="X880" i="3"/>
  <c r="X879" i="3"/>
  <c r="X878" i="3"/>
  <c r="X877" i="3"/>
  <c r="X876" i="3"/>
  <c r="X875" i="3"/>
  <c r="X874" i="3"/>
  <c r="X873" i="3"/>
  <c r="X872" i="3"/>
  <c r="X871" i="3"/>
  <c r="X870" i="3"/>
  <c r="X869" i="3"/>
  <c r="X868" i="3"/>
  <c r="X867" i="3"/>
  <c r="X866" i="3"/>
  <c r="X865" i="3"/>
  <c r="X864" i="3"/>
  <c r="X863" i="3"/>
  <c r="X862" i="3"/>
  <c r="X861" i="3"/>
  <c r="X860" i="3"/>
  <c r="X859" i="3"/>
  <c r="X858" i="3"/>
  <c r="X857" i="3"/>
  <c r="X856" i="3"/>
  <c r="X855" i="3"/>
  <c r="X854" i="3"/>
  <c r="X853" i="3"/>
  <c r="X852" i="3"/>
  <c r="X851" i="3"/>
  <c r="X850" i="3"/>
  <c r="X849" i="3"/>
  <c r="X848" i="3"/>
  <c r="X847" i="3"/>
  <c r="X846" i="3"/>
  <c r="X845" i="3"/>
  <c r="X844" i="3"/>
  <c r="X843" i="3"/>
  <c r="X842" i="3"/>
  <c r="X841" i="3"/>
  <c r="X840" i="3"/>
  <c r="X839" i="3"/>
  <c r="X838" i="3"/>
  <c r="X837" i="3"/>
  <c r="X836" i="3"/>
  <c r="X835" i="3"/>
  <c r="X834" i="3"/>
  <c r="X833" i="3"/>
  <c r="X832" i="3"/>
  <c r="X831" i="3"/>
  <c r="X830" i="3"/>
  <c r="X829" i="3"/>
  <c r="X828" i="3"/>
  <c r="X827" i="3"/>
  <c r="X826" i="3"/>
  <c r="X825" i="3"/>
  <c r="X824" i="3"/>
  <c r="X823" i="3"/>
  <c r="X822" i="3"/>
  <c r="X821" i="3"/>
  <c r="X820" i="3"/>
  <c r="X819" i="3"/>
  <c r="X818" i="3"/>
  <c r="X817" i="3"/>
  <c r="X816" i="3"/>
  <c r="X815" i="3"/>
  <c r="X814" i="3"/>
  <c r="X813" i="3"/>
  <c r="X812" i="3"/>
  <c r="X811" i="3"/>
  <c r="X810" i="3"/>
  <c r="X809" i="3"/>
  <c r="X808" i="3"/>
  <c r="X807" i="3"/>
  <c r="X806" i="3"/>
  <c r="X805" i="3"/>
  <c r="X804" i="3"/>
  <c r="X803" i="3"/>
  <c r="X802" i="3"/>
  <c r="X801" i="3"/>
  <c r="X800" i="3"/>
  <c r="X799" i="3"/>
  <c r="X798" i="3"/>
  <c r="X797" i="3"/>
  <c r="X796" i="3"/>
  <c r="X795" i="3"/>
  <c r="X794" i="3"/>
  <c r="X793" i="3"/>
  <c r="X792" i="3"/>
  <c r="X791" i="3"/>
  <c r="X790" i="3"/>
  <c r="X789" i="3"/>
  <c r="X788" i="3"/>
  <c r="X787" i="3"/>
  <c r="X786" i="3"/>
  <c r="X785" i="3"/>
  <c r="X784" i="3"/>
  <c r="X783" i="3"/>
  <c r="X782" i="3"/>
  <c r="X781" i="3"/>
  <c r="X780" i="3"/>
  <c r="X779" i="3"/>
  <c r="X778" i="3"/>
  <c r="X777" i="3"/>
  <c r="X776" i="3"/>
  <c r="X775" i="3"/>
  <c r="X774" i="3"/>
  <c r="X773" i="3"/>
  <c r="X772" i="3"/>
  <c r="X771" i="3"/>
  <c r="X770" i="3"/>
  <c r="X769" i="3"/>
  <c r="X768" i="3"/>
  <c r="X767" i="3"/>
  <c r="X766" i="3"/>
  <c r="X765" i="3"/>
  <c r="X764" i="3"/>
  <c r="X763" i="3"/>
  <c r="X762" i="3"/>
  <c r="X761" i="3"/>
  <c r="X760" i="3"/>
  <c r="X759" i="3"/>
  <c r="X758" i="3"/>
  <c r="X757" i="3"/>
  <c r="X756" i="3"/>
  <c r="X755" i="3"/>
  <c r="X754" i="3"/>
  <c r="X753" i="3"/>
  <c r="X752" i="3"/>
  <c r="X751" i="3"/>
  <c r="X750" i="3"/>
  <c r="X749" i="3"/>
  <c r="X748" i="3"/>
  <c r="X747" i="3"/>
  <c r="X746" i="3"/>
  <c r="X745" i="3"/>
  <c r="X744" i="3"/>
  <c r="X743" i="3"/>
  <c r="X742" i="3"/>
  <c r="X741" i="3"/>
  <c r="X740" i="3"/>
  <c r="X739" i="3"/>
  <c r="X738" i="3"/>
  <c r="X737" i="3"/>
  <c r="X736" i="3"/>
  <c r="X735" i="3"/>
  <c r="X734" i="3"/>
  <c r="X733" i="3"/>
  <c r="X732" i="3"/>
  <c r="X731" i="3"/>
  <c r="X730" i="3"/>
  <c r="X729" i="3"/>
  <c r="X728" i="3"/>
  <c r="X727" i="3"/>
  <c r="X726" i="3"/>
  <c r="X725" i="3"/>
  <c r="X724" i="3"/>
  <c r="X723" i="3"/>
  <c r="X722" i="3"/>
  <c r="X721" i="3"/>
  <c r="X720" i="3"/>
  <c r="X719" i="3"/>
  <c r="X718" i="3"/>
  <c r="X717" i="3"/>
  <c r="X716" i="3"/>
  <c r="X715" i="3"/>
  <c r="X714" i="3"/>
  <c r="X713" i="3"/>
  <c r="X712" i="3"/>
  <c r="X711" i="3"/>
  <c r="X710" i="3"/>
  <c r="X709" i="3"/>
  <c r="X708" i="3"/>
  <c r="X707" i="3"/>
  <c r="X706" i="3"/>
  <c r="X705" i="3"/>
  <c r="X704" i="3"/>
  <c r="X703" i="3"/>
  <c r="X702" i="3"/>
  <c r="X701" i="3"/>
  <c r="X700" i="3"/>
  <c r="X699" i="3"/>
  <c r="X698" i="3"/>
  <c r="X697" i="3"/>
  <c r="X696" i="3"/>
  <c r="X695" i="3"/>
  <c r="X694" i="3"/>
  <c r="X693" i="3"/>
  <c r="X692" i="3"/>
  <c r="X691" i="3"/>
  <c r="X690" i="3"/>
  <c r="X689" i="3"/>
  <c r="X688" i="3"/>
  <c r="X687" i="3"/>
  <c r="X686" i="3"/>
  <c r="X685" i="3"/>
  <c r="X684" i="3"/>
  <c r="X683" i="3"/>
  <c r="X682" i="3"/>
  <c r="X681" i="3"/>
  <c r="X680" i="3"/>
  <c r="X679" i="3"/>
  <c r="X678" i="3"/>
  <c r="X677" i="3"/>
  <c r="X676" i="3"/>
  <c r="X675" i="3"/>
  <c r="X674" i="3"/>
  <c r="X673" i="3"/>
  <c r="X672" i="3"/>
  <c r="X671" i="3"/>
  <c r="X670" i="3"/>
  <c r="X669" i="3"/>
  <c r="X668" i="3"/>
  <c r="X667" i="3"/>
  <c r="X666" i="3"/>
  <c r="X665" i="3"/>
  <c r="X664" i="3"/>
  <c r="X663" i="3"/>
  <c r="X662" i="3"/>
  <c r="X661" i="3"/>
  <c r="X660" i="3"/>
  <c r="X659" i="3"/>
  <c r="X658" i="3"/>
  <c r="X657" i="3"/>
  <c r="X656" i="3"/>
  <c r="X655" i="3"/>
  <c r="X654" i="3"/>
  <c r="X653" i="3"/>
  <c r="X652" i="3"/>
  <c r="X651" i="3"/>
  <c r="X650" i="3"/>
  <c r="X649" i="3"/>
  <c r="X648" i="3"/>
  <c r="X647" i="3"/>
  <c r="X646" i="3"/>
  <c r="X645" i="3"/>
  <c r="X644" i="3"/>
  <c r="X643" i="3"/>
  <c r="X642" i="3"/>
  <c r="X641" i="3"/>
  <c r="X640" i="3"/>
  <c r="X639" i="3"/>
  <c r="X638" i="3"/>
  <c r="X637" i="3"/>
  <c r="X636" i="3"/>
  <c r="X635" i="3"/>
  <c r="X634" i="3"/>
  <c r="X633" i="3"/>
  <c r="X632" i="3"/>
  <c r="X631" i="3"/>
  <c r="X630" i="3"/>
  <c r="X629" i="3"/>
  <c r="X628" i="3"/>
  <c r="X627" i="3"/>
  <c r="X626" i="3"/>
  <c r="X625" i="3"/>
  <c r="X624" i="3"/>
  <c r="X623" i="3"/>
  <c r="X622" i="3"/>
  <c r="X621" i="3"/>
  <c r="X620" i="3"/>
  <c r="X619" i="3"/>
  <c r="X618" i="3"/>
  <c r="X617" i="3"/>
  <c r="X616" i="3"/>
  <c r="X615" i="3"/>
  <c r="X614" i="3"/>
  <c r="X613" i="3"/>
  <c r="X612" i="3"/>
  <c r="X611" i="3"/>
  <c r="X610" i="3"/>
  <c r="X609" i="3"/>
  <c r="X608" i="3"/>
  <c r="X607" i="3"/>
  <c r="X606" i="3"/>
  <c r="X605" i="3"/>
  <c r="X604" i="3"/>
  <c r="X603" i="3"/>
  <c r="X602" i="3"/>
  <c r="X601" i="3"/>
  <c r="X600" i="3"/>
  <c r="X599" i="3"/>
  <c r="X598" i="3"/>
  <c r="X597" i="3"/>
  <c r="X596" i="3"/>
  <c r="X595" i="3"/>
  <c r="X594" i="3"/>
  <c r="X593" i="3"/>
  <c r="X592" i="3"/>
  <c r="X591" i="3"/>
  <c r="X590" i="3"/>
  <c r="X589" i="3"/>
  <c r="X588" i="3"/>
  <c r="X587" i="3"/>
  <c r="X586" i="3"/>
  <c r="X585" i="3"/>
  <c r="X584" i="3"/>
  <c r="X583" i="3"/>
  <c r="X582" i="3"/>
  <c r="X581" i="3"/>
  <c r="X580" i="3"/>
  <c r="X579" i="3"/>
  <c r="X578" i="3"/>
  <c r="X577" i="3"/>
  <c r="X576" i="3"/>
  <c r="X575" i="3"/>
  <c r="X574" i="3"/>
  <c r="X573" i="3"/>
  <c r="X572" i="3"/>
  <c r="X571" i="3"/>
  <c r="X570" i="3"/>
  <c r="X569" i="3"/>
  <c r="X568" i="3"/>
  <c r="X567" i="3"/>
  <c r="X566" i="3"/>
  <c r="X565" i="3"/>
  <c r="X564" i="3"/>
  <c r="X563" i="3"/>
  <c r="X562" i="3"/>
  <c r="X561" i="3"/>
  <c r="X560" i="3"/>
  <c r="X559" i="3"/>
  <c r="X558" i="3"/>
  <c r="X557" i="3"/>
  <c r="X556" i="3"/>
  <c r="X555" i="3"/>
  <c r="X554" i="3"/>
  <c r="X553" i="3"/>
  <c r="X552" i="3"/>
  <c r="X551" i="3"/>
  <c r="X550" i="3"/>
  <c r="X549" i="3"/>
  <c r="X548" i="3"/>
  <c r="X547" i="3"/>
  <c r="X546" i="3"/>
  <c r="X545" i="3"/>
  <c r="X544" i="3"/>
  <c r="X543" i="3"/>
  <c r="X542" i="3"/>
  <c r="X541" i="3"/>
  <c r="X540" i="3"/>
  <c r="X539" i="3"/>
  <c r="X538" i="3"/>
  <c r="X537" i="3"/>
  <c r="X536" i="3"/>
  <c r="X535" i="3"/>
  <c r="X534" i="3"/>
  <c r="X533" i="3"/>
  <c r="X532" i="3"/>
  <c r="X531" i="3"/>
  <c r="X530" i="3"/>
  <c r="X529" i="3"/>
  <c r="X528" i="3"/>
  <c r="X527" i="3"/>
  <c r="X526" i="3"/>
  <c r="X525" i="3"/>
  <c r="X524" i="3"/>
  <c r="X523" i="3"/>
  <c r="X522" i="3"/>
  <c r="X521" i="3"/>
  <c r="X520" i="3"/>
  <c r="X519" i="3"/>
  <c r="X518" i="3"/>
  <c r="X517" i="3"/>
  <c r="X516" i="3"/>
  <c r="X515" i="3"/>
  <c r="X514" i="3"/>
  <c r="X513" i="3"/>
  <c r="X512" i="3"/>
  <c r="X511" i="3"/>
  <c r="X510" i="3"/>
  <c r="X509" i="3"/>
  <c r="X508" i="3"/>
  <c r="X507" i="3"/>
  <c r="X506" i="3"/>
  <c r="X505" i="3"/>
  <c r="X504" i="3"/>
  <c r="X503" i="3"/>
  <c r="X502" i="3"/>
  <c r="X501" i="3"/>
  <c r="X500" i="3"/>
  <c r="X499" i="3"/>
  <c r="X498" i="3"/>
  <c r="X497" i="3"/>
  <c r="X496" i="3"/>
  <c r="X495" i="3"/>
  <c r="X494" i="3"/>
  <c r="X493" i="3"/>
  <c r="X492" i="3"/>
  <c r="X491" i="3"/>
  <c r="X490" i="3"/>
  <c r="X489" i="3"/>
  <c r="X488" i="3"/>
  <c r="X487" i="3"/>
  <c r="X486" i="3"/>
  <c r="X485" i="3"/>
  <c r="X484" i="3"/>
  <c r="X483" i="3"/>
  <c r="X482" i="3"/>
  <c r="X481" i="3"/>
  <c r="X480" i="3"/>
  <c r="X479" i="3"/>
  <c r="X478" i="3"/>
  <c r="X477" i="3"/>
  <c r="X476" i="3"/>
  <c r="X475" i="3"/>
  <c r="X474" i="3"/>
  <c r="X473" i="3"/>
  <c r="X472" i="3"/>
  <c r="X471" i="3"/>
  <c r="X470" i="3"/>
  <c r="X469" i="3"/>
  <c r="X468" i="3"/>
  <c r="X467" i="3"/>
  <c r="X466" i="3"/>
  <c r="X465" i="3"/>
  <c r="X464" i="3"/>
  <c r="X463" i="3"/>
  <c r="X462" i="3"/>
  <c r="X461" i="3"/>
  <c r="X460" i="3"/>
  <c r="X459" i="3"/>
  <c r="X458" i="3"/>
  <c r="X457" i="3"/>
  <c r="X456" i="3"/>
  <c r="X455" i="3"/>
  <c r="X454" i="3"/>
  <c r="X453" i="3"/>
  <c r="X452" i="3"/>
  <c r="X451" i="3"/>
  <c r="X450" i="3"/>
  <c r="X449" i="3"/>
  <c r="X448" i="3"/>
  <c r="X447" i="3"/>
  <c r="X446" i="3"/>
  <c r="X445" i="3"/>
  <c r="X444" i="3"/>
  <c r="X443" i="3"/>
  <c r="X442" i="3"/>
  <c r="X441" i="3"/>
  <c r="X440" i="3"/>
  <c r="X439" i="3"/>
  <c r="X438" i="3"/>
  <c r="X437" i="3"/>
  <c r="X436" i="3"/>
  <c r="X435" i="3"/>
  <c r="X434" i="3"/>
  <c r="X433" i="3"/>
  <c r="X432" i="3"/>
  <c r="X431" i="3"/>
  <c r="X430" i="3"/>
  <c r="X429" i="3"/>
  <c r="X428" i="3"/>
  <c r="X427" i="3"/>
  <c r="X426" i="3"/>
  <c r="X425" i="3"/>
  <c r="X424" i="3"/>
  <c r="X423" i="3"/>
  <c r="X422" i="3"/>
  <c r="X421" i="3"/>
  <c r="X420" i="3"/>
  <c r="X419" i="3"/>
  <c r="X418" i="3"/>
  <c r="X417" i="3"/>
  <c r="X416" i="3"/>
  <c r="X415" i="3"/>
  <c r="X414" i="3"/>
  <c r="X413" i="3"/>
  <c r="X412" i="3"/>
  <c r="X411" i="3"/>
  <c r="X410" i="3"/>
  <c r="X409" i="3"/>
  <c r="X408" i="3"/>
  <c r="X407" i="3"/>
  <c r="X406" i="3"/>
  <c r="X405" i="3"/>
  <c r="X404" i="3"/>
  <c r="X403" i="3"/>
  <c r="X402" i="3"/>
  <c r="X401" i="3"/>
  <c r="X400" i="3"/>
  <c r="X399" i="3"/>
  <c r="X398" i="3"/>
  <c r="X397" i="3"/>
  <c r="X396" i="3"/>
  <c r="X395" i="3"/>
  <c r="X394" i="3"/>
  <c r="X393" i="3"/>
  <c r="X392" i="3"/>
  <c r="X391" i="3"/>
  <c r="X390" i="3"/>
  <c r="X389" i="3"/>
  <c r="X388" i="3"/>
  <c r="X387" i="3"/>
  <c r="X386" i="3"/>
  <c r="X385" i="3"/>
  <c r="X384" i="3"/>
  <c r="X383" i="3"/>
  <c r="X382" i="3"/>
  <c r="X381" i="3"/>
  <c r="X380" i="3"/>
  <c r="X379" i="3"/>
  <c r="X378" i="3"/>
  <c r="X377" i="3"/>
  <c r="X376" i="3"/>
  <c r="X375" i="3"/>
  <c r="X374" i="3"/>
  <c r="X373" i="3"/>
  <c r="X372" i="3"/>
  <c r="X371" i="3"/>
  <c r="X370" i="3"/>
  <c r="X369" i="3"/>
  <c r="X368" i="3"/>
  <c r="X367" i="3"/>
  <c r="X366" i="3"/>
  <c r="X365" i="3"/>
  <c r="X364" i="3"/>
  <c r="X363" i="3"/>
  <c r="X362" i="3"/>
  <c r="X361" i="3"/>
  <c r="X360" i="3"/>
  <c r="X359" i="3"/>
  <c r="X358" i="3"/>
  <c r="X357" i="3"/>
  <c r="X356" i="3"/>
  <c r="X355" i="3"/>
  <c r="X354" i="3"/>
  <c r="X353" i="3"/>
  <c r="X352" i="3"/>
  <c r="X351" i="3"/>
  <c r="X350" i="3"/>
  <c r="X349" i="3"/>
  <c r="X348" i="3"/>
  <c r="X347" i="3"/>
  <c r="X346" i="3"/>
  <c r="X345" i="3"/>
  <c r="X344" i="3"/>
  <c r="X343" i="3"/>
  <c r="X342" i="3"/>
  <c r="X341" i="3"/>
  <c r="X340" i="3"/>
  <c r="X339" i="3"/>
  <c r="X338" i="3"/>
  <c r="X337" i="3"/>
  <c r="X336" i="3"/>
  <c r="X335" i="3"/>
  <c r="X334" i="3"/>
  <c r="X333" i="3"/>
  <c r="X332" i="3"/>
  <c r="X331" i="3"/>
  <c r="X330" i="3"/>
  <c r="X329" i="3"/>
  <c r="X328" i="3"/>
  <c r="X327" i="3"/>
  <c r="X326" i="3"/>
  <c r="X325" i="3"/>
  <c r="X324" i="3"/>
  <c r="X323" i="3"/>
  <c r="X322" i="3"/>
  <c r="X321" i="3"/>
  <c r="X320" i="3"/>
  <c r="X319" i="3"/>
  <c r="X318" i="3"/>
  <c r="X317" i="3"/>
  <c r="X316" i="3"/>
  <c r="X315" i="3"/>
  <c r="X314" i="3"/>
  <c r="X313" i="3"/>
  <c r="X312" i="3"/>
  <c r="X311" i="3"/>
  <c r="X310" i="3"/>
  <c r="X309" i="3"/>
  <c r="X308" i="3"/>
  <c r="X307" i="3"/>
  <c r="X306" i="3"/>
  <c r="X305" i="3"/>
  <c r="X304" i="3"/>
  <c r="X303" i="3"/>
  <c r="X302" i="3"/>
  <c r="X301" i="3"/>
  <c r="X300" i="3"/>
  <c r="X299" i="3"/>
  <c r="X298" i="3"/>
  <c r="X297" i="3"/>
  <c r="X296" i="3"/>
  <c r="X295" i="3"/>
  <c r="X294" i="3"/>
  <c r="X293" i="3"/>
  <c r="X292" i="3"/>
  <c r="X291" i="3"/>
  <c r="X290" i="3"/>
  <c r="X289" i="3"/>
  <c r="X288" i="3"/>
  <c r="X287" i="3"/>
  <c r="X286" i="3"/>
  <c r="X285" i="3"/>
  <c r="X284" i="3"/>
  <c r="X283" i="3"/>
  <c r="X282" i="3"/>
  <c r="X281" i="3"/>
  <c r="X280" i="3"/>
  <c r="X279" i="3"/>
  <c r="X278" i="3"/>
  <c r="X277" i="3"/>
  <c r="X276" i="3"/>
  <c r="X275" i="3"/>
  <c r="X274" i="3"/>
  <c r="X273" i="3"/>
  <c r="X272" i="3"/>
  <c r="X271" i="3"/>
  <c r="X270" i="3"/>
  <c r="X269" i="3"/>
  <c r="X268" i="3"/>
  <c r="X267" i="3"/>
  <c r="X266" i="3"/>
  <c r="X265" i="3"/>
  <c r="X264" i="3"/>
  <c r="X263" i="3"/>
  <c r="X262" i="3"/>
  <c r="X261" i="3"/>
  <c r="X260" i="3"/>
  <c r="X259" i="3"/>
  <c r="X258" i="3"/>
  <c r="X257" i="3"/>
  <c r="X256" i="3"/>
  <c r="X255" i="3"/>
  <c r="X254" i="3"/>
  <c r="X253" i="3"/>
  <c r="X252" i="3"/>
  <c r="X251" i="3"/>
  <c r="X250" i="3"/>
  <c r="X249" i="3"/>
  <c r="X248" i="3"/>
  <c r="X247" i="3"/>
  <c r="X246" i="3"/>
  <c r="X245" i="3"/>
  <c r="X244" i="3"/>
  <c r="X243" i="3"/>
  <c r="X242" i="3"/>
  <c r="X241" i="3"/>
  <c r="X240" i="3"/>
  <c r="X239" i="3"/>
  <c r="X238" i="3"/>
  <c r="X237" i="3"/>
  <c r="X236" i="3"/>
  <c r="X235" i="3"/>
  <c r="X234" i="3"/>
  <c r="X233" i="3"/>
  <c r="X232" i="3"/>
  <c r="X231" i="3"/>
  <c r="X230" i="3"/>
  <c r="X229" i="3"/>
  <c r="X228" i="3"/>
  <c r="X227" i="3"/>
  <c r="X226" i="3"/>
  <c r="X225" i="3"/>
  <c r="X224" i="3"/>
  <c r="X223" i="3"/>
  <c r="X222" i="3"/>
  <c r="X221" i="3"/>
  <c r="X220" i="3"/>
  <c r="X219" i="3"/>
  <c r="X218" i="3"/>
  <c r="X217" i="3"/>
  <c r="X216" i="3"/>
  <c r="X215" i="3"/>
  <c r="X214" i="3"/>
  <c r="X213" i="3"/>
  <c r="X212" i="3"/>
  <c r="X211" i="3"/>
  <c r="X210" i="3"/>
  <c r="X209" i="3"/>
  <c r="X208" i="3"/>
  <c r="X207" i="3"/>
  <c r="X206" i="3"/>
  <c r="X205" i="3"/>
  <c r="X204" i="3"/>
  <c r="X203" i="3"/>
  <c r="X202" i="3"/>
  <c r="X201" i="3"/>
  <c r="X200" i="3"/>
  <c r="X199" i="3"/>
  <c r="X198" i="3"/>
  <c r="X197" i="3"/>
  <c r="X196" i="3"/>
  <c r="X195" i="3"/>
  <c r="X194" i="3"/>
  <c r="X193" i="3"/>
  <c r="X192" i="3"/>
  <c r="X191" i="3"/>
  <c r="X190" i="3"/>
  <c r="X189" i="3"/>
  <c r="X188" i="3"/>
  <c r="X187" i="3"/>
  <c r="X186" i="3"/>
  <c r="X185" i="3"/>
  <c r="X184" i="3"/>
  <c r="X183" i="3"/>
  <c r="X182" i="3"/>
  <c r="X181" i="3"/>
  <c r="X180" i="3"/>
  <c r="X179" i="3"/>
  <c r="X178" i="3"/>
  <c r="X177" i="3"/>
  <c r="X176" i="3"/>
  <c r="X175" i="3"/>
  <c r="X174" i="3"/>
  <c r="X173" i="3"/>
  <c r="X172" i="3"/>
  <c r="X171"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X6" i="3"/>
  <c r="X5" i="3"/>
  <c r="X4" i="3"/>
  <c r="X3" i="3"/>
  <c r="W1311" i="3"/>
  <c r="W1310" i="3"/>
  <c r="W1309" i="3"/>
  <c r="W1308" i="3"/>
  <c r="W1307" i="3"/>
  <c r="W1306" i="3"/>
  <c r="W1305" i="3"/>
  <c r="W1304" i="3"/>
  <c r="W1303" i="3"/>
  <c r="W1302" i="3"/>
  <c r="W1301" i="3"/>
  <c r="W1300" i="3"/>
  <c r="W1299" i="3"/>
  <c r="W1298" i="3"/>
  <c r="W1297" i="3"/>
  <c r="W1296" i="3"/>
  <c r="W1295" i="3"/>
  <c r="W1294" i="3"/>
  <c r="W1293" i="3"/>
  <c r="W1292" i="3"/>
  <c r="W1291" i="3"/>
  <c r="W1290" i="3"/>
  <c r="W1289" i="3"/>
  <c r="W1288" i="3"/>
  <c r="W1287" i="3"/>
  <c r="W1286" i="3"/>
  <c r="W1285" i="3"/>
  <c r="W1284" i="3"/>
  <c r="W1283" i="3"/>
  <c r="W1282" i="3"/>
  <c r="W1281" i="3"/>
  <c r="W1280" i="3"/>
  <c r="W1279" i="3"/>
  <c r="W1278" i="3"/>
  <c r="W1277" i="3"/>
  <c r="W1276" i="3"/>
  <c r="W1275" i="3"/>
  <c r="W1274" i="3"/>
  <c r="W1273" i="3"/>
  <c r="W1272" i="3"/>
  <c r="W1271" i="3"/>
  <c r="W1270" i="3"/>
  <c r="W1269" i="3"/>
  <c r="W1268" i="3"/>
  <c r="W1267" i="3"/>
  <c r="W1266" i="3"/>
  <c r="W1265" i="3"/>
  <c r="W1264" i="3"/>
  <c r="W1263" i="3"/>
  <c r="W1262" i="3"/>
  <c r="W1261" i="3"/>
  <c r="W1260" i="3"/>
  <c r="W1259" i="3"/>
  <c r="W1258" i="3"/>
  <c r="W1257" i="3"/>
  <c r="W1256" i="3"/>
  <c r="W1255" i="3"/>
  <c r="W1254" i="3"/>
  <c r="W1253" i="3"/>
  <c r="W1252" i="3"/>
  <c r="W1251" i="3"/>
  <c r="W1250" i="3"/>
  <c r="W1249" i="3"/>
  <c r="W1248" i="3"/>
  <c r="W1247" i="3"/>
  <c r="W1246" i="3"/>
  <c r="W1245" i="3"/>
  <c r="W1244" i="3"/>
  <c r="W1243" i="3"/>
  <c r="W1242" i="3"/>
  <c r="W1241" i="3"/>
  <c r="W1240" i="3"/>
  <c r="W1239" i="3"/>
  <c r="W1238" i="3"/>
  <c r="W1237" i="3"/>
  <c r="W1236" i="3"/>
  <c r="W1235" i="3"/>
  <c r="W1234" i="3"/>
  <c r="W1233" i="3"/>
  <c r="W1232" i="3"/>
  <c r="W1231" i="3"/>
  <c r="W1230" i="3"/>
  <c r="W1229" i="3"/>
  <c r="W1228" i="3"/>
  <c r="W1227" i="3"/>
  <c r="W1226" i="3"/>
  <c r="W1225" i="3"/>
  <c r="W1224" i="3"/>
  <c r="W1223" i="3"/>
  <c r="W1222" i="3"/>
  <c r="W1221" i="3"/>
  <c r="W1220" i="3"/>
  <c r="W1219" i="3"/>
  <c r="W1218" i="3"/>
  <c r="W1217" i="3"/>
  <c r="W1216" i="3"/>
  <c r="W1215" i="3"/>
  <c r="W1214" i="3"/>
  <c r="W1213" i="3"/>
  <c r="W1212" i="3"/>
  <c r="W1211" i="3"/>
  <c r="W1210" i="3"/>
  <c r="W1209" i="3"/>
  <c r="W1208" i="3"/>
  <c r="W1207" i="3"/>
  <c r="W1206" i="3"/>
  <c r="W1205" i="3"/>
  <c r="W1204" i="3"/>
  <c r="W1203" i="3"/>
  <c r="W1202" i="3"/>
  <c r="W1201" i="3"/>
  <c r="W1200" i="3"/>
  <c r="W1199" i="3"/>
  <c r="W1198" i="3"/>
  <c r="W1197" i="3"/>
  <c r="W1196" i="3"/>
  <c r="W1195" i="3"/>
  <c r="W1194" i="3"/>
  <c r="W1193" i="3"/>
  <c r="W1192" i="3"/>
  <c r="W1191" i="3"/>
  <c r="W1190" i="3"/>
  <c r="W1189" i="3"/>
  <c r="W1188" i="3"/>
  <c r="W1187" i="3"/>
  <c r="W1186" i="3"/>
  <c r="W1185" i="3"/>
  <c r="W1184" i="3"/>
  <c r="W1183" i="3"/>
  <c r="W1182" i="3"/>
  <c r="W1181" i="3"/>
  <c r="W1180" i="3"/>
  <c r="W1179" i="3"/>
  <c r="W1178" i="3"/>
  <c r="W1177" i="3"/>
  <c r="W1176" i="3"/>
  <c r="W1175" i="3"/>
  <c r="W1174" i="3"/>
  <c r="W1173" i="3"/>
  <c r="W1172" i="3"/>
  <c r="W1171" i="3"/>
  <c r="W1170" i="3"/>
  <c r="W1169" i="3"/>
  <c r="W1168" i="3"/>
  <c r="W1167" i="3"/>
  <c r="W1166" i="3"/>
  <c r="W1165" i="3"/>
  <c r="W1164" i="3"/>
  <c r="W1163" i="3"/>
  <c r="W1162" i="3"/>
  <c r="W1161" i="3"/>
  <c r="W1160" i="3"/>
  <c r="W1159" i="3"/>
  <c r="W1158" i="3"/>
  <c r="W1157" i="3"/>
  <c r="W1156" i="3"/>
  <c r="W1155" i="3"/>
  <c r="W1154" i="3"/>
  <c r="W1153" i="3"/>
  <c r="W1152" i="3"/>
  <c r="W1151" i="3"/>
  <c r="W1150" i="3"/>
  <c r="W1149" i="3"/>
  <c r="W1148" i="3"/>
  <c r="W1147" i="3"/>
  <c r="W1146" i="3"/>
  <c r="W1145" i="3"/>
  <c r="W1144" i="3"/>
  <c r="W1143" i="3"/>
  <c r="W1142" i="3"/>
  <c r="W1141" i="3"/>
  <c r="W1140" i="3"/>
  <c r="W1139" i="3"/>
  <c r="W1138" i="3"/>
  <c r="W1137" i="3"/>
  <c r="W1136" i="3"/>
  <c r="W1135" i="3"/>
  <c r="W1134" i="3"/>
  <c r="W1133" i="3"/>
  <c r="W1132" i="3"/>
  <c r="W1131" i="3"/>
  <c r="W1130" i="3"/>
  <c r="W1129" i="3"/>
  <c r="W1128" i="3"/>
  <c r="W1127" i="3"/>
  <c r="W1126" i="3"/>
  <c r="W1125" i="3"/>
  <c r="W1124" i="3"/>
  <c r="W1123" i="3"/>
  <c r="W1122" i="3"/>
  <c r="W1121" i="3"/>
  <c r="W1120" i="3"/>
  <c r="W1119" i="3"/>
  <c r="W1118" i="3"/>
  <c r="W1117" i="3"/>
  <c r="W1116" i="3"/>
  <c r="W1115" i="3"/>
  <c r="W1114" i="3"/>
  <c r="W1113" i="3"/>
  <c r="W1112" i="3"/>
  <c r="W1111" i="3"/>
  <c r="W1110" i="3"/>
  <c r="W1109" i="3"/>
  <c r="W1108" i="3"/>
  <c r="W1107" i="3"/>
  <c r="W1106" i="3"/>
  <c r="W1105" i="3"/>
  <c r="W1104" i="3"/>
  <c r="W1103" i="3"/>
  <c r="W1102" i="3"/>
  <c r="W1101" i="3"/>
  <c r="W1100" i="3"/>
  <c r="W1099" i="3"/>
  <c r="W1098" i="3"/>
  <c r="W1097" i="3"/>
  <c r="W1096" i="3"/>
  <c r="W1095" i="3"/>
  <c r="W1094" i="3"/>
  <c r="W1093" i="3"/>
  <c r="W1092" i="3"/>
  <c r="W1091" i="3"/>
  <c r="W1090" i="3"/>
  <c r="W1089" i="3"/>
  <c r="W1088" i="3"/>
  <c r="W1087" i="3"/>
  <c r="W1086" i="3"/>
  <c r="W1085" i="3"/>
  <c r="W1084" i="3"/>
  <c r="W1083" i="3"/>
  <c r="W1082" i="3"/>
  <c r="W1081" i="3"/>
  <c r="W1080" i="3"/>
  <c r="W1079" i="3"/>
  <c r="W1078" i="3"/>
  <c r="W1077" i="3"/>
  <c r="W1076" i="3"/>
  <c r="W1075" i="3"/>
  <c r="W1074" i="3"/>
  <c r="W1073" i="3"/>
  <c r="W1072" i="3"/>
  <c r="W1071" i="3"/>
  <c r="W1070" i="3"/>
  <c r="W1069" i="3"/>
  <c r="W1068" i="3"/>
  <c r="W1067" i="3"/>
  <c r="W1066" i="3"/>
  <c r="W1065" i="3"/>
  <c r="W1064" i="3"/>
  <c r="W1063" i="3"/>
  <c r="W1062" i="3"/>
  <c r="W1061" i="3"/>
  <c r="W1060" i="3"/>
  <c r="W1059" i="3"/>
  <c r="W1058" i="3"/>
  <c r="W1057" i="3"/>
  <c r="W1056" i="3"/>
  <c r="W1055" i="3"/>
  <c r="W1054" i="3"/>
  <c r="W1053" i="3"/>
  <c r="W1052" i="3"/>
  <c r="W1051" i="3"/>
  <c r="W1050" i="3"/>
  <c r="W1049" i="3"/>
  <c r="W1048" i="3"/>
  <c r="W1047" i="3"/>
  <c r="W1046" i="3"/>
  <c r="W1045" i="3"/>
  <c r="W1044" i="3"/>
  <c r="W1043" i="3"/>
  <c r="W1042" i="3"/>
  <c r="W1041" i="3"/>
  <c r="W1040" i="3"/>
  <c r="W1039" i="3"/>
  <c r="W1038" i="3"/>
  <c r="W1037" i="3"/>
  <c r="W1036" i="3"/>
  <c r="W1035" i="3"/>
  <c r="W1034" i="3"/>
  <c r="W1033" i="3"/>
  <c r="W1032" i="3"/>
  <c r="W1031" i="3"/>
  <c r="W1030" i="3"/>
  <c r="W1029" i="3"/>
  <c r="W1028" i="3"/>
  <c r="W1027" i="3"/>
  <c r="W1026" i="3"/>
  <c r="W1025" i="3"/>
  <c r="W1024" i="3"/>
  <c r="W1023" i="3"/>
  <c r="W1022" i="3"/>
  <c r="W1021" i="3"/>
  <c r="W1020" i="3"/>
  <c r="W1019" i="3"/>
  <c r="W1018" i="3"/>
  <c r="W1017" i="3"/>
  <c r="W1016" i="3"/>
  <c r="W1015" i="3"/>
  <c r="W1014" i="3"/>
  <c r="W1013" i="3"/>
  <c r="W1012" i="3"/>
  <c r="W1011" i="3"/>
  <c r="W1010" i="3"/>
  <c r="W1009" i="3"/>
  <c r="W1008" i="3"/>
  <c r="W1007" i="3"/>
  <c r="W1006" i="3"/>
  <c r="W1005" i="3"/>
  <c r="W1004" i="3"/>
  <c r="W1003" i="3"/>
  <c r="W1002" i="3"/>
  <c r="W1001" i="3"/>
  <c r="W1000" i="3"/>
  <c r="W999" i="3"/>
  <c r="W998" i="3"/>
  <c r="W997" i="3"/>
  <c r="W996" i="3"/>
  <c r="W995" i="3"/>
  <c r="W994" i="3"/>
  <c r="W993" i="3"/>
  <c r="W992" i="3"/>
  <c r="W991" i="3"/>
  <c r="W990" i="3"/>
  <c r="W989" i="3"/>
  <c r="W988" i="3"/>
  <c r="W987" i="3"/>
  <c r="W986" i="3"/>
  <c r="W985" i="3"/>
  <c r="W984" i="3"/>
  <c r="W983" i="3"/>
  <c r="W982" i="3"/>
  <c r="W981" i="3"/>
  <c r="W980" i="3"/>
  <c r="W979" i="3"/>
  <c r="W978" i="3"/>
  <c r="W977" i="3"/>
  <c r="W976" i="3"/>
  <c r="W975" i="3"/>
  <c r="W974" i="3"/>
  <c r="W973" i="3"/>
  <c r="W972" i="3"/>
  <c r="W971" i="3"/>
  <c r="W970" i="3"/>
  <c r="W969" i="3"/>
  <c r="W968" i="3"/>
  <c r="W967" i="3"/>
  <c r="W966" i="3"/>
  <c r="W965" i="3"/>
  <c r="W964" i="3"/>
  <c r="W963" i="3"/>
  <c r="W962" i="3"/>
  <c r="W961" i="3"/>
  <c r="W960" i="3"/>
  <c r="W959" i="3"/>
  <c r="W958" i="3"/>
  <c r="W957" i="3"/>
  <c r="W956" i="3"/>
  <c r="W955" i="3"/>
  <c r="W954" i="3"/>
  <c r="W953" i="3"/>
  <c r="W952" i="3"/>
  <c r="W951" i="3"/>
  <c r="W950" i="3"/>
  <c r="W949" i="3"/>
  <c r="W948" i="3"/>
  <c r="W947" i="3"/>
  <c r="W946" i="3"/>
  <c r="W945" i="3"/>
  <c r="W944" i="3"/>
  <c r="W943" i="3"/>
  <c r="W942" i="3"/>
  <c r="W941" i="3"/>
  <c r="W940" i="3"/>
  <c r="W939" i="3"/>
  <c r="W938" i="3"/>
  <c r="W937" i="3"/>
  <c r="W936" i="3"/>
  <c r="W935" i="3"/>
  <c r="W934" i="3"/>
  <c r="W933" i="3"/>
  <c r="W932" i="3"/>
  <c r="W931" i="3"/>
  <c r="W930" i="3"/>
  <c r="W929" i="3"/>
  <c r="W928" i="3"/>
  <c r="W927" i="3"/>
  <c r="W926" i="3"/>
  <c r="W925" i="3"/>
  <c r="W924" i="3"/>
  <c r="W923" i="3"/>
  <c r="W922" i="3"/>
  <c r="W921" i="3"/>
  <c r="W920" i="3"/>
  <c r="W919" i="3"/>
  <c r="W918" i="3"/>
  <c r="W917" i="3"/>
  <c r="W916" i="3"/>
  <c r="W915" i="3"/>
  <c r="W914" i="3"/>
  <c r="W913" i="3"/>
  <c r="W912" i="3"/>
  <c r="W911" i="3"/>
  <c r="W910" i="3"/>
  <c r="W909" i="3"/>
  <c r="W908" i="3"/>
  <c r="W907" i="3"/>
  <c r="W906" i="3"/>
  <c r="W905" i="3"/>
  <c r="W904" i="3"/>
  <c r="W903" i="3"/>
  <c r="W902" i="3"/>
  <c r="W901" i="3"/>
  <c r="W900" i="3"/>
  <c r="W899" i="3"/>
  <c r="W898" i="3"/>
  <c r="W897" i="3"/>
  <c r="W896" i="3"/>
  <c r="W895" i="3"/>
  <c r="W894" i="3"/>
  <c r="W893" i="3"/>
  <c r="W892" i="3"/>
  <c r="W891" i="3"/>
  <c r="W890" i="3"/>
  <c r="W889" i="3"/>
  <c r="W888" i="3"/>
  <c r="W887" i="3"/>
  <c r="W886" i="3"/>
  <c r="W885" i="3"/>
  <c r="W884" i="3"/>
  <c r="W883" i="3"/>
  <c r="W882" i="3"/>
  <c r="W881" i="3"/>
  <c r="W880" i="3"/>
  <c r="W879" i="3"/>
  <c r="W878" i="3"/>
  <c r="W877" i="3"/>
  <c r="W876" i="3"/>
  <c r="W875" i="3"/>
  <c r="W874" i="3"/>
  <c r="W873" i="3"/>
  <c r="W872" i="3"/>
  <c r="W871" i="3"/>
  <c r="W870" i="3"/>
  <c r="W869" i="3"/>
  <c r="W868" i="3"/>
  <c r="W867" i="3"/>
  <c r="W866" i="3"/>
  <c r="W865" i="3"/>
  <c r="W864" i="3"/>
  <c r="W863" i="3"/>
  <c r="W862" i="3"/>
  <c r="W861" i="3"/>
  <c r="W860" i="3"/>
  <c r="W859" i="3"/>
  <c r="W858" i="3"/>
  <c r="W857" i="3"/>
  <c r="W856" i="3"/>
  <c r="W855" i="3"/>
  <c r="W854" i="3"/>
  <c r="W853" i="3"/>
  <c r="W852" i="3"/>
  <c r="W851" i="3"/>
  <c r="W850" i="3"/>
  <c r="W849" i="3"/>
  <c r="W848" i="3"/>
  <c r="W847" i="3"/>
  <c r="W846" i="3"/>
  <c r="W845" i="3"/>
  <c r="W844" i="3"/>
  <c r="W843" i="3"/>
  <c r="W842" i="3"/>
  <c r="W841" i="3"/>
  <c r="W840" i="3"/>
  <c r="W839" i="3"/>
  <c r="W838" i="3"/>
  <c r="W837" i="3"/>
  <c r="W836" i="3"/>
  <c r="W835" i="3"/>
  <c r="W834" i="3"/>
  <c r="W833" i="3"/>
  <c r="W832" i="3"/>
  <c r="W831" i="3"/>
  <c r="W830" i="3"/>
  <c r="W829" i="3"/>
  <c r="W828" i="3"/>
  <c r="W827" i="3"/>
  <c r="W826" i="3"/>
  <c r="W825" i="3"/>
  <c r="W824" i="3"/>
  <c r="W823" i="3"/>
  <c r="W822" i="3"/>
  <c r="W821" i="3"/>
  <c r="W820" i="3"/>
  <c r="W819" i="3"/>
  <c r="W818" i="3"/>
  <c r="W817" i="3"/>
  <c r="W816" i="3"/>
  <c r="W815" i="3"/>
  <c r="W814" i="3"/>
  <c r="W813" i="3"/>
  <c r="W812" i="3"/>
  <c r="W811" i="3"/>
  <c r="W810" i="3"/>
  <c r="W809" i="3"/>
  <c r="W808" i="3"/>
  <c r="W807" i="3"/>
  <c r="W806" i="3"/>
  <c r="W805" i="3"/>
  <c r="W804" i="3"/>
  <c r="W803" i="3"/>
  <c r="W802" i="3"/>
  <c r="W801" i="3"/>
  <c r="W800" i="3"/>
  <c r="W799" i="3"/>
  <c r="W798" i="3"/>
  <c r="W797" i="3"/>
  <c r="W796" i="3"/>
  <c r="W795" i="3"/>
  <c r="W794" i="3"/>
  <c r="W793" i="3"/>
  <c r="W792" i="3"/>
  <c r="W791" i="3"/>
  <c r="W790" i="3"/>
  <c r="W789" i="3"/>
  <c r="W788" i="3"/>
  <c r="W787" i="3"/>
  <c r="W786" i="3"/>
  <c r="W785" i="3"/>
  <c r="W784" i="3"/>
  <c r="W783" i="3"/>
  <c r="W782" i="3"/>
  <c r="W781" i="3"/>
  <c r="W780" i="3"/>
  <c r="W779" i="3"/>
  <c r="W778" i="3"/>
  <c r="W777" i="3"/>
  <c r="W776" i="3"/>
  <c r="W775" i="3"/>
  <c r="W774" i="3"/>
  <c r="W773" i="3"/>
  <c r="W772" i="3"/>
  <c r="W771" i="3"/>
  <c r="W770" i="3"/>
  <c r="W769" i="3"/>
  <c r="W768" i="3"/>
  <c r="W767" i="3"/>
  <c r="W766" i="3"/>
  <c r="W765" i="3"/>
  <c r="W764" i="3"/>
  <c r="W763" i="3"/>
  <c r="W762" i="3"/>
  <c r="W761" i="3"/>
  <c r="W760" i="3"/>
  <c r="W759" i="3"/>
  <c r="W758" i="3"/>
  <c r="W757" i="3"/>
  <c r="W756" i="3"/>
  <c r="W755" i="3"/>
  <c r="W754" i="3"/>
  <c r="W753" i="3"/>
  <c r="W752" i="3"/>
  <c r="W751" i="3"/>
  <c r="W750" i="3"/>
  <c r="W749" i="3"/>
  <c r="W748" i="3"/>
  <c r="W747" i="3"/>
  <c r="W746" i="3"/>
  <c r="W745" i="3"/>
  <c r="W744" i="3"/>
  <c r="W743" i="3"/>
  <c r="W742" i="3"/>
  <c r="W741" i="3"/>
  <c r="W740" i="3"/>
  <c r="W739" i="3"/>
  <c r="W738" i="3"/>
  <c r="W737" i="3"/>
  <c r="W736" i="3"/>
  <c r="W735" i="3"/>
  <c r="W734" i="3"/>
  <c r="W733" i="3"/>
  <c r="W732" i="3"/>
  <c r="W731" i="3"/>
  <c r="W730" i="3"/>
  <c r="W729" i="3"/>
  <c r="W728" i="3"/>
  <c r="W727" i="3"/>
  <c r="W726" i="3"/>
  <c r="W725" i="3"/>
  <c r="W724" i="3"/>
  <c r="W723" i="3"/>
  <c r="W722" i="3"/>
  <c r="W721" i="3"/>
  <c r="W720" i="3"/>
  <c r="W719" i="3"/>
  <c r="W718" i="3"/>
  <c r="W717" i="3"/>
  <c r="W716" i="3"/>
  <c r="W715" i="3"/>
  <c r="W714" i="3"/>
  <c r="W713" i="3"/>
  <c r="W712" i="3"/>
  <c r="W711" i="3"/>
  <c r="W710" i="3"/>
  <c r="W709" i="3"/>
  <c r="W708" i="3"/>
  <c r="W707" i="3"/>
  <c r="W706" i="3"/>
  <c r="W705" i="3"/>
  <c r="W704" i="3"/>
  <c r="W703" i="3"/>
  <c r="W702" i="3"/>
  <c r="W701" i="3"/>
  <c r="W700" i="3"/>
  <c r="W699" i="3"/>
  <c r="W698" i="3"/>
  <c r="W697" i="3"/>
  <c r="W696" i="3"/>
  <c r="W695" i="3"/>
  <c r="W694" i="3"/>
  <c r="W693" i="3"/>
  <c r="W692" i="3"/>
  <c r="W691" i="3"/>
  <c r="W690" i="3"/>
  <c r="W689" i="3"/>
  <c r="W688" i="3"/>
  <c r="W687" i="3"/>
  <c r="W686" i="3"/>
  <c r="W685" i="3"/>
  <c r="W684" i="3"/>
  <c r="W683" i="3"/>
  <c r="W682" i="3"/>
  <c r="W681" i="3"/>
  <c r="W680" i="3"/>
  <c r="W679" i="3"/>
  <c r="W678" i="3"/>
  <c r="W677" i="3"/>
  <c r="W676" i="3"/>
  <c r="W675" i="3"/>
  <c r="W674" i="3"/>
  <c r="W673" i="3"/>
  <c r="W672" i="3"/>
  <c r="W671" i="3"/>
  <c r="W670" i="3"/>
  <c r="W669" i="3"/>
  <c r="W668" i="3"/>
  <c r="W667" i="3"/>
  <c r="W666" i="3"/>
  <c r="W665" i="3"/>
  <c r="W664" i="3"/>
  <c r="W663" i="3"/>
  <c r="W662" i="3"/>
  <c r="W661" i="3"/>
  <c r="W660" i="3"/>
  <c r="W659" i="3"/>
  <c r="W658" i="3"/>
  <c r="W657" i="3"/>
  <c r="W656" i="3"/>
  <c r="W655" i="3"/>
  <c r="W654" i="3"/>
  <c r="W653" i="3"/>
  <c r="W652" i="3"/>
  <c r="W651" i="3"/>
  <c r="W650" i="3"/>
  <c r="W649" i="3"/>
  <c r="W648" i="3"/>
  <c r="W647" i="3"/>
  <c r="W646" i="3"/>
  <c r="W645" i="3"/>
  <c r="W644" i="3"/>
  <c r="W643" i="3"/>
  <c r="W642" i="3"/>
  <c r="W641" i="3"/>
  <c r="W640" i="3"/>
  <c r="W639" i="3"/>
  <c r="W638" i="3"/>
  <c r="W637" i="3"/>
  <c r="W636" i="3"/>
  <c r="W635" i="3"/>
  <c r="W634" i="3"/>
  <c r="W633" i="3"/>
  <c r="W632" i="3"/>
  <c r="W631" i="3"/>
  <c r="W630" i="3"/>
  <c r="W629" i="3"/>
  <c r="W628" i="3"/>
  <c r="W627" i="3"/>
  <c r="W626" i="3"/>
  <c r="W625" i="3"/>
  <c r="W624" i="3"/>
  <c r="W623" i="3"/>
  <c r="W622" i="3"/>
  <c r="W621" i="3"/>
  <c r="W620" i="3"/>
  <c r="W619" i="3"/>
  <c r="W618" i="3"/>
  <c r="W617" i="3"/>
  <c r="W616" i="3"/>
  <c r="W615" i="3"/>
  <c r="W614" i="3"/>
  <c r="W613" i="3"/>
  <c r="W612" i="3"/>
  <c r="W611" i="3"/>
  <c r="W610" i="3"/>
  <c r="W609" i="3"/>
  <c r="W608" i="3"/>
  <c r="W607" i="3"/>
  <c r="W606" i="3"/>
  <c r="W605" i="3"/>
  <c r="W604" i="3"/>
  <c r="W603" i="3"/>
  <c r="W602" i="3"/>
  <c r="W601" i="3"/>
  <c r="W600" i="3"/>
  <c r="W599" i="3"/>
  <c r="W598" i="3"/>
  <c r="W597" i="3"/>
  <c r="W596" i="3"/>
  <c r="W595" i="3"/>
  <c r="W594" i="3"/>
  <c r="W593" i="3"/>
  <c r="W592" i="3"/>
  <c r="W591" i="3"/>
  <c r="W590" i="3"/>
  <c r="W589" i="3"/>
  <c r="W588" i="3"/>
  <c r="W587" i="3"/>
  <c r="W586" i="3"/>
  <c r="W585" i="3"/>
  <c r="W584" i="3"/>
  <c r="W583" i="3"/>
  <c r="W582" i="3"/>
  <c r="W581" i="3"/>
  <c r="W580" i="3"/>
  <c r="W579" i="3"/>
  <c r="W578" i="3"/>
  <c r="W577" i="3"/>
  <c r="W576" i="3"/>
  <c r="W575" i="3"/>
  <c r="W574" i="3"/>
  <c r="W573" i="3"/>
  <c r="W572" i="3"/>
  <c r="W571" i="3"/>
  <c r="W570" i="3"/>
  <c r="W569" i="3"/>
  <c r="W568" i="3"/>
  <c r="W567" i="3"/>
  <c r="W566" i="3"/>
  <c r="W565" i="3"/>
  <c r="W564" i="3"/>
  <c r="W563" i="3"/>
  <c r="W562" i="3"/>
  <c r="W561" i="3"/>
  <c r="W560" i="3"/>
  <c r="W559" i="3"/>
  <c r="W558" i="3"/>
  <c r="W557" i="3"/>
  <c r="W556" i="3"/>
  <c r="W555" i="3"/>
  <c r="W554" i="3"/>
  <c r="W553" i="3"/>
  <c r="W552" i="3"/>
  <c r="W551" i="3"/>
  <c r="W550" i="3"/>
  <c r="W549" i="3"/>
  <c r="W548" i="3"/>
  <c r="W547" i="3"/>
  <c r="W546" i="3"/>
  <c r="W545" i="3"/>
  <c r="W544" i="3"/>
  <c r="W543" i="3"/>
  <c r="W542" i="3"/>
  <c r="W541" i="3"/>
  <c r="W540" i="3"/>
  <c r="W539" i="3"/>
  <c r="W538" i="3"/>
  <c r="W537" i="3"/>
  <c r="W536" i="3"/>
  <c r="W535" i="3"/>
  <c r="W534" i="3"/>
  <c r="W533" i="3"/>
  <c r="W532" i="3"/>
  <c r="W531" i="3"/>
  <c r="W530" i="3"/>
  <c r="W529" i="3"/>
  <c r="W528" i="3"/>
  <c r="W527" i="3"/>
  <c r="W526" i="3"/>
  <c r="W525" i="3"/>
  <c r="W524" i="3"/>
  <c r="W523" i="3"/>
  <c r="W522" i="3"/>
  <c r="W521" i="3"/>
  <c r="W520" i="3"/>
  <c r="W519" i="3"/>
  <c r="W518" i="3"/>
  <c r="W517" i="3"/>
  <c r="W516" i="3"/>
  <c r="W515" i="3"/>
  <c r="W514" i="3"/>
  <c r="W513" i="3"/>
  <c r="W512" i="3"/>
  <c r="W511" i="3"/>
  <c r="W510" i="3"/>
  <c r="W509" i="3"/>
  <c r="W508" i="3"/>
  <c r="W507" i="3"/>
  <c r="W506" i="3"/>
  <c r="W505" i="3"/>
  <c r="W504" i="3"/>
  <c r="W503" i="3"/>
  <c r="W502" i="3"/>
  <c r="W501" i="3"/>
  <c r="W500" i="3"/>
  <c r="W499" i="3"/>
  <c r="W498" i="3"/>
  <c r="W497" i="3"/>
  <c r="W496" i="3"/>
  <c r="W495" i="3"/>
  <c r="W494" i="3"/>
  <c r="W493" i="3"/>
  <c r="W492" i="3"/>
  <c r="W491" i="3"/>
  <c r="W490" i="3"/>
  <c r="W489" i="3"/>
  <c r="W488" i="3"/>
  <c r="W487" i="3"/>
  <c r="W486" i="3"/>
  <c r="W485" i="3"/>
  <c r="W484" i="3"/>
  <c r="W483" i="3"/>
  <c r="W482" i="3"/>
  <c r="W481" i="3"/>
  <c r="W480" i="3"/>
  <c r="W479" i="3"/>
  <c r="W478" i="3"/>
  <c r="W477" i="3"/>
  <c r="W476" i="3"/>
  <c r="W475" i="3"/>
  <c r="W474" i="3"/>
  <c r="W473" i="3"/>
  <c r="W472" i="3"/>
  <c r="W471" i="3"/>
  <c r="W470" i="3"/>
  <c r="W469" i="3"/>
  <c r="W468" i="3"/>
  <c r="W467" i="3"/>
  <c r="W466" i="3"/>
  <c r="W465" i="3"/>
  <c r="W464" i="3"/>
  <c r="W463" i="3"/>
  <c r="W462" i="3"/>
  <c r="W461" i="3"/>
  <c r="W460" i="3"/>
  <c r="W459" i="3"/>
  <c r="W458" i="3"/>
  <c r="W457" i="3"/>
  <c r="W456" i="3"/>
  <c r="W455" i="3"/>
  <c r="W454" i="3"/>
  <c r="W453" i="3"/>
  <c r="W452" i="3"/>
  <c r="W451" i="3"/>
  <c r="W450" i="3"/>
  <c r="W449" i="3"/>
  <c r="W448" i="3"/>
  <c r="W447" i="3"/>
  <c r="W446" i="3"/>
  <c r="W445" i="3"/>
  <c r="W444" i="3"/>
  <c r="W443" i="3"/>
  <c r="W442" i="3"/>
  <c r="W441" i="3"/>
  <c r="W440" i="3"/>
  <c r="W439" i="3"/>
  <c r="W438" i="3"/>
  <c r="W437" i="3"/>
  <c r="W436" i="3"/>
  <c r="W435" i="3"/>
  <c r="W434" i="3"/>
  <c r="W433" i="3"/>
  <c r="W432" i="3"/>
  <c r="W431" i="3"/>
  <c r="W430" i="3"/>
  <c r="W429" i="3"/>
  <c r="W428" i="3"/>
  <c r="W427" i="3"/>
  <c r="W426" i="3"/>
  <c r="W425" i="3"/>
  <c r="W424" i="3"/>
  <c r="W423" i="3"/>
  <c r="W422" i="3"/>
  <c r="W421" i="3"/>
  <c r="W420" i="3"/>
  <c r="W419" i="3"/>
  <c r="W418" i="3"/>
  <c r="W417" i="3"/>
  <c r="W416" i="3"/>
  <c r="W415" i="3"/>
  <c r="W414" i="3"/>
  <c r="W413" i="3"/>
  <c r="W412" i="3"/>
  <c r="W411" i="3"/>
  <c r="W410" i="3"/>
  <c r="W409" i="3"/>
  <c r="W408" i="3"/>
  <c r="W407" i="3"/>
  <c r="W406" i="3"/>
  <c r="W405" i="3"/>
  <c r="W404" i="3"/>
  <c r="W403" i="3"/>
  <c r="W402" i="3"/>
  <c r="W401" i="3"/>
  <c r="W400" i="3"/>
  <c r="W399" i="3"/>
  <c r="W398" i="3"/>
  <c r="W397" i="3"/>
  <c r="W396" i="3"/>
  <c r="W395" i="3"/>
  <c r="W394" i="3"/>
  <c r="W393" i="3"/>
  <c r="W392" i="3"/>
  <c r="W391" i="3"/>
  <c r="W390" i="3"/>
  <c r="W389" i="3"/>
  <c r="W388" i="3"/>
  <c r="W387" i="3"/>
  <c r="W386" i="3"/>
  <c r="W385" i="3"/>
  <c r="W384" i="3"/>
  <c r="W383" i="3"/>
  <c r="W382" i="3"/>
  <c r="W381" i="3"/>
  <c r="W380" i="3"/>
  <c r="W379" i="3"/>
  <c r="W378" i="3"/>
  <c r="W377" i="3"/>
  <c r="W376" i="3"/>
  <c r="W375" i="3"/>
  <c r="W374" i="3"/>
  <c r="W373" i="3"/>
  <c r="W372" i="3"/>
  <c r="W371" i="3"/>
  <c r="W370" i="3"/>
  <c r="W369" i="3"/>
  <c r="W368" i="3"/>
  <c r="W367" i="3"/>
  <c r="W366" i="3"/>
  <c r="W365" i="3"/>
  <c r="W364" i="3"/>
  <c r="W363" i="3"/>
  <c r="W362" i="3"/>
  <c r="W361" i="3"/>
  <c r="W360" i="3"/>
  <c r="W359" i="3"/>
  <c r="W358" i="3"/>
  <c r="W357" i="3"/>
  <c r="W356" i="3"/>
  <c r="W355" i="3"/>
  <c r="W354" i="3"/>
  <c r="W353" i="3"/>
  <c r="W352" i="3"/>
  <c r="W351" i="3"/>
  <c r="W350" i="3"/>
  <c r="W349" i="3"/>
  <c r="W348" i="3"/>
  <c r="W347" i="3"/>
  <c r="W346" i="3"/>
  <c r="W345" i="3"/>
  <c r="W344" i="3"/>
  <c r="W343" i="3"/>
  <c r="W342" i="3"/>
  <c r="W341" i="3"/>
  <c r="W340" i="3"/>
  <c r="W339" i="3"/>
  <c r="W338" i="3"/>
  <c r="W337" i="3"/>
  <c r="W336" i="3"/>
  <c r="W335" i="3"/>
  <c r="W334" i="3"/>
  <c r="W333" i="3"/>
  <c r="W332" i="3"/>
  <c r="W331" i="3"/>
  <c r="W330" i="3"/>
  <c r="W329" i="3"/>
  <c r="W328" i="3"/>
  <c r="W327" i="3"/>
  <c r="W326" i="3"/>
  <c r="W325" i="3"/>
  <c r="W324" i="3"/>
  <c r="W323" i="3"/>
  <c r="W322" i="3"/>
  <c r="W321" i="3"/>
  <c r="W320" i="3"/>
  <c r="W319" i="3"/>
  <c r="W318" i="3"/>
  <c r="W317" i="3"/>
  <c r="W316" i="3"/>
  <c r="W315" i="3"/>
  <c r="W314" i="3"/>
  <c r="W313" i="3"/>
  <c r="W312" i="3"/>
  <c r="W311" i="3"/>
  <c r="W310" i="3"/>
  <c r="W309" i="3"/>
  <c r="W308" i="3"/>
  <c r="W307" i="3"/>
  <c r="W306" i="3"/>
  <c r="W305" i="3"/>
  <c r="W304" i="3"/>
  <c r="W303" i="3"/>
  <c r="W302" i="3"/>
  <c r="W301" i="3"/>
  <c r="W300" i="3"/>
  <c r="W299" i="3"/>
  <c r="W298" i="3"/>
  <c r="W297" i="3"/>
  <c r="W296" i="3"/>
  <c r="W295" i="3"/>
  <c r="W294" i="3"/>
  <c r="W293" i="3"/>
  <c r="W292" i="3"/>
  <c r="W291" i="3"/>
  <c r="W290" i="3"/>
  <c r="W289" i="3"/>
  <c r="W288" i="3"/>
  <c r="W287" i="3"/>
  <c r="W286" i="3"/>
  <c r="W285" i="3"/>
  <c r="W284" i="3"/>
  <c r="W283" i="3"/>
  <c r="W282" i="3"/>
  <c r="W281" i="3"/>
  <c r="W280" i="3"/>
  <c r="W279" i="3"/>
  <c r="W278" i="3"/>
  <c r="W277" i="3"/>
  <c r="W276" i="3"/>
  <c r="W275" i="3"/>
  <c r="W274" i="3"/>
  <c r="W273" i="3"/>
  <c r="W272" i="3"/>
  <c r="W271" i="3"/>
  <c r="W270" i="3"/>
  <c r="W269" i="3"/>
  <c r="W268" i="3"/>
  <c r="W267" i="3"/>
  <c r="W266" i="3"/>
  <c r="W265" i="3"/>
  <c r="W264" i="3"/>
  <c r="W263" i="3"/>
  <c r="W262" i="3"/>
  <c r="W261" i="3"/>
  <c r="W260" i="3"/>
  <c r="W259" i="3"/>
  <c r="W258" i="3"/>
  <c r="W257" i="3"/>
  <c r="W256" i="3"/>
  <c r="W255" i="3"/>
  <c r="W254" i="3"/>
  <c r="W253" i="3"/>
  <c r="W252" i="3"/>
  <c r="W251" i="3"/>
  <c r="W250" i="3"/>
  <c r="W249" i="3"/>
  <c r="W248" i="3"/>
  <c r="W247" i="3"/>
  <c r="W246" i="3"/>
  <c r="W245" i="3"/>
  <c r="W244" i="3"/>
  <c r="W243" i="3"/>
  <c r="W242" i="3"/>
  <c r="W241" i="3"/>
  <c r="W240" i="3"/>
  <c r="W239" i="3"/>
  <c r="W238" i="3"/>
  <c r="W237" i="3"/>
  <c r="W236" i="3"/>
  <c r="W235" i="3"/>
  <c r="W234" i="3"/>
  <c r="W233" i="3"/>
  <c r="W232" i="3"/>
  <c r="W231" i="3"/>
  <c r="W230" i="3"/>
  <c r="W229" i="3"/>
  <c r="W228" i="3"/>
  <c r="W227" i="3"/>
  <c r="W226" i="3"/>
  <c r="W225" i="3"/>
  <c r="W224" i="3"/>
  <c r="W223" i="3"/>
  <c r="W222" i="3"/>
  <c r="W221" i="3"/>
  <c r="W220" i="3"/>
  <c r="W219" i="3"/>
  <c r="W218" i="3"/>
  <c r="W217" i="3"/>
  <c r="W216" i="3"/>
  <c r="W215" i="3"/>
  <c r="W214" i="3"/>
  <c r="W213" i="3"/>
  <c r="W212" i="3"/>
  <c r="W211" i="3"/>
  <c r="W210" i="3"/>
  <c r="W209" i="3"/>
  <c r="W208" i="3"/>
  <c r="W207" i="3"/>
  <c r="W206" i="3"/>
  <c r="W205" i="3"/>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W7" i="3"/>
  <c r="W6" i="3"/>
  <c r="W5" i="3"/>
  <c r="W4" i="3"/>
  <c r="W3" i="3"/>
  <c r="AA2" i="3"/>
  <c r="Z2" i="3"/>
  <c r="Y2" i="3"/>
  <c r="X2" i="3"/>
  <c r="W2" i="3"/>
  <c r="U2" i="3" a="1"/>
  <c r="U2" i="3" s="1"/>
  <c r="T2" i="3" a="1"/>
  <c r="T2" i="3" s="1"/>
  <c r="S2" i="3" a="1"/>
  <c r="S2" i="3" s="1"/>
  <c r="R2" i="3" a="1"/>
  <c r="R2" i="3" s="1"/>
  <c r="Q2" i="3" a="1"/>
  <c r="Q2" i="3" s="1"/>
  <c r="P2" i="3" a="1"/>
  <c r="P2" i="3" s="1"/>
  <c r="O2" i="3" a="1"/>
  <c r="O2" i="3" s="1"/>
  <c r="N2" i="3" a="1"/>
  <c r="N2" i="3" s="1"/>
  <c r="M2" i="3" a="1"/>
  <c r="M2" i="3" s="1"/>
  <c r="L2" i="3" a="1"/>
  <c r="K2" i="3" a="1"/>
  <c r="K2" i="3" s="1"/>
  <c r="J2" i="3" a="1"/>
  <c r="J2" i="3" s="1"/>
  <c r="I2" i="3" a="1"/>
  <c r="I2" i="3" s="1"/>
  <c r="G2" i="3" a="1"/>
  <c r="G2" i="3" s="1"/>
  <c r="F2" i="3" a="1"/>
  <c r="F2" i="3" s="1"/>
  <c r="E2" i="3" a="1"/>
  <c r="E2" i="3" s="1"/>
  <c r="D2" i="3" a="1"/>
  <c r="D2" i="3" s="1"/>
  <c r="C2" i="3" a="1"/>
  <c r="C2" i="3" s="1"/>
  <c r="B2" i="3" a="1"/>
  <c r="B2" i="3" s="1"/>
  <c r="A2" i="3" a="1"/>
  <c r="A2" i="3" s="1"/>
  <c r="B11" i="4" l="1"/>
  <c r="B10" i="4"/>
  <c r="C11" i="4"/>
  <c r="C10" i="4"/>
  <c r="V1310" i="3"/>
  <c r="V1083" i="3"/>
  <c r="V905" i="3"/>
  <c r="V754" i="3"/>
  <c r="V592" i="3"/>
  <c r="V428" i="3"/>
  <c r="V279" i="3"/>
  <c r="V122" i="3"/>
  <c r="V1077" i="3"/>
  <c r="V903" i="3"/>
  <c r="V753" i="3"/>
  <c r="V582" i="3"/>
  <c r="V421" i="3"/>
  <c r="V278" i="3"/>
  <c r="V118" i="3"/>
  <c r="V1071" i="3"/>
  <c r="V902" i="3"/>
  <c r="V752" i="3"/>
  <c r="V573" i="3"/>
  <c r="V412" i="3"/>
  <c r="V277" i="3"/>
  <c r="V117" i="3"/>
  <c r="V1070" i="3"/>
  <c r="V888" i="3"/>
  <c r="V731" i="3"/>
  <c r="V572" i="3"/>
  <c r="V408" i="3"/>
  <c r="V269" i="3"/>
  <c r="V116" i="3"/>
  <c r="V1066" i="3"/>
  <c r="V887" i="3"/>
  <c r="V720" i="3"/>
  <c r="V571" i="3"/>
  <c r="V407" i="3"/>
  <c r="V248" i="3"/>
  <c r="V115" i="3"/>
  <c r="V1065" i="3"/>
  <c r="V883" i="3"/>
  <c r="V718" i="3"/>
  <c r="V570" i="3"/>
  <c r="V403" i="3"/>
  <c r="V246" i="3"/>
  <c r="V114" i="3"/>
  <c r="V1281" i="3"/>
  <c r="V1064" i="3"/>
  <c r="V882" i="3"/>
  <c r="V717" i="3"/>
  <c r="V569" i="3"/>
  <c r="V399" i="3"/>
  <c r="V245" i="3"/>
  <c r="V113" i="3"/>
  <c r="V1258" i="3"/>
  <c r="V1048" i="3"/>
  <c r="V881" i="3"/>
  <c r="V714" i="3"/>
  <c r="V558" i="3"/>
  <c r="V398" i="3"/>
  <c r="V239" i="3"/>
  <c r="V92" i="3"/>
  <c r="V125" i="3"/>
  <c r="V283" i="3"/>
  <c r="V436" i="3"/>
  <c r="V593" i="3"/>
  <c r="V755" i="3"/>
  <c r="V920" i="3"/>
  <c r="V1099" i="3"/>
  <c r="V818" i="3"/>
  <c r="V190" i="3"/>
  <c r="V346" i="3"/>
  <c r="V518" i="3"/>
  <c r="V656" i="3"/>
  <c r="V1202" i="3"/>
  <c r="V79" i="3"/>
  <c r="V233" i="3"/>
  <c r="V395" i="3"/>
  <c r="V533" i="3"/>
  <c r="V694" i="3"/>
  <c r="V873" i="3"/>
  <c r="V1017" i="3"/>
  <c r="V1252" i="3"/>
  <c r="V5" i="3"/>
  <c r="V285" i="3"/>
  <c r="V597" i="3"/>
  <c r="V152" i="3"/>
  <c r="V458" i="3"/>
  <c r="V11" i="3"/>
  <c r="V307" i="3"/>
  <c r="V317" i="3"/>
  <c r="V635" i="3"/>
  <c r="V949" i="3"/>
  <c r="V1148" i="3"/>
  <c r="V20" i="3"/>
  <c r="V173" i="3"/>
  <c r="V334" i="3"/>
  <c r="V474" i="3"/>
  <c r="V636" i="3"/>
  <c r="V810" i="3"/>
  <c r="V956" i="3"/>
  <c r="V1153" i="3"/>
  <c r="V54" i="3"/>
  <c r="V999" i="3"/>
  <c r="V55" i="3"/>
  <c r="V198" i="3"/>
  <c r="V350" i="3"/>
  <c r="V519" i="3"/>
  <c r="V658" i="3"/>
  <c r="V823" i="3"/>
  <c r="V1001" i="3"/>
  <c r="V1219" i="3"/>
  <c r="V56" i="3"/>
  <c r="V208" i="3"/>
  <c r="V357" i="3"/>
  <c r="V520" i="3"/>
  <c r="V679" i="3"/>
  <c r="V825" i="3"/>
  <c r="V1004" i="3"/>
  <c r="V1220" i="3"/>
  <c r="V134" i="3"/>
  <c r="V284" i="3"/>
  <c r="V454" i="3"/>
  <c r="V596" i="3"/>
  <c r="V756" i="3"/>
  <c r="V936" i="3"/>
  <c r="V1100" i="3"/>
  <c r="V135" i="3"/>
  <c r="V455" i="3"/>
  <c r="V757" i="3"/>
  <c r="V937" i="3"/>
  <c r="V1102" i="3"/>
  <c r="V6" i="3"/>
  <c r="V137" i="3"/>
  <c r="V295" i="3"/>
  <c r="V456" i="3"/>
  <c r="V599" i="3"/>
  <c r="V761" i="3"/>
  <c r="V938" i="3"/>
  <c r="V1116" i="3"/>
  <c r="V7" i="3"/>
  <c r="V296" i="3"/>
  <c r="V617" i="3"/>
  <c r="V762" i="3"/>
  <c r="V942" i="3"/>
  <c r="V1141" i="3"/>
  <c r="V8" i="3"/>
  <c r="V169" i="3"/>
  <c r="V303" i="3"/>
  <c r="V460" i="3"/>
  <c r="V632" i="3"/>
  <c r="V776" i="3"/>
  <c r="V943" i="3"/>
  <c r="V1142" i="3"/>
  <c r="V170" i="3"/>
  <c r="V463" i="3"/>
  <c r="V633" i="3"/>
  <c r="V777" i="3"/>
  <c r="V944" i="3"/>
  <c r="V1146" i="3"/>
  <c r="V15" i="3"/>
  <c r="V171" i="3"/>
  <c r="V309" i="3"/>
  <c r="V470" i="3"/>
  <c r="V634" i="3"/>
  <c r="V779" i="3"/>
  <c r="V948" i="3"/>
  <c r="V1147" i="3"/>
  <c r="V16" i="3"/>
  <c r="V172" i="3"/>
  <c r="V471" i="3"/>
  <c r="V794" i="3"/>
  <c r="V22" i="3"/>
  <c r="V174" i="3"/>
  <c r="V336" i="3"/>
  <c r="V475" i="3"/>
  <c r="V637" i="3"/>
  <c r="V814" i="3"/>
  <c r="V968" i="3"/>
  <c r="V1154" i="3"/>
  <c r="V29" i="3"/>
  <c r="V180" i="3"/>
  <c r="V338" i="3"/>
  <c r="V477" i="3"/>
  <c r="V651" i="3"/>
  <c r="V815" i="3"/>
  <c r="V970" i="3"/>
  <c r="V1168" i="3"/>
  <c r="V43" i="3"/>
  <c r="V183" i="3"/>
  <c r="V341" i="3"/>
  <c r="V495" i="3"/>
  <c r="V652" i="3"/>
  <c r="V816" i="3"/>
  <c r="V978" i="3"/>
  <c r="V1169" i="3"/>
  <c r="V53" i="3"/>
  <c r="V189" i="3"/>
  <c r="V345" i="3"/>
  <c r="V517" i="3"/>
  <c r="V655" i="3"/>
  <c r="V817" i="3"/>
  <c r="V997" i="3"/>
  <c r="V1172" i="3"/>
  <c r="V60" i="3"/>
  <c r="V221" i="3"/>
  <c r="V361" i="3"/>
  <c r="V522" i="3"/>
  <c r="V691" i="3"/>
  <c r="V842" i="3"/>
  <c r="V1009" i="3"/>
  <c r="V1223" i="3"/>
  <c r="V75" i="3"/>
  <c r="V231" i="3"/>
  <c r="V366" i="3"/>
  <c r="V529" i="3"/>
  <c r="V692" i="3"/>
  <c r="V844" i="3"/>
  <c r="V1013" i="3"/>
  <c r="V1224" i="3"/>
  <c r="V58" i="3"/>
  <c r="V218" i="3"/>
  <c r="V360" i="3"/>
  <c r="V521" i="3"/>
  <c r="V690" i="3"/>
  <c r="V841" i="3"/>
  <c r="V1008" i="3"/>
  <c r="V1221" i="3"/>
  <c r="V76" i="3"/>
  <c r="V232" i="3"/>
  <c r="V376" i="3"/>
  <c r="V530" i="3"/>
  <c r="V693" i="3"/>
  <c r="V855" i="3"/>
  <c r="V1014" i="3"/>
  <c r="V1248" i="3"/>
  <c r="V80" i="3"/>
  <c r="V234" i="3"/>
  <c r="V396" i="3"/>
  <c r="V534" i="3"/>
  <c r="V695" i="3"/>
  <c r="V876" i="3"/>
  <c r="V1018" i="3"/>
  <c r="V1255" i="3"/>
  <c r="V82" i="3"/>
  <c r="V238" i="3"/>
  <c r="V397" i="3"/>
  <c r="V538" i="3"/>
  <c r="V710" i="3"/>
  <c r="V880" i="3"/>
  <c r="V1031" i="3"/>
  <c r="V1256" i="3"/>
  <c r="AB118" i="3"/>
  <c r="AB15" i="3"/>
  <c r="AB427" i="3"/>
  <c r="V13" i="3"/>
  <c r="V73" i="3"/>
  <c r="V120" i="3"/>
  <c r="V176" i="3"/>
  <c r="V236" i="3"/>
  <c r="V293" i="3"/>
  <c r="V348" i="3"/>
  <c r="V405" i="3"/>
  <c r="V468" i="3"/>
  <c r="V527" i="3"/>
  <c r="V587" i="3"/>
  <c r="V646" i="3"/>
  <c r="V698" i="3"/>
  <c r="V759" i="3"/>
  <c r="V820" i="3"/>
  <c r="V885" i="3"/>
  <c r="V946" i="3"/>
  <c r="V1011" i="3"/>
  <c r="V1075" i="3"/>
  <c r="V1151" i="3"/>
  <c r="V1243" i="3"/>
  <c r="AB69" i="3"/>
  <c r="AB193" i="3"/>
  <c r="AB333" i="3"/>
  <c r="AB374" i="3"/>
  <c r="V1072" i="3"/>
  <c r="V1149" i="3"/>
  <c r="V1225" i="3"/>
  <c r="AB139" i="3"/>
  <c r="AB192" i="3"/>
  <c r="AB289" i="3"/>
  <c r="AB466" i="3"/>
  <c r="AB592" i="3"/>
  <c r="AB664" i="3"/>
  <c r="AB768" i="3"/>
  <c r="V12" i="3"/>
  <c r="V69" i="3"/>
  <c r="V119" i="3"/>
  <c r="V175" i="3"/>
  <c r="V235" i="3"/>
  <c r="V286" i="3"/>
  <c r="V347" i="3"/>
  <c r="V404" i="3"/>
  <c r="V467" i="3"/>
  <c r="V523" i="3"/>
  <c r="V584" i="3"/>
  <c r="V645" i="3"/>
  <c r="V696" i="3"/>
  <c r="V758" i="3"/>
  <c r="V819" i="3"/>
  <c r="V884" i="3"/>
  <c r="V945" i="3"/>
  <c r="V1010" i="3"/>
  <c r="V1073" i="3"/>
  <c r="V1150" i="3"/>
  <c r="V1237" i="3"/>
  <c r="V14" i="3"/>
  <c r="V74" i="3"/>
  <c r="V121" i="3"/>
  <c r="V178" i="3"/>
  <c r="V237" i="3"/>
  <c r="V294" i="3"/>
  <c r="V349" i="3"/>
  <c r="V406" i="3"/>
  <c r="V469" i="3"/>
  <c r="V528" i="3"/>
  <c r="V591" i="3"/>
  <c r="V647" i="3"/>
  <c r="V700" i="3"/>
  <c r="V760" i="3"/>
  <c r="V821" i="3"/>
  <c r="V886" i="3"/>
  <c r="V947" i="3"/>
  <c r="V1012" i="3"/>
  <c r="V1076" i="3"/>
  <c r="V1152" i="3"/>
  <c r="V1247" i="3"/>
  <c r="AB671" i="3"/>
  <c r="AB771" i="3"/>
  <c r="V17" i="3"/>
  <c r="V77" i="3"/>
  <c r="V126" i="3"/>
  <c r="V187" i="3"/>
  <c r="V240" i="3"/>
  <c r="V298" i="3"/>
  <c r="V358" i="3"/>
  <c r="V409" i="3"/>
  <c r="V472" i="3"/>
  <c r="V531" i="3"/>
  <c r="V594" i="3"/>
  <c r="V653" i="3"/>
  <c r="V715" i="3"/>
  <c r="V774" i="3"/>
  <c r="V828" i="3"/>
  <c r="V889" i="3"/>
  <c r="V951" i="3"/>
  <c r="V1015" i="3"/>
  <c r="V1086" i="3"/>
  <c r="V1166" i="3"/>
  <c r="V1253" i="3"/>
  <c r="AB259" i="3"/>
  <c r="V18" i="3"/>
  <c r="V78" i="3"/>
  <c r="V133" i="3"/>
  <c r="V188" i="3"/>
  <c r="V241" i="3"/>
  <c r="V300" i="3"/>
  <c r="V359" i="3"/>
  <c r="V410" i="3"/>
  <c r="V473" i="3"/>
  <c r="V532" i="3"/>
  <c r="V595" i="3"/>
  <c r="V654" i="3"/>
  <c r="V716" i="3"/>
  <c r="V775" i="3"/>
  <c r="V840" i="3"/>
  <c r="V890" i="3"/>
  <c r="V953" i="3"/>
  <c r="V1016" i="3"/>
  <c r="V1098" i="3"/>
  <c r="V1167" i="3"/>
  <c r="V1254" i="3"/>
  <c r="AB53" i="3"/>
  <c r="AB302" i="3"/>
  <c r="AB546" i="3"/>
  <c r="AB684" i="3"/>
  <c r="V25" i="3"/>
  <c r="V81" i="3"/>
  <c r="V136" i="3"/>
  <c r="V197" i="3"/>
  <c r="V247" i="3"/>
  <c r="V308" i="3"/>
  <c r="V365" i="3"/>
  <c r="V424" i="3"/>
  <c r="V476" i="3"/>
  <c r="V536" i="3"/>
  <c r="V598" i="3"/>
  <c r="V657" i="3"/>
  <c r="V719" i="3"/>
  <c r="V778" i="3"/>
  <c r="V843" i="3"/>
  <c r="V904" i="3"/>
  <c r="V969" i="3"/>
  <c r="V1030" i="3"/>
  <c r="V1101" i="3"/>
  <c r="V1171" i="3"/>
  <c r="V1257" i="3"/>
  <c r="AB485" i="3"/>
  <c r="AB924" i="3"/>
  <c r="V30" i="3"/>
  <c r="V83" i="3"/>
  <c r="V138" i="3"/>
  <c r="V199" i="3"/>
  <c r="V249" i="3"/>
  <c r="V310" i="3"/>
  <c r="V367" i="3"/>
  <c r="V429" i="3"/>
  <c r="V488" i="3"/>
  <c r="V541" i="3"/>
  <c r="V600" i="3"/>
  <c r="V660" i="3"/>
  <c r="V721" i="3"/>
  <c r="V780" i="3"/>
  <c r="V845" i="3"/>
  <c r="V906" i="3"/>
  <c r="V971" i="3"/>
  <c r="V1032" i="3"/>
  <c r="V1103" i="3"/>
  <c r="V1173" i="3"/>
  <c r="V1259" i="3"/>
  <c r="V37" i="3"/>
  <c r="V84" i="3"/>
  <c r="V140" i="3"/>
  <c r="V200" i="3"/>
  <c r="V250" i="3"/>
  <c r="V311" i="3"/>
  <c r="V368" i="3"/>
  <c r="V430" i="3"/>
  <c r="V489" i="3"/>
  <c r="V552" i="3"/>
  <c r="V601" i="3"/>
  <c r="V662" i="3"/>
  <c r="V722" i="3"/>
  <c r="V781" i="3"/>
  <c r="V846" i="3"/>
  <c r="V907" i="3"/>
  <c r="V972" i="3"/>
  <c r="V1033" i="3"/>
  <c r="V1104" i="3"/>
  <c r="V1183" i="3"/>
  <c r="V1260" i="3"/>
  <c r="V38" i="3"/>
  <c r="V87" i="3"/>
  <c r="V142" i="3"/>
  <c r="V201" i="3"/>
  <c r="V251" i="3"/>
  <c r="V312" i="3"/>
  <c r="V369" i="3"/>
  <c r="V431" i="3"/>
  <c r="V490" i="3"/>
  <c r="V553" i="3"/>
  <c r="V605" i="3"/>
  <c r="V665" i="3"/>
  <c r="V723" i="3"/>
  <c r="V783" i="3"/>
  <c r="V847" i="3"/>
  <c r="V908" i="3"/>
  <c r="V973" i="3"/>
  <c r="V1035" i="3"/>
  <c r="V1105" i="3"/>
  <c r="V1186" i="3"/>
  <c r="V1275" i="3"/>
  <c r="V39" i="3"/>
  <c r="V88" i="3"/>
  <c r="V145" i="3"/>
  <c r="V202" i="3"/>
  <c r="V252" i="3"/>
  <c r="V313" i="3"/>
  <c r="V370" i="3"/>
  <c r="V432" i="3"/>
  <c r="V491" i="3"/>
  <c r="V554" i="3"/>
  <c r="V613" i="3"/>
  <c r="V669" i="3"/>
  <c r="V724" i="3"/>
  <c r="V785" i="3"/>
  <c r="V848" i="3"/>
  <c r="V909" i="3"/>
  <c r="V974" i="3"/>
  <c r="V1036" i="3"/>
  <c r="V1106" i="3"/>
  <c r="V1190" i="3"/>
  <c r="V1276" i="3"/>
  <c r="V40" i="3"/>
  <c r="V89" i="3"/>
  <c r="V149" i="3"/>
  <c r="V203" i="3"/>
  <c r="V254" i="3"/>
  <c r="V314" i="3"/>
  <c r="V371" i="3"/>
  <c r="V433" i="3"/>
  <c r="V492" i="3"/>
  <c r="V555" i="3"/>
  <c r="V614" i="3"/>
  <c r="V670" i="3"/>
  <c r="V728" i="3"/>
  <c r="V788" i="3"/>
  <c r="V849" i="3"/>
  <c r="V911" i="3"/>
  <c r="V975" i="3"/>
  <c r="V1037" i="3"/>
  <c r="V1107" i="3"/>
  <c r="V1191" i="3"/>
  <c r="V1277" i="3"/>
  <c r="V41" i="3"/>
  <c r="V90" i="3"/>
  <c r="V150" i="3"/>
  <c r="V204" i="3"/>
  <c r="V262" i="3"/>
  <c r="V315" i="3"/>
  <c r="V372" i="3"/>
  <c r="V434" i="3"/>
  <c r="V493" i="3"/>
  <c r="V556" i="3"/>
  <c r="V615" i="3"/>
  <c r="V677" i="3"/>
  <c r="V729" i="3"/>
  <c r="V792" i="3"/>
  <c r="V850" i="3"/>
  <c r="V913" i="3"/>
  <c r="V976" i="3"/>
  <c r="V1041" i="3"/>
  <c r="V1108" i="3"/>
  <c r="V1200" i="3"/>
  <c r="V1278" i="3"/>
  <c r="V42" i="3"/>
  <c r="V91" i="3"/>
  <c r="V151" i="3"/>
  <c r="V207" i="3"/>
  <c r="V265" i="3"/>
  <c r="V316" i="3"/>
  <c r="V374" i="3"/>
  <c r="V435" i="3"/>
  <c r="V494" i="3"/>
  <c r="V557" i="3"/>
  <c r="V616" i="3"/>
  <c r="V678" i="3"/>
  <c r="V730" i="3"/>
  <c r="V793" i="3"/>
  <c r="V854" i="3"/>
  <c r="V916" i="3"/>
  <c r="V977" i="3"/>
  <c r="V1044" i="3"/>
  <c r="V1115" i="3"/>
  <c r="V1201" i="3"/>
  <c r="V1280" i="3"/>
  <c r="V44" i="3"/>
  <c r="V93" i="3"/>
  <c r="V153" i="3"/>
  <c r="V209" i="3"/>
  <c r="V270" i="3"/>
  <c r="V327" i="3"/>
  <c r="V379" i="3"/>
  <c r="V437" i="3"/>
  <c r="V497" i="3"/>
  <c r="V559" i="3"/>
  <c r="V618" i="3"/>
  <c r="V680" i="3"/>
  <c r="V732" i="3"/>
  <c r="V795" i="3"/>
  <c r="V856" i="3"/>
  <c r="V921" i="3"/>
  <c r="V982" i="3"/>
  <c r="V1049" i="3"/>
  <c r="V1117" i="3"/>
  <c r="V1203" i="3"/>
  <c r="V1282" i="3"/>
  <c r="V45" i="3"/>
  <c r="V94" i="3"/>
  <c r="V154" i="3"/>
  <c r="V210" i="3"/>
  <c r="V271" i="3"/>
  <c r="V328" i="3"/>
  <c r="V389" i="3"/>
  <c r="V438" i="3"/>
  <c r="V499" i="3"/>
  <c r="V560" i="3"/>
  <c r="V619" i="3"/>
  <c r="V681" i="3"/>
  <c r="V733" i="3"/>
  <c r="V796" i="3"/>
  <c r="V857" i="3"/>
  <c r="V922" i="3"/>
  <c r="V983" i="3"/>
  <c r="V1050" i="3"/>
  <c r="V1118" i="3"/>
  <c r="V1204" i="3"/>
  <c r="V1289" i="3"/>
  <c r="V46" i="3"/>
  <c r="V102" i="3"/>
  <c r="V155" i="3"/>
  <c r="V211" i="3"/>
  <c r="V272" i="3"/>
  <c r="V329" i="3"/>
  <c r="V390" i="3"/>
  <c r="V442" i="3"/>
  <c r="V502" i="3"/>
  <c r="V561" i="3"/>
  <c r="V621" i="3"/>
  <c r="V682" i="3"/>
  <c r="V734" i="3"/>
  <c r="V805" i="3"/>
  <c r="V858" i="3"/>
  <c r="V923" i="3"/>
  <c r="V984" i="3"/>
  <c r="V1051" i="3"/>
  <c r="V1120" i="3"/>
  <c r="V1205" i="3"/>
  <c r="V1292" i="3"/>
  <c r="V49" i="3"/>
  <c r="V104" i="3"/>
  <c r="V156" i="3"/>
  <c r="V212" i="3"/>
  <c r="V273" i="3"/>
  <c r="V330" i="3"/>
  <c r="V391" i="3"/>
  <c r="V443" i="3"/>
  <c r="V506" i="3"/>
  <c r="V562" i="3"/>
  <c r="V623" i="3"/>
  <c r="V683" i="3"/>
  <c r="V741" i="3"/>
  <c r="V806" i="3"/>
  <c r="V859" i="3"/>
  <c r="V924" i="3"/>
  <c r="V985" i="3"/>
  <c r="V1052" i="3"/>
  <c r="V1121" i="3"/>
  <c r="V1206" i="3"/>
  <c r="V1296" i="3"/>
  <c r="V50" i="3"/>
  <c r="V107" i="3"/>
  <c r="V157" i="3"/>
  <c r="V213" i="3"/>
  <c r="V274" i="3"/>
  <c r="V331" i="3"/>
  <c r="V392" i="3"/>
  <c r="V444" i="3"/>
  <c r="V507" i="3"/>
  <c r="V566" i="3"/>
  <c r="V626" i="3"/>
  <c r="V684" i="3"/>
  <c r="V743" i="3"/>
  <c r="V807" i="3"/>
  <c r="V860" i="3"/>
  <c r="V933" i="3"/>
  <c r="V986" i="3"/>
  <c r="V1061" i="3"/>
  <c r="V1130" i="3"/>
  <c r="V1210" i="3"/>
  <c r="V1308" i="3"/>
  <c r="V51" i="3"/>
  <c r="V111" i="3"/>
  <c r="V158" i="3"/>
  <c r="V214" i="3"/>
  <c r="V275" i="3"/>
  <c r="V332" i="3"/>
  <c r="V393" i="3"/>
  <c r="V445" i="3"/>
  <c r="V508" i="3"/>
  <c r="V567" i="3"/>
  <c r="V630" i="3"/>
  <c r="V685" i="3"/>
  <c r="V745" i="3"/>
  <c r="V808" i="3"/>
  <c r="V869" i="3"/>
  <c r="V934" i="3"/>
  <c r="V987" i="3"/>
  <c r="V1062" i="3"/>
  <c r="V1134" i="3"/>
  <c r="V1211" i="3"/>
  <c r="V1309" i="3"/>
  <c r="V52" i="3"/>
  <c r="V112" i="3"/>
  <c r="V165" i="3"/>
  <c r="V216" i="3"/>
  <c r="V276" i="3"/>
  <c r="V333" i="3"/>
  <c r="V394" i="3"/>
  <c r="V453" i="3"/>
  <c r="V509" i="3"/>
  <c r="V568" i="3"/>
  <c r="V631" i="3"/>
  <c r="V689" i="3"/>
  <c r="V748" i="3"/>
  <c r="V809" i="3"/>
  <c r="V871" i="3"/>
  <c r="V935" i="3"/>
  <c r="V988" i="3"/>
  <c r="V1063" i="3"/>
  <c r="V1137" i="3"/>
  <c r="V1218" i="3"/>
  <c r="AB162" i="3"/>
  <c r="AB327" i="3"/>
  <c r="AB412" i="3"/>
  <c r="AB461" i="3"/>
  <c r="AB587" i="3"/>
  <c r="AB188" i="3"/>
  <c r="AB517" i="3"/>
  <c r="AB661" i="3"/>
  <c r="AB30" i="3"/>
  <c r="AB68" i="3"/>
  <c r="AB218" i="3"/>
  <c r="AB246" i="3"/>
  <c r="AB288" i="3"/>
  <c r="AB328" i="3"/>
  <c r="AB372" i="3"/>
  <c r="AB861" i="3"/>
  <c r="AB12" i="3"/>
  <c r="AB13" i="3"/>
  <c r="AB91" i="3"/>
  <c r="AB138" i="3"/>
  <c r="AB525" i="3"/>
  <c r="AB766" i="3"/>
  <c r="AB886" i="3"/>
  <c r="AB426" i="3"/>
  <c r="AB769" i="3"/>
  <c r="AB34" i="3"/>
  <c r="AB301" i="3"/>
  <c r="AB527" i="3"/>
  <c r="AB599" i="3"/>
  <c r="AB75" i="3"/>
  <c r="AB95" i="3"/>
  <c r="AB428" i="3"/>
  <c r="AB544" i="3"/>
  <c r="AB146" i="3"/>
  <c r="AB173" i="3"/>
  <c r="AB383" i="3"/>
  <c r="AB76" i="3"/>
  <c r="AB685" i="3"/>
  <c r="AB783" i="3"/>
  <c r="AB261" i="3"/>
  <c r="AB303" i="3"/>
  <c r="AB1285" i="3"/>
  <c r="AB1253" i="3"/>
  <c r="AB1221" i="3"/>
  <c r="AB1189" i="3"/>
  <c r="AB1157" i="3"/>
  <c r="AB1125" i="3"/>
  <c r="AB1106" i="3"/>
  <c r="AB1074" i="3"/>
  <c r="AB1042" i="3"/>
  <c r="AB1010" i="3"/>
  <c r="AB978" i="3"/>
  <c r="AB946" i="3"/>
  <c r="AB895" i="3"/>
  <c r="AB863" i="3"/>
  <c r="AB831" i="3"/>
  <c r="AB799" i="3"/>
  <c r="AB1304" i="3"/>
  <c r="AB1272" i="3"/>
  <c r="AB1240" i="3"/>
  <c r="AB1208" i="3"/>
  <c r="AB1176" i="3"/>
  <c r="AB1144" i="3"/>
  <c r="AB1093" i="3"/>
  <c r="AB1061" i="3"/>
  <c r="AB1029" i="3"/>
  <c r="AB997" i="3"/>
  <c r="AB965" i="3"/>
  <c r="AB933" i="3"/>
  <c r="AB914" i="3"/>
  <c r="AB882" i="3"/>
  <c r="AB850" i="3"/>
  <c r="AB818" i="3"/>
  <c r="AB786" i="3"/>
  <c r="AB1291" i="3"/>
  <c r="AB1259" i="3"/>
  <c r="AB1227" i="3"/>
  <c r="AB1195" i="3"/>
  <c r="AB1163" i="3"/>
  <c r="AB1131" i="3"/>
  <c r="AB1112" i="3"/>
  <c r="AB1080" i="3"/>
  <c r="AB1048" i="3"/>
  <c r="AB1016" i="3"/>
  <c r="AB984" i="3"/>
  <c r="AB952" i="3"/>
  <c r="AB920" i="3"/>
  <c r="AB901" i="3"/>
  <c r="AB869" i="3"/>
  <c r="AB837" i="3"/>
  <c r="AB805" i="3"/>
  <c r="AB773" i="3"/>
  <c r="AB1310" i="3"/>
  <c r="AB1284" i="3"/>
  <c r="AB1252" i="3"/>
  <c r="AB1220" i="3"/>
  <c r="AB1188" i="3"/>
  <c r="AB1156" i="3"/>
  <c r="AB1124" i="3"/>
  <c r="AB1105" i="3"/>
  <c r="AB1073" i="3"/>
  <c r="AB1041" i="3"/>
  <c r="AB1009" i="3"/>
  <c r="AB977" i="3"/>
  <c r="AB945" i="3"/>
  <c r="AB894" i="3"/>
  <c r="AB862" i="3"/>
  <c r="AB830" i="3"/>
  <c r="AB798" i="3"/>
  <c r="AB1289" i="3"/>
  <c r="AB1257" i="3"/>
  <c r="AB1225" i="3"/>
  <c r="AB1193" i="3"/>
  <c r="AB1161" i="3"/>
  <c r="AB1129" i="3"/>
  <c r="AB1110" i="3"/>
  <c r="AB1078" i="3"/>
  <c r="AB1046" i="3"/>
  <c r="AB1014" i="3"/>
  <c r="AB982" i="3"/>
  <c r="AB950" i="3"/>
  <c r="AB1307" i="3"/>
  <c r="AB1275" i="3"/>
  <c r="AB1243" i="3"/>
  <c r="AB1211" i="3"/>
  <c r="AB1179" i="3"/>
  <c r="AB1147" i="3"/>
  <c r="AB1115" i="3"/>
  <c r="AB1096" i="3"/>
  <c r="AB1064" i="3"/>
  <c r="AB1032" i="3"/>
  <c r="AB1000" i="3"/>
  <c r="AB968" i="3"/>
  <c r="AB936" i="3"/>
  <c r="AB885" i="3"/>
  <c r="AB853" i="3"/>
  <c r="AB821" i="3"/>
  <c r="AB789" i="3"/>
  <c r="AB1294" i="3"/>
  <c r="AB1262" i="3"/>
  <c r="AB1230" i="3"/>
  <c r="AB1198" i="3"/>
  <c r="AB1166" i="3"/>
  <c r="AB1134" i="3"/>
  <c r="AB1083" i="3"/>
  <c r="AB1051" i="3"/>
  <c r="AB1298" i="3"/>
  <c r="AB1309" i="3"/>
  <c r="AB1300" i="3"/>
  <c r="AB1292" i="3"/>
  <c r="AB1283" i="3"/>
  <c r="AB1258" i="3"/>
  <c r="AB1250" i="3"/>
  <c r="AB1234" i="3"/>
  <c r="AB1217" i="3"/>
  <c r="AB1168" i="3"/>
  <c r="AB1160" i="3"/>
  <c r="AB1127" i="3"/>
  <c r="AB1062" i="3"/>
  <c r="AB1021" i="3"/>
  <c r="AB958" i="3"/>
  <c r="AB935" i="3"/>
  <c r="AB762" i="3"/>
  <c r="AB730" i="3"/>
  <c r="AB711" i="3"/>
  <c r="AB679" i="3"/>
  <c r="AB1209" i="3"/>
  <c r="AB1143" i="3"/>
  <c r="AB1135" i="3"/>
  <c r="AB1119" i="3"/>
  <c r="AB1086" i="3"/>
  <c r="AB1037" i="3"/>
  <c r="AB1013" i="3"/>
  <c r="AB966" i="3"/>
  <c r="AB912" i="3"/>
  <c r="AB897" i="3"/>
  <c r="AB874" i="3"/>
  <c r="AB859" i="3"/>
  <c r="AB836" i="3"/>
  <c r="AB749" i="3"/>
  <c r="AB717" i="3"/>
  <c r="AB698" i="3"/>
  <c r="AB666" i="3"/>
  <c r="AB1274" i="3"/>
  <c r="AB1233" i="3"/>
  <c r="AB1266" i="3"/>
  <c r="AB1249" i="3"/>
  <c r="AB1200" i="3"/>
  <c r="AB1192" i="3"/>
  <c r="AB1159" i="3"/>
  <c r="AB1118" i="3"/>
  <c r="AB1094" i="3"/>
  <c r="AB1028" i="3"/>
  <c r="AB981" i="3"/>
  <c r="AB927" i="3"/>
  <c r="AB904" i="3"/>
  <c r="AB881" i="3"/>
  <c r="AB755" i="3"/>
  <c r="AB723" i="3"/>
  <c r="AB704" i="3"/>
  <c r="AB672" i="3"/>
  <c r="AB1308" i="3"/>
  <c r="AB1282" i="3"/>
  <c r="AB1241" i="3"/>
  <c r="AB1175" i="3"/>
  <c r="AB1167" i="3"/>
  <c r="AB1151" i="3"/>
  <c r="AB1069" i="3"/>
  <c r="AB1020" i="3"/>
  <c r="AB973" i="3"/>
  <c r="AB957" i="3"/>
  <c r="AB889" i="3"/>
  <c r="AB866" i="3"/>
  <c r="AB851" i="3"/>
  <c r="AB843" i="3"/>
  <c r="AB828" i="3"/>
  <c r="AB813" i="3"/>
  <c r="AB790" i="3"/>
  <c r="AB775" i="3"/>
  <c r="AB742" i="3"/>
  <c r="AB691" i="3"/>
  <c r="AB1299" i="3"/>
  <c r="AB1290" i="3"/>
  <c r="AB1265" i="3"/>
  <c r="AB1216" i="3"/>
  <c r="AB1126" i="3"/>
  <c r="AB1085" i="3"/>
  <c r="AB1077" i="3"/>
  <c r="AB1044" i="3"/>
  <c r="AB1012" i="3"/>
  <c r="AB996" i="3"/>
  <c r="AB949" i="3"/>
  <c r="AB934" i="3"/>
  <c r="AB926" i="3"/>
  <c r="AB761" i="3"/>
  <c r="AB729" i="3"/>
  <c r="AB710" i="3"/>
  <c r="AB678" i="3"/>
  <c r="AB1232" i="3"/>
  <c r="AB1224" i="3"/>
  <c r="AB1191" i="3"/>
  <c r="AB1150" i="3"/>
  <c r="AB1142" i="3"/>
  <c r="AB1060" i="3"/>
  <c r="AB1052" i="3"/>
  <c r="AB1036" i="3"/>
  <c r="AB988" i="3"/>
  <c r="AB911" i="3"/>
  <c r="AB896" i="3"/>
  <c r="AB888" i="3"/>
  <c r="AB873" i="3"/>
  <c r="AB858" i="3"/>
  <c r="AB835" i="3"/>
  <c r="AB820" i="3"/>
  <c r="AB797" i="3"/>
  <c r="AB782" i="3"/>
  <c r="AB748" i="3"/>
  <c r="AB697" i="3"/>
  <c r="AB665" i="3"/>
  <c r="AB1248" i="3"/>
  <c r="AB1158" i="3"/>
  <c r="AB1264" i="3"/>
  <c r="AB1256" i="3"/>
  <c r="AB1223" i="3"/>
  <c r="AB1182" i="3"/>
  <c r="AB1174" i="3"/>
  <c r="AB1133" i="3"/>
  <c r="AB1092" i="3"/>
  <c r="AB1084" i="3"/>
  <c r="AB1068" i="3"/>
  <c r="AB1239" i="3"/>
  <c r="AB1231" i="3"/>
  <c r="AB1215" i="3"/>
  <c r="AB1149" i="3"/>
  <c r="AB1141" i="3"/>
  <c r="AB1270" i="3"/>
  <c r="AB1222" i="3"/>
  <c r="AB1199" i="3"/>
  <c r="AB1154" i="3"/>
  <c r="AB1025" i="3"/>
  <c r="AB938" i="3"/>
  <c r="AB910" i="3"/>
  <c r="AB892" i="3"/>
  <c r="AB808" i="3"/>
  <c r="AB780" i="3"/>
  <c r="AB754" i="3"/>
  <c r="AB715" i="3"/>
  <c r="AB654" i="3"/>
  <c r="AB622" i="3"/>
  <c r="AB590" i="3"/>
  <c r="AB558" i="3"/>
  <c r="AB1235" i="3"/>
  <c r="AB1109" i="3"/>
  <c r="AB1098" i="3"/>
  <c r="AB1088" i="3"/>
  <c r="AB1076" i="3"/>
  <c r="AB1006" i="3"/>
  <c r="AB986" i="3"/>
  <c r="AB929" i="3"/>
  <c r="AB883" i="3"/>
  <c r="AB826" i="3"/>
  <c r="AB731" i="3"/>
  <c r="AB692" i="3"/>
  <c r="AB668" i="3"/>
  <c r="AB641" i="3"/>
  <c r="AB609" i="3"/>
  <c r="AB577" i="3"/>
  <c r="AB545" i="3"/>
  <c r="AB1306" i="3"/>
  <c r="AB1281" i="3"/>
  <c r="AB1177" i="3"/>
  <c r="AB1108" i="3"/>
  <c r="AB1065" i="3"/>
  <c r="AB1045" i="3"/>
  <c r="AB1034" i="3"/>
  <c r="AB1015" i="3"/>
  <c r="AB995" i="3"/>
  <c r="AB967" i="3"/>
  <c r="AB956" i="3"/>
  <c r="AB947" i="3"/>
  <c r="AB919" i="3"/>
  <c r="AB872" i="3"/>
  <c r="AB854" i="3"/>
  <c r="AB779" i="3"/>
  <c r="AB746" i="3"/>
  <c r="AB722" i="3"/>
  <c r="AB707" i="3"/>
  <c r="AB683" i="3"/>
  <c r="AB628" i="3"/>
  <c r="AB596" i="3"/>
  <c r="AB564" i="3"/>
  <c r="AB1245" i="3"/>
  <c r="AB1187" i="3"/>
  <c r="AB1164" i="3"/>
  <c r="AB1153" i="3"/>
  <c r="AB1130" i="3"/>
  <c r="AB1120" i="3"/>
  <c r="AB976" i="3"/>
  <c r="AB918" i="3"/>
  <c r="AB900" i="3"/>
  <c r="AB845" i="3"/>
  <c r="AB788" i="3"/>
  <c r="AB770" i="3"/>
  <c r="AB660" i="3"/>
  <c r="AB647" i="3"/>
  <c r="AB615" i="3"/>
  <c r="AB583" i="3"/>
  <c r="AB551" i="3"/>
  <c r="AB1280" i="3"/>
  <c r="AB1269" i="3"/>
  <c r="AB1210" i="3"/>
  <c r="AB1140" i="3"/>
  <c r="AB1075" i="3"/>
  <c r="AB1055" i="3"/>
  <c r="AB1005" i="3"/>
  <c r="AB891" i="3"/>
  <c r="AB816" i="3"/>
  <c r="AB738" i="3"/>
  <c r="AB699" i="3"/>
  <c r="AB675" i="3"/>
  <c r="AB634" i="3"/>
  <c r="AB602" i="3"/>
  <c r="AB570" i="3"/>
  <c r="AB538" i="3"/>
  <c r="AB1197" i="3"/>
  <c r="AB1097" i="3"/>
  <c r="AB1024" i="3"/>
  <c r="AB1004" i="3"/>
  <c r="AB937" i="3"/>
  <c r="AB909" i="3"/>
  <c r="AB834" i="3"/>
  <c r="AB807" i="3"/>
  <c r="AB753" i="3"/>
  <c r="AB714" i="3"/>
  <c r="AB690" i="3"/>
  <c r="AB653" i="3"/>
  <c r="AB621" i="3"/>
  <c r="AB589" i="3"/>
  <c r="AB557" i="3"/>
  <c r="AB1279" i="3"/>
  <c r="AB1207" i="3"/>
  <c r="AB1162" i="3"/>
  <c r="AB1139" i="3"/>
  <c r="AB1278" i="3"/>
  <c r="AB1196" i="3"/>
  <c r="AB1185" i="3"/>
  <c r="AB1116" i="3"/>
  <c r="AB1063" i="3"/>
  <c r="AB1023" i="3"/>
  <c r="AB993" i="3"/>
  <c r="AB1303" i="3"/>
  <c r="AB1254" i="3"/>
  <c r="AB1219" i="3"/>
  <c r="AB1206" i="3"/>
  <c r="AB1172" i="3"/>
  <c r="AB1002" i="3"/>
  <c r="AB974" i="3"/>
  <c r="AB954" i="3"/>
  <c r="AB1267" i="3"/>
  <c r="AB1128" i="3"/>
  <c r="AB1022" i="3"/>
  <c r="AB983" i="3"/>
  <c r="AB963" i="3"/>
  <c r="AB1302" i="3"/>
  <c r="AB1242" i="3"/>
  <c r="AB1218" i="3"/>
  <c r="AB1205" i="3"/>
  <c r="AB1072" i="3"/>
  <c r="AB1276" i="3"/>
  <c r="AB1204" i="3"/>
  <c r="AB1286" i="3"/>
  <c r="AB1190" i="3"/>
  <c r="AB1138" i="3"/>
  <c r="AB998" i="3"/>
  <c r="AB930" i="3"/>
  <c r="AB860" i="3"/>
  <c r="AB848" i="3"/>
  <c r="AB838" i="3"/>
  <c r="AB814" i="3"/>
  <c r="AB767" i="3"/>
  <c r="AB662" i="3"/>
  <c r="AB591" i="3"/>
  <c r="AB567" i="3"/>
  <c r="AB543" i="3"/>
  <c r="AB491" i="3"/>
  <c r="AB459" i="3"/>
  <c r="AB1305" i="3"/>
  <c r="AB1247" i="3"/>
  <c r="AB1137" i="3"/>
  <c r="AB1122" i="3"/>
  <c r="AB1089" i="3"/>
  <c r="AB953" i="3"/>
  <c r="AB916" i="3"/>
  <c r="AB824" i="3"/>
  <c r="AB802" i="3"/>
  <c r="AB778" i="3"/>
  <c r="AB758" i="3"/>
  <c r="AB728" i="3"/>
  <c r="AB630" i="3"/>
  <c r="AB606" i="3"/>
  <c r="AB582" i="3"/>
  <c r="AB529" i="3"/>
  <c r="AB510" i="3"/>
  <c r="AB478" i="3"/>
  <c r="AB446" i="3"/>
  <c r="AB414" i="3"/>
  <c r="AB382" i="3"/>
  <c r="AB350" i="3"/>
  <c r="AB318" i="3"/>
  <c r="AB286" i="3"/>
  <c r="AB254" i="3"/>
  <c r="AB1263" i="3"/>
  <c r="AB1171" i="3"/>
  <c r="AB1104" i="3"/>
  <c r="AB1071" i="3"/>
  <c r="AB980" i="3"/>
  <c r="AB791" i="3"/>
  <c r="AB739" i="3"/>
  <c r="AB719" i="3"/>
  <c r="AB645" i="3"/>
  <c r="AB559" i="3"/>
  <c r="AB497" i="3"/>
  <c r="AB465" i="3"/>
  <c r="AB433" i="3"/>
  <c r="AB401" i="3"/>
  <c r="AB369" i="3"/>
  <c r="AB337" i="3"/>
  <c r="AB305" i="3"/>
  <c r="AB273" i="3"/>
  <c r="AB241" i="3"/>
  <c r="AB1246" i="3"/>
  <c r="AB1155" i="3"/>
  <c r="AB1056" i="3"/>
  <c r="AB1039" i="3"/>
  <c r="AB994" i="3"/>
  <c r="AB928" i="3"/>
  <c r="AB880" i="3"/>
  <c r="AB870" i="3"/>
  <c r="AB709" i="3"/>
  <c r="AB689" i="3"/>
  <c r="AB598" i="3"/>
  <c r="AB574" i="3"/>
  <c r="AB550" i="3"/>
  <c r="AB535" i="3"/>
  <c r="AB516" i="3"/>
  <c r="AB484" i="3"/>
  <c r="AB452" i="3"/>
  <c r="AB420" i="3"/>
  <c r="AB388" i="3"/>
  <c r="AB356" i="3"/>
  <c r="AB324" i="3"/>
  <c r="AB292" i="3"/>
  <c r="AB260" i="3"/>
  <c r="AB1121" i="3"/>
  <c r="AB1054" i="3"/>
  <c r="AB940" i="3"/>
  <c r="AB905" i="3"/>
  <c r="AB893" i="3"/>
  <c r="AB812" i="3"/>
  <c r="AB700" i="3"/>
  <c r="AB680" i="3"/>
  <c r="AB670" i="3"/>
  <c r="AB637" i="3"/>
  <c r="AB613" i="3"/>
  <c r="AB522" i="3"/>
  <c r="AB503" i="3"/>
  <c r="AB471" i="3"/>
  <c r="AB439" i="3"/>
  <c r="AB407" i="3"/>
  <c r="AB375" i="3"/>
  <c r="AB343" i="3"/>
  <c r="AB311" i="3"/>
  <c r="AB279" i="3"/>
  <c r="AB247" i="3"/>
  <c r="AB1244" i="3"/>
  <c r="AB1226" i="3"/>
  <c r="AB1136" i="3"/>
  <c r="AB1087" i="3"/>
  <c r="AB1070" i="3"/>
  <c r="AB1301" i="3"/>
  <c r="AB1170" i="3"/>
  <c r="AB1102" i="3"/>
  <c r="AB979" i="3"/>
  <c r="AB951" i="3"/>
  <c r="AB925" i="3"/>
  <c r="AB903" i="3"/>
  <c r="AB718" i="3"/>
  <c r="AB644" i="3"/>
  <c r="AB620" i="3"/>
  <c r="AB496" i="3"/>
  <c r="AB1117" i="3"/>
  <c r="AB1101" i="3"/>
  <c r="AB992" i="3"/>
  <c r="AB879" i="3"/>
  <c r="AB857" i="3"/>
  <c r="AB833" i="3"/>
  <c r="AB708" i="3"/>
  <c r="AB688" i="3"/>
  <c r="AB659" i="3"/>
  <c r="AB597" i="3"/>
  <c r="AB573" i="3"/>
  <c r="AB549" i="3"/>
  <c r="AB534" i="3"/>
  <c r="AB515" i="3"/>
  <c r="AB483" i="3"/>
  <c r="AB1261" i="3"/>
  <c r="AB1186" i="3"/>
  <c r="AB1169" i="3"/>
  <c r="AB1152" i="3"/>
  <c r="AB1067" i="3"/>
  <c r="AB1050" i="3"/>
  <c r="AB868" i="3"/>
  <c r="AB846" i="3"/>
  <c r="AB787" i="3"/>
  <c r="AB736" i="3"/>
  <c r="AB1296" i="3"/>
  <c r="AB1081" i="3"/>
  <c r="AB1018" i="3"/>
  <c r="AB990" i="3"/>
  <c r="AB961" i="3"/>
  <c r="AB809" i="3"/>
  <c r="AB785" i="3"/>
  <c r="AB764" i="3"/>
  <c r="AB744" i="3"/>
  <c r="AB734" i="3"/>
  <c r="AB650" i="3"/>
  <c r="AB626" i="3"/>
  <c r="AB540" i="3"/>
  <c r="AB488" i="3"/>
  <c r="AB456" i="3"/>
  <c r="AB424" i="3"/>
  <c r="AB1273" i="3"/>
  <c r="AB1165" i="3"/>
  <c r="AB1114" i="3"/>
  <c r="AB943" i="3"/>
  <c r="AB923" i="3"/>
  <c r="AB875" i="3"/>
  <c r="AB776" i="3"/>
  <c r="AB763" i="3"/>
  <c r="AB750" i="3"/>
  <c r="AB721" i="3"/>
  <c r="AB616" i="3"/>
  <c r="AB562" i="3"/>
  <c r="AB541" i="3"/>
  <c r="AB489" i="3"/>
  <c r="AB366" i="3"/>
  <c r="AB322" i="3"/>
  <c r="AB278" i="3"/>
  <c r="AB242" i="3"/>
  <c r="AB222" i="3"/>
  <c r="AB190" i="3"/>
  <c r="AB158" i="3"/>
  <c r="AB126" i="3"/>
  <c r="AB94" i="3"/>
  <c r="AB1019" i="3"/>
  <c r="AB907" i="3"/>
  <c r="AB840" i="3"/>
  <c r="AB825" i="3"/>
  <c r="AB625" i="3"/>
  <c r="AB604" i="3"/>
  <c r="AB425" i="3"/>
  <c r="AB410" i="3"/>
  <c r="AB373" i="3"/>
  <c r="AB329" i="3"/>
  <c r="AB293" i="3"/>
  <c r="AB285" i="3"/>
  <c r="AB249" i="3"/>
  <c r="AB209" i="3"/>
  <c r="AB177" i="3"/>
  <c r="AB145" i="3"/>
  <c r="AB113" i="3"/>
  <c r="AB81" i="3"/>
  <c r="AB1297" i="3"/>
  <c r="AB1214" i="3"/>
  <c r="AB1091" i="3"/>
  <c r="AB1066" i="3"/>
  <c r="AB960" i="3"/>
  <c r="AB942" i="3"/>
  <c r="AB823" i="3"/>
  <c r="AB646" i="3"/>
  <c r="AB584" i="3"/>
  <c r="AB506" i="3"/>
  <c r="AB498" i="3"/>
  <c r="AB448" i="3"/>
  <c r="AB380" i="3"/>
  <c r="AB344" i="3"/>
  <c r="AB336" i="3"/>
  <c r="AB300" i="3"/>
  <c r="AB256" i="3"/>
  <c r="AB228" i="3"/>
  <c r="AB196" i="3"/>
  <c r="AB164" i="3"/>
  <c r="AB132" i="3"/>
  <c r="AB100" i="3"/>
  <c r="AB1271" i="3"/>
  <c r="AB1043" i="3"/>
  <c r="AB941" i="3"/>
  <c r="AB887" i="3"/>
  <c r="AB855" i="3"/>
  <c r="AB793" i="3"/>
  <c r="AB760" i="3"/>
  <c r="AB706" i="3"/>
  <c r="AB694" i="3"/>
  <c r="AB667" i="3"/>
  <c r="AB593" i="3"/>
  <c r="AB572" i="3"/>
  <c r="AB514" i="3"/>
  <c r="AB432" i="3"/>
  <c r="AB417" i="3"/>
  <c r="AB395" i="3"/>
  <c r="AB387" i="3"/>
  <c r="AB351" i="3"/>
  <c r="AB307" i="3"/>
  <c r="AB263" i="3"/>
  <c r="AB215" i="3"/>
  <c r="AB183" i="3"/>
  <c r="AB151" i="3"/>
  <c r="AB119" i="3"/>
  <c r="AB87" i="3"/>
  <c r="AB1113" i="3"/>
  <c r="AB939" i="3"/>
  <c r="AB822" i="3"/>
  <c r="AB774" i="3"/>
  <c r="AB747" i="3"/>
  <c r="AB681" i="3"/>
  <c r="AB656" i="3"/>
  <c r="AB635" i="3"/>
  <c r="AB614" i="3"/>
  <c r="AB552" i="3"/>
  <c r="AB531" i="3"/>
  <c r="AB523" i="3"/>
  <c r="AB480" i="3"/>
  <c r="AB472" i="3"/>
  <c r="AB463" i="3"/>
  <c r="AB440" i="3"/>
  <c r="AB402" i="3"/>
  <c r="AB394" i="3"/>
  <c r="AB358" i="3"/>
  <c r="AB314" i="3"/>
  <c r="AB270" i="3"/>
  <c r="AB922" i="3"/>
  <c r="AB906" i="3"/>
  <c r="AB806" i="3"/>
  <c r="AB792" i="3"/>
  <c r="AB745" i="3"/>
  <c r="AB733" i="3"/>
  <c r="AB720" i="3"/>
  <c r="AB603" i="3"/>
  <c r="AB561" i="3"/>
  <c r="AB455" i="3"/>
  <c r="AB365" i="3"/>
  <c r="AB321" i="3"/>
  <c r="AB277" i="3"/>
  <c r="AB1183" i="3"/>
  <c r="AB999" i="3"/>
  <c r="AB959" i="3"/>
  <c r="AB804" i="3"/>
  <c r="AB705" i="3"/>
  <c r="AB633" i="3"/>
  <c r="AB612" i="3"/>
  <c r="AB571" i="3"/>
  <c r="AB521" i="3"/>
  <c r="AB513" i="3"/>
  <c r="AB505" i="3"/>
  <c r="AB470" i="3"/>
  <c r="AB447" i="3"/>
  <c r="AB1236" i="3"/>
  <c r="AB1180" i="3"/>
  <c r="AB972" i="3"/>
  <c r="AB803" i="3"/>
  <c r="AB1288" i="3"/>
  <c r="AB1058" i="3"/>
  <c r="AB1033" i="3"/>
  <c r="AB865" i="3"/>
  <c r="AB849" i="3"/>
  <c r="AB756" i="3"/>
  <c r="AB676" i="3"/>
  <c r="AB588" i="3"/>
  <c r="AB547" i="3"/>
  <c r="AB502" i="3"/>
  <c r="AB453" i="3"/>
  <c r="AB437" i="3"/>
  <c r="AB422" i="3"/>
  <c r="AB399" i="3"/>
  <c r="AB363" i="3"/>
  <c r="AB355" i="3"/>
  <c r="AB319" i="3"/>
  <c r="AB275" i="3"/>
  <c r="AB1203" i="3"/>
  <c r="AB991" i="3"/>
  <c r="AB932" i="3"/>
  <c r="AB915" i="3"/>
  <c r="AB832" i="3"/>
  <c r="AB801" i="3"/>
  <c r="AB702" i="3"/>
  <c r="AB663" i="3"/>
  <c r="AB651" i="3"/>
  <c r="AB610" i="3"/>
  <c r="AB568" i="3"/>
  <c r="AB519" i="3"/>
  <c r="AB468" i="3"/>
  <c r="AB370" i="3"/>
  <c r="AB362" i="3"/>
  <c r="AB326" i="3"/>
  <c r="AB282" i="3"/>
  <c r="AB238" i="3"/>
  <c r="AB1255" i="3"/>
  <c r="AB1148" i="3"/>
  <c r="AB1103" i="3"/>
  <c r="AB1057" i="3"/>
  <c r="AB1031" i="3"/>
  <c r="AB1011" i="3"/>
  <c r="AB970" i="3"/>
  <c r="AB898" i="3"/>
  <c r="AB800" i="3"/>
  <c r="AB784" i="3"/>
  <c r="AB741" i="3"/>
  <c r="AB727" i="3"/>
  <c r="AB640" i="3"/>
  <c r="AB619" i="3"/>
  <c r="AB578" i="3"/>
  <c r="AB460" i="3"/>
  <c r="AB384" i="3"/>
  <c r="AB1026" i="3"/>
  <c r="AB908" i="3"/>
  <c r="AB890" i="3"/>
  <c r="AB856" i="3"/>
  <c r="AB777" i="3"/>
  <c r="AB1090" i="3"/>
  <c r="AB985" i="3"/>
  <c r="AB948" i="3"/>
  <c r="AB765" i="3"/>
  <c r="AB687" i="3"/>
  <c r="AB607" i="3"/>
  <c r="AB532" i="3"/>
  <c r="AB507" i="3"/>
  <c r="AB494" i="3"/>
  <c r="AB482" i="3"/>
  <c r="AB469" i="3"/>
  <c r="AB403" i="3"/>
  <c r="AB391" i="3"/>
  <c r="AB371" i="3"/>
  <c r="AB361" i="3"/>
  <c r="AB283" i="3"/>
  <c r="AB191" i="3"/>
  <c r="AB147" i="3"/>
  <c r="AB103" i="3"/>
  <c r="AB67" i="3"/>
  <c r="AB35" i="3"/>
  <c r="AB867" i="3"/>
  <c r="AB638" i="3"/>
  <c r="AB435" i="3"/>
  <c r="AB381" i="3"/>
  <c r="AB352" i="3"/>
  <c r="AB332" i="3"/>
  <c r="AB264" i="3"/>
  <c r="AB244" i="3"/>
  <c r="AB227" i="3"/>
  <c r="AB198" i="3"/>
  <c r="AB154" i="3"/>
  <c r="AB110" i="3"/>
  <c r="AB54" i="3"/>
  <c r="AB22" i="3"/>
  <c r="AB1295" i="3"/>
  <c r="AB1082" i="3"/>
  <c r="AB1049" i="3"/>
  <c r="AB841" i="3"/>
  <c r="AB815" i="3"/>
  <c r="AB669" i="3"/>
  <c r="AB560" i="3"/>
  <c r="AB493" i="3"/>
  <c r="AB445" i="3"/>
  <c r="AB423" i="3"/>
  <c r="AB341" i="3"/>
  <c r="AB253" i="3"/>
  <c r="AB235" i="3"/>
  <c r="AB205" i="3"/>
  <c r="AB161" i="3"/>
  <c r="AB117" i="3"/>
  <c r="AB73" i="3"/>
  <c r="AB41" i="3"/>
  <c r="AB9" i="3"/>
  <c r="AB1293" i="3"/>
  <c r="AB839" i="3"/>
  <c r="AB686" i="3"/>
  <c r="AB636" i="3"/>
  <c r="AB575" i="3"/>
  <c r="AB481" i="3"/>
  <c r="AB400" i="3"/>
  <c r="AB291" i="3"/>
  <c r="AB219" i="3"/>
  <c r="AB1123" i="3"/>
  <c r="AB917" i="3"/>
  <c r="AB743" i="3"/>
  <c r="AB467" i="3"/>
  <c r="AB434" i="3"/>
  <c r="AB349" i="3"/>
  <c r="AB331" i="3"/>
  <c r="AB243" i="3"/>
  <c r="AB226" i="3"/>
  <c r="AB197" i="3"/>
  <c r="AB189" i="3"/>
  <c r="AB1035" i="3"/>
  <c r="AB648" i="3"/>
  <c r="AB631" i="3"/>
  <c r="AB569" i="3"/>
  <c r="AB539" i="3"/>
  <c r="AB501" i="3"/>
  <c r="AB476" i="3"/>
  <c r="AB442" i="3"/>
  <c r="AB377" i="3"/>
  <c r="AB298" i="3"/>
  <c r="AB280" i="3"/>
  <c r="AB232" i="3"/>
  <c r="AB210" i="3"/>
  <c r="AB202" i="3"/>
  <c r="AB166" i="3"/>
  <c r="AB122" i="3"/>
  <c r="AB78" i="3"/>
  <c r="AB58" i="3"/>
  <c r="AB1001" i="3"/>
  <c r="AB969" i="3"/>
  <c r="AB884" i="3"/>
  <c r="AB781" i="3"/>
  <c r="AB757" i="3"/>
  <c r="AB554" i="3"/>
  <c r="AB419" i="3"/>
  <c r="AB408" i="3"/>
  <c r="AB386" i="3"/>
  <c r="AB338" i="3"/>
  <c r="AB250" i="3"/>
  <c r="AB224" i="3"/>
  <c r="AB180" i="3"/>
  <c r="AB136" i="3"/>
  <c r="AB92" i="3"/>
  <c r="AB64" i="3"/>
  <c r="AB32" i="3"/>
  <c r="AB1181" i="3"/>
  <c r="AB1107" i="3"/>
  <c r="AB878" i="3"/>
  <c r="AB643" i="3"/>
  <c r="AB537" i="3"/>
  <c r="AB512" i="3"/>
  <c r="AB462" i="3"/>
  <c r="AB441" i="3"/>
  <c r="AB297" i="3"/>
  <c r="AB201" i="3"/>
  <c r="AB165" i="3"/>
  <c r="AB157" i="3"/>
  <c r="AB1030" i="3"/>
  <c r="AB962" i="3"/>
  <c r="AB852" i="3"/>
  <c r="AB829" i="3"/>
  <c r="AB627" i="3"/>
  <c r="AB581" i="3"/>
  <c r="AB406" i="3"/>
  <c r="AB346" i="3"/>
  <c r="AB268" i="3"/>
  <c r="AB258" i="3"/>
  <c r="AB248" i="3"/>
  <c r="AB216" i="3"/>
  <c r="AB208" i="3"/>
  <c r="AB172" i="3"/>
  <c r="AB128" i="3"/>
  <c r="AB84" i="3"/>
  <c r="AB1268" i="3"/>
  <c r="AB1145" i="3"/>
  <c r="AB931" i="3"/>
  <c r="AB902" i="3"/>
  <c r="AB877" i="3"/>
  <c r="AB827" i="3"/>
  <c r="AB772" i="3"/>
  <c r="AB674" i="3"/>
  <c r="AB642" i="3"/>
  <c r="AB611" i="3"/>
  <c r="AB1229" i="3"/>
  <c r="AB1173" i="3"/>
  <c r="AB955" i="3"/>
  <c r="AB913" i="3"/>
  <c r="AB735" i="3"/>
  <c r="AB490" i="3"/>
  <c r="AB409" i="3"/>
  <c r="AB379" i="3"/>
  <c r="AB353" i="3"/>
  <c r="AB339" i="3"/>
  <c r="AB284" i="3"/>
  <c r="AB221" i="3"/>
  <c r="AB211" i="3"/>
  <c r="AB143" i="3"/>
  <c r="AB98" i="3"/>
  <c r="AB33" i="3"/>
  <c r="AB4" i="3"/>
  <c r="AB378" i="3"/>
  <c r="AB269" i="3"/>
  <c r="AB179" i="3"/>
  <c r="AB79" i="3"/>
  <c r="AB70" i="3"/>
  <c r="AB1228" i="3"/>
  <c r="AB1111" i="3"/>
  <c r="AB1053" i="3"/>
  <c r="AB1003" i="3"/>
  <c r="AB796" i="3"/>
  <c r="AB608" i="3"/>
  <c r="AB542" i="3"/>
  <c r="AB524" i="3"/>
  <c r="AB473" i="3"/>
  <c r="AB393" i="3"/>
  <c r="AB325" i="3"/>
  <c r="AB271" i="3"/>
  <c r="AB171" i="3"/>
  <c r="AB125" i="3"/>
  <c r="AB116" i="3"/>
  <c r="AB63" i="3"/>
  <c r="AB48" i="3"/>
  <c r="AB40" i="3"/>
  <c r="AB11" i="3"/>
  <c r="AB1100" i="3"/>
  <c r="AB732" i="3"/>
  <c r="AB88" i="3"/>
  <c r="AB1287" i="3"/>
  <c r="AB677" i="3"/>
  <c r="AB586" i="3"/>
  <c r="AB438" i="3"/>
  <c r="AB310" i="3"/>
  <c r="AB257" i="3"/>
  <c r="AB231" i="3"/>
  <c r="AB200" i="3"/>
  <c r="AB170" i="3"/>
  <c r="AB134" i="3"/>
  <c r="AB107" i="3"/>
  <c r="AB71" i="3"/>
  <c r="AB18" i="3"/>
  <c r="AB871" i="3"/>
  <c r="AB364" i="3"/>
  <c r="AB142" i="3"/>
  <c r="AB876" i="3"/>
  <c r="AB703" i="3"/>
  <c r="AB652" i="3"/>
  <c r="AB563" i="3"/>
  <c r="AB487" i="3"/>
  <c r="AB454" i="3"/>
  <c r="AB296" i="3"/>
  <c r="AB152" i="3"/>
  <c r="AB124" i="3"/>
  <c r="AB106" i="3"/>
  <c r="AB89" i="3"/>
  <c r="AB55" i="3"/>
  <c r="AB47" i="3"/>
  <c r="AB25" i="3"/>
  <c r="AB795" i="3"/>
  <c r="AB629" i="3"/>
  <c r="AB1099" i="3"/>
  <c r="AB759" i="3"/>
  <c r="AB585" i="3"/>
  <c r="AB504" i="3"/>
  <c r="AB230" i="3"/>
  <c r="AB220" i="3"/>
  <c r="AB97" i="3"/>
  <c r="AB1047" i="3"/>
  <c r="AB486" i="3"/>
  <c r="AB392" i="3"/>
  <c r="AB335" i="3"/>
  <c r="AB255" i="3"/>
  <c r="AB160" i="3"/>
  <c r="AB115" i="3"/>
  <c r="AB62" i="3"/>
  <c r="AB39" i="3"/>
  <c r="AB10" i="3"/>
  <c r="AB649" i="3"/>
  <c r="AB605" i="3"/>
  <c r="AB520" i="3"/>
  <c r="AB421" i="3"/>
  <c r="AB323" i="3"/>
  <c r="AB309" i="3"/>
  <c r="AB240" i="3"/>
  <c r="AB199" i="3"/>
  <c r="AB169" i="3"/>
  <c r="AB150" i="3"/>
  <c r="AB133" i="3"/>
  <c r="AB105" i="3"/>
  <c r="AB17" i="3"/>
  <c r="AB1277" i="3"/>
  <c r="AB1213" i="3"/>
  <c r="AB1040" i="3"/>
  <c r="AB944" i="3"/>
  <c r="AB864" i="3"/>
  <c r="AB794" i="3"/>
  <c r="AB701" i="3"/>
  <c r="AB673" i="3"/>
  <c r="AB536" i="3"/>
  <c r="AB390" i="3"/>
  <c r="AB376" i="3"/>
  <c r="AB267" i="3"/>
  <c r="AB1095" i="3"/>
  <c r="AB1038" i="3"/>
  <c r="AB601" i="3"/>
  <c r="AB556" i="3"/>
  <c r="AB1212" i="3"/>
  <c r="AB899" i="3"/>
  <c r="AB726" i="3"/>
  <c r="AB624" i="3"/>
  <c r="AB579" i="3"/>
  <c r="AB518" i="3"/>
  <c r="AB450" i="3"/>
  <c r="AB334" i="3"/>
  <c r="AB320" i="3"/>
  <c r="AB252" i="3"/>
  <c r="AB1146" i="3"/>
  <c r="AB1202" i="3"/>
  <c r="AB1201" i="3"/>
  <c r="AB1260" i="3"/>
  <c r="AB1079" i="3"/>
  <c r="AB1027" i="3"/>
  <c r="AB618" i="3"/>
  <c r="AB479" i="3"/>
  <c r="AB359" i="3"/>
  <c r="AB317" i="3"/>
  <c r="AB304" i="3"/>
  <c r="AB290" i="3"/>
  <c r="AB195" i="3"/>
  <c r="AB156" i="3"/>
  <c r="AB93" i="3"/>
  <c r="AB59" i="3"/>
  <c r="AB51" i="3"/>
  <c r="AB7" i="3"/>
  <c r="AB817" i="3"/>
  <c r="AB595" i="3"/>
  <c r="AB553" i="3"/>
  <c r="AB385" i="3"/>
  <c r="AB345" i="3"/>
  <c r="AB276" i="3"/>
  <c r="AB185" i="3"/>
  <c r="AB129" i="3"/>
  <c r="AB111" i="3"/>
  <c r="AB102" i="3"/>
  <c r="AB29" i="3"/>
  <c r="AB14" i="3"/>
  <c r="AB1194" i="3"/>
  <c r="AB1132" i="3"/>
  <c r="AB530" i="3"/>
  <c r="AB430" i="3"/>
  <c r="AB330" i="3"/>
  <c r="AB262" i="3"/>
  <c r="AB225" i="3"/>
  <c r="AB120" i="3"/>
  <c r="AB36" i="3"/>
  <c r="AB21" i="3"/>
  <c r="AB1184" i="3"/>
  <c r="AB1251" i="3"/>
  <c r="AB1238" i="3"/>
  <c r="AB1237" i="3"/>
  <c r="AB1178" i="3"/>
  <c r="AB1059" i="3"/>
  <c r="AB368" i="3"/>
  <c r="AB233" i="3"/>
  <c r="AB217" i="3"/>
  <c r="AB74" i="3"/>
  <c r="AB50" i="3"/>
  <c r="AB38" i="3"/>
  <c r="AB617" i="3"/>
  <c r="AB475" i="3"/>
  <c r="AB418" i="3"/>
  <c r="AB16" i="3"/>
  <c r="AB811" i="3"/>
  <c r="AB657" i="3"/>
  <c r="AB576" i="3"/>
  <c r="AB508" i="3"/>
  <c r="AB444" i="3"/>
  <c r="AB299" i="3"/>
  <c r="AB251" i="3"/>
  <c r="AB114" i="3"/>
  <c r="AB61" i="3"/>
  <c r="AB27" i="3"/>
  <c r="AB5" i="3"/>
  <c r="AB810" i="3"/>
  <c r="AB751" i="3"/>
  <c r="AB696" i="3"/>
  <c r="AB416" i="3"/>
  <c r="AB342" i="3"/>
  <c r="AB141" i="3"/>
  <c r="AB101" i="3"/>
  <c r="AB474" i="3"/>
  <c r="AB443" i="3"/>
  <c r="AB389" i="3"/>
  <c r="AB367" i="3"/>
  <c r="AB295" i="3"/>
  <c r="AB168" i="3"/>
  <c r="AB155" i="3"/>
  <c r="AB60" i="3"/>
  <c r="AB695" i="3"/>
  <c r="AB655" i="3"/>
  <c r="AB533" i="3"/>
  <c r="AB500" i="3"/>
  <c r="AB415" i="3"/>
  <c r="AB274" i="3"/>
  <c r="AB214" i="3"/>
  <c r="AB49" i="3"/>
  <c r="AB37" i="3"/>
  <c r="AB20" i="3"/>
  <c r="AB148" i="3"/>
  <c r="AB174" i="3"/>
  <c r="AB77" i="3"/>
  <c r="AB123" i="3"/>
  <c r="AB265" i="3"/>
  <c r="AB347" i="3"/>
  <c r="AB436" i="3"/>
  <c r="AB492" i="3"/>
  <c r="AB623" i="3"/>
  <c r="AB712" i="3"/>
  <c r="AB149" i="3"/>
  <c r="AB175" i="3"/>
  <c r="AB348" i="3"/>
  <c r="AB548" i="3"/>
  <c r="AB204" i="3"/>
  <c r="AB397" i="3"/>
  <c r="AB176" i="3"/>
  <c r="AB234" i="3"/>
  <c r="AB266" i="3"/>
  <c r="AB19" i="3"/>
  <c r="L2" i="3"/>
  <c r="V2" i="3" s="1"/>
  <c r="V1305" i="3"/>
  <c r="V1273" i="3"/>
  <c r="V1241" i="3"/>
  <c r="V1209" i="3"/>
  <c r="V1177" i="3"/>
  <c r="V1145" i="3"/>
  <c r="V1113" i="3"/>
  <c r="V1081" i="3"/>
  <c r="V1304" i="3"/>
  <c r="V1272" i="3"/>
  <c r="V1240" i="3"/>
  <c r="V1208" i="3"/>
  <c r="V1176" i="3"/>
  <c r="V1144" i="3"/>
  <c r="V1112" i="3"/>
  <c r="V1080" i="3"/>
  <c r="V1303" i="3"/>
  <c r="V1271" i="3"/>
  <c r="V1239" i="3"/>
  <c r="V1207" i="3"/>
  <c r="V1175" i="3"/>
  <c r="V1143" i="3"/>
  <c r="V1111" i="3"/>
  <c r="V1307" i="3"/>
  <c r="V1269" i="3"/>
  <c r="V1234" i="3"/>
  <c r="V1199" i="3"/>
  <c r="V1164" i="3"/>
  <c r="V1129" i="3"/>
  <c r="V1094" i="3"/>
  <c r="V1060" i="3"/>
  <c r="V1028" i="3"/>
  <c r="V996" i="3"/>
  <c r="V964" i="3"/>
  <c r="V932" i="3"/>
  <c r="V900" i="3"/>
  <c r="V868" i="3"/>
  <c r="V836" i="3"/>
  <c r="V804" i="3"/>
  <c r="V772" i="3"/>
  <c r="V740" i="3"/>
  <c r="V708" i="3"/>
  <c r="V676" i="3"/>
  <c r="V644" i="3"/>
  <c r="V612" i="3"/>
  <c r="V580" i="3"/>
  <c r="V548" i="3"/>
  <c r="V516" i="3"/>
  <c r="V484" i="3"/>
  <c r="V452" i="3"/>
  <c r="V420" i="3"/>
  <c r="V388" i="3"/>
  <c r="V356" i="3"/>
  <c r="V324" i="3"/>
  <c r="V292" i="3"/>
  <c r="V260" i="3"/>
  <c r="V228" i="3"/>
  <c r="V196" i="3"/>
  <c r="V164" i="3"/>
  <c r="V132" i="3"/>
  <c r="V100" i="3"/>
  <c r="V68" i="3"/>
  <c r="V36" i="3"/>
  <c r="V4" i="3"/>
  <c r="V1300" i="3"/>
  <c r="V1230" i="3"/>
  <c r="V1195" i="3"/>
  <c r="V1125" i="3"/>
  <c r="V1090" i="3"/>
  <c r="V1024" i="3"/>
  <c r="V992" i="3"/>
  <c r="V960" i="3"/>
  <c r="V928" i="3"/>
  <c r="V864" i="3"/>
  <c r="V800" i="3"/>
  <c r="V768" i="3"/>
  <c r="V736" i="3"/>
  <c r="V704" i="3"/>
  <c r="V672" i="3"/>
  <c r="V576" i="3"/>
  <c r="V512" i="3"/>
  <c r="V416" i="3"/>
  <c r="V384" i="3"/>
  <c r="V320" i="3"/>
  <c r="V192" i="3"/>
  <c r="V128" i="3"/>
  <c r="V32" i="3"/>
  <c r="V671" i="3"/>
  <c r="V319" i="3"/>
  <c r="V127" i="3"/>
  <c r="V1306" i="3"/>
  <c r="V1268" i="3"/>
  <c r="V1233" i="3"/>
  <c r="V1198" i="3"/>
  <c r="V1163" i="3"/>
  <c r="V1128" i="3"/>
  <c r="V1093" i="3"/>
  <c r="V1059" i="3"/>
  <c r="V1027" i="3"/>
  <c r="V995" i="3"/>
  <c r="V963" i="3"/>
  <c r="V931" i="3"/>
  <c r="V899" i="3"/>
  <c r="V867" i="3"/>
  <c r="V835" i="3"/>
  <c r="V803" i="3"/>
  <c r="V771" i="3"/>
  <c r="V739" i="3"/>
  <c r="V707" i="3"/>
  <c r="V675" i="3"/>
  <c r="V643" i="3"/>
  <c r="V611" i="3"/>
  <c r="V579" i="3"/>
  <c r="V547" i="3"/>
  <c r="V515" i="3"/>
  <c r="V483" i="3"/>
  <c r="V451" i="3"/>
  <c r="V419" i="3"/>
  <c r="V387" i="3"/>
  <c r="V355" i="3"/>
  <c r="V323" i="3"/>
  <c r="V291" i="3"/>
  <c r="V259" i="3"/>
  <c r="V227" i="3"/>
  <c r="V195" i="3"/>
  <c r="V163" i="3"/>
  <c r="V131" i="3"/>
  <c r="V99" i="3"/>
  <c r="V67" i="3"/>
  <c r="V35" i="3"/>
  <c r="V3" i="3"/>
  <c r="V1056" i="3"/>
  <c r="V544" i="3"/>
  <c r="V256" i="3"/>
  <c r="V64" i="3"/>
  <c r="V543" i="3"/>
  <c r="V31" i="3"/>
  <c r="V638" i="3"/>
  <c r="V478" i="3"/>
  <c r="V1302" i="3"/>
  <c r="V1267" i="3"/>
  <c r="V1232" i="3"/>
  <c r="V1197" i="3"/>
  <c r="V1162" i="3"/>
  <c r="V1127" i="3"/>
  <c r="V1092" i="3"/>
  <c r="V1058" i="3"/>
  <c r="V1026" i="3"/>
  <c r="V994" i="3"/>
  <c r="V962" i="3"/>
  <c r="V930" i="3"/>
  <c r="V898" i="3"/>
  <c r="V866" i="3"/>
  <c r="V834" i="3"/>
  <c r="V802" i="3"/>
  <c r="V770" i="3"/>
  <c r="V738" i="3"/>
  <c r="V706" i="3"/>
  <c r="V674" i="3"/>
  <c r="V642" i="3"/>
  <c r="V610" i="3"/>
  <c r="V578" i="3"/>
  <c r="V546" i="3"/>
  <c r="V514" i="3"/>
  <c r="V482" i="3"/>
  <c r="V450" i="3"/>
  <c r="V418" i="3"/>
  <c r="V386" i="3"/>
  <c r="V354" i="3"/>
  <c r="V322" i="3"/>
  <c r="V290" i="3"/>
  <c r="V258" i="3"/>
  <c r="V226" i="3"/>
  <c r="V194" i="3"/>
  <c r="V162" i="3"/>
  <c r="V130" i="3"/>
  <c r="V98" i="3"/>
  <c r="V66" i="3"/>
  <c r="V34" i="3"/>
  <c r="V1265" i="3"/>
  <c r="V896" i="3"/>
  <c r="V640" i="3"/>
  <c r="V480" i="3"/>
  <c r="V352" i="3"/>
  <c r="V224" i="3"/>
  <c r="V96" i="3"/>
  <c r="V1264" i="3"/>
  <c r="V1229" i="3"/>
  <c r="V1194" i="3"/>
  <c r="V1159" i="3"/>
  <c r="V1089" i="3"/>
  <c r="V1055" i="3"/>
  <c r="V1023" i="3"/>
  <c r="V991" i="3"/>
  <c r="V959" i="3"/>
  <c r="V927" i="3"/>
  <c r="V895" i="3"/>
  <c r="V831" i="3"/>
  <c r="V799" i="3"/>
  <c r="V767" i="3"/>
  <c r="V703" i="3"/>
  <c r="V639" i="3"/>
  <c r="V575" i="3"/>
  <c r="V511" i="3"/>
  <c r="V479" i="3"/>
  <c r="V415" i="3"/>
  <c r="V351" i="3"/>
  <c r="V255" i="3"/>
  <c r="V191" i="3"/>
  <c r="V95" i="3"/>
  <c r="V702" i="3"/>
  <c r="V574" i="3"/>
  <c r="V414" i="3"/>
  <c r="V1301" i="3"/>
  <c r="V1266" i="3"/>
  <c r="V1231" i="3"/>
  <c r="V1196" i="3"/>
  <c r="V1161" i="3"/>
  <c r="V1126" i="3"/>
  <c r="V1091" i="3"/>
  <c r="V1057" i="3"/>
  <c r="V1025" i="3"/>
  <c r="V993" i="3"/>
  <c r="V961" i="3"/>
  <c r="V929" i="3"/>
  <c r="V897" i="3"/>
  <c r="V865" i="3"/>
  <c r="V833" i="3"/>
  <c r="V801" i="3"/>
  <c r="V769" i="3"/>
  <c r="V737" i="3"/>
  <c r="V705" i="3"/>
  <c r="V673" i="3"/>
  <c r="V641" i="3"/>
  <c r="V609" i="3"/>
  <c r="V577" i="3"/>
  <c r="V545" i="3"/>
  <c r="V513" i="3"/>
  <c r="V481" i="3"/>
  <c r="V449" i="3"/>
  <c r="V417" i="3"/>
  <c r="V385" i="3"/>
  <c r="V353" i="3"/>
  <c r="V321" i="3"/>
  <c r="V289" i="3"/>
  <c r="V257" i="3"/>
  <c r="V225" i="3"/>
  <c r="V193" i="3"/>
  <c r="V161" i="3"/>
  <c r="V129" i="3"/>
  <c r="V97" i="3"/>
  <c r="V65" i="3"/>
  <c r="V33" i="3"/>
  <c r="V1299" i="3"/>
  <c r="V863" i="3"/>
  <c r="V607" i="3"/>
  <c r="V447" i="3"/>
  <c r="V287" i="3"/>
  <c r="V223" i="3"/>
  <c r="V159" i="3"/>
  <c r="V542" i="3"/>
  <c r="V446" i="3"/>
  <c r="V1160" i="3"/>
  <c r="V832" i="3"/>
  <c r="V608" i="3"/>
  <c r="V448" i="3"/>
  <c r="V288" i="3"/>
  <c r="V160" i="3"/>
  <c r="V1124" i="3"/>
  <c r="V735" i="3"/>
  <c r="V383" i="3"/>
  <c r="V63" i="3"/>
  <c r="V606" i="3"/>
  <c r="V510" i="3"/>
  <c r="V1298" i="3"/>
  <c r="V1263" i="3"/>
  <c r="V1228" i="3"/>
  <c r="V1193" i="3"/>
  <c r="V1158" i="3"/>
  <c r="V1123" i="3"/>
  <c r="V1088" i="3"/>
  <c r="V1054" i="3"/>
  <c r="V1022" i="3"/>
  <c r="V990" i="3"/>
  <c r="V958" i="3"/>
  <c r="V926" i="3"/>
  <c r="V894" i="3"/>
  <c r="V862" i="3"/>
  <c r="V830" i="3"/>
  <c r="V798" i="3"/>
  <c r="V766" i="3"/>
  <c r="V1297" i="3"/>
  <c r="V1262" i="3"/>
  <c r="V1227" i="3"/>
  <c r="V1192" i="3"/>
  <c r="V1157" i="3"/>
  <c r="V1122" i="3"/>
  <c r="V1087" i="3"/>
  <c r="V1053" i="3"/>
  <c r="V1021" i="3"/>
  <c r="V989" i="3"/>
  <c r="V957" i="3"/>
  <c r="V925" i="3"/>
  <c r="V893" i="3"/>
  <c r="V861" i="3"/>
  <c r="V829" i="3"/>
  <c r="V797" i="3"/>
  <c r="V765" i="3"/>
  <c r="V1286" i="3"/>
  <c r="V1251" i="3"/>
  <c r="V1216" i="3"/>
  <c r="V1181" i="3"/>
  <c r="V1285" i="3"/>
  <c r="V1250" i="3"/>
  <c r="V1215" i="3"/>
  <c r="V1180" i="3"/>
  <c r="V1284" i="3"/>
  <c r="V1249" i="3"/>
  <c r="V1214" i="3"/>
  <c r="V1179" i="3"/>
  <c r="V1295" i="3"/>
  <c r="V1246" i="3"/>
  <c r="V1189" i="3"/>
  <c r="V1140" i="3"/>
  <c r="V1097" i="3"/>
  <c r="V1047" i="3"/>
  <c r="V1007" i="3"/>
  <c r="V967" i="3"/>
  <c r="V919" i="3"/>
  <c r="V879" i="3"/>
  <c r="V839" i="3"/>
  <c r="V791" i="3"/>
  <c r="V751" i="3"/>
  <c r="V713" i="3"/>
  <c r="V668" i="3"/>
  <c r="V629" i="3"/>
  <c r="V590" i="3"/>
  <c r="V551" i="3"/>
  <c r="V505" i="3"/>
  <c r="V466" i="3"/>
  <c r="V427" i="3"/>
  <c r="V382" i="3"/>
  <c r="V344" i="3"/>
  <c r="V306" i="3"/>
  <c r="V268" i="3"/>
  <c r="V230" i="3"/>
  <c r="V186" i="3"/>
  <c r="V148" i="3"/>
  <c r="V110" i="3"/>
  <c r="V72" i="3"/>
  <c r="V28" i="3"/>
  <c r="V1294" i="3"/>
  <c r="V1245" i="3"/>
  <c r="V1188" i="3"/>
  <c r="V1139" i="3"/>
  <c r="V1096" i="3"/>
  <c r="V1046" i="3"/>
  <c r="V1006" i="3"/>
  <c r="V966" i="3"/>
  <c r="V918" i="3"/>
  <c r="V878" i="3"/>
  <c r="V838" i="3"/>
  <c r="V790" i="3"/>
  <c r="V750" i="3"/>
  <c r="V712" i="3"/>
  <c r="V667" i="3"/>
  <c r="V628" i="3"/>
  <c r="V589" i="3"/>
  <c r="V550" i="3"/>
  <c r="V504" i="3"/>
  <c r="V465" i="3"/>
  <c r="V426" i="3"/>
  <c r="V381" i="3"/>
  <c r="V343" i="3"/>
  <c r="V305" i="3"/>
  <c r="V267" i="3"/>
  <c r="V229" i="3"/>
  <c r="V185" i="3"/>
  <c r="V147" i="3"/>
  <c r="V109" i="3"/>
  <c r="V71" i="3"/>
  <c r="V27" i="3"/>
  <c r="AB104" i="3"/>
  <c r="AB130" i="3"/>
  <c r="AB206" i="3"/>
  <c r="AB313" i="3"/>
  <c r="AB449" i="3"/>
  <c r="AB713" i="3"/>
  <c r="AB964" i="3"/>
  <c r="AB42" i="3"/>
  <c r="AB82" i="3"/>
  <c r="AB153" i="3"/>
  <c r="AB398" i="3"/>
  <c r="AB495" i="3"/>
  <c r="AB555" i="3"/>
  <c r="AB632" i="3"/>
  <c r="AB178" i="3"/>
  <c r="AB236" i="3"/>
  <c r="AB194" i="3"/>
  <c r="AB315" i="3"/>
  <c r="AB716" i="3"/>
  <c r="AB57" i="3"/>
  <c r="AB181" i="3"/>
  <c r="AB237" i="3"/>
  <c r="AB451" i="3"/>
  <c r="AB44" i="3"/>
  <c r="AB83" i="3"/>
  <c r="AB108" i="3"/>
  <c r="AB131" i="3"/>
  <c r="AB316" i="3"/>
  <c r="AB566" i="3"/>
  <c r="AB971" i="3"/>
  <c r="AB8" i="3"/>
  <c r="AB404" i="3"/>
  <c r="AB457" i="3"/>
  <c r="AB725" i="3"/>
  <c r="AB842" i="3"/>
  <c r="AB975" i="3"/>
  <c r="AB109" i="3"/>
  <c r="AB159" i="3"/>
  <c r="AB184" i="3"/>
  <c r="AB405" i="3"/>
  <c r="AB511" i="3"/>
  <c r="AB639" i="3"/>
  <c r="AB52" i="3"/>
  <c r="AB212" i="3"/>
  <c r="AB458" i="3"/>
  <c r="AB737" i="3"/>
  <c r="AB847" i="3"/>
  <c r="AB28" i="3"/>
  <c r="AB65" i="3"/>
  <c r="AB281" i="3"/>
  <c r="AB1008" i="3"/>
  <c r="AB90" i="3"/>
  <c r="AB187" i="3"/>
  <c r="AB213" i="3"/>
  <c r="AB411" i="3"/>
  <c r="AB580" i="3"/>
  <c r="AB1017" i="3"/>
  <c r="AB144" i="3"/>
  <c r="AB186" i="3"/>
  <c r="AB203" i="3"/>
  <c r="AB396" i="3"/>
  <c r="AB477" i="3"/>
  <c r="AB509" i="3"/>
  <c r="AB658" i="3"/>
  <c r="AB752" i="3"/>
  <c r="AB819" i="3"/>
  <c r="AB31" i="3"/>
  <c r="AB66" i="3"/>
  <c r="AB80" i="3"/>
  <c r="AB121" i="3"/>
  <c r="AB135" i="3"/>
  <c r="AB223" i="3"/>
  <c r="AB429" i="3"/>
  <c r="AB724" i="3"/>
  <c r="AB844" i="3"/>
  <c r="V166" i="3"/>
  <c r="V242" i="3"/>
  <c r="V318" i="3"/>
  <c r="V400" i="3"/>
  <c r="V485" i="3"/>
  <c r="V602" i="3"/>
  <c r="V686" i="3"/>
  <c r="V763" i="3"/>
  <c r="V891" i="3"/>
  <c r="V1067" i="3"/>
  <c r="V9" i="3"/>
  <c r="V47" i="3"/>
  <c r="V85" i="3"/>
  <c r="V123" i="3"/>
  <c r="V167" i="3"/>
  <c r="V205" i="3"/>
  <c r="V243" i="3"/>
  <c r="V281" i="3"/>
  <c r="V325" i="3"/>
  <c r="V363" i="3"/>
  <c r="V401" i="3"/>
  <c r="V440" i="3"/>
  <c r="V486" i="3"/>
  <c r="V525" i="3"/>
  <c r="V564" i="3"/>
  <c r="V603" i="3"/>
  <c r="V649" i="3"/>
  <c r="V687" i="3"/>
  <c r="V726" i="3"/>
  <c r="V764" i="3"/>
  <c r="V812" i="3"/>
  <c r="V852" i="3"/>
  <c r="V892" i="3"/>
  <c r="V940" i="3"/>
  <c r="V980" i="3"/>
  <c r="V1020" i="3"/>
  <c r="V1068" i="3"/>
  <c r="V1110" i="3"/>
  <c r="V1156" i="3"/>
  <c r="V1213" i="3"/>
  <c r="V1270" i="3"/>
  <c r="AB43" i="3"/>
  <c r="AB207" i="3"/>
  <c r="AB306" i="3"/>
  <c r="AB354" i="3"/>
  <c r="AB594" i="3"/>
  <c r="AB682" i="3"/>
  <c r="AB987" i="3"/>
  <c r="V280" i="3"/>
  <c r="V362" i="3"/>
  <c r="V439" i="3"/>
  <c r="V524" i="3"/>
  <c r="V563" i="3"/>
  <c r="V648" i="3"/>
  <c r="V725" i="3"/>
  <c r="V811" i="3"/>
  <c r="V851" i="3"/>
  <c r="V939" i="3"/>
  <c r="V979" i="3"/>
  <c r="V1019" i="3"/>
  <c r="V1109" i="3"/>
  <c r="V1155" i="3"/>
  <c r="V1212" i="3"/>
  <c r="V1261" i="3"/>
  <c r="V10" i="3"/>
  <c r="V48" i="3"/>
  <c r="V86" i="3"/>
  <c r="V124" i="3"/>
  <c r="V168" i="3"/>
  <c r="V206" i="3"/>
  <c r="V244" i="3"/>
  <c r="V282" i="3"/>
  <c r="V326" i="3"/>
  <c r="V364" i="3"/>
  <c r="V402" i="3"/>
  <c r="V441" i="3"/>
  <c r="V487" i="3"/>
  <c r="V526" i="3"/>
  <c r="V565" i="3"/>
  <c r="V604" i="3"/>
  <c r="V650" i="3"/>
  <c r="V688" i="3"/>
  <c r="V727" i="3"/>
  <c r="V773" i="3"/>
  <c r="V813" i="3"/>
  <c r="V853" i="3"/>
  <c r="V901" i="3"/>
  <c r="V941" i="3"/>
  <c r="V981" i="3"/>
  <c r="V1029" i="3"/>
  <c r="V1069" i="3"/>
  <c r="V1114" i="3"/>
  <c r="V1165" i="3"/>
  <c r="V1217" i="3"/>
  <c r="V1274" i="3"/>
  <c r="AB56" i="3"/>
  <c r="AB163" i="3"/>
  <c r="AB239" i="3"/>
  <c r="AB287" i="3"/>
  <c r="AB308" i="3"/>
  <c r="AB431" i="3"/>
  <c r="AB921" i="3"/>
  <c r="AB989" i="3"/>
  <c r="AB1007" i="3"/>
  <c r="V1034" i="3"/>
  <c r="V1074" i="3"/>
  <c r="V1119" i="3"/>
  <c r="V1170" i="3"/>
  <c r="V1222" i="3"/>
  <c r="V1279" i="3"/>
  <c r="AB23" i="3"/>
  <c r="AB45" i="3"/>
  <c r="AB96" i="3"/>
  <c r="AB137" i="3"/>
  <c r="AB245" i="3"/>
  <c r="AB357" i="3"/>
  <c r="AB464" i="3"/>
  <c r="AB526" i="3"/>
  <c r="AB565" i="3"/>
  <c r="AB600" i="3"/>
  <c r="AB740" i="3"/>
  <c r="V19" i="3"/>
  <c r="V57" i="3"/>
  <c r="V101" i="3"/>
  <c r="V139" i="3"/>
  <c r="V177" i="3"/>
  <c r="V215" i="3"/>
  <c r="V253" i="3"/>
  <c r="V297" i="3"/>
  <c r="V335" i="3"/>
  <c r="V373" i="3"/>
  <c r="V411" i="3"/>
  <c r="V457" i="3"/>
  <c r="V496" i="3"/>
  <c r="V535" i="3"/>
  <c r="V581" i="3"/>
  <c r="V620" i="3"/>
  <c r="V659" i="3"/>
  <c r="V697" i="3"/>
  <c r="V742" i="3"/>
  <c r="V782" i="3"/>
  <c r="V822" i="3"/>
  <c r="V870" i="3"/>
  <c r="V910" i="3"/>
  <c r="V950" i="3"/>
  <c r="V998" i="3"/>
  <c r="V1038" i="3"/>
  <c r="V1078" i="3"/>
  <c r="V1131" i="3"/>
  <c r="V1174" i="3"/>
  <c r="V1226" i="3"/>
  <c r="V1283" i="3"/>
  <c r="AB46" i="3"/>
  <c r="AB167" i="3"/>
  <c r="AB360" i="3"/>
  <c r="AB528" i="3"/>
  <c r="V1039" i="3"/>
  <c r="V1079" i="3"/>
  <c r="V1132" i="3"/>
  <c r="V1178" i="3"/>
  <c r="V1235" i="3"/>
  <c r="V1287" i="3"/>
  <c r="AB24" i="3"/>
  <c r="AB140" i="3"/>
  <c r="AB182" i="3"/>
  <c r="AB413" i="3"/>
  <c r="AB499" i="3"/>
  <c r="V21" i="3"/>
  <c r="V59" i="3"/>
  <c r="V103" i="3"/>
  <c r="V141" i="3"/>
  <c r="V179" i="3"/>
  <c r="V217" i="3"/>
  <c r="V261" i="3"/>
  <c r="V299" i="3"/>
  <c r="V337" i="3"/>
  <c r="V375" i="3"/>
  <c r="V413" i="3"/>
  <c r="V459" i="3"/>
  <c r="V498" i="3"/>
  <c r="V537" i="3"/>
  <c r="V583" i="3"/>
  <c r="V622" i="3"/>
  <c r="V661" i="3"/>
  <c r="V699" i="3"/>
  <c r="V744" i="3"/>
  <c r="V784" i="3"/>
  <c r="V824" i="3"/>
  <c r="V872" i="3"/>
  <c r="V912" i="3"/>
  <c r="V952" i="3"/>
  <c r="V1000" i="3"/>
  <c r="V1040" i="3"/>
  <c r="V1082" i="3"/>
  <c r="V1133" i="3"/>
  <c r="V1182" i="3"/>
  <c r="V1236" i="3"/>
  <c r="V1288" i="3"/>
  <c r="AB26" i="3"/>
  <c r="AB72" i="3"/>
  <c r="AB85" i="3"/>
  <c r="AB99" i="3"/>
  <c r="AB112" i="3"/>
  <c r="AB127" i="3"/>
  <c r="AB229" i="3"/>
  <c r="AB272" i="3"/>
  <c r="AB294" i="3"/>
  <c r="AB340" i="3"/>
  <c r="AB693" i="3"/>
  <c r="V23" i="3"/>
  <c r="V61" i="3"/>
  <c r="V105" i="3"/>
  <c r="V143" i="3"/>
  <c r="V181" i="3"/>
  <c r="V219" i="3"/>
  <c r="V263" i="3"/>
  <c r="V301" i="3"/>
  <c r="V339" i="3"/>
  <c r="V377" i="3"/>
  <c r="V422" i="3"/>
  <c r="V461" i="3"/>
  <c r="V500" i="3"/>
  <c r="V539" i="3"/>
  <c r="V585" i="3"/>
  <c r="V624" i="3"/>
  <c r="V663" i="3"/>
  <c r="V701" i="3"/>
  <c r="V746" i="3"/>
  <c r="V786" i="3"/>
  <c r="V826" i="3"/>
  <c r="V874" i="3"/>
  <c r="V914" i="3"/>
  <c r="V954" i="3"/>
  <c r="V1002" i="3"/>
  <c r="V1042" i="3"/>
  <c r="V1084" i="3"/>
  <c r="V1135" i="3"/>
  <c r="V1184" i="3"/>
  <c r="V1238" i="3"/>
  <c r="V1290" i="3"/>
  <c r="V24" i="3"/>
  <c r="V62" i="3"/>
  <c r="V106" i="3"/>
  <c r="V144" i="3"/>
  <c r="V182" i="3"/>
  <c r="V220" i="3"/>
  <c r="V264" i="3"/>
  <c r="V302" i="3"/>
  <c r="V340" i="3"/>
  <c r="V378" i="3"/>
  <c r="V423" i="3"/>
  <c r="V462" i="3"/>
  <c r="V501" i="3"/>
  <c r="V540" i="3"/>
  <c r="V586" i="3"/>
  <c r="V625" i="3"/>
  <c r="V664" i="3"/>
  <c r="V709" i="3"/>
  <c r="V747" i="3"/>
  <c r="V787" i="3"/>
  <c r="V827" i="3"/>
  <c r="V875" i="3"/>
  <c r="V915" i="3"/>
  <c r="V955" i="3"/>
  <c r="V1003" i="3"/>
  <c r="V1043" i="3"/>
  <c r="V1085" i="3"/>
  <c r="V1136" i="3"/>
  <c r="V1185" i="3"/>
  <c r="V1242" i="3"/>
  <c r="V1291" i="3"/>
  <c r="AB86" i="3"/>
  <c r="V26" i="3"/>
  <c r="V70" i="3"/>
  <c r="V108" i="3"/>
  <c r="V146" i="3"/>
  <c r="V184" i="3"/>
  <c r="V222" i="3"/>
  <c r="V266" i="3"/>
  <c r="V304" i="3"/>
  <c r="V342" i="3"/>
  <c r="V380" i="3"/>
  <c r="V425" i="3"/>
  <c r="V464" i="3"/>
  <c r="V503" i="3"/>
  <c r="V549" i="3"/>
  <c r="V588" i="3"/>
  <c r="V627" i="3"/>
  <c r="V666" i="3"/>
  <c r="V711" i="3"/>
  <c r="V749" i="3"/>
  <c r="V789" i="3"/>
  <c r="V837" i="3"/>
  <c r="V877" i="3"/>
  <c r="V917" i="3"/>
  <c r="V965" i="3"/>
  <c r="V1005" i="3"/>
  <c r="V1045" i="3"/>
  <c r="V1095" i="3"/>
  <c r="V1138" i="3"/>
  <c r="V1187" i="3"/>
  <c r="V1244" i="3"/>
  <c r="V1293" i="3"/>
  <c r="AB6" i="3"/>
  <c r="AB3" i="3"/>
  <c r="AB312" i="3"/>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AB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75C80F-43CB-4D9C-ABC6-DD8B99CE880A}" keepAlive="1" name="Query - tblAssociates" description="Connection to the 'tblAssociates' query in the workbook." type="5" refreshedVersion="8" background="1" saveData="1">
    <dbPr connection="Provider=Microsoft.Mashup.OleDb.1;Data Source=$Workbook$;Location=tblAssociates;Extended Properties=&quot;&quot;" command="SELECT * FROM [tblAssociates]"/>
  </connection>
  <connection id="2" xr16:uid="{92CE2F8E-C529-4B1D-936A-0B03AA8424D4}" keepAlive="1" name="Query - tblDocketedComments" description="Connection to the 'tblDocketedComments' query in the workbook." type="5" refreshedVersion="8" background="1" saveData="1">
    <dbPr connection="Provider=Microsoft.Mashup.OleDb.1;Data Source=$Workbook$;Location=tblDocketedComments;Extended Properties=&quot;&quot;" command="SELECT * FROM [tblDocketedComment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<sst xmlns="http://schemas.openxmlformats.org/spreadsheetml/2006/main" count="32756" uniqueCount="6980">
  <si>
    <t>Date</t>
  </si>
  <si>
    <t>Last Name</t>
  </si>
  <si>
    <t>First Name</t>
  </si>
  <si>
    <t>City</t>
  </si>
  <si>
    <t>Zip code</t>
  </si>
  <si>
    <t>Issue / Complaint</t>
  </si>
  <si>
    <t>Docketed Consumer Comments</t>
  </si>
  <si>
    <t>Account #</t>
  </si>
  <si>
    <t>Rate Plan</t>
  </si>
  <si>
    <t>E3?</t>
  </si>
  <si>
    <t>MCP?</t>
  </si>
  <si>
    <t>Cust on MEP</t>
  </si>
  <si>
    <t>PA?</t>
  </si>
  <si>
    <t>Payoff Balance</t>
  </si>
  <si>
    <t>Team Reviewed</t>
  </si>
  <si>
    <t>Response Y(date)/N</t>
  </si>
  <si>
    <t>Last date of Account review</t>
  </si>
  <si>
    <t>Notes</t>
  </si>
  <si>
    <t>ACC Inquiry Sent to CA</t>
  </si>
  <si>
    <t>APS CA Referral</t>
  </si>
  <si>
    <t>Comments</t>
  </si>
  <si>
    <t>Include_Row</t>
  </si>
  <si>
    <t>Abidali</t>
  </si>
  <si>
    <t>Sanar</t>
  </si>
  <si>
    <t>Glendale</t>
  </si>
  <si>
    <t xml:space="preserve">Opposed </t>
  </si>
  <si>
    <t xml:space="preserve">https://images.edocket.azcc.gov/docketpdf/E000044112.pdf
</t>
  </si>
  <si>
    <t>Unable to Locate Acct</t>
  </si>
  <si>
    <t>Paulus</t>
  </si>
  <si>
    <t>Carl</t>
  </si>
  <si>
    <t>Unknown</t>
  </si>
  <si>
    <t>Opposed</t>
  </si>
  <si>
    <t>https://images.edocket.azcc.gov/docketpdf/E000044128.pdf</t>
  </si>
  <si>
    <t>Wall</t>
  </si>
  <si>
    <t>Rae</t>
  </si>
  <si>
    <t>https://images.edocket.azcc.gov/docketpdf/E000044126.pdf</t>
  </si>
  <si>
    <t>R3-47</t>
  </si>
  <si>
    <t>No</t>
  </si>
  <si>
    <t>Yes</t>
  </si>
  <si>
    <t>N</t>
  </si>
  <si>
    <t>Also filed 6/10, 6/12, 6/16</t>
  </si>
  <si>
    <t>Gwiazda</t>
  </si>
  <si>
    <t>Patricia</t>
  </si>
  <si>
    <t>Youngtown</t>
  </si>
  <si>
    <t>https://images.edocket.azcc.gov/docketpdf/E000044147.pdf</t>
  </si>
  <si>
    <t>2074850000</t>
  </si>
  <si>
    <t>RCPw/RTOUE47</t>
  </si>
  <si>
    <t>No - MEP is R3-47 ($65.13)</t>
  </si>
  <si>
    <t xml:space="preserve">MEP Annual Savings - $67.68 - Didn't Contact </t>
  </si>
  <si>
    <t>Phillips</t>
  </si>
  <si>
    <t>Crystal</t>
  </si>
  <si>
    <t xml:space="preserve">Young </t>
  </si>
  <si>
    <t>Beame</t>
  </si>
  <si>
    <t>Sndney</t>
  </si>
  <si>
    <t>Opposed/Senior/fixed income</t>
  </si>
  <si>
    <t>https://images.edocket.azcc.gov/docketpdf/E000044169.pdf</t>
  </si>
  <si>
    <t>8991140195</t>
  </si>
  <si>
    <t>R-BASICL</t>
  </si>
  <si>
    <t>No - MEP R3-47 ($192.78)</t>
  </si>
  <si>
    <t>11/03 - Customer agreed to change to their MEP</t>
  </si>
  <si>
    <t>Estimated savings $225.94/12 = $18.82 potential monthly savings on MEP</t>
  </si>
  <si>
    <t>Scoggins</t>
  </si>
  <si>
    <t>Troy</t>
  </si>
  <si>
    <t>Phoenix</t>
  </si>
  <si>
    <t>https://images.edocket.azcc.gov/docketpdf/E000044282.pdf</t>
  </si>
  <si>
    <t>Unable to locate account with name provided</t>
  </si>
  <si>
    <t>Nuccio</t>
  </si>
  <si>
    <t>Tina</t>
  </si>
  <si>
    <t>Cave Creek</t>
  </si>
  <si>
    <t>https://images.edocket.azcc.gov/docketpdf/E000044298.pdf</t>
  </si>
  <si>
    <t>Henkel</t>
  </si>
  <si>
    <t>Dean</t>
  </si>
  <si>
    <t>https://images.edocket.azcc.gov/docketpdf/E000044312.pdf</t>
  </si>
  <si>
    <t>R-XS</t>
  </si>
  <si>
    <t>Palmer</t>
  </si>
  <si>
    <t>William</t>
  </si>
  <si>
    <t>https://images.edocket.azcc.gov/docketpdf/E000044514.pdf</t>
  </si>
  <si>
    <t>Not able to locate specific account</t>
  </si>
  <si>
    <t>Paulsen</t>
  </si>
  <si>
    <t>Jodi</t>
  </si>
  <si>
    <t>7938430000</t>
  </si>
  <si>
    <t>EPR-6w/ET-1</t>
  </si>
  <si>
    <t>Not able to Compare</t>
  </si>
  <si>
    <t>Berto</t>
  </si>
  <si>
    <t>Kim &amp; Dave</t>
  </si>
  <si>
    <t>Chino Valley</t>
  </si>
  <si>
    <t>https://images.edocket.azcc.gov/docketpdf/E000044536.pdf</t>
  </si>
  <si>
    <t>Misamore</t>
  </si>
  <si>
    <t>Bruce</t>
  </si>
  <si>
    <t>Sedona</t>
  </si>
  <si>
    <t>Inactive Acct</t>
  </si>
  <si>
    <t>Shroyer</t>
  </si>
  <si>
    <t>Mary Lynne</t>
  </si>
  <si>
    <t>Sun City</t>
  </si>
  <si>
    <t>https://images.edocket.azcc.gov/docketpdf/E000044648.pdf</t>
  </si>
  <si>
    <t>Driscoll</t>
  </si>
  <si>
    <t>David &amp; Donna</t>
  </si>
  <si>
    <t>https://images.edocket.azcc.gov/docketpdf/E000044766.pdf</t>
  </si>
  <si>
    <t>6242500593</t>
  </si>
  <si>
    <t xml:space="preserve"> No - MEP R3-47($151.35)</t>
  </si>
  <si>
    <t>Prior ACC Complaint customer - Solar customer does not want to be on demand rate.</t>
  </si>
  <si>
    <t>Hix</t>
  </si>
  <si>
    <t>Debbie</t>
  </si>
  <si>
    <t>https://images.edocket.azcc.gov/docketpdf/E000044775.pdf
https://images.edocket.azcc.gov/docketpdf/E000044791.pdf</t>
  </si>
  <si>
    <t>Filed 2x on 6/16 (Thompson and Myers), Not able to locate specific account</t>
  </si>
  <si>
    <t>Montana</t>
  </si>
  <si>
    <t>Casitas</t>
  </si>
  <si>
    <t>https://images.edocket.azcc.gov/docketpdf/E000044777.pdf</t>
  </si>
  <si>
    <t>https://images.edocket.azcc.gov/docketpdf/E000044776.pdf</t>
  </si>
  <si>
    <t>Filed on 5/18 and 6/16</t>
  </si>
  <si>
    <t>Carpio</t>
  </si>
  <si>
    <t>Tania</t>
  </si>
  <si>
    <t>Surprise</t>
  </si>
  <si>
    <t>https://images.edocket.azcc.gov/docketpdf/E000044799.pdf</t>
  </si>
  <si>
    <t>Mansour</t>
  </si>
  <si>
    <t>Joe</t>
  </si>
  <si>
    <t xml:space="preserve">Neal </t>
  </si>
  <si>
    <t>Michelle</t>
  </si>
  <si>
    <t>1565756559</t>
  </si>
  <si>
    <t>Couillard</t>
  </si>
  <si>
    <t>Andre</t>
  </si>
  <si>
    <t>https://images.edocket.azcc.gov/docketpdf/E000044842.pdf</t>
  </si>
  <si>
    <t>Filed 2x on 6/18</t>
  </si>
  <si>
    <t>Witte</t>
  </si>
  <si>
    <t>Jessica</t>
  </si>
  <si>
    <t>Scottsdale</t>
  </si>
  <si>
    <t>R-BASIC</t>
  </si>
  <si>
    <t>Figueroa</t>
  </si>
  <si>
    <t>Enrique</t>
  </si>
  <si>
    <t>Gilbert</t>
  </si>
  <si>
    <t>Wheatley</t>
  </si>
  <si>
    <t>Heather</t>
  </si>
  <si>
    <t>Millbranth</t>
  </si>
  <si>
    <t>Mark</t>
  </si>
  <si>
    <t>Wilson</t>
  </si>
  <si>
    <t>John</t>
  </si>
  <si>
    <t>Carefree</t>
  </si>
  <si>
    <t>https://images.edocket.azcc.gov/docketpdf/E000044846.pdf</t>
  </si>
  <si>
    <t>Geyer</t>
  </si>
  <si>
    <t>Jared</t>
  </si>
  <si>
    <t>7528633936</t>
  </si>
  <si>
    <t xml:space="preserve">No </t>
  </si>
  <si>
    <t>No MEP R3-47 ($36.88)</t>
  </si>
  <si>
    <t>Estimated savings $37.01/12 = $3.08 potential monthly savings on MEP</t>
  </si>
  <si>
    <t>Snyder</t>
  </si>
  <si>
    <t>Steven</t>
  </si>
  <si>
    <t>4262494925</t>
  </si>
  <si>
    <t>No MEP R-XS ($110.29)</t>
  </si>
  <si>
    <t xml:space="preserve">11/03 - LM </t>
  </si>
  <si>
    <t>Estimated savings $43.66/12 = $3.63 potential monthly savings on MEP</t>
  </si>
  <si>
    <t>Buehler</t>
  </si>
  <si>
    <t>https://images.edocket.azcc.gov/docketpdf/E000044840.pdf</t>
  </si>
  <si>
    <t>Kaplan</t>
  </si>
  <si>
    <t>Wayne</t>
  </si>
  <si>
    <t>4273250000</t>
  </si>
  <si>
    <t>Delgado</t>
  </si>
  <si>
    <t>Amber</t>
  </si>
  <si>
    <t>8714231000</t>
  </si>
  <si>
    <t>Changed rate to MEP on 10/6</t>
  </si>
  <si>
    <t>Estimated savings $68.27/12 - $5.69 potential monthly savings on MEP</t>
  </si>
  <si>
    <t>Reyes</t>
  </si>
  <si>
    <t>Saporito</t>
  </si>
  <si>
    <t>Annette</t>
  </si>
  <si>
    <t>7980600000</t>
  </si>
  <si>
    <t xml:space="preserve">RTOUE47  </t>
  </si>
  <si>
    <t>No R3-47 ($439.74)</t>
  </si>
  <si>
    <t>Estimated savings $433.16/12 = $36.09 potential monthly savings on MEP</t>
  </si>
  <si>
    <t>Miller</t>
  </si>
  <si>
    <t>D</t>
  </si>
  <si>
    <t>Goodyear</t>
  </si>
  <si>
    <t>Opposed, thinks Budget billing is a scam</t>
  </si>
  <si>
    <t>https://images.edocket.azcc.gov/docketpdf/0000214768.pdf</t>
  </si>
  <si>
    <t>Gray</t>
  </si>
  <si>
    <t>Tim</t>
  </si>
  <si>
    <t>Buckeye</t>
  </si>
  <si>
    <t>https://images.edocket.azcc.gov/docketpdf/E000044863.pdf</t>
  </si>
  <si>
    <t>Garcia</t>
  </si>
  <si>
    <t>Amy</t>
  </si>
  <si>
    <t>Merlino</t>
  </si>
  <si>
    <t>Teri</t>
  </si>
  <si>
    <t>Escamilla</t>
  </si>
  <si>
    <t>Nephesh</t>
  </si>
  <si>
    <t>https://images.edocket.azcc.gov/docketpdf/E000044866.pdf</t>
  </si>
  <si>
    <t>van Dalen</t>
  </si>
  <si>
    <t>Danielle</t>
  </si>
  <si>
    <t>8025299133</t>
  </si>
  <si>
    <t>Crandall</t>
  </si>
  <si>
    <t>Rodreguez</t>
  </si>
  <si>
    <t>Alexis</t>
  </si>
  <si>
    <t>Schilling</t>
  </si>
  <si>
    <t xml:space="preserve">David  </t>
  </si>
  <si>
    <t>0799340889</t>
  </si>
  <si>
    <t>No-Mep R3-47($87.55)</t>
  </si>
  <si>
    <t>Luther</t>
  </si>
  <si>
    <t>Jonathan</t>
  </si>
  <si>
    <t>9229380000</t>
  </si>
  <si>
    <t>RTOUE47</t>
  </si>
  <si>
    <t>No-MEP R3-47($5.29)</t>
  </si>
  <si>
    <t>McKenzie</t>
  </si>
  <si>
    <t>Christine</t>
  </si>
  <si>
    <t>Porter</t>
  </si>
  <si>
    <t>Kristal</t>
  </si>
  <si>
    <t>Peoria</t>
  </si>
  <si>
    <t>7501590000</t>
  </si>
  <si>
    <t xml:space="preserve">Yes </t>
  </si>
  <si>
    <t>Fullerton</t>
  </si>
  <si>
    <t>Dale</t>
  </si>
  <si>
    <t>Gill</t>
  </si>
  <si>
    <t>Thomas</t>
  </si>
  <si>
    <t>Multiple Cust Found</t>
  </si>
  <si>
    <t>McGibbon</t>
  </si>
  <si>
    <t>Charles</t>
  </si>
  <si>
    <t>https://images.edocket.azcc.gov/docketpdf/E000044947.pdf</t>
  </si>
  <si>
    <t>4707610000</t>
  </si>
  <si>
    <t>Wolski</t>
  </si>
  <si>
    <t xml:space="preserve">Chris </t>
  </si>
  <si>
    <t>Ancha</t>
  </si>
  <si>
    <t>Bob</t>
  </si>
  <si>
    <t>https://images.edocket.azcc.gov/docketpdf/E000044979.pdf</t>
  </si>
  <si>
    <t>Sanchez</t>
  </si>
  <si>
    <t>Isabella</t>
  </si>
  <si>
    <t>https://images.edocket.azcc.gov/docketpdf/E000045059.pdf</t>
  </si>
  <si>
    <t>1164092226</t>
  </si>
  <si>
    <t>Estimated savings $42.27/12 = $3.52 potential monthly savings on MEP</t>
  </si>
  <si>
    <t>Hardy</t>
  </si>
  <si>
    <t>James</t>
  </si>
  <si>
    <t>https://images.edocket.azcc.gov/docketpdf/E000045067.pdf</t>
  </si>
  <si>
    <t>Franklin</t>
  </si>
  <si>
    <t>Jeff</t>
  </si>
  <si>
    <t>Hertzfield</t>
  </si>
  <si>
    <t>Carol</t>
  </si>
  <si>
    <t>https://images.edocket.azcc.gov/docketpdf/E000045130.pdf</t>
  </si>
  <si>
    <t>Beiser</t>
  </si>
  <si>
    <t>Antoinette</t>
  </si>
  <si>
    <t>https://images.edocket.azcc.gov/docketpdf/E000045169.pdf</t>
  </si>
  <si>
    <t>7150589750</t>
  </si>
  <si>
    <t>No MEP R3-47($267.12)</t>
  </si>
  <si>
    <t>11/03 - No answer and no voicemail</t>
  </si>
  <si>
    <t>Underwood</t>
  </si>
  <si>
    <t>Revis</t>
  </si>
  <si>
    <t>Litchfield Park</t>
  </si>
  <si>
    <t>https://images.edocket.azcc.gov/docketpdf/E000045209.pdf</t>
  </si>
  <si>
    <t>9558930000</t>
  </si>
  <si>
    <t>EPR-6w/E-12</t>
  </si>
  <si>
    <t>Info Not Avail</t>
  </si>
  <si>
    <t>Hacker</t>
  </si>
  <si>
    <t>Dennis</t>
  </si>
  <si>
    <t>Pole Attachments</t>
  </si>
  <si>
    <t>https://images.edocket.azcc.gov/docketpdf/E000045207.pdf</t>
  </si>
  <si>
    <t>7633370000</t>
  </si>
  <si>
    <t>RCPw/R3-47</t>
  </si>
  <si>
    <t>Dushoff</t>
  </si>
  <si>
    <t>Rachel</t>
  </si>
  <si>
    <t>Corrales, NM</t>
  </si>
  <si>
    <t>https://images.edocket.azcc.gov/docketpdf/E000045226.pdf</t>
  </si>
  <si>
    <t>Wiehl</t>
  </si>
  <si>
    <t>Sarah</t>
  </si>
  <si>
    <t>Opposed / Greed</t>
  </si>
  <si>
    <t>Rizzi</t>
  </si>
  <si>
    <t>https://images.edocket.azcc.gov/docketpdf/E000045267.pdf</t>
  </si>
  <si>
    <t>AMI Opt Out</t>
  </si>
  <si>
    <t>Prescott Valley</t>
  </si>
  <si>
    <t>Starr</t>
  </si>
  <si>
    <t>Valerie</t>
  </si>
  <si>
    <t>Payson</t>
  </si>
  <si>
    <t>https://images.edocket.azcc.gov/docketpdf/E000045309.pdf</t>
  </si>
  <si>
    <t>8135798464</t>
  </si>
  <si>
    <t>No MEP R3-47 ($337.28)</t>
  </si>
  <si>
    <t>Estimated savings $432.84/12 = $36.07 potential monthly savings on MEP</t>
  </si>
  <si>
    <t>Hill</t>
  </si>
  <si>
    <t>Teresa</t>
  </si>
  <si>
    <t>Senior/Fixed Income/ Data Centers</t>
  </si>
  <si>
    <t>https://images.edocket.azcc.gov/docketpdf/E000045376.pdf</t>
  </si>
  <si>
    <t>5307300000</t>
  </si>
  <si>
    <t>No MEP R-XS ($136.97)</t>
  </si>
  <si>
    <t>11/03 - Customer will callback at a more convenient time to discuss MEP</t>
  </si>
  <si>
    <t>Seabrook</t>
  </si>
  <si>
    <t>https://images.edocket.azcc.gov/docketpdf/E000045426.pdf</t>
  </si>
  <si>
    <t>3616936085</t>
  </si>
  <si>
    <t>No MEP R-BASIC ($170.13)</t>
  </si>
  <si>
    <t>Will be automatically reassigned soon</t>
  </si>
  <si>
    <t>Grube</t>
  </si>
  <si>
    <t>Get more nuclear online</t>
  </si>
  <si>
    <t>Sternberg</t>
  </si>
  <si>
    <t>Karen</t>
  </si>
  <si>
    <t>Comments are about water rates</t>
  </si>
  <si>
    <t>https://images.edocket.azcc.gov/docketpdf/E000045814.pdf</t>
  </si>
  <si>
    <t>4285810000</t>
  </si>
  <si>
    <t xml:space="preserve">R-XS </t>
  </si>
  <si>
    <t>Comments are about water rate increases</t>
  </si>
  <si>
    <t>Waterman</t>
  </si>
  <si>
    <t>Kathleen</t>
  </si>
  <si>
    <t>Coleman</t>
  </si>
  <si>
    <t>Maricopa</t>
  </si>
  <si>
    <t xml:space="preserve">Neutral </t>
  </si>
  <si>
    <t>https://images.edocket.azcc.gov/docketpdf/E000046007.pdf</t>
  </si>
  <si>
    <t>Hines</t>
  </si>
  <si>
    <t>Rohna</t>
  </si>
  <si>
    <t>https://images.edocket.azcc.gov/docketpdf/E000046100.pdf</t>
  </si>
  <si>
    <t>9376851000</t>
  </si>
  <si>
    <t>No MEP R-XS($77.28)</t>
  </si>
  <si>
    <t>Lovato</t>
  </si>
  <si>
    <t>Tiffany</t>
  </si>
  <si>
    <t>https://images.edocket.azcc.gov/docketpdf/E000046155.pdf</t>
  </si>
  <si>
    <t>DeLano</t>
  </si>
  <si>
    <t>opposed</t>
  </si>
  <si>
    <t>King</t>
  </si>
  <si>
    <t>Debra</t>
  </si>
  <si>
    <t>Wray</t>
  </si>
  <si>
    <t>Brett</t>
  </si>
  <si>
    <t>Form letter</t>
  </si>
  <si>
    <t>Read</t>
  </si>
  <si>
    <t>David</t>
  </si>
  <si>
    <t xml:space="preserve">Peoria </t>
  </si>
  <si>
    <t>First</t>
  </si>
  <si>
    <t>Lakisha</t>
  </si>
  <si>
    <t>Huynh</t>
  </si>
  <si>
    <t>Nam</t>
  </si>
  <si>
    <t xml:space="preserve">Walker </t>
  </si>
  <si>
    <t>Simmons</t>
  </si>
  <si>
    <t>Jennifer</t>
  </si>
  <si>
    <t>2882986476</t>
  </si>
  <si>
    <t>No MEP R3-47 ($61.45)</t>
  </si>
  <si>
    <t>Wood</t>
  </si>
  <si>
    <t>Ethan</t>
  </si>
  <si>
    <t>Keller</t>
  </si>
  <si>
    <t>7692260000</t>
  </si>
  <si>
    <t>Vint</t>
  </si>
  <si>
    <t>Shannon</t>
  </si>
  <si>
    <t>Corey</t>
  </si>
  <si>
    <t>6584830202</t>
  </si>
  <si>
    <t>No MEP R3-47 ($1,048.14)</t>
  </si>
  <si>
    <t xml:space="preserve">10/02 - LM </t>
  </si>
  <si>
    <t>Alexander</t>
  </si>
  <si>
    <t>Jacob</t>
  </si>
  <si>
    <t>Poe</t>
  </si>
  <si>
    <t>Leighton</t>
  </si>
  <si>
    <t>5855923100</t>
  </si>
  <si>
    <t>No MEP RTOUE47($74.06)</t>
  </si>
  <si>
    <t>Charapata</t>
  </si>
  <si>
    <t>Maxwell</t>
  </si>
  <si>
    <t>No-MEP R3-47(23.66)</t>
  </si>
  <si>
    <t>Lafond</t>
  </si>
  <si>
    <t>Ciara</t>
  </si>
  <si>
    <t>7245245699</t>
  </si>
  <si>
    <t>O'Gorman</t>
  </si>
  <si>
    <t>Erin</t>
  </si>
  <si>
    <t>No-MEP R3-47($141.01)</t>
  </si>
  <si>
    <t>Lara</t>
  </si>
  <si>
    <t>Gerardo</t>
  </si>
  <si>
    <t>6799425771</t>
  </si>
  <si>
    <t>No MEP R3-47(249.30)</t>
  </si>
  <si>
    <t>10/02 - LM - COR initiated rate change to MEP on 10/23</t>
  </si>
  <si>
    <t>Howell</t>
  </si>
  <si>
    <t>Chris</t>
  </si>
  <si>
    <t>6635023227</t>
  </si>
  <si>
    <t>No MEP R3-47($2.91)</t>
  </si>
  <si>
    <t>Torres</t>
  </si>
  <si>
    <t>Kyle</t>
  </si>
  <si>
    <t>9505905227</t>
  </si>
  <si>
    <t>No MEP R3-47($18.99)</t>
  </si>
  <si>
    <t>Tighe</t>
  </si>
  <si>
    <t>Paul</t>
  </si>
  <si>
    <t>9937021000</t>
  </si>
  <si>
    <t>Ward</t>
  </si>
  <si>
    <t>7949496672</t>
  </si>
  <si>
    <t>Anderson</t>
  </si>
  <si>
    <t>Nash</t>
  </si>
  <si>
    <t>Destiny</t>
  </si>
  <si>
    <t>Chandler</t>
  </si>
  <si>
    <t>8712521000</t>
  </si>
  <si>
    <t>Wilkymacky</t>
  </si>
  <si>
    <t>Abby</t>
  </si>
  <si>
    <t>2584149193</t>
  </si>
  <si>
    <t>Melendez</t>
  </si>
  <si>
    <t>Jose</t>
  </si>
  <si>
    <t>3811821000</t>
  </si>
  <si>
    <t>No MEP R3-47 ($128.91)</t>
  </si>
  <si>
    <t>Crosbie</t>
  </si>
  <si>
    <t>0814350000</t>
  </si>
  <si>
    <t>Kong</t>
  </si>
  <si>
    <t>Joseph</t>
  </si>
  <si>
    <t>Tolinos</t>
  </si>
  <si>
    <t>Jacinta</t>
  </si>
  <si>
    <t>Findley</t>
  </si>
  <si>
    <t>Moses</t>
  </si>
  <si>
    <t>7949331000</t>
  </si>
  <si>
    <t>Frozen Rate</t>
  </si>
  <si>
    <t>COR has spoken to CX several times in the last few weeks and been advised of assitance options and extended PA</t>
  </si>
  <si>
    <t>Schmidt</t>
  </si>
  <si>
    <t>Bryan</t>
  </si>
  <si>
    <t>4676231000</t>
  </si>
  <si>
    <t>Bernardi</t>
  </si>
  <si>
    <t>Patrick</t>
  </si>
  <si>
    <t xml:space="preserve">Prescott  </t>
  </si>
  <si>
    <t>6570141000</t>
  </si>
  <si>
    <t>Scharroo</t>
  </si>
  <si>
    <t>George</t>
  </si>
  <si>
    <t>6924836428</t>
  </si>
  <si>
    <t>Not eligible yet (needs 3 months)</t>
  </si>
  <si>
    <t>Nava</t>
  </si>
  <si>
    <t>Alfredo</t>
  </si>
  <si>
    <t>1717959515</t>
  </si>
  <si>
    <t>No MEP-R3-47($66.86)</t>
  </si>
  <si>
    <t>Hay</t>
  </si>
  <si>
    <t>Leanne</t>
  </si>
  <si>
    <t>1147845609</t>
  </si>
  <si>
    <t>No MEP R3-47($261.63)</t>
  </si>
  <si>
    <t>Harmon</t>
  </si>
  <si>
    <t>Austin</t>
  </si>
  <si>
    <t>Arizona City</t>
  </si>
  <si>
    <t>9462295527</t>
  </si>
  <si>
    <t>No MAEP R-BASIC($56.50)</t>
  </si>
  <si>
    <t>Mangerie</t>
  </si>
  <si>
    <t>Chelsea</t>
  </si>
  <si>
    <t>7850451000</t>
  </si>
  <si>
    <t>EPR-6w/ET-2</t>
  </si>
  <si>
    <t>Flores</t>
  </si>
  <si>
    <t>Ashley</t>
  </si>
  <si>
    <t>Farr</t>
  </si>
  <si>
    <t>Amanda</t>
  </si>
  <si>
    <t>No MEP R3-47(463.60)</t>
  </si>
  <si>
    <t>Healey</t>
  </si>
  <si>
    <t>Patrizia</t>
  </si>
  <si>
    <t>Mateos</t>
  </si>
  <si>
    <t>Melissa</t>
  </si>
  <si>
    <t>El Mirage</t>
  </si>
  <si>
    <t>Strauss</t>
  </si>
  <si>
    <t xml:space="preserve">N </t>
  </si>
  <si>
    <t>Campbell</t>
  </si>
  <si>
    <t>Bauman</t>
  </si>
  <si>
    <t>Raymie</t>
  </si>
  <si>
    <t>Bradley</t>
  </si>
  <si>
    <t>9091172317</t>
  </si>
  <si>
    <t>Frazier</t>
  </si>
  <si>
    <t>Brandon</t>
  </si>
  <si>
    <t>73064220000</t>
  </si>
  <si>
    <t>Hale</t>
  </si>
  <si>
    <t>Catherine</t>
  </si>
  <si>
    <t>3411891368</t>
  </si>
  <si>
    <t>Norton</t>
  </si>
  <si>
    <t>Colin</t>
  </si>
  <si>
    <t>4659820000</t>
  </si>
  <si>
    <t>No-MEP R3-47($453.80)</t>
  </si>
  <si>
    <t xml:space="preserve">10/2 Spoke with customer and provided information regarding MEP. He wanted to review the details online. Also provided the information is available on his bill each month. Offered our number if he had any questions. </t>
  </si>
  <si>
    <t>Rogers</t>
  </si>
  <si>
    <t>Wittmann</t>
  </si>
  <si>
    <t>Lindsey</t>
  </si>
  <si>
    <t>26172433356</t>
  </si>
  <si>
    <t>Herrmann</t>
  </si>
  <si>
    <t>Jeremiah</t>
  </si>
  <si>
    <t>Koduri</t>
  </si>
  <si>
    <t>Divya</t>
  </si>
  <si>
    <t>4242991952</t>
  </si>
  <si>
    <t>Cody</t>
  </si>
  <si>
    <t>2773271262</t>
  </si>
  <si>
    <t>Lyngaas</t>
  </si>
  <si>
    <t>Owen</t>
  </si>
  <si>
    <t>2371502355</t>
  </si>
  <si>
    <t>Peluso</t>
  </si>
  <si>
    <t>4056801020</t>
  </si>
  <si>
    <t>Scaminaci</t>
  </si>
  <si>
    <t>Todd</t>
  </si>
  <si>
    <t>6322573684</t>
  </si>
  <si>
    <t>Edgar</t>
  </si>
  <si>
    <t>Bailey</t>
  </si>
  <si>
    <t>Isaiah</t>
  </si>
  <si>
    <t>6460103590</t>
  </si>
  <si>
    <t>Nadolski</t>
  </si>
  <si>
    <t>Andrew</t>
  </si>
  <si>
    <t>4452990070</t>
  </si>
  <si>
    <t>Hernandex</t>
  </si>
  <si>
    <t>Aldo</t>
  </si>
  <si>
    <t>Vargo</t>
  </si>
  <si>
    <t xml:space="preserve">Daniel </t>
  </si>
  <si>
    <t>Harding</t>
  </si>
  <si>
    <t>Anthony</t>
  </si>
  <si>
    <t>Wasserman</t>
  </si>
  <si>
    <t>Michael</t>
  </si>
  <si>
    <t>4048489946</t>
  </si>
  <si>
    <t>No MEP R3-47($123.47)</t>
  </si>
  <si>
    <t>10/9 - Left VM</t>
  </si>
  <si>
    <t>O'Toole</t>
  </si>
  <si>
    <t>Dan</t>
  </si>
  <si>
    <t>Nicosia</t>
  </si>
  <si>
    <t>Marcella</t>
  </si>
  <si>
    <t>1750915214</t>
  </si>
  <si>
    <t>Assaraf</t>
  </si>
  <si>
    <t>Sandy</t>
  </si>
  <si>
    <t>4133921000</t>
  </si>
  <si>
    <t>Roudette</t>
  </si>
  <si>
    <t>6230194725</t>
  </si>
  <si>
    <t>Assistance?</t>
  </si>
  <si>
    <t>Knorr</t>
  </si>
  <si>
    <t>Tyler</t>
  </si>
  <si>
    <t>Jones-Weinert</t>
  </si>
  <si>
    <t>Esho</t>
  </si>
  <si>
    <t>https://images.edocket.azcc.gov/docketpdf/0000215113.pdf</t>
  </si>
  <si>
    <t>2806465032</t>
  </si>
  <si>
    <t>Shuck</t>
  </si>
  <si>
    <t>Ken</t>
  </si>
  <si>
    <t>Flagstaff</t>
  </si>
  <si>
    <t>Would be a hardship</t>
  </si>
  <si>
    <t>https://images.edocket.azcc.gov/docketpdf/E000046190.pdf</t>
  </si>
  <si>
    <t>4871279597</t>
  </si>
  <si>
    <t>Gardner</t>
  </si>
  <si>
    <t>Karece</t>
  </si>
  <si>
    <t>4436732938</t>
  </si>
  <si>
    <t>No MEP R3-47($216.65)</t>
  </si>
  <si>
    <t>10/2 - Left VM</t>
  </si>
  <si>
    <t>Hampton</t>
  </si>
  <si>
    <t>5172470768</t>
  </si>
  <si>
    <t>Premjee</t>
  </si>
  <si>
    <t>Jayesh</t>
  </si>
  <si>
    <t>Financial burden</t>
  </si>
  <si>
    <t>4073651000</t>
  </si>
  <si>
    <t>No MEP R3-47($176.22)</t>
  </si>
  <si>
    <t>Spoke w/customer- he will think about it and either call back or change online</t>
  </si>
  <si>
    <t>Soledad</t>
  </si>
  <si>
    <t>Ramon</t>
  </si>
  <si>
    <t>Avondale</t>
  </si>
  <si>
    <t>6354570000</t>
  </si>
  <si>
    <t>Spanish preference customer</t>
  </si>
  <si>
    <t>Ramirez</t>
  </si>
  <si>
    <t>Apodaca</t>
  </si>
  <si>
    <t>Simpson</t>
  </si>
  <si>
    <t>Adam</t>
  </si>
  <si>
    <t>1541553890</t>
  </si>
  <si>
    <t>Marr</t>
  </si>
  <si>
    <t>Michaela</t>
  </si>
  <si>
    <t>9149301000</t>
  </si>
  <si>
    <t>Hatch</t>
  </si>
  <si>
    <t>Geoffrey</t>
  </si>
  <si>
    <t>8789670000</t>
  </si>
  <si>
    <t>Sutton</t>
  </si>
  <si>
    <t>Terry</t>
  </si>
  <si>
    <t>Casa Grande</t>
  </si>
  <si>
    <t>4665180000</t>
  </si>
  <si>
    <t>R-2</t>
  </si>
  <si>
    <t>Klein</t>
  </si>
  <si>
    <t>Christian</t>
  </si>
  <si>
    <t>9867756348</t>
  </si>
  <si>
    <t>Skinner</t>
  </si>
  <si>
    <t>Edward</t>
  </si>
  <si>
    <t>Desert</t>
  </si>
  <si>
    <t>Christopher</t>
  </si>
  <si>
    <t>Becker</t>
  </si>
  <si>
    <t>Nicholas</t>
  </si>
  <si>
    <t>4619651000</t>
  </si>
  <si>
    <t>Shoop</t>
  </si>
  <si>
    <t>Jordan</t>
  </si>
  <si>
    <t>0066499647</t>
  </si>
  <si>
    <t>Reta</t>
  </si>
  <si>
    <t>Nikki</t>
  </si>
  <si>
    <t>Bednarz</t>
  </si>
  <si>
    <t>Taylor</t>
  </si>
  <si>
    <t>4983424677</t>
  </si>
  <si>
    <t>No MEP R3-47($129.92)</t>
  </si>
  <si>
    <t>Left VM 10/03/2025</t>
  </si>
  <si>
    <t>Kovar</t>
  </si>
  <si>
    <t>No rate hikes</t>
  </si>
  <si>
    <t>5273951000</t>
  </si>
  <si>
    <t>Lamb</t>
  </si>
  <si>
    <t>2204984346</t>
  </si>
  <si>
    <t>Edwards</t>
  </si>
  <si>
    <t>Dylan</t>
  </si>
  <si>
    <t>Munuswamy</t>
  </si>
  <si>
    <t>Dinesh</t>
  </si>
  <si>
    <t>5930390000</t>
  </si>
  <si>
    <t>Mandloi</t>
  </si>
  <si>
    <t>Anurag</t>
  </si>
  <si>
    <t>1742331189</t>
  </si>
  <si>
    <t>Kelly</t>
  </si>
  <si>
    <t>9268845654</t>
  </si>
  <si>
    <t>Sahoo</t>
  </si>
  <si>
    <t>Prakash</t>
  </si>
  <si>
    <t>Does not support</t>
  </si>
  <si>
    <t>5872670000</t>
  </si>
  <si>
    <t>Lichtner</t>
  </si>
  <si>
    <t>1567963536</t>
  </si>
  <si>
    <t>No MEP R3-47($45.27)</t>
  </si>
  <si>
    <t>Linnane</t>
  </si>
  <si>
    <t>Betsy</t>
  </si>
  <si>
    <t>Pela</t>
  </si>
  <si>
    <t>Allison</t>
  </si>
  <si>
    <t>Punishing solar customers</t>
  </si>
  <si>
    <t>7770645738</t>
  </si>
  <si>
    <t>Elliston</t>
  </si>
  <si>
    <t>Juanita</t>
  </si>
  <si>
    <t>2931588244</t>
  </si>
  <si>
    <t>Kroytoro</t>
  </si>
  <si>
    <t>Eli</t>
  </si>
  <si>
    <t>5428778750</t>
  </si>
  <si>
    <t>McCallum</t>
  </si>
  <si>
    <t>Robert</t>
  </si>
  <si>
    <t xml:space="preserve">Cannot afford/retired </t>
  </si>
  <si>
    <t>9593560000</t>
  </si>
  <si>
    <t>Kontryn</t>
  </si>
  <si>
    <t xml:space="preserve">Sara </t>
  </si>
  <si>
    <t>3405320000</t>
  </si>
  <si>
    <t>No MEP R3-47($91.81)</t>
  </si>
  <si>
    <t>Petersen</t>
  </si>
  <si>
    <t>Bergstrom</t>
  </si>
  <si>
    <t>Shailey</t>
  </si>
  <si>
    <t>Apt electric bill is as high as her parent home in Tucson</t>
  </si>
  <si>
    <t>7477798096</t>
  </si>
  <si>
    <t>No MEP R-BASIC(170.69)</t>
  </si>
  <si>
    <t>Left VM 10/03/2025 - Will be automatically reassigned to Tier 2 soon</t>
  </si>
  <si>
    <t>Richard</t>
  </si>
  <si>
    <t>2605161000</t>
  </si>
  <si>
    <t>No Multiple SAs not on MEP</t>
  </si>
  <si>
    <t>Weaver</t>
  </si>
  <si>
    <t>Make data centers pay more not people who are struggling</t>
  </si>
  <si>
    <t>9938175305</t>
  </si>
  <si>
    <t>Gutierrez</t>
  </si>
  <si>
    <t>Francisco</t>
  </si>
  <si>
    <t>Yuma</t>
  </si>
  <si>
    <t>1560131000</t>
  </si>
  <si>
    <t>No MEP R3-47($92.74)</t>
  </si>
  <si>
    <t>Unable to leave VM- Mailbox full 10/03/25</t>
  </si>
  <si>
    <t>Buros</t>
  </si>
  <si>
    <t>Nicole</t>
  </si>
  <si>
    <t>Ramakrishnan</t>
  </si>
  <si>
    <t>Shyam Sundar</t>
  </si>
  <si>
    <t>Unnecessary financial strain</t>
  </si>
  <si>
    <t>9679340000</t>
  </si>
  <si>
    <t>Vandiver</t>
  </si>
  <si>
    <t>Kaneshea</t>
  </si>
  <si>
    <t>Already having a hard time affording electric bill</t>
  </si>
  <si>
    <t>5347487924</t>
  </si>
  <si>
    <t>Martin-Pinon</t>
  </si>
  <si>
    <t>Olivia</t>
  </si>
  <si>
    <t>Tempe</t>
  </si>
  <si>
    <t>Fajardo</t>
  </si>
  <si>
    <t>9687504618</t>
  </si>
  <si>
    <t>Mohapatra</t>
  </si>
  <si>
    <t>Sangram</t>
  </si>
  <si>
    <t>4557041000</t>
  </si>
  <si>
    <t>No MEP R3-47($197.05)</t>
  </si>
  <si>
    <t>Purohit</t>
  </si>
  <si>
    <t>Amit Kumar</t>
  </si>
  <si>
    <t>3105621000</t>
  </si>
  <si>
    <t>Valenzuela</t>
  </si>
  <si>
    <t>Elena</t>
  </si>
  <si>
    <t>Theis</t>
  </si>
  <si>
    <t>Madison</t>
  </si>
  <si>
    <t>49371600000</t>
  </si>
  <si>
    <t>Lee</t>
  </si>
  <si>
    <t>Have to choose between lights and groceries</t>
  </si>
  <si>
    <t>Davis</t>
  </si>
  <si>
    <t>Lance</t>
  </si>
  <si>
    <t>Hupka</t>
  </si>
  <si>
    <t>Tanner</t>
  </si>
  <si>
    <t>8701977261</t>
  </si>
  <si>
    <t>Lopez</t>
  </si>
  <si>
    <t>Brian</t>
  </si>
  <si>
    <t>Somerton</t>
  </si>
  <si>
    <t>Monopoly</t>
  </si>
  <si>
    <t>Chacon</t>
  </si>
  <si>
    <t>Luis</t>
  </si>
  <si>
    <t>Dims</t>
  </si>
  <si>
    <t xml:space="preserve">Cannot afford </t>
  </si>
  <si>
    <t>Coudriet</t>
  </si>
  <si>
    <t>Lise</t>
  </si>
  <si>
    <t xml:space="preserve">Will cause hardships </t>
  </si>
  <si>
    <t>5411325149</t>
  </si>
  <si>
    <t>No MEP R3-47(755.73)</t>
  </si>
  <si>
    <r>
      <t xml:space="preserve">Left VM 10/03/2025 - Initiated rate change to MEP on 10/10 </t>
    </r>
    <r>
      <rPr>
        <sz val="9"/>
        <color rgb="FFFF0000"/>
        <rFont val="Arial Nova Cond"/>
        <family val="2"/>
      </rPr>
      <t>- MAY NEED MORE ASSISTANCE</t>
    </r>
  </si>
  <si>
    <t>Murillo</t>
  </si>
  <si>
    <t>Deep</t>
  </si>
  <si>
    <t>Varun</t>
  </si>
  <si>
    <t>4664521000</t>
  </si>
  <si>
    <t>Skidmore</t>
  </si>
  <si>
    <t>Marie</t>
  </si>
  <si>
    <t>Not affordable</t>
  </si>
  <si>
    <t>1037080000</t>
  </si>
  <si>
    <t>Floyd</t>
  </si>
  <si>
    <t>Casey</t>
  </si>
  <si>
    <t>7246270000</t>
  </si>
  <si>
    <t>Chandrasekaran</t>
  </si>
  <si>
    <t>Vamsikrishna</t>
  </si>
  <si>
    <t>Families struggling/APS strong profits</t>
  </si>
  <si>
    <t>Jaime</t>
  </si>
  <si>
    <t>Johnson</t>
  </si>
  <si>
    <t>Rion</t>
  </si>
  <si>
    <t>Medeiros</t>
  </si>
  <si>
    <t>Morganstien</t>
  </si>
  <si>
    <t>Alan</t>
  </si>
  <si>
    <t>Citizens carrying cost of demand driven by data centers</t>
  </si>
  <si>
    <t xml:space="preserve">Gurram </t>
  </si>
  <si>
    <t>Tanooj Kumar Reddy</t>
  </si>
  <si>
    <t>7001761000</t>
  </si>
  <si>
    <t>No MEP R3-47($194.29)</t>
  </si>
  <si>
    <t>Vogt</t>
  </si>
  <si>
    <t>Gary</t>
  </si>
  <si>
    <t>Sun City West</t>
  </si>
  <si>
    <t>APS profits high/fixed income, will strain budget</t>
  </si>
  <si>
    <t>7345723859</t>
  </si>
  <si>
    <t>Edens</t>
  </si>
  <si>
    <t>Colleen</t>
  </si>
  <si>
    <t>Fixed income/don't raise it much</t>
  </si>
  <si>
    <t>McKnight</t>
  </si>
  <si>
    <t>Joshua</t>
  </si>
  <si>
    <t>Heck</t>
  </si>
  <si>
    <t>Traci</t>
  </si>
  <si>
    <t>Paying $100s for house at 80 degrees</t>
  </si>
  <si>
    <t>9712385989</t>
  </si>
  <si>
    <t>Karna</t>
  </si>
  <si>
    <t>Easton</t>
  </si>
  <si>
    <t>Greedy / inflation outpaces income increases</t>
  </si>
  <si>
    <t>Dhamotharan</t>
  </si>
  <si>
    <t>Madhavan</t>
  </si>
  <si>
    <t>6558990000</t>
  </si>
  <si>
    <t>Champion</t>
  </si>
  <si>
    <t>Vicki</t>
  </si>
  <si>
    <t>APS charges more than SRP</t>
  </si>
  <si>
    <t>Multiple Accounts</t>
  </si>
  <si>
    <t>RTOUE47//ET-2 W/EPR6</t>
  </si>
  <si>
    <t>No MEP R3-47 ($127.42)</t>
  </si>
  <si>
    <t xml:space="preserve">Ty </t>
  </si>
  <si>
    <t>8773518025</t>
  </si>
  <si>
    <t>filed 2x on this day</t>
  </si>
  <si>
    <t>Willett</t>
  </si>
  <si>
    <t>5425180000</t>
  </si>
  <si>
    <t>Navarrette</t>
  </si>
  <si>
    <t>Adriana</t>
  </si>
  <si>
    <t>Schwartz</t>
  </si>
  <si>
    <t>Doesn't deserve another rate increase</t>
  </si>
  <si>
    <t>0726041000</t>
  </si>
  <si>
    <t>Nance</t>
  </si>
  <si>
    <t>Stacy</t>
  </si>
  <si>
    <t>No more increases, already paycheck to paycheck</t>
  </si>
  <si>
    <t>2439620000</t>
  </si>
  <si>
    <t>Beatty</t>
  </si>
  <si>
    <t>Cottonwood</t>
  </si>
  <si>
    <t>Unacceptable financial burden</t>
  </si>
  <si>
    <t>0217135178</t>
  </si>
  <si>
    <t>Embrey</t>
  </si>
  <si>
    <t xml:space="preserve">Fixed income </t>
  </si>
  <si>
    <t>0110711000</t>
  </si>
  <si>
    <t>Oakley</t>
  </si>
  <si>
    <t>Abraham</t>
  </si>
  <si>
    <t>8799324553</t>
  </si>
  <si>
    <t>Grow</t>
  </si>
  <si>
    <t>Scott</t>
  </si>
  <si>
    <t>Bill has gone up every year</t>
  </si>
  <si>
    <t>0072923417</t>
  </si>
  <si>
    <t>Sillivan</t>
  </si>
  <si>
    <t>Negatively impact ability to pay bills</t>
  </si>
  <si>
    <t>Satawa</t>
  </si>
  <si>
    <t>6591717645</t>
  </si>
  <si>
    <t>Portillo</t>
  </si>
  <si>
    <t>Jesus</t>
  </si>
  <si>
    <t>Messner</t>
  </si>
  <si>
    <t>Matthew</t>
  </si>
  <si>
    <t>Data centers shouldn't be residents cross to bear</t>
  </si>
  <si>
    <t>7297283438</t>
  </si>
  <si>
    <t>Megan</t>
  </si>
  <si>
    <t>Barely afford it now</t>
  </si>
  <si>
    <t>Crowley</t>
  </si>
  <si>
    <t>Kendell</t>
  </si>
  <si>
    <t>5849875191</t>
  </si>
  <si>
    <t>N o MEP R-XS(136.68)</t>
  </si>
  <si>
    <t>Left VM 10/03/2025 - Initiated rate change on 10/19</t>
  </si>
  <si>
    <t>Wasylenko</t>
  </si>
  <si>
    <t>Emily</t>
  </si>
  <si>
    <t>8720343919</t>
  </si>
  <si>
    <t>Pernatozzi</t>
  </si>
  <si>
    <t>Lauren</t>
  </si>
  <si>
    <t xml:space="preserve">Data centers </t>
  </si>
  <si>
    <t>7849027455</t>
  </si>
  <si>
    <t>Hansen</t>
  </si>
  <si>
    <t>4225001000</t>
  </si>
  <si>
    <t>Millwee</t>
  </si>
  <si>
    <t>Elizabeth</t>
  </si>
  <si>
    <t>Corona</t>
  </si>
  <si>
    <t>Samuel</t>
  </si>
  <si>
    <t>Reynnaud</t>
  </si>
  <si>
    <t xml:space="preserve">Gordon </t>
  </si>
  <si>
    <t>Martinez Valdez</t>
  </si>
  <si>
    <t>Diana</t>
  </si>
  <si>
    <t>Stop the rising prices</t>
  </si>
  <si>
    <t>Salameh</t>
  </si>
  <si>
    <t>Samira</t>
  </si>
  <si>
    <t>3462131000</t>
  </si>
  <si>
    <t>Carter</t>
  </si>
  <si>
    <t>Katie</t>
  </si>
  <si>
    <t>Huge burden /  limited income</t>
  </si>
  <si>
    <t>Kotagiri</t>
  </si>
  <si>
    <t>Sanjay</t>
  </si>
  <si>
    <t>Kanch</t>
  </si>
  <si>
    <t>Abhi</t>
  </si>
  <si>
    <t>Benchwick</t>
  </si>
  <si>
    <t>Outrageous</t>
  </si>
  <si>
    <t>Amoroso</t>
  </si>
  <si>
    <t>Terri</t>
  </si>
  <si>
    <t>Berumen</t>
  </si>
  <si>
    <t>Justice</t>
  </si>
  <si>
    <t xml:space="preserve">Outraged </t>
  </si>
  <si>
    <t>Michaud</t>
  </si>
  <si>
    <t>Nada</t>
  </si>
  <si>
    <t>Stop increasing rates</t>
  </si>
  <si>
    <t>Wellen</t>
  </si>
  <si>
    <t>Bev</t>
  </si>
  <si>
    <t>No more rate hikes</t>
  </si>
  <si>
    <t>Brutinel</t>
  </si>
  <si>
    <t>Shea</t>
  </si>
  <si>
    <t>Prescott</t>
  </si>
  <si>
    <t>Lipfert</t>
  </si>
  <si>
    <t>Hozian</t>
  </si>
  <si>
    <t>Cathy</t>
  </si>
  <si>
    <t>APS is greedy and evil</t>
  </si>
  <si>
    <t>Hendrickson</t>
  </si>
  <si>
    <t>Ria</t>
  </si>
  <si>
    <t>Romanek</t>
  </si>
  <si>
    <t>No MEP RTOUE ($45.35)</t>
  </si>
  <si>
    <t>Eddy</t>
  </si>
  <si>
    <t>Kaylah</t>
  </si>
  <si>
    <t>Selvaraj</t>
  </si>
  <si>
    <t>LaFevre</t>
  </si>
  <si>
    <t>Ryan</t>
  </si>
  <si>
    <t>Patel</t>
  </si>
  <si>
    <t>Kevin</t>
  </si>
  <si>
    <t>No MEP R3-47($402.81)</t>
  </si>
  <si>
    <t>Johnston</t>
  </si>
  <si>
    <t>Kendra</t>
  </si>
  <si>
    <t>Antonio</t>
  </si>
  <si>
    <t>Gross</t>
  </si>
  <si>
    <t>Cindy</t>
  </si>
  <si>
    <t>Gomez</t>
  </si>
  <si>
    <t>Amias</t>
  </si>
  <si>
    <t>Dubner</t>
  </si>
  <si>
    <t>Daren</t>
  </si>
  <si>
    <t>Struggling to pay bills &amp; to find renters willing to pay rates</t>
  </si>
  <si>
    <t>Schroeder</t>
  </si>
  <si>
    <t>People are suffering financially</t>
  </si>
  <si>
    <t>No MEP R3-47 ($369.17)</t>
  </si>
  <si>
    <t>COR made rate change on 9/18</t>
  </si>
  <si>
    <t>De Fina</t>
  </si>
  <si>
    <t>Ellana</t>
  </si>
  <si>
    <t>No MEP R3-47($43.55)</t>
  </si>
  <si>
    <t xml:space="preserve">Hays </t>
  </si>
  <si>
    <t>Timoth</t>
  </si>
  <si>
    <t>Ana</t>
  </si>
  <si>
    <t>Making it harder for middle class</t>
  </si>
  <si>
    <t>Messmer</t>
  </si>
  <si>
    <t>Widow on limited income</t>
  </si>
  <si>
    <t>No MEP R3-47($87.48)</t>
  </si>
  <si>
    <t>Harmes</t>
  </si>
  <si>
    <t>Kim</t>
  </si>
  <si>
    <t>Fixed income and august bill was $588</t>
  </si>
  <si>
    <t>Crane</t>
  </si>
  <si>
    <t>Frank</t>
  </si>
  <si>
    <t>Anthem</t>
  </si>
  <si>
    <t>No MEP RTOUE47($28.13)</t>
  </si>
  <si>
    <t>McReynolds</t>
  </si>
  <si>
    <t>No MEP R3-47($158.60)</t>
  </si>
  <si>
    <t>Meraz</t>
  </si>
  <si>
    <t>Victor</t>
  </si>
  <si>
    <t>Already expensive enough</t>
  </si>
  <si>
    <t>Repaka</t>
  </si>
  <si>
    <t>Veerraju</t>
  </si>
  <si>
    <t>No MEP R3-47($18.51)</t>
  </si>
  <si>
    <t>Rood</t>
  </si>
  <si>
    <t>Families struggling</t>
  </si>
  <si>
    <t>Garrick</t>
  </si>
  <si>
    <t>Jacqueline</t>
  </si>
  <si>
    <t>Zack</t>
  </si>
  <si>
    <t>Priess</t>
  </si>
  <si>
    <t>Felipe</t>
  </si>
  <si>
    <t>Meyer</t>
  </si>
  <si>
    <t>Randell</t>
  </si>
  <si>
    <t>Opposed to FRM</t>
  </si>
  <si>
    <t>Wetch</t>
  </si>
  <si>
    <t>Kristine</t>
  </si>
  <si>
    <t>Cannot afford if the rates go higher</t>
  </si>
  <si>
    <t>Farmer</t>
  </si>
  <si>
    <t>Eric</t>
  </si>
  <si>
    <t>Deleon</t>
  </si>
  <si>
    <t>Doneen</t>
  </si>
  <si>
    <t>Zuniga</t>
  </si>
  <si>
    <t>Dante</t>
  </si>
  <si>
    <t>Hoffman</t>
  </si>
  <si>
    <t>Rebecca</t>
  </si>
  <si>
    <t>Bambulum</t>
  </si>
  <si>
    <t>Grace</t>
  </si>
  <si>
    <t>Globe</t>
  </si>
  <si>
    <t>No MEP R-BASIC ($102.86)</t>
  </si>
  <si>
    <t>Gonzalez</t>
  </si>
  <si>
    <t>Kadence</t>
  </si>
  <si>
    <t>No MEP R3-47($36.09)</t>
  </si>
  <si>
    <t>Brown</t>
  </si>
  <si>
    <t>Theodore</t>
  </si>
  <si>
    <t>No MEP R-BASIC ($49.11)</t>
  </si>
  <si>
    <t>Cherukumilli</t>
  </si>
  <si>
    <t>Kameswar Naveen</t>
  </si>
  <si>
    <t>Clasby</t>
  </si>
  <si>
    <t>Brendan</t>
  </si>
  <si>
    <t>Roy</t>
  </si>
  <si>
    <t>Jackson</t>
  </si>
  <si>
    <t>Pranesh</t>
  </si>
  <si>
    <t>Vinay</t>
  </si>
  <si>
    <t>No MEP R-BASIC ($95.94)</t>
  </si>
  <si>
    <t>Cunico</t>
  </si>
  <si>
    <t>Shayla</t>
  </si>
  <si>
    <t>Castre</t>
  </si>
  <si>
    <t>No MEP R3-47($63.87)</t>
  </si>
  <si>
    <t>Jade</t>
  </si>
  <si>
    <t>Rumery</t>
  </si>
  <si>
    <t>Ashlee</t>
  </si>
  <si>
    <t>No MEP R3-47($20.52)</t>
  </si>
  <si>
    <t>Tobey</t>
  </si>
  <si>
    <t>Patino</t>
  </si>
  <si>
    <t>Sean</t>
  </si>
  <si>
    <t>Pugliese</t>
  </si>
  <si>
    <t>Jeffrey</t>
  </si>
  <si>
    <t>Kolli</t>
  </si>
  <si>
    <t>Raquel</t>
  </si>
  <si>
    <t>Too high</t>
  </si>
  <si>
    <t>McChesney</t>
  </si>
  <si>
    <t>Unneeded money grab</t>
  </si>
  <si>
    <t>Rall</t>
  </si>
  <si>
    <t>Draeque</t>
  </si>
  <si>
    <t>No MEP R-XS($104.50)</t>
  </si>
  <si>
    <t>Left VM 10/03/2025 - Will be automatically reassigned to Tier 1 soon</t>
  </si>
  <si>
    <t>Dandasi</t>
  </si>
  <si>
    <t>Fargher</t>
  </si>
  <si>
    <t>No MEP R-XS ($126.43)</t>
  </si>
  <si>
    <t>Will be automatically reassigned to Tier 1 soon</t>
  </si>
  <si>
    <t>Sutinen</t>
  </si>
  <si>
    <t>Family struggling to make ends meet</t>
  </si>
  <si>
    <t>Fix</t>
  </si>
  <si>
    <t>Cunningham</t>
  </si>
  <si>
    <t>Barbara</t>
  </si>
  <si>
    <t>Too much</t>
  </si>
  <si>
    <t>Rakesh</t>
  </si>
  <si>
    <t>Priya</t>
  </si>
  <si>
    <t>Vishnu</t>
  </si>
  <si>
    <t>Renberg</t>
  </si>
  <si>
    <t>Pannila</t>
  </si>
  <si>
    <t>Samudi</t>
  </si>
  <si>
    <t>Stop being greedy</t>
  </si>
  <si>
    <t>No MEP R-XS ($22.77)</t>
  </si>
  <si>
    <t xml:space="preserve">Angelsante </t>
  </si>
  <si>
    <t>Didier</t>
  </si>
  <si>
    <t>Laurel</t>
  </si>
  <si>
    <t>Solar Partner Program</t>
  </si>
  <si>
    <t>Ranganathan</t>
  </si>
  <si>
    <t>Vengadesh</t>
  </si>
  <si>
    <t>S</t>
  </si>
  <si>
    <t>Ben</t>
  </si>
  <si>
    <t>Czyzewicz</t>
  </si>
  <si>
    <t>Savannah</t>
  </si>
  <si>
    <t>Freeman</t>
  </si>
  <si>
    <t>Branden</t>
  </si>
  <si>
    <t xml:space="preserve">Breining </t>
  </si>
  <si>
    <t>No MEP R-BASIC($196.33)</t>
  </si>
  <si>
    <t>Number not in service</t>
  </si>
  <si>
    <t>Rajkaran</t>
  </si>
  <si>
    <t>Rupesh</t>
  </si>
  <si>
    <t>No MEP R-XS(19.31)</t>
  </si>
  <si>
    <t>2 SAs on account should be automatically reassigned to Tier 1 soon</t>
  </si>
  <si>
    <t>Caldwell</t>
  </si>
  <si>
    <t>Ollerton</t>
  </si>
  <si>
    <t>Senior / Fixed Income</t>
  </si>
  <si>
    <t>Ohare</t>
  </si>
  <si>
    <t>Nukala</t>
  </si>
  <si>
    <t>Vijay</t>
  </si>
  <si>
    <t>REV47</t>
  </si>
  <si>
    <t>Virigineni</t>
  </si>
  <si>
    <t>Udayakumar</t>
  </si>
  <si>
    <t>Carrillo</t>
  </si>
  <si>
    <t>Schmoldt</t>
  </si>
  <si>
    <t>Lia</t>
  </si>
  <si>
    <t>Reber</t>
  </si>
  <si>
    <t>Brad</t>
  </si>
  <si>
    <t>Sarocka</t>
  </si>
  <si>
    <t>Doninique</t>
  </si>
  <si>
    <t>Fountain Hills</t>
  </si>
  <si>
    <t>Greedy companies</t>
  </si>
  <si>
    <t>Osteen</t>
  </si>
  <si>
    <t>No MEP R3-47($174.04)</t>
  </si>
  <si>
    <t xml:space="preserve">OBC 10/06/2025 COR declined changing to MEP </t>
  </si>
  <si>
    <t xml:space="preserve">Small </t>
  </si>
  <si>
    <t>Senior / everything is too much money</t>
  </si>
  <si>
    <t>Swinson</t>
  </si>
  <si>
    <t>Tony</t>
  </si>
  <si>
    <t>Kote</t>
  </si>
  <si>
    <t>Raghavendra</t>
  </si>
  <si>
    <t>Chakka</t>
  </si>
  <si>
    <t>Sriramulu</t>
  </si>
  <si>
    <t>No MEP R3-47(105.89)</t>
  </si>
  <si>
    <t>Left VM 10/06/2025// COR CB AND STATED HE WILL THINK ABOUT CHANGING PLANS</t>
  </si>
  <si>
    <t>Vasanthakumar</t>
  </si>
  <si>
    <t>Amar</t>
  </si>
  <si>
    <t>Stopped services 10/27</t>
  </si>
  <si>
    <t>Nunez</t>
  </si>
  <si>
    <t>Maria</t>
  </si>
  <si>
    <t>Calcaterra</t>
  </si>
  <si>
    <t>Drew</t>
  </si>
  <si>
    <t>Jenkins</t>
  </si>
  <si>
    <t>Camille</t>
  </si>
  <si>
    <t>Spend more on electricity than food</t>
  </si>
  <si>
    <t>Lawler</t>
  </si>
  <si>
    <t>Donna</t>
  </si>
  <si>
    <t>Huskey</t>
  </si>
  <si>
    <t>Raymond</t>
  </si>
  <si>
    <t>Peter</t>
  </si>
  <si>
    <t>Ikeler</t>
  </si>
  <si>
    <t>No MEP R-BASIC ($40.75)</t>
  </si>
  <si>
    <t>Samuels</t>
  </si>
  <si>
    <t>Shaun</t>
  </si>
  <si>
    <t>No MEP RTOUE ($2.35)</t>
  </si>
  <si>
    <t>Bahoura</t>
  </si>
  <si>
    <t>Jayne</t>
  </si>
  <si>
    <t>Bolanos</t>
  </si>
  <si>
    <t>Irene</t>
  </si>
  <si>
    <t>Have to choose between eating every day or paying bills</t>
  </si>
  <si>
    <t>Zagoryanu</t>
  </si>
  <si>
    <t>Marius</t>
  </si>
  <si>
    <t>Phan</t>
  </si>
  <si>
    <t>Detrimental to many households</t>
  </si>
  <si>
    <t>Porchia</t>
  </si>
  <si>
    <t>Dominic</t>
  </si>
  <si>
    <t>Josh</t>
  </si>
  <si>
    <t>Niles</t>
  </si>
  <si>
    <t>Romero</t>
  </si>
  <si>
    <t>Cristobal</t>
  </si>
  <si>
    <t>Chokkalingam</t>
  </si>
  <si>
    <t>Sankar</t>
  </si>
  <si>
    <t>Already paying huge amount</t>
  </si>
  <si>
    <t>Khandelwal</t>
  </si>
  <si>
    <t>Vivek</t>
  </si>
  <si>
    <t>Swanson</t>
  </si>
  <si>
    <t>Zachary</t>
  </si>
  <si>
    <t>Vallinayagam</t>
  </si>
  <si>
    <t>Subramanian</t>
  </si>
  <si>
    <t>Vivekananthan</t>
  </si>
  <si>
    <t>Amarnath</t>
  </si>
  <si>
    <t>Smith</t>
  </si>
  <si>
    <t>Greedy</t>
  </si>
  <si>
    <t>Nelson</t>
  </si>
  <si>
    <t>Opposed, struggling</t>
  </si>
  <si>
    <t>1731130049</t>
  </si>
  <si>
    <t>Trudell</t>
  </si>
  <si>
    <t>Stephanie</t>
  </si>
  <si>
    <t>No rate increase</t>
  </si>
  <si>
    <t>Scarano</t>
  </si>
  <si>
    <t>Nick</t>
  </si>
  <si>
    <t>Shaikh</t>
  </si>
  <si>
    <t>Mohammed</t>
  </si>
  <si>
    <t>Ali</t>
  </si>
  <si>
    <t>Hawkins</t>
  </si>
  <si>
    <t>Sabrina</t>
  </si>
  <si>
    <t>Punishing residential property owners</t>
  </si>
  <si>
    <t>Brahmecha</t>
  </si>
  <si>
    <t>Swapnil</t>
  </si>
  <si>
    <t>Ponnoli</t>
  </si>
  <si>
    <t>Rukmini</t>
  </si>
  <si>
    <t>Opposed to rate increase</t>
  </si>
  <si>
    <t>No MEP R3-47(226.25)</t>
  </si>
  <si>
    <t>Decided to change to R3-47</t>
  </si>
  <si>
    <t>Terwadkar</t>
  </si>
  <si>
    <t>Aniket</t>
  </si>
  <si>
    <t>Thangavelu</t>
  </si>
  <si>
    <t>Nandha</t>
  </si>
  <si>
    <t>Ruiz</t>
  </si>
  <si>
    <t>Berenice</t>
  </si>
  <si>
    <t>Negatively impact customers</t>
  </si>
  <si>
    <t>No MEP R3-47 ($17.24)</t>
  </si>
  <si>
    <t>Ravikumar</t>
  </si>
  <si>
    <t>Vinoth Kumar</t>
  </si>
  <si>
    <t>Already suffering from job loss and tariff impact</t>
  </si>
  <si>
    <t>No MEP R3-47(220.87)</t>
  </si>
  <si>
    <t>10/06/2025 Left VM, cor  conf he wants to change plans, reviewed other resources- e3,crisis,liheap,project share</t>
  </si>
  <si>
    <t>Dlugosz</t>
  </si>
  <si>
    <t>A</t>
  </si>
  <si>
    <t>Ganesan</t>
  </si>
  <si>
    <t>Mithu</t>
  </si>
  <si>
    <t>No MEP R3-47($10.65)</t>
  </si>
  <si>
    <t>J</t>
  </si>
  <si>
    <t>Ramu</t>
  </si>
  <si>
    <t>No comment</t>
  </si>
  <si>
    <t xml:space="preserve">Martinez  </t>
  </si>
  <si>
    <t>Hardship</t>
  </si>
  <si>
    <t>Syed</t>
  </si>
  <si>
    <t>Meherudding</t>
  </si>
  <si>
    <t>Jimenez</t>
  </si>
  <si>
    <t>Arilene</t>
  </si>
  <si>
    <t>Singth</t>
  </si>
  <si>
    <t>Gaurav</t>
  </si>
  <si>
    <t>Robinson</t>
  </si>
  <si>
    <t>Arfa</t>
  </si>
  <si>
    <t>Douglas</t>
  </si>
  <si>
    <t>Against any rate hike</t>
  </si>
  <si>
    <t>Kalkowsli</t>
  </si>
  <si>
    <t>Chambers</t>
  </si>
  <si>
    <t>Dedra</t>
  </si>
  <si>
    <t>Waddell</t>
  </si>
  <si>
    <t>Greedy monopoly</t>
  </si>
  <si>
    <t>Kalra</t>
  </si>
  <si>
    <t>Kamini</t>
  </si>
  <si>
    <t>Faulkner</t>
  </si>
  <si>
    <t>Retired/Fixed income</t>
  </si>
  <si>
    <t>Stephenson Nunes</t>
  </si>
  <si>
    <t>Heidi</t>
  </si>
  <si>
    <t>Households can't afford this</t>
  </si>
  <si>
    <t>No MEP R3-47($104.12)</t>
  </si>
  <si>
    <t>10/06/2025 Left Vm</t>
  </si>
  <si>
    <t>Babcock</t>
  </si>
  <si>
    <t>Kristen</t>
  </si>
  <si>
    <t>Welch</t>
  </si>
  <si>
    <t>Arthur</t>
  </si>
  <si>
    <t>Commercial users in data space should take on increase</t>
  </si>
  <si>
    <t>Langdon</t>
  </si>
  <si>
    <t>Jamie</t>
  </si>
  <si>
    <t>No MEP R3-47 (50.52</t>
  </si>
  <si>
    <t>Requiested rate change online 11/1</t>
  </si>
  <si>
    <t>Damm-O'Donnell</t>
  </si>
  <si>
    <t>Suzanne</t>
  </si>
  <si>
    <t>Cather</t>
  </si>
  <si>
    <t>No MEP R3-47($163.02)</t>
  </si>
  <si>
    <t>10/06/2025Left VM -COR initiated rate change online 10/6</t>
  </si>
  <si>
    <t>Pfeil</t>
  </si>
  <si>
    <t>Carole</t>
  </si>
  <si>
    <t>Beyond what is affordable</t>
  </si>
  <si>
    <t>Walsh</t>
  </si>
  <si>
    <t>Richell</t>
  </si>
  <si>
    <t>No MEP R3-47($98.19)</t>
  </si>
  <si>
    <t>10/06/2025 Left VM</t>
  </si>
  <si>
    <t>Dicerni</t>
  </si>
  <si>
    <t>Nguyen</t>
  </si>
  <si>
    <t>Minh</t>
  </si>
  <si>
    <t>Nacim</t>
  </si>
  <si>
    <t>No MEP R3-47($184.81)</t>
  </si>
  <si>
    <t>No MEP R3-47($80.80)</t>
  </si>
  <si>
    <t>Valencia</t>
  </si>
  <si>
    <t>No MEP R-BASIC ($11.26)</t>
  </si>
  <si>
    <t>Junior</t>
  </si>
  <si>
    <t>Barton</t>
  </si>
  <si>
    <t>Bill $700 a month with AC at 83 right now</t>
  </si>
  <si>
    <t>Filed ACC complaint regarding unbundled charges in 2021</t>
  </si>
  <si>
    <t>Obe</t>
  </si>
  <si>
    <t>Tirupati</t>
  </si>
  <si>
    <t>Kiran</t>
  </si>
  <si>
    <t>Maleno</t>
  </si>
  <si>
    <t>Ysbeck</t>
  </si>
  <si>
    <t>Katherine</t>
  </si>
  <si>
    <t>It is hard enough right now</t>
  </si>
  <si>
    <t>Barnes</t>
  </si>
  <si>
    <t xml:space="preserve">Need to manage their costs </t>
  </si>
  <si>
    <t>Sawant</t>
  </si>
  <si>
    <t>Ajay</t>
  </si>
  <si>
    <t>Dautia</t>
  </si>
  <si>
    <t>Lark</t>
  </si>
  <si>
    <t>Can't afford high electric bills</t>
  </si>
  <si>
    <t>Samora</t>
  </si>
  <si>
    <t>Layne</t>
  </si>
  <si>
    <t>Monopoly, break up company</t>
  </si>
  <si>
    <t>Degado</t>
  </si>
  <si>
    <t>Bill is already high enough</t>
  </si>
  <si>
    <t>Edala</t>
  </si>
  <si>
    <t>Suneel</t>
  </si>
  <si>
    <t>Bonnett</t>
  </si>
  <si>
    <t>Ebel</t>
  </si>
  <si>
    <t>Lawrence</t>
  </si>
  <si>
    <t>No MEP R3-47($216.68)</t>
  </si>
  <si>
    <t>Cor will review comp tool online and decide later</t>
  </si>
  <si>
    <t>Covarrubias</t>
  </si>
  <si>
    <t>Natalia</t>
  </si>
  <si>
    <t>San Luis</t>
  </si>
  <si>
    <t>Murphy</t>
  </si>
  <si>
    <t xml:space="preserve">Charles </t>
  </si>
  <si>
    <t>Wickenburg</t>
  </si>
  <si>
    <t>Merkle</t>
  </si>
  <si>
    <t>Fielder</t>
  </si>
  <si>
    <t>Veronica</t>
  </si>
  <si>
    <t>E3 questions?</t>
  </si>
  <si>
    <t>Habrouck</t>
  </si>
  <si>
    <t>Candace</t>
  </si>
  <si>
    <t>Robyn</t>
  </si>
  <si>
    <t>No MEP R-BASIC ($33.40)</t>
  </si>
  <si>
    <t>Wells</t>
  </si>
  <si>
    <t>Bill already too high</t>
  </si>
  <si>
    <t>Huston</t>
  </si>
  <si>
    <t>10/3 requested rate change to REV</t>
  </si>
  <si>
    <t>Sobarzo</t>
  </si>
  <si>
    <t>April</t>
  </si>
  <si>
    <t>Moinet</t>
  </si>
  <si>
    <t>Alyssa</t>
  </si>
  <si>
    <t>Opposed (page 288)</t>
  </si>
  <si>
    <t>MacPherson</t>
  </si>
  <si>
    <t>Denis</t>
  </si>
  <si>
    <t>https://images.edocket.azcc.gov/docketpdf/E000046204.pdf</t>
  </si>
  <si>
    <t>4222480000</t>
  </si>
  <si>
    <t xml:space="preserve">Z </t>
  </si>
  <si>
    <t>Stebe</t>
  </si>
  <si>
    <t>Osorio</t>
  </si>
  <si>
    <t>Juan E &amp; Helen</t>
  </si>
  <si>
    <t>Retired/Hurt Financially</t>
  </si>
  <si>
    <t>2964440000</t>
  </si>
  <si>
    <t>Gregersen</t>
  </si>
  <si>
    <t>3208550000</t>
  </si>
  <si>
    <t>Hileman</t>
  </si>
  <si>
    <t>4748252186</t>
  </si>
  <si>
    <t>Townsend</t>
  </si>
  <si>
    <t>Shawna</t>
  </si>
  <si>
    <t>6860890000</t>
  </si>
  <si>
    <t>Darfus</t>
  </si>
  <si>
    <t xml:space="preserve">Doug </t>
  </si>
  <si>
    <t>Strain on family</t>
  </si>
  <si>
    <t>5790100875</t>
  </si>
  <si>
    <t>Whitney</t>
  </si>
  <si>
    <t>7818070439</t>
  </si>
  <si>
    <t>Berkowitz</t>
  </si>
  <si>
    <t>Lynn</t>
  </si>
  <si>
    <t>Haslett</t>
  </si>
  <si>
    <t>7464750000</t>
  </si>
  <si>
    <t>Pamela</t>
  </si>
  <si>
    <t>6497921796</t>
  </si>
  <si>
    <t>Sanders</t>
  </si>
  <si>
    <t>Cagle</t>
  </si>
  <si>
    <t>5132068013</t>
  </si>
  <si>
    <t>Duell</t>
  </si>
  <si>
    <t>3455401000</t>
  </si>
  <si>
    <t>Roberts</t>
  </si>
  <si>
    <t>Aria</t>
  </si>
  <si>
    <t>7983231354</t>
  </si>
  <si>
    <t>Schuit</t>
  </si>
  <si>
    <t>2243371013</t>
  </si>
  <si>
    <t>Zinn</t>
  </si>
  <si>
    <t>Extortion/Monopoly</t>
  </si>
  <si>
    <t>9340408913</t>
  </si>
  <si>
    <t>Zick-Heath</t>
  </si>
  <si>
    <t>Kathy</t>
  </si>
  <si>
    <t>Wolfe</t>
  </si>
  <si>
    <t>Phillip</t>
  </si>
  <si>
    <t>5986916429</t>
  </si>
  <si>
    <t>Losty</t>
  </si>
  <si>
    <t>Sheila</t>
  </si>
  <si>
    <t>Marz</t>
  </si>
  <si>
    <t>Illene</t>
  </si>
  <si>
    <t>Buruato</t>
  </si>
  <si>
    <t>Tolleson</t>
  </si>
  <si>
    <t>Fajaddo</t>
  </si>
  <si>
    <t>B</t>
  </si>
  <si>
    <t>Noelle</t>
  </si>
  <si>
    <t>Kukkapalli</t>
  </si>
  <si>
    <t>Vasu</t>
  </si>
  <si>
    <t>9875751000</t>
  </si>
  <si>
    <t>N MEP TOU-E ($165.17)</t>
  </si>
  <si>
    <t xml:space="preserve">COR switched to suggest RTOUE47 </t>
  </si>
  <si>
    <t>Sangeetha</t>
  </si>
  <si>
    <t>4425211190</t>
  </si>
  <si>
    <t>Jaiswal</t>
  </si>
  <si>
    <t>Karishma</t>
  </si>
  <si>
    <t>Gottipati</t>
  </si>
  <si>
    <t>Srinivasa</t>
  </si>
  <si>
    <t>6079940000</t>
  </si>
  <si>
    <t>No MEP R3-47 ($295.59)</t>
  </si>
  <si>
    <t>Penny</t>
  </si>
  <si>
    <t>Leigh</t>
  </si>
  <si>
    <t>4878430000</t>
  </si>
  <si>
    <t>Krishnamoorthy</t>
  </si>
  <si>
    <t>Prabhu</t>
  </si>
  <si>
    <t>Kilcup</t>
  </si>
  <si>
    <t>Myckenzie</t>
  </si>
  <si>
    <t>Koripella</t>
  </si>
  <si>
    <t>Ravi</t>
  </si>
  <si>
    <t>5835127577</t>
  </si>
  <si>
    <t>Kuppuswamy</t>
  </si>
  <si>
    <t>Balaji</t>
  </si>
  <si>
    <t>9757441000</t>
  </si>
  <si>
    <t>Not available yet</t>
  </si>
  <si>
    <t>COR requested rate change to R3-47 on 10/1</t>
  </si>
  <si>
    <t>Reddy</t>
  </si>
  <si>
    <t>Pavan</t>
  </si>
  <si>
    <t>Ziller</t>
  </si>
  <si>
    <t>7502531000</t>
  </si>
  <si>
    <t>No MEP R3-47 ($90.87)</t>
  </si>
  <si>
    <t>Rajasekharan</t>
  </si>
  <si>
    <t>Girish</t>
  </si>
  <si>
    <t>Rajan</t>
  </si>
  <si>
    <t>6050230000</t>
  </si>
  <si>
    <t>NA</t>
  </si>
  <si>
    <t>MEP does not appear on bill due to 'flagged for irregular usage' - Ashley is looking into it.</t>
  </si>
  <si>
    <t>Vanos</t>
  </si>
  <si>
    <t>Kimberly</t>
  </si>
  <si>
    <t>5719941000</t>
  </si>
  <si>
    <t>Arrowsmith</t>
  </si>
  <si>
    <t>Kelsey</t>
  </si>
  <si>
    <t>0987457107</t>
  </si>
  <si>
    <t>No MEP R3-47 ($701.02)</t>
  </si>
  <si>
    <t>10/6 Left VM</t>
  </si>
  <si>
    <t>Hina</t>
  </si>
  <si>
    <t>Yadav</t>
  </si>
  <si>
    <t>Ashish</t>
  </si>
  <si>
    <t>3043741000</t>
  </si>
  <si>
    <t>Ahmad</t>
  </si>
  <si>
    <t>Ammara</t>
  </si>
  <si>
    <t>1316621000</t>
  </si>
  <si>
    <t>No MEP R3-47 ($55.98)</t>
  </si>
  <si>
    <t>Chinta</t>
  </si>
  <si>
    <t>Bhavanishankar</t>
  </si>
  <si>
    <t>7992160000</t>
  </si>
  <si>
    <t>Rauschkolb</t>
  </si>
  <si>
    <t>4026025798</t>
  </si>
  <si>
    <t>No MEP R3-47 ($30.33)</t>
  </si>
  <si>
    <t>Justin</t>
  </si>
  <si>
    <t>6379311000</t>
  </si>
  <si>
    <t>Fugiel</t>
  </si>
  <si>
    <t>Kirsten</t>
  </si>
  <si>
    <t>0843128737</t>
  </si>
  <si>
    <t>Brower</t>
  </si>
  <si>
    <t>Randall</t>
  </si>
  <si>
    <t>3675324926</t>
  </si>
  <si>
    <t>Willems</t>
  </si>
  <si>
    <t>3143419434</t>
  </si>
  <si>
    <t>Shivachalianda Vijayakumar</t>
  </si>
  <si>
    <t>Pooja Ponnamma</t>
  </si>
  <si>
    <t>Panda</t>
  </si>
  <si>
    <t>Nishnu Prasad</t>
  </si>
  <si>
    <t>Anna</t>
  </si>
  <si>
    <t>Pradeep</t>
  </si>
  <si>
    <t>2624811000</t>
  </si>
  <si>
    <t>Albrecht</t>
  </si>
  <si>
    <t>Rivarde</t>
  </si>
  <si>
    <t>Renee</t>
  </si>
  <si>
    <t>4290041000</t>
  </si>
  <si>
    <t>Beierle</t>
  </si>
  <si>
    <t>Vladut</t>
  </si>
  <si>
    <t xml:space="preserve">White </t>
  </si>
  <si>
    <t>0187524477</t>
  </si>
  <si>
    <t>Vidyasahar</t>
  </si>
  <si>
    <t>Prasad</t>
  </si>
  <si>
    <t>Boersma</t>
  </si>
  <si>
    <t>Patti</t>
  </si>
  <si>
    <t>6966001000</t>
  </si>
  <si>
    <t>Arpaia</t>
  </si>
  <si>
    <t>Mary</t>
  </si>
  <si>
    <t>1842320000</t>
  </si>
  <si>
    <t>No MEP R3-47 ($165.42)</t>
  </si>
  <si>
    <t>Pandit</t>
  </si>
  <si>
    <t>Najaraj</t>
  </si>
  <si>
    <t>4348840000</t>
  </si>
  <si>
    <t>Erra</t>
  </si>
  <si>
    <t>Mohan</t>
  </si>
  <si>
    <t>3553261000</t>
  </si>
  <si>
    <t>No MEP R3-47 ($86.44)</t>
  </si>
  <si>
    <t>Mallory</t>
  </si>
  <si>
    <t>Evan</t>
  </si>
  <si>
    <t>1080850989</t>
  </si>
  <si>
    <t>RCPw/R-2</t>
  </si>
  <si>
    <t>Stanley</t>
  </si>
  <si>
    <t>Alesia</t>
  </si>
  <si>
    <t>5784101000</t>
  </si>
  <si>
    <t>No MEP R3-47 ($159.25)</t>
  </si>
  <si>
    <t>Kuri</t>
  </si>
  <si>
    <t>8302625379</t>
  </si>
  <si>
    <t>Gonuguntla</t>
  </si>
  <si>
    <t>Gopinath</t>
  </si>
  <si>
    <t>Mahato</t>
  </si>
  <si>
    <t>Partha</t>
  </si>
  <si>
    <t>0364421000</t>
  </si>
  <si>
    <t>Klug</t>
  </si>
  <si>
    <t>Cameron</t>
  </si>
  <si>
    <t>2046439451</t>
  </si>
  <si>
    <t>Cuadras</t>
  </si>
  <si>
    <t>JoVon</t>
  </si>
  <si>
    <t>3862538912</t>
  </si>
  <si>
    <t>No MEP R3-47 ($348.67)</t>
  </si>
  <si>
    <t>10/6 Spoke with customer, he's interested to learn more and wanted to review his online account. Offered our phone number if he'd like to discuss it further.</t>
  </si>
  <si>
    <t>Monteleone</t>
  </si>
  <si>
    <t>Opposed/will cause hardships</t>
  </si>
  <si>
    <t>0974119043</t>
  </si>
  <si>
    <t>N MEP R3-47 ($273.17)</t>
  </si>
  <si>
    <t>Moosman</t>
  </si>
  <si>
    <t>Louis-Jacques</t>
  </si>
  <si>
    <t>Melanie</t>
  </si>
  <si>
    <t>Pahuja</t>
  </si>
  <si>
    <t>Himanshu</t>
  </si>
  <si>
    <t>8849042993</t>
  </si>
  <si>
    <t>No MEP R3-47 ($461.51)</t>
  </si>
  <si>
    <t>Bedadala</t>
  </si>
  <si>
    <t>Harinatha</t>
  </si>
  <si>
    <t>1275245123</t>
  </si>
  <si>
    <t>Clow</t>
  </si>
  <si>
    <t>4095200000</t>
  </si>
  <si>
    <t>No MEP R3-47 ($517.20)</t>
  </si>
  <si>
    <t>10/6 Tried to leave VM - mailbox full, 11/12 tried again and number is not in service</t>
  </si>
  <si>
    <t>Chintalapuri</t>
  </si>
  <si>
    <t>RCPw/REV47</t>
  </si>
  <si>
    <t xml:space="preserve">Ram </t>
  </si>
  <si>
    <t>Ajit Kumar</t>
  </si>
  <si>
    <t>Jaycox</t>
  </si>
  <si>
    <t>Sharon</t>
  </si>
  <si>
    <t>Opposed/Households struggling</t>
  </si>
  <si>
    <t>Noriega</t>
  </si>
  <si>
    <t>Mario</t>
  </si>
  <si>
    <t>Opposed/pure greed</t>
  </si>
  <si>
    <t>Hogan</t>
  </si>
  <si>
    <t>Sonnentag</t>
  </si>
  <si>
    <t xml:space="preserve">Shawn </t>
  </si>
  <si>
    <t>Peeples Valley</t>
  </si>
  <si>
    <t>Stenzel</t>
  </si>
  <si>
    <t>LeRoy</t>
  </si>
  <si>
    <t>Ellis</t>
  </si>
  <si>
    <t>Strongly against</t>
  </si>
  <si>
    <t>McDonale</t>
  </si>
  <si>
    <t>Ellyn</t>
  </si>
  <si>
    <t>Form Letter</t>
  </si>
  <si>
    <t>Neukom</t>
  </si>
  <si>
    <t xml:space="preserve">David </t>
  </si>
  <si>
    <t xml:space="preserve">Senior/Fixed Income </t>
  </si>
  <si>
    <t>No MEP R3-47($173.42)</t>
  </si>
  <si>
    <t>Niehaus</t>
  </si>
  <si>
    <t>No MEP R3-47($281.20)</t>
  </si>
  <si>
    <t>Carlson</t>
  </si>
  <si>
    <t>Lorri</t>
  </si>
  <si>
    <t>Sather</t>
  </si>
  <si>
    <t>Vance</t>
  </si>
  <si>
    <t>Prather</t>
  </si>
  <si>
    <t>Maldonado</t>
  </si>
  <si>
    <t>Sebastian</t>
  </si>
  <si>
    <t>No MEP R-BASIC($219.04)</t>
  </si>
  <si>
    <t>Sidney</t>
  </si>
  <si>
    <t>R-2 SOLAR PARTNER</t>
  </si>
  <si>
    <t>Benkert</t>
  </si>
  <si>
    <t>Jess</t>
  </si>
  <si>
    <t>Lukson</t>
  </si>
  <si>
    <t>Fred &amp; Carolyn</t>
  </si>
  <si>
    <t>1405160798</t>
  </si>
  <si>
    <t>Williams</t>
  </si>
  <si>
    <t>Nichole</t>
  </si>
  <si>
    <t>4130294914</t>
  </si>
  <si>
    <t>Y</t>
  </si>
  <si>
    <t>Malladi</t>
  </si>
  <si>
    <t>Ravindranath</t>
  </si>
  <si>
    <t>9555640000</t>
  </si>
  <si>
    <t>Padurang</t>
  </si>
  <si>
    <t>Sainath</t>
  </si>
  <si>
    <t>Falkenberg</t>
  </si>
  <si>
    <t>https://images.edocket.azcc.gov/docketpdf/E000046206.pdf</t>
  </si>
  <si>
    <t>Bucklin</t>
  </si>
  <si>
    <t>Kathryn</t>
  </si>
  <si>
    <t>Nordhaugen</t>
  </si>
  <si>
    <t>Kristian</t>
  </si>
  <si>
    <t>No MEP R3-47($65.32)</t>
  </si>
  <si>
    <t>Tridle</t>
  </si>
  <si>
    <t>Opposed/fixed income</t>
  </si>
  <si>
    <t>Nathaniel</t>
  </si>
  <si>
    <t>Adler</t>
  </si>
  <si>
    <t>Outlandish/Opposed</t>
  </si>
  <si>
    <t>Hollander</t>
  </si>
  <si>
    <t>No MEP R3-47($10.54)</t>
  </si>
  <si>
    <t>Granado</t>
  </si>
  <si>
    <t>Isabel</t>
  </si>
  <si>
    <t>Eloy</t>
  </si>
  <si>
    <t>Horta</t>
  </si>
  <si>
    <t>Emilio</t>
  </si>
  <si>
    <t>Tremblay</t>
  </si>
  <si>
    <t>No MEP R-XS ($209.15)</t>
  </si>
  <si>
    <t xml:space="preserve">10/10 - Spoke to customer about MEP - will review online before deciding to switch </t>
  </si>
  <si>
    <t>Skiff</t>
  </si>
  <si>
    <t>Alaura</t>
  </si>
  <si>
    <t>Opposed, just had a rate increase</t>
  </si>
  <si>
    <t>Bates</t>
  </si>
  <si>
    <t>DeFilippo</t>
  </si>
  <si>
    <t>Michele</t>
  </si>
  <si>
    <t>Householder</t>
  </si>
  <si>
    <t>Too high of an increase</t>
  </si>
  <si>
    <t>No MEP R-BASIC($60.78)</t>
  </si>
  <si>
    <t>Macias</t>
  </si>
  <si>
    <t>Alicia</t>
  </si>
  <si>
    <t>Rates high enough</t>
  </si>
  <si>
    <t>Cyr</t>
  </si>
  <si>
    <t>Malachi</t>
  </si>
  <si>
    <t>Krogmann</t>
  </si>
  <si>
    <t>Rachael</t>
  </si>
  <si>
    <t>Marvella</t>
  </si>
  <si>
    <t>Springer</t>
  </si>
  <si>
    <t>Gillihan</t>
  </si>
  <si>
    <t>Julie</t>
  </si>
  <si>
    <t>Frances</t>
  </si>
  <si>
    <t>Srinivasan</t>
  </si>
  <si>
    <t>Karthikeyan</t>
  </si>
  <si>
    <t>No MEP R3-47($156.54)</t>
  </si>
  <si>
    <t>10/9 - Account  has already been changed to MEP before call was made</t>
  </si>
  <si>
    <t>Powers</t>
  </si>
  <si>
    <t>Fox</t>
  </si>
  <si>
    <t>Noah</t>
  </si>
  <si>
    <t>Ahern</t>
  </si>
  <si>
    <t>Devin</t>
  </si>
  <si>
    <t>Parsons</t>
  </si>
  <si>
    <t>Gervasio</t>
  </si>
  <si>
    <t>Pedro</t>
  </si>
  <si>
    <t>Aboud</t>
  </si>
  <si>
    <t>Pederson</t>
  </si>
  <si>
    <t>Halie</t>
  </si>
  <si>
    <t>Swift</t>
  </si>
  <si>
    <t>Bill</t>
  </si>
  <si>
    <t>Stinson</t>
  </si>
  <si>
    <t>Assistance</t>
  </si>
  <si>
    <t>Bishop</t>
  </si>
  <si>
    <t>Rebert</t>
  </si>
  <si>
    <t>No MEP R-XS( $250.58)</t>
  </si>
  <si>
    <t>Gram</t>
  </si>
  <si>
    <t>Multiple SAs</t>
  </si>
  <si>
    <t>Marshall</t>
  </si>
  <si>
    <t>Allen</t>
  </si>
  <si>
    <t>No MEP R3-47($36.70)</t>
  </si>
  <si>
    <t>Liddell</t>
  </si>
  <si>
    <t>Lianne</t>
  </si>
  <si>
    <t>Vestl</t>
  </si>
  <si>
    <t xml:space="preserve">Sun City </t>
  </si>
  <si>
    <t>Rees</t>
  </si>
  <si>
    <t>Vestal</t>
  </si>
  <si>
    <t>Opposed, usage is not high, it is normal in AZ extreme climate</t>
  </si>
  <si>
    <t>No MEP R3-47 ($888.73)</t>
  </si>
  <si>
    <t>Coble</t>
  </si>
  <si>
    <t>https://images.edocket.azcc.gov/docketpdf/E000046198.pdf</t>
  </si>
  <si>
    <t>Wallace</t>
  </si>
  <si>
    <t>Raetta</t>
  </si>
  <si>
    <t>https://images.edocket.azcc.gov/docketpdf/E000046196.pdf</t>
  </si>
  <si>
    <t>Moore</t>
  </si>
  <si>
    <t>Mike</t>
  </si>
  <si>
    <t>Alvarez</t>
  </si>
  <si>
    <t>Melody</t>
  </si>
  <si>
    <t>Woehl</t>
  </si>
  <si>
    <t>Timothy</t>
  </si>
  <si>
    <t>No MEP R3-47(630.50)</t>
  </si>
  <si>
    <t>Belt</t>
  </si>
  <si>
    <t>Steve</t>
  </si>
  <si>
    <t>Beall</t>
  </si>
  <si>
    <t>Gus</t>
  </si>
  <si>
    <t>Also filed this notice https://images.edocket.azcc.gov/docketpdf/E000046202.pdf</t>
  </si>
  <si>
    <t>McLeod</t>
  </si>
  <si>
    <t>Hereford</t>
  </si>
  <si>
    <t>Manning</t>
  </si>
  <si>
    <t>https://images.edocket.azcc.gov/docketpdf/E000046212.pdf</t>
  </si>
  <si>
    <t>Mannella</t>
  </si>
  <si>
    <t>https://images.edocket.azcc.gov/docketpdf/E000046230.pdf</t>
  </si>
  <si>
    <t>Monaco</t>
  </si>
  <si>
    <t>Carpenter</t>
  </si>
  <si>
    <t>Bonny</t>
  </si>
  <si>
    <t>Out of hand</t>
  </si>
  <si>
    <t>Delaney</t>
  </si>
  <si>
    <t>No MEP R-BASIC(110.71)</t>
  </si>
  <si>
    <t>10/06/2025 left VM</t>
  </si>
  <si>
    <t>Price</t>
  </si>
  <si>
    <t>No MEP R-BASIC(31.45)</t>
  </si>
  <si>
    <t>Votypka</t>
  </si>
  <si>
    <t>Lindsay</t>
  </si>
  <si>
    <t>No MEP R-BASIC($19.26)</t>
  </si>
  <si>
    <t>Glanzer</t>
  </si>
  <si>
    <t>Addison</t>
  </si>
  <si>
    <t>Facing financial hardship</t>
  </si>
  <si>
    <t>Sundarachar</t>
  </si>
  <si>
    <t>Hema</t>
  </si>
  <si>
    <t>1687826451</t>
  </si>
  <si>
    <t>No MEP R3-47(3.29)</t>
  </si>
  <si>
    <t>Stecker</t>
  </si>
  <si>
    <t>Stacey</t>
  </si>
  <si>
    <t>Shank</t>
  </si>
  <si>
    <t>Judd</t>
  </si>
  <si>
    <t>Short</t>
  </si>
  <si>
    <t>Gregory</t>
  </si>
  <si>
    <t>Kom</t>
  </si>
  <si>
    <t>Venu</t>
  </si>
  <si>
    <t>Flam</t>
  </si>
  <si>
    <t>Sara</t>
  </si>
  <si>
    <t>Laszczak</t>
  </si>
  <si>
    <t>No R-XS($56.43)</t>
  </si>
  <si>
    <t>Lewis</t>
  </si>
  <si>
    <t>Blocker</t>
  </si>
  <si>
    <t>No MEP R3-47(439.76)</t>
  </si>
  <si>
    <t>COR will review with his wife before changing the rate plan - 11/3 Customer initiated rate change</t>
  </si>
  <si>
    <t>Kwon</t>
  </si>
  <si>
    <t>Sacrison</t>
  </si>
  <si>
    <t>No MEP R3-47($221.11)</t>
  </si>
  <si>
    <t>Edalski</t>
  </si>
  <si>
    <t>Hernandez</t>
  </si>
  <si>
    <t xml:space="preserve">Monopoly,  </t>
  </si>
  <si>
    <t>Pierce</t>
  </si>
  <si>
    <t>Coleen</t>
  </si>
  <si>
    <t>Sedillo</t>
  </si>
  <si>
    <t>0998552497</t>
  </si>
  <si>
    <t>NO MEP R-BASICL ($75.86)</t>
  </si>
  <si>
    <t>Joe Anthony</t>
  </si>
  <si>
    <t>Roe</t>
  </si>
  <si>
    <t>Richey</t>
  </si>
  <si>
    <t>Getting ridiculous</t>
  </si>
  <si>
    <t>Esman</t>
  </si>
  <si>
    <t>Dava</t>
  </si>
  <si>
    <t>Unfair and discriminatory</t>
  </si>
  <si>
    <t xml:space="preserve">He </t>
  </si>
  <si>
    <t>Luke</t>
  </si>
  <si>
    <t>Duensing</t>
  </si>
  <si>
    <t>Naik</t>
  </si>
  <si>
    <t>Pradad</t>
  </si>
  <si>
    <t>Day</t>
  </si>
  <si>
    <t>Ravyn</t>
  </si>
  <si>
    <t>Larry</t>
  </si>
  <si>
    <t>Mahony</t>
  </si>
  <si>
    <t>Monica</t>
  </si>
  <si>
    <t>Jara</t>
  </si>
  <si>
    <t>Briney</t>
  </si>
  <si>
    <t>Dave</t>
  </si>
  <si>
    <t>Daniel</t>
  </si>
  <si>
    <t>No MEP R3-47($82.55)</t>
  </si>
  <si>
    <t>Nabity</t>
  </si>
  <si>
    <t>Mariah</t>
  </si>
  <si>
    <t>No MEP R-XS ($43.07)</t>
  </si>
  <si>
    <t>Lund</t>
  </si>
  <si>
    <t>Jason</t>
  </si>
  <si>
    <t>Scheigert</t>
  </si>
  <si>
    <t>Turner-Warren</t>
  </si>
  <si>
    <t>Tenneh</t>
  </si>
  <si>
    <t>Zeman</t>
  </si>
  <si>
    <t>Cher</t>
  </si>
  <si>
    <t>Scheele</t>
  </si>
  <si>
    <t>Geiger</t>
  </si>
  <si>
    <t>McGehean</t>
  </si>
  <si>
    <t xml:space="preserve">Singh </t>
  </si>
  <si>
    <t>Soni</t>
  </si>
  <si>
    <t>Too high already, opposed</t>
  </si>
  <si>
    <t>Lyell</t>
  </si>
  <si>
    <t>Kasha</t>
  </si>
  <si>
    <t>Insane increase</t>
  </si>
  <si>
    <t>Pratik</t>
  </si>
  <si>
    <t>Rahul</t>
  </si>
  <si>
    <t>Bodempudi</t>
  </si>
  <si>
    <t>Vinod</t>
  </si>
  <si>
    <t>Corianne</t>
  </si>
  <si>
    <t>Syring</t>
  </si>
  <si>
    <t>Lani</t>
  </si>
  <si>
    <t>Van Marter</t>
  </si>
  <si>
    <t>Gulotta</t>
  </si>
  <si>
    <t>Caballero Sosa</t>
  </si>
  <si>
    <t>Gabriel</t>
  </si>
  <si>
    <t>Harrison</t>
  </si>
  <si>
    <t>Chelsie</t>
  </si>
  <si>
    <t>Detrimental to our financial stability</t>
  </si>
  <si>
    <t>C</t>
  </si>
  <si>
    <t>Casas</t>
  </si>
  <si>
    <t>Nidya</t>
  </si>
  <si>
    <t>Disabled veteran on fixed income</t>
  </si>
  <si>
    <t>Berry</t>
  </si>
  <si>
    <t>Mason</t>
  </si>
  <si>
    <t>No MEP R3-47 ($90.56)</t>
  </si>
  <si>
    <t>Bartley</t>
  </si>
  <si>
    <t>Leslie</t>
  </si>
  <si>
    <t xml:space="preserve">Unfair  </t>
  </si>
  <si>
    <t>Lawson</t>
  </si>
  <si>
    <t>Ficarra</t>
  </si>
  <si>
    <t>No MEP R-XS ($58.00)</t>
  </si>
  <si>
    <t>Ramos</t>
  </si>
  <si>
    <t>No MEP R3-47($230.57)</t>
  </si>
  <si>
    <t>Spanish CX Team Lead attempted to call customer with number on file, number is no longer in service</t>
  </si>
  <si>
    <t>Ismail</t>
  </si>
  <si>
    <t>Zakaria</t>
  </si>
  <si>
    <t>Quain-Kollar</t>
  </si>
  <si>
    <t>R3-47//R-XS</t>
  </si>
  <si>
    <t>Carson</t>
  </si>
  <si>
    <t>Loren</t>
  </si>
  <si>
    <t>Opposed, already paying grid access</t>
  </si>
  <si>
    <t>Hanel</t>
  </si>
  <si>
    <t>Beverly</t>
  </si>
  <si>
    <t>Data centers pay less that residential</t>
  </si>
  <si>
    <t>Cross</t>
  </si>
  <si>
    <t>No MEP R3-47($32.46)</t>
  </si>
  <si>
    <t>Hermida</t>
  </si>
  <si>
    <t>Anne</t>
  </si>
  <si>
    <t>Matelski</t>
  </si>
  <si>
    <t>No MEP R3-47($149.40)</t>
  </si>
  <si>
    <t>Brooksby</t>
  </si>
  <si>
    <t>Impossible to keep up with</t>
  </si>
  <si>
    <t>Humphrey</t>
  </si>
  <si>
    <t>Talon</t>
  </si>
  <si>
    <t>Erickson</t>
  </si>
  <si>
    <t>Caitlin</t>
  </si>
  <si>
    <t>Mesa</t>
  </si>
  <si>
    <t>Scallorns</t>
  </si>
  <si>
    <t>Melodie</t>
  </si>
  <si>
    <t>Hoffa</t>
  </si>
  <si>
    <t>Geoffery</t>
  </si>
  <si>
    <t>Testo</t>
  </si>
  <si>
    <t>No MEP R-XS ($49.64)</t>
  </si>
  <si>
    <t>McAdams</t>
  </si>
  <si>
    <t>Levi</t>
  </si>
  <si>
    <t>Brunetti</t>
  </si>
  <si>
    <t>Unfair</t>
  </si>
  <si>
    <t>No MEP R-BASIC($187.87)</t>
  </si>
  <si>
    <t>10/06/2025 Number is not in service - Initiated rate change on 10/17</t>
  </si>
  <si>
    <t>Court</t>
  </si>
  <si>
    <t>Charge companies running massive data centers instead</t>
  </si>
  <si>
    <t>Pera</t>
  </si>
  <si>
    <t>Natalie</t>
  </si>
  <si>
    <t>No MEP R3-47 ($108.13)</t>
  </si>
  <si>
    <t>Rate change already in place as of 9/18</t>
  </si>
  <si>
    <t>Stroup</t>
  </si>
  <si>
    <t>Fortson</t>
  </si>
  <si>
    <t>Walker</t>
  </si>
  <si>
    <t>Clint</t>
  </si>
  <si>
    <t>Glass</t>
  </si>
  <si>
    <t>Louis</t>
  </si>
  <si>
    <t>Beltz</t>
  </si>
  <si>
    <t>Sherri</t>
  </si>
  <si>
    <t>Strongly opposed</t>
  </si>
  <si>
    <t>Sies</t>
  </si>
  <si>
    <t>Negative impact on our household</t>
  </si>
  <si>
    <t>Fatima</t>
  </si>
  <si>
    <t>Out of line</t>
  </si>
  <si>
    <t>Unjustified, unethical and unnecessary</t>
  </si>
  <si>
    <t>Pennington</t>
  </si>
  <si>
    <t>Maurice</t>
  </si>
  <si>
    <t>Devarapu</t>
  </si>
  <si>
    <t>Kondal</t>
  </si>
  <si>
    <t>Kennedy</t>
  </si>
  <si>
    <t>No MEP R-XS ($287.81)</t>
  </si>
  <si>
    <t>COR initiated rate change on 11/2</t>
  </si>
  <si>
    <t>Spicola</t>
  </si>
  <si>
    <t>Opposed, will worsen financial stress</t>
  </si>
  <si>
    <t>Enough with the rate hikes</t>
  </si>
  <si>
    <t>5976850000</t>
  </si>
  <si>
    <t>No MEP R3-47($271.50)</t>
  </si>
  <si>
    <t>COR will check aps.com comp tool and potentially change plans there</t>
  </si>
  <si>
    <t>Anbakagan</t>
  </si>
  <si>
    <t>Dharmaraja</t>
  </si>
  <si>
    <t>Maheshwari</t>
  </si>
  <si>
    <t>Vishal</t>
  </si>
  <si>
    <t>Abitz</t>
  </si>
  <si>
    <t>Enough is enough</t>
  </si>
  <si>
    <t>No MEP R3-47($426.81)</t>
  </si>
  <si>
    <t>10/6/2025 left vm</t>
  </si>
  <si>
    <t>Chaffin</t>
  </si>
  <si>
    <t>Dustin</t>
  </si>
  <si>
    <t>Not a good economic decision</t>
  </si>
  <si>
    <t>Henderson</t>
  </si>
  <si>
    <t>No MEP R-BASIC($140.27)</t>
  </si>
  <si>
    <t xml:space="preserve">Cor will review w/aps comp tool online and decided </t>
  </si>
  <si>
    <t>Feldman</t>
  </si>
  <si>
    <t>Opposed, abusing their power</t>
  </si>
  <si>
    <t>Siddavatam</t>
  </si>
  <si>
    <t>Govardhan Reddy</t>
  </si>
  <si>
    <t>No MEP R3-47($305.79)</t>
  </si>
  <si>
    <t>COR will think about it and potentially change plans if he decides to he will cb</t>
  </si>
  <si>
    <t>Zohn</t>
  </si>
  <si>
    <t>Not good</t>
  </si>
  <si>
    <t>No MEP R-XS($38.65)</t>
  </si>
  <si>
    <t>Welsch</t>
  </si>
  <si>
    <t>Hanshew</t>
  </si>
  <si>
    <t>Royster</t>
  </si>
  <si>
    <t>Aaron</t>
  </si>
  <si>
    <t>No MEP R3-47 ($130.61)</t>
  </si>
  <si>
    <t>10/06/2025 left vm</t>
  </si>
  <si>
    <t>German</t>
  </si>
  <si>
    <t>Reynolds</t>
  </si>
  <si>
    <t>Opposed, discourages solar</t>
  </si>
  <si>
    <t>Gorman</t>
  </si>
  <si>
    <t>Macagni</t>
  </si>
  <si>
    <t>No MEP R3-47($392.95)</t>
  </si>
  <si>
    <t>Killingsworth</t>
  </si>
  <si>
    <t>Ellen</t>
  </si>
  <si>
    <t>Blue</t>
  </si>
  <si>
    <t>No MEP R-BASIC(149.26)</t>
  </si>
  <si>
    <t>Cor will discuss with his partner about rate change - 10/17 RATE CHANGE ONLINE</t>
  </si>
  <si>
    <t>Ionova</t>
  </si>
  <si>
    <t>Cynthia</t>
  </si>
  <si>
    <t>Saraniero</t>
  </si>
  <si>
    <t>Daniels</t>
  </si>
  <si>
    <t>Heiser</t>
  </si>
  <si>
    <t>Morgan</t>
  </si>
  <si>
    <t>No MEP R-XS($171.24)</t>
  </si>
  <si>
    <t>Michels</t>
  </si>
  <si>
    <t>Aleshia</t>
  </si>
  <si>
    <t>Mayer</t>
  </si>
  <si>
    <t>Phipps</t>
  </si>
  <si>
    <t>Opposed, out of control</t>
  </si>
  <si>
    <t>No MEP R3-47($1.24)</t>
  </si>
  <si>
    <t>Claire</t>
  </si>
  <si>
    <t>Albers</t>
  </si>
  <si>
    <t xml:space="preserve">Ann </t>
  </si>
  <si>
    <t>Montes</t>
  </si>
  <si>
    <t>Velazquez</t>
  </si>
  <si>
    <t>Torri</t>
  </si>
  <si>
    <t>Calvert</t>
  </si>
  <si>
    <t>Tess</t>
  </si>
  <si>
    <t>Barely afford now</t>
  </si>
  <si>
    <t>No MEP R3-47(517.75)</t>
  </si>
  <si>
    <t>COR will think about potentially changing to MEP- cor is upset at potentiall rate changes in the future - 10/15 COR MADE RATE CHANGE ONLINE</t>
  </si>
  <si>
    <t>Rick</t>
  </si>
  <si>
    <t>Hurd</t>
  </si>
  <si>
    <t>Middle class are suffering enough</t>
  </si>
  <si>
    <t>Li</t>
  </si>
  <si>
    <t>Duo</t>
  </si>
  <si>
    <t>Pereluka</t>
  </si>
  <si>
    <t>Vasyl</t>
  </si>
  <si>
    <t>not interested in paying more</t>
  </si>
  <si>
    <t>Wagner</t>
  </si>
  <si>
    <t>10/9 changed rate to REV</t>
  </si>
  <si>
    <t>Jordon</t>
  </si>
  <si>
    <t>No MEP R3-47($694.71)</t>
  </si>
  <si>
    <t>Hanson</t>
  </si>
  <si>
    <t>Opposed, APS runs a monopoly</t>
  </si>
  <si>
    <t>Long</t>
  </si>
  <si>
    <t>Dana</t>
  </si>
  <si>
    <t>Duncan</t>
  </si>
  <si>
    <t>No call, will be reassigned next month but total energy usage might keep COR on Tier 2</t>
  </si>
  <si>
    <t>Sommer</t>
  </si>
  <si>
    <t>Bryce</t>
  </si>
  <si>
    <t>Horrible policy</t>
  </si>
  <si>
    <t>No MEP R-XS(125.13)</t>
  </si>
  <si>
    <t>Increase outpaces inflation</t>
  </si>
  <si>
    <t>Kaples</t>
  </si>
  <si>
    <t>Kameron</t>
  </si>
  <si>
    <t>Coolidge</t>
  </si>
  <si>
    <t>APS is predatory</t>
  </si>
  <si>
    <t>Duffy</t>
  </si>
  <si>
    <t>Dewey</t>
  </si>
  <si>
    <t>Opposed, unjust and wrong</t>
  </si>
  <si>
    <t>No MEP R3-47(145.00)</t>
  </si>
  <si>
    <t>COR will check aps.com comp tool and potentially change plans there - MADE A RATE CHANGE ON 10/7</t>
  </si>
  <si>
    <t>Chrico</t>
  </si>
  <si>
    <t>Matt</t>
  </si>
  <si>
    <t>opposed, too greedy</t>
  </si>
  <si>
    <t>Keehn</t>
  </si>
  <si>
    <t>Pham</t>
  </si>
  <si>
    <t>Opposed (included news story of indoor heat deaths)</t>
  </si>
  <si>
    <t>No MEP R-BASIC($135.72)</t>
  </si>
  <si>
    <t>Should automatically be reassigned soon</t>
  </si>
  <si>
    <t>Stefan</t>
  </si>
  <si>
    <t>No MEP R-BASIC ($0.57)</t>
  </si>
  <si>
    <t>Ruth</t>
  </si>
  <si>
    <t>Unnecessary</t>
  </si>
  <si>
    <t>https://docket.images.azcc.gov/E000046235.pdf</t>
  </si>
  <si>
    <t>Willits</t>
  </si>
  <si>
    <t>Grassi</t>
  </si>
  <si>
    <t>Benjamin</t>
  </si>
  <si>
    <t>Herrin</t>
  </si>
  <si>
    <t xml:space="preserve">Dani </t>
  </si>
  <si>
    <t>Bandy</t>
  </si>
  <si>
    <t>Rascon</t>
  </si>
  <si>
    <t>Diego</t>
  </si>
  <si>
    <t>De Simone</t>
  </si>
  <si>
    <t>No MEP R-BASIC($60.32)</t>
  </si>
  <si>
    <t>Jerome</t>
  </si>
  <si>
    <t>Mongini</t>
  </si>
  <si>
    <t>Joey</t>
  </si>
  <si>
    <t>Frey</t>
  </si>
  <si>
    <t>Siegel</t>
  </si>
  <si>
    <t>Harjeet</t>
  </si>
  <si>
    <t>Hepler</t>
  </si>
  <si>
    <t>Cassie</t>
  </si>
  <si>
    <t>Klemm</t>
  </si>
  <si>
    <t>Unacceptable and wrong</t>
  </si>
  <si>
    <t>Mesch</t>
  </si>
  <si>
    <t xml:space="preserve">Strongly against </t>
  </si>
  <si>
    <t>McWilliams</t>
  </si>
  <si>
    <t>Jesse</t>
  </si>
  <si>
    <t>No MEP R3-47($631.55)</t>
  </si>
  <si>
    <t>11/10 Left VM regarding MEP</t>
  </si>
  <si>
    <t>Quine</t>
  </si>
  <si>
    <t>3920858144</t>
  </si>
  <si>
    <t>Montano</t>
  </si>
  <si>
    <t>Sierra</t>
  </si>
  <si>
    <t>Wadsworth</t>
  </si>
  <si>
    <t>Bowen</t>
  </si>
  <si>
    <t>Sunsarae</t>
  </si>
  <si>
    <t>Irwin</t>
  </si>
  <si>
    <t>DeMelo</t>
  </si>
  <si>
    <t>Marc</t>
  </si>
  <si>
    <t>Blatant gouging</t>
  </si>
  <si>
    <t>6206172265</t>
  </si>
  <si>
    <t>Bryant</t>
  </si>
  <si>
    <t>Shelby</t>
  </si>
  <si>
    <t>Opposed, unfair burden on families and seniors</t>
  </si>
  <si>
    <t>No MEP R3-47(28.19)</t>
  </si>
  <si>
    <t>Sidebottom</t>
  </si>
  <si>
    <t>Perelman</t>
  </si>
  <si>
    <t>Increase will be very onerous for those on fixed income</t>
  </si>
  <si>
    <t>No MEP R-BSIC(32.84)</t>
  </si>
  <si>
    <t>McKinney</t>
  </si>
  <si>
    <t>Vontran</t>
  </si>
  <si>
    <t>Brady</t>
  </si>
  <si>
    <t>Ingraham</t>
  </si>
  <si>
    <t>Briden</t>
  </si>
  <si>
    <t>Increase will break many fixed income seniors</t>
  </si>
  <si>
    <t>Leal</t>
  </si>
  <si>
    <t>No MEP RTOUE47($18.11)</t>
  </si>
  <si>
    <t>Lakshmipathy</t>
  </si>
  <si>
    <t>Arunkumar</t>
  </si>
  <si>
    <t>No MEP R3-47($52.51)</t>
  </si>
  <si>
    <t>Filed 2x on this day</t>
  </si>
  <si>
    <t>Lengowski</t>
  </si>
  <si>
    <t>Greenfield</t>
  </si>
  <si>
    <t>Ronald</t>
  </si>
  <si>
    <t>V</t>
  </si>
  <si>
    <t>Duclos</t>
  </si>
  <si>
    <t>Santoyo</t>
  </si>
  <si>
    <t>No MEP R3-47($153.61)</t>
  </si>
  <si>
    <r>
      <t xml:space="preserve">COR will remain on current serv plan, </t>
    </r>
    <r>
      <rPr>
        <sz val="9"/>
        <color rgb="FFFF0000"/>
        <rFont val="Arial Nova Cond"/>
        <family val="2"/>
      </rPr>
      <t>Assistance?</t>
    </r>
  </si>
  <si>
    <t>Guerin</t>
  </si>
  <si>
    <t>Ajo</t>
  </si>
  <si>
    <t>Kevin Jr</t>
  </si>
  <si>
    <t>Bello</t>
  </si>
  <si>
    <t>Ridiculously high</t>
  </si>
  <si>
    <t>0849482490</t>
  </si>
  <si>
    <t>Copeland</t>
  </si>
  <si>
    <t>Joen</t>
  </si>
  <si>
    <t>No MEP R3-47(498.46)</t>
  </si>
  <si>
    <t>COR conf she wanted to change to R3-47Rate changed per request</t>
  </si>
  <si>
    <t>Fransen</t>
  </si>
  <si>
    <t>Alba</t>
  </si>
  <si>
    <t>Willer</t>
  </si>
  <si>
    <t>can't afford</t>
  </si>
  <si>
    <t>Rothen</t>
  </si>
  <si>
    <t>Ling</t>
  </si>
  <si>
    <t>Against rate hike</t>
  </si>
  <si>
    <t>Alcantar</t>
  </si>
  <si>
    <t>Outrageously greedy</t>
  </si>
  <si>
    <t>Callahan</t>
  </si>
  <si>
    <t>Kurtis</t>
  </si>
  <si>
    <t>Bate</t>
  </si>
  <si>
    <t>Noel</t>
  </si>
  <si>
    <t xml:space="preserve">Lim </t>
  </si>
  <si>
    <t>Jaclyn</t>
  </si>
  <si>
    <t>Mroczek</t>
  </si>
  <si>
    <t>Rayanne</t>
  </si>
  <si>
    <t>Bisbee</t>
  </si>
  <si>
    <t>M</t>
  </si>
  <si>
    <t xml:space="preserve">Karthik </t>
  </si>
  <si>
    <t>Bracken</t>
  </si>
  <si>
    <t>No MEP R3-47($150.38)</t>
  </si>
  <si>
    <t>Not interested in changing plans</t>
  </si>
  <si>
    <t>Linda</t>
  </si>
  <si>
    <t>Cannot afford</t>
  </si>
  <si>
    <t>Hull</t>
  </si>
  <si>
    <t>No MEP R3-47($352.39)</t>
  </si>
  <si>
    <t>10/07/2025 left VM</t>
  </si>
  <si>
    <t>Granato</t>
  </si>
  <si>
    <t>No MEP R-XS($118.46)</t>
  </si>
  <si>
    <t>Fanning</t>
  </si>
  <si>
    <t>Ace</t>
  </si>
  <si>
    <t>Already unreasonably high</t>
  </si>
  <si>
    <t>Lagana</t>
  </si>
  <si>
    <t>Eugene</t>
  </si>
  <si>
    <t>Parrish</t>
  </si>
  <si>
    <t>Irresponsible</t>
  </si>
  <si>
    <t>No MEP R-XS(127.55)</t>
  </si>
  <si>
    <t>Zamenick</t>
  </si>
  <si>
    <t>English</t>
  </si>
  <si>
    <t>Fiona</t>
  </si>
  <si>
    <t>Standridge</t>
  </si>
  <si>
    <t>Misty</t>
  </si>
  <si>
    <t>Good</t>
  </si>
  <si>
    <t>Travis</t>
  </si>
  <si>
    <t>2356371197</t>
  </si>
  <si>
    <t>McKeever</t>
  </si>
  <si>
    <t>This is insanity</t>
  </si>
  <si>
    <t>Vega</t>
  </si>
  <si>
    <t>Macario</t>
  </si>
  <si>
    <t>Enriquez</t>
  </si>
  <si>
    <t>Edith</t>
  </si>
  <si>
    <t>Opposed, if approved implement meaningful assistance programs</t>
  </si>
  <si>
    <t>Talamantez</t>
  </si>
  <si>
    <t>6276745354</t>
  </si>
  <si>
    <t>Gayed</t>
  </si>
  <si>
    <t>Manal</t>
  </si>
  <si>
    <t>Unbearable financial burden</t>
  </si>
  <si>
    <t>Rayepudi</t>
  </si>
  <si>
    <t>Vamseekrishna</t>
  </si>
  <si>
    <t>Dinnerstein</t>
  </si>
  <si>
    <t>Already astronomical</t>
  </si>
  <si>
    <t>No MEP R3-47(675.81)</t>
  </si>
  <si>
    <t>COR will remain on current serv plan</t>
  </si>
  <si>
    <t>Feehery</t>
  </si>
  <si>
    <t>Lorraine</t>
  </si>
  <si>
    <t>Unjust and greedy money grab</t>
  </si>
  <si>
    <t>Vidal</t>
  </si>
  <si>
    <t>Chanel</t>
  </si>
  <si>
    <t>No MEP R3-47($70.31)</t>
  </si>
  <si>
    <t>F</t>
  </si>
  <si>
    <t>L</t>
  </si>
  <si>
    <t>Unfair and unjustified</t>
  </si>
  <si>
    <t>Searles</t>
  </si>
  <si>
    <t>Ian</t>
  </si>
  <si>
    <t>Penaloza</t>
  </si>
  <si>
    <t>Reyna</t>
  </si>
  <si>
    <t>Rose</t>
  </si>
  <si>
    <t>Wright</t>
  </si>
  <si>
    <t>-</t>
  </si>
  <si>
    <t>Armenta</t>
  </si>
  <si>
    <t>Xavier</t>
  </si>
  <si>
    <t>No MEP R3-47(860.51)</t>
  </si>
  <si>
    <t xml:space="preserve">CPR changed to MEP </t>
  </si>
  <si>
    <t>Agostini-Walesch</t>
  </si>
  <si>
    <t>Erika</t>
  </si>
  <si>
    <t xml:space="preserve">Kovacs </t>
  </si>
  <si>
    <t>Beyond reason, outrageous request</t>
  </si>
  <si>
    <t>Movich</t>
  </si>
  <si>
    <t>Trudy</t>
  </si>
  <si>
    <t>Rimrock</t>
  </si>
  <si>
    <t>info not redacted</t>
  </si>
  <si>
    <t>Gaber</t>
  </si>
  <si>
    <t>https://docket.images.azcc.gov/E000046266.pdf</t>
  </si>
  <si>
    <t>Borror</t>
  </si>
  <si>
    <t>Keep it affordable</t>
  </si>
  <si>
    <t>Horne</t>
  </si>
  <si>
    <t>No MEP R3-47($84.78)</t>
  </si>
  <si>
    <t>Ferguson</t>
  </si>
  <si>
    <t>Cobb</t>
  </si>
  <si>
    <t>People are already hurting</t>
  </si>
  <si>
    <t>Laskey</t>
  </si>
  <si>
    <t>Mary Ann</t>
  </si>
  <si>
    <t>inappropriate burden</t>
  </si>
  <si>
    <t>Pray</t>
  </si>
  <si>
    <t>Lisa</t>
  </si>
  <si>
    <t>Object to charging residential customer for the power needs of AI &amp; IT</t>
  </si>
  <si>
    <t xml:space="preserve">Scheid </t>
  </si>
  <si>
    <t>Opposed, need oversight on their contractors</t>
  </si>
  <si>
    <t>Burt</t>
  </si>
  <si>
    <t>On the backs of struggling seniors statewide</t>
  </si>
  <si>
    <t>Vanity</t>
  </si>
  <si>
    <t>Dakota</t>
  </si>
  <si>
    <t>Toma</t>
  </si>
  <si>
    <t>Ramiz</t>
  </si>
  <si>
    <t>Hochgraver</t>
  </si>
  <si>
    <t>Jeremy</t>
  </si>
  <si>
    <t>No MEP R3-47($285.34)</t>
  </si>
  <si>
    <t>11/03 - LM</t>
  </si>
  <si>
    <t>Escarcega-Lopez</t>
  </si>
  <si>
    <t>Nathalie</t>
  </si>
  <si>
    <t>Misner</t>
  </si>
  <si>
    <t>Gilliland</t>
  </si>
  <si>
    <t>Clark</t>
  </si>
  <si>
    <t>They are in a class action suit, we do not want to foot this bill</t>
  </si>
  <si>
    <t>Such drastic rates</t>
  </si>
  <si>
    <t>Franovich</t>
  </si>
  <si>
    <t xml:space="preserve">Ridiculous </t>
  </si>
  <si>
    <t>Jeyabal</t>
  </si>
  <si>
    <t>Cholan</t>
  </si>
  <si>
    <t>Rosenberger</t>
  </si>
  <si>
    <t>Absolutely insane</t>
  </si>
  <si>
    <t>Simone</t>
  </si>
  <si>
    <t>Do the right thing, deny the rate increase</t>
  </si>
  <si>
    <t>No MEP R3-47(35.30)</t>
  </si>
  <si>
    <t>Mora</t>
  </si>
  <si>
    <t>Nathanael</t>
  </si>
  <si>
    <t>Altiveros</t>
  </si>
  <si>
    <t>Armand</t>
  </si>
  <si>
    <t>Roman</t>
  </si>
  <si>
    <t>Florence</t>
  </si>
  <si>
    <t>Retired, cannot afford this</t>
  </si>
  <si>
    <t>Hooker</t>
  </si>
  <si>
    <t>Bihms</t>
  </si>
  <si>
    <t>Cotton</t>
  </si>
  <si>
    <t>Opposed to outrageous request</t>
  </si>
  <si>
    <t>No MEP TOUE($139.14)</t>
  </si>
  <si>
    <t>10/15 Left VM</t>
  </si>
  <si>
    <t>Hayter</t>
  </si>
  <si>
    <t>Pydimarry</t>
  </si>
  <si>
    <t>Srinivascharandeepak</t>
  </si>
  <si>
    <t>N MEP R3-47($240.90)</t>
  </si>
  <si>
    <t>Rhodes</t>
  </si>
  <si>
    <t>Coltom</t>
  </si>
  <si>
    <t>Janene</t>
  </si>
  <si>
    <t>Behling</t>
  </si>
  <si>
    <t>Newton</t>
  </si>
  <si>
    <t>Laura</t>
  </si>
  <si>
    <t>No MEP R3-47($65.26)</t>
  </si>
  <si>
    <t>Meiergerd</t>
  </si>
  <si>
    <t>Celeste</t>
  </si>
  <si>
    <t>No MEP R3-47($92.94)</t>
  </si>
  <si>
    <t>Families have to make difficult choices</t>
  </si>
  <si>
    <t>No MEP R-BASIC($175.71)</t>
  </si>
  <si>
    <t>Based on average monthly energy usage, COR will likely remain on Tier 3 next month during rate reassignment. No call made. As of 11/3 COR is just under average monthly usage limit and should be automatically reassigned to Tier 2</t>
  </si>
  <si>
    <t>Lanier</t>
  </si>
  <si>
    <t>Daija</t>
  </si>
  <si>
    <t>Lowrance</t>
  </si>
  <si>
    <t>Hardee</t>
  </si>
  <si>
    <t>Deltoro</t>
  </si>
  <si>
    <t>No MEP R3-47($253.38)</t>
  </si>
  <si>
    <t>10/9 Left VM</t>
  </si>
  <si>
    <t>Lanchbury</t>
  </si>
  <si>
    <t>Hunter</t>
  </si>
  <si>
    <t>Ivan</t>
  </si>
  <si>
    <t>Jaeger</t>
  </si>
  <si>
    <t>Young</t>
  </si>
  <si>
    <t>Sellers</t>
  </si>
  <si>
    <t>Clements</t>
  </si>
  <si>
    <t>Fredy</t>
  </si>
  <si>
    <t>Jender</t>
  </si>
  <si>
    <t>No MEP R-XS ($47.79)</t>
  </si>
  <si>
    <t>Paynter</t>
  </si>
  <si>
    <t>DJ</t>
  </si>
  <si>
    <t>Ferrales</t>
  </si>
  <si>
    <t>Marlenne</t>
  </si>
  <si>
    <t>No MEP R-BASIC ($18.51)</t>
  </si>
  <si>
    <t>Pesala</t>
  </si>
  <si>
    <t>Harikrishna</t>
  </si>
  <si>
    <t>rake hike is not good</t>
  </si>
  <si>
    <t>No MEP R3-47($83.41)</t>
  </si>
  <si>
    <t xml:space="preserve">10/9 - Spoke to COR and discussed plan options and how the R3-47 plan works. He would like to review the details online and call back if he decides to switch. </t>
  </si>
  <si>
    <t>Kachur</t>
  </si>
  <si>
    <t>Marina</t>
  </si>
  <si>
    <t>Gallagher</t>
  </si>
  <si>
    <t>MEP not showing on the bill "flagged irregular usage" - Ashley is checking in to it</t>
  </si>
  <si>
    <t>Juneau</t>
  </si>
  <si>
    <t>Leone</t>
  </si>
  <si>
    <t>Landau</t>
  </si>
  <si>
    <t>Mandala</t>
  </si>
  <si>
    <t>Money grab</t>
  </si>
  <si>
    <t>3998480631</t>
  </si>
  <si>
    <t>Thibodeaux-Nunez</t>
  </si>
  <si>
    <t>Robbin</t>
  </si>
  <si>
    <t>rates are high enough</t>
  </si>
  <si>
    <t>Orillie</t>
  </si>
  <si>
    <t>Case Grande</t>
  </si>
  <si>
    <t>Cost are already obscene</t>
  </si>
  <si>
    <t>Kulandaivadivelu</t>
  </si>
  <si>
    <t>Rajesh</t>
  </si>
  <si>
    <t>No MEP RTOUE47($181.10)</t>
  </si>
  <si>
    <t>Gunderson</t>
  </si>
  <si>
    <t>Massive financial burden on my family</t>
  </si>
  <si>
    <t>McPherson</t>
  </si>
  <si>
    <t>Neville</t>
  </si>
  <si>
    <t>Ezrre</t>
  </si>
  <si>
    <t>2822550977</t>
  </si>
  <si>
    <t>Cafagna</t>
  </si>
  <si>
    <t>Caryn</t>
  </si>
  <si>
    <t>Cornville</t>
  </si>
  <si>
    <t>Will be burdensome on a fixed income</t>
  </si>
  <si>
    <t>Weiner</t>
  </si>
  <si>
    <t>Verdi</t>
  </si>
  <si>
    <t>Enough already</t>
  </si>
  <si>
    <t>Duckworth</t>
  </si>
  <si>
    <t>Loyiel</t>
  </si>
  <si>
    <t>Holt</t>
  </si>
  <si>
    <t>Brianna</t>
  </si>
  <si>
    <t>No MEP RTOUE47($42.59)</t>
  </si>
  <si>
    <t>Prakriya</t>
  </si>
  <si>
    <t>Veena</t>
  </si>
  <si>
    <t>Unaffordable</t>
  </si>
  <si>
    <t>Funk</t>
  </si>
  <si>
    <t>Cecilia</t>
  </si>
  <si>
    <t>https://docket.images.azcc.gov/E000046554.pdf</t>
  </si>
  <si>
    <t>2291912909</t>
  </si>
  <si>
    <t>Filed Twice</t>
  </si>
  <si>
    <t>Watson</t>
  </si>
  <si>
    <t>APS reports profits</t>
  </si>
  <si>
    <t>Sesha</t>
  </si>
  <si>
    <t>Arun Kumar</t>
  </si>
  <si>
    <t>Rodriguez</t>
  </si>
  <si>
    <t>Angel</t>
  </si>
  <si>
    <t>Fehr</t>
  </si>
  <si>
    <t>Unreasonably high</t>
  </si>
  <si>
    <t>1637250000</t>
  </si>
  <si>
    <t>Greibesland</t>
  </si>
  <si>
    <t>Bevan</t>
  </si>
  <si>
    <t>No MEP R3-47($138.04)</t>
  </si>
  <si>
    <t>Hepner</t>
  </si>
  <si>
    <t>Supports FRM</t>
  </si>
  <si>
    <t>Lind</t>
  </si>
  <si>
    <t>Hart</t>
  </si>
  <si>
    <t>Kosowicz</t>
  </si>
  <si>
    <t>Diane</t>
  </si>
  <si>
    <t>becoming unaffordable</t>
  </si>
  <si>
    <t>McCloud</t>
  </si>
  <si>
    <t>Unchecked greed</t>
  </si>
  <si>
    <t>No MEP R3-47($74.50)</t>
  </si>
  <si>
    <t>Martinez</t>
  </si>
  <si>
    <t>Evelin</t>
  </si>
  <si>
    <t>Unaffordable and unfair</t>
  </si>
  <si>
    <t>Stittleburg</t>
  </si>
  <si>
    <t>Stop stealing from the poor</t>
  </si>
  <si>
    <t>Litton</t>
  </si>
  <si>
    <t>Miranda</t>
  </si>
  <si>
    <t>No MEP R3-47 ($110.70)</t>
  </si>
  <si>
    <t>Too much too often</t>
  </si>
  <si>
    <t>No MEP R3-47($130.18)</t>
  </si>
  <si>
    <t>10/9 - tried to call, phone number is no longer in service</t>
  </si>
  <si>
    <t>Bahrie</t>
  </si>
  <si>
    <t>Atul</t>
  </si>
  <si>
    <t>No MEP R3-47($481.47)</t>
  </si>
  <si>
    <t>Pludowski</t>
  </si>
  <si>
    <t>Increase approved last year</t>
  </si>
  <si>
    <t>No MRP R3-47($305.33)</t>
  </si>
  <si>
    <t xml:space="preserve">10/9 reviewed account and notes indicate he spoke to an advisor within the last several  months and specifically asked to be removed from the demand plan. </t>
  </si>
  <si>
    <t>Tucker</t>
  </si>
  <si>
    <t>against any increase</t>
  </si>
  <si>
    <t>Trending over average monthly usage limit</t>
  </si>
  <si>
    <t>Washatka</t>
  </si>
  <si>
    <t>Nicholson</t>
  </si>
  <si>
    <t>No R3-47($76.57)</t>
  </si>
  <si>
    <t>Haynes</t>
  </si>
  <si>
    <t>No R3-47($147.75)</t>
  </si>
  <si>
    <t xml:space="preserve">10/9 Spoke with Ms. Haynes regarding her MEP, R3-47. She does not want to change at this time. Advised her to monitor monthly plan comparison details. </t>
  </si>
  <si>
    <t>Bauer</t>
  </si>
  <si>
    <t>4581830000</t>
  </si>
  <si>
    <t>Zschunke</t>
  </si>
  <si>
    <t>Bonnie</t>
  </si>
  <si>
    <t>Carroll</t>
  </si>
  <si>
    <t>Can't afford higher bills</t>
  </si>
  <si>
    <t>Dutta</t>
  </si>
  <si>
    <t>Samrat</t>
  </si>
  <si>
    <t xml:space="preserve">Willer </t>
  </si>
  <si>
    <t>New River</t>
  </si>
  <si>
    <t>Madeline</t>
  </si>
  <si>
    <t>Valeev</t>
  </si>
  <si>
    <t>Margaret</t>
  </si>
  <si>
    <t>Furious</t>
  </si>
  <si>
    <t>Cannochka</t>
  </si>
  <si>
    <t>Dmitrii</t>
  </si>
  <si>
    <t>Hareza</t>
  </si>
  <si>
    <t>Darla</t>
  </si>
  <si>
    <t>Stop being so greedy</t>
  </si>
  <si>
    <t>Sawminathan</t>
  </si>
  <si>
    <t>Balaganesan</t>
  </si>
  <si>
    <t>Sheri</t>
  </si>
  <si>
    <t>Downey</t>
  </si>
  <si>
    <t>Yip</t>
  </si>
  <si>
    <t>Indy</t>
  </si>
  <si>
    <t>No MEP R3-47($37.53)</t>
  </si>
  <si>
    <t>Mathews Scott</t>
  </si>
  <si>
    <t xml:space="preserve">Mary </t>
  </si>
  <si>
    <t>Desert Hills</t>
  </si>
  <si>
    <t>Greed</t>
  </si>
  <si>
    <t>Handelman</t>
  </si>
  <si>
    <t xml:space="preserve">Jeff </t>
  </si>
  <si>
    <t>Opposed, gouging customers</t>
  </si>
  <si>
    <t>Wollman</t>
  </si>
  <si>
    <t>Kenneth</t>
  </si>
  <si>
    <t>Ridiculous and a hardship</t>
  </si>
  <si>
    <t>No MEP R3-47($88.73)</t>
  </si>
  <si>
    <t>Fulton</t>
  </si>
  <si>
    <t>Celena</t>
  </si>
  <si>
    <t>Morristown</t>
  </si>
  <si>
    <t>Lassner</t>
  </si>
  <si>
    <t>No MEP R-BASIC($42.83)</t>
  </si>
  <si>
    <t>Palaniraj</t>
  </si>
  <si>
    <t>Selvakumar</t>
  </si>
  <si>
    <t>Kumis</t>
  </si>
  <si>
    <t>Bessie</t>
  </si>
  <si>
    <t>Becus</t>
  </si>
  <si>
    <t>Lucie</t>
  </si>
  <si>
    <t>Wesley</t>
  </si>
  <si>
    <t>No MEP R3-47($419.59)</t>
  </si>
  <si>
    <t>Zausmer</t>
  </si>
  <si>
    <t>10/8 Spoke with COR and discussed MEP of R3-47 - she agreed to try R3-47. Dom helped to make the rate change in C&amp;CB.</t>
  </si>
  <si>
    <t>Undue burden on residential customers</t>
  </si>
  <si>
    <t>Taft</t>
  </si>
  <si>
    <t>Konrad</t>
  </si>
  <si>
    <t>Data centers coming in and nothing to with energy use</t>
  </si>
  <si>
    <t>Futi</t>
  </si>
  <si>
    <t>Ruben</t>
  </si>
  <si>
    <t>COR JUST STARTED SERV</t>
  </si>
  <si>
    <t>Rohit</t>
  </si>
  <si>
    <t>0119612479</t>
  </si>
  <si>
    <t>Stout</t>
  </si>
  <si>
    <t>Grand Canyon</t>
  </si>
  <si>
    <t>Lenick</t>
  </si>
  <si>
    <t>Lamar</t>
  </si>
  <si>
    <t xml:space="preserve">Nathan </t>
  </si>
  <si>
    <t xml:space="preserve">Merican </t>
  </si>
  <si>
    <t>Kari</t>
  </si>
  <si>
    <t>Opposed, unstainable</t>
  </si>
  <si>
    <t>Ramia</t>
  </si>
  <si>
    <t>No MEP R3-47 ($9.57)</t>
  </si>
  <si>
    <t>Derek</t>
  </si>
  <si>
    <t>Rivera</t>
  </si>
  <si>
    <t>Kane</t>
  </si>
  <si>
    <t>No MEP RTOUE47 ($0.81)</t>
  </si>
  <si>
    <t>Sandra</t>
  </si>
  <si>
    <t>Opposed, not fair</t>
  </si>
  <si>
    <t>Jamison</t>
  </si>
  <si>
    <t>No MEP R-BASIC($44.93)</t>
  </si>
  <si>
    <t>Energy usage barely eligible for BASIC - Might stay on BASICL at annual reassignment</t>
  </si>
  <si>
    <t>Kirby</t>
  </si>
  <si>
    <t>Corirossi</t>
  </si>
  <si>
    <t>No MEP R3-47($62.68)</t>
  </si>
  <si>
    <t>Talbott</t>
  </si>
  <si>
    <t>Cut the fat</t>
  </si>
  <si>
    <t>No MEP R3-47($235.10)</t>
  </si>
  <si>
    <t>10/8 Left VM</t>
  </si>
  <si>
    <t>DeBay</t>
  </si>
  <si>
    <t xml:space="preserve">Jan </t>
  </si>
  <si>
    <t>already very high</t>
  </si>
  <si>
    <t>Traverso</t>
  </si>
  <si>
    <t>Luca</t>
  </si>
  <si>
    <t>Reed</t>
  </si>
  <si>
    <t>Ralph</t>
  </si>
  <si>
    <t>Retired, fixed income</t>
  </si>
  <si>
    <t>Magee</t>
  </si>
  <si>
    <t>Non-AMI Customer</t>
  </si>
  <si>
    <t>Stumpf</t>
  </si>
  <si>
    <t>Yvette</t>
  </si>
  <si>
    <t>3006885688</t>
  </si>
  <si>
    <t>Gilmore</t>
  </si>
  <si>
    <t>0786386957</t>
  </si>
  <si>
    <t>No MEP TOUE ($420.43)</t>
  </si>
  <si>
    <t>10/08/2025 left VM</t>
  </si>
  <si>
    <t>Funke</t>
  </si>
  <si>
    <t>Carrie</t>
  </si>
  <si>
    <t>3973394094</t>
  </si>
  <si>
    <t>Kriechbaum</t>
  </si>
  <si>
    <t>Sherry</t>
  </si>
  <si>
    <t>1468123073</t>
  </si>
  <si>
    <t>Robb</t>
  </si>
  <si>
    <t>Vaughn</t>
  </si>
  <si>
    <t>Blaser</t>
  </si>
  <si>
    <t>Vujic</t>
  </si>
  <si>
    <t>Inman</t>
  </si>
  <si>
    <t>0902311000</t>
  </si>
  <si>
    <t>No MEP R3-47 ($79.77)</t>
  </si>
  <si>
    <t>Hobson</t>
  </si>
  <si>
    <t>https://docket.images.azcc.gov/E000046269.pdf</t>
  </si>
  <si>
    <t>9549931000</t>
  </si>
  <si>
    <t>No MEP R3-47 ($482.61)</t>
  </si>
  <si>
    <t>Boardman</t>
  </si>
  <si>
    <t>Julia</t>
  </si>
  <si>
    <t>5373695965</t>
  </si>
  <si>
    <t>Dara</t>
  </si>
  <si>
    <t>Krishna</t>
  </si>
  <si>
    <t>Already getting difficult to pay the bill</t>
  </si>
  <si>
    <t>5997041000</t>
  </si>
  <si>
    <t>8418910000</t>
  </si>
  <si>
    <t>Bethany</t>
  </si>
  <si>
    <t>Kaelyn</t>
  </si>
  <si>
    <t>9984188572</t>
  </si>
  <si>
    <t>Kumar</t>
  </si>
  <si>
    <t>Sumit</t>
  </si>
  <si>
    <t>7756951000</t>
  </si>
  <si>
    <t>Kalikar</t>
  </si>
  <si>
    <t>Vinayak</t>
  </si>
  <si>
    <t>3063800000</t>
  </si>
  <si>
    <t>Rushing</t>
  </si>
  <si>
    <t>Ayla</t>
  </si>
  <si>
    <t>Greedy company</t>
  </si>
  <si>
    <t>No MEP R3-47 ($221.91)</t>
  </si>
  <si>
    <t>Hudgins</t>
  </si>
  <si>
    <t>Eldeen</t>
  </si>
  <si>
    <t>Opposed / submitted request to intervene</t>
  </si>
  <si>
    <t>6552151000</t>
  </si>
  <si>
    <t>Burkes</t>
  </si>
  <si>
    <t>https://docket.images.azcc.gov/E000046289.pdf</t>
  </si>
  <si>
    <t>5001808687</t>
  </si>
  <si>
    <t>Kathryne</t>
  </si>
  <si>
    <t>1247840000</t>
  </si>
  <si>
    <t>No MEP R3-47 ($161.55)</t>
  </si>
  <si>
    <t>Hollie</t>
  </si>
  <si>
    <t>7888410000</t>
  </si>
  <si>
    <t>5739710087</t>
  </si>
  <si>
    <t>Beck</t>
  </si>
  <si>
    <t>Stolarski</t>
  </si>
  <si>
    <t>7411200000</t>
  </si>
  <si>
    <t>Catie</t>
  </si>
  <si>
    <t>9763988768</t>
  </si>
  <si>
    <t>Post</t>
  </si>
  <si>
    <t>Dunn</t>
  </si>
  <si>
    <t>Rates were raised last year</t>
  </si>
  <si>
    <t>4455045278</t>
  </si>
  <si>
    <t>Bernhardt</t>
  </si>
  <si>
    <t>8069970000</t>
  </si>
  <si>
    <t>Opposed, 8% last year</t>
  </si>
  <si>
    <t>Gwen</t>
  </si>
  <si>
    <t>Hunt</t>
  </si>
  <si>
    <t>Bills are already high</t>
  </si>
  <si>
    <t xml:space="preserve">Jenni </t>
  </si>
  <si>
    <t>Kobus</t>
  </si>
  <si>
    <t>1139701000</t>
  </si>
  <si>
    <t>Benuncosa</t>
  </si>
  <si>
    <t>Emery</t>
  </si>
  <si>
    <t>7740741000</t>
  </si>
  <si>
    <t>Sosnicki</t>
  </si>
  <si>
    <t>Got 8% last year, now they want 14%</t>
  </si>
  <si>
    <t>4807360000</t>
  </si>
  <si>
    <t>Wyatt</t>
  </si>
  <si>
    <t>Kristin</t>
  </si>
  <si>
    <t>7745120000</t>
  </si>
  <si>
    <t>Coschigano</t>
  </si>
  <si>
    <t>9186920000</t>
  </si>
  <si>
    <t>Decker</t>
  </si>
  <si>
    <t>Courtland</t>
  </si>
  <si>
    <t>not fair nor financially respectful to ask for 22% increase in two years</t>
  </si>
  <si>
    <t>5805736054</t>
  </si>
  <si>
    <t>Boisvert</t>
  </si>
  <si>
    <t>4181641000</t>
  </si>
  <si>
    <t>Coronado</t>
  </si>
  <si>
    <t>Unacceptable and should not be allowed</t>
  </si>
  <si>
    <t>Grondin</t>
  </si>
  <si>
    <t>Sarah &amp; Micah</t>
  </si>
  <si>
    <t>5506921000</t>
  </si>
  <si>
    <t>Morrison</t>
  </si>
  <si>
    <t>Quandra</t>
  </si>
  <si>
    <t>3459240757</t>
  </si>
  <si>
    <t>No MEP R-BASIC ($78.14)</t>
  </si>
  <si>
    <t>Lander</t>
  </si>
  <si>
    <t>Opposed, monopoly</t>
  </si>
  <si>
    <t>1593380000</t>
  </si>
  <si>
    <t>Lane</t>
  </si>
  <si>
    <t>Genevieve</t>
  </si>
  <si>
    <t>Bezanson</t>
  </si>
  <si>
    <t>4494941000</t>
  </si>
  <si>
    <t>Katsura</t>
  </si>
  <si>
    <t>0879272556</t>
  </si>
  <si>
    <t>Filed 2x</t>
  </si>
  <si>
    <t>Boos</t>
  </si>
  <si>
    <t>Al</t>
  </si>
  <si>
    <t>egregious and possibly unaffordable by many customers</t>
  </si>
  <si>
    <t>9093670000</t>
  </si>
  <si>
    <t>Farnsworth</t>
  </si>
  <si>
    <t>0607010210</t>
  </si>
  <si>
    <t>Parr</t>
  </si>
  <si>
    <t>Joshua Roy</t>
  </si>
  <si>
    <t>5406537242</t>
  </si>
  <si>
    <t>No MEP R3-47 ($137.94)</t>
  </si>
  <si>
    <t>Orr</t>
  </si>
  <si>
    <t>Opposed, will have to move away</t>
  </si>
  <si>
    <t>Peteet</t>
  </si>
  <si>
    <t>We aren't getting any benefit from proposed increase</t>
  </si>
  <si>
    <t>https://docket.images.azcc.gov/E000046305.pdf</t>
  </si>
  <si>
    <t>Egregious, I pay approx $126 just in service charges</t>
  </si>
  <si>
    <t>7176661000</t>
  </si>
  <si>
    <t>Not in line with the current CPI</t>
  </si>
  <si>
    <t>Shaver</t>
  </si>
  <si>
    <t>4935500000</t>
  </si>
  <si>
    <t>Colon</t>
  </si>
  <si>
    <t>3940259300</t>
  </si>
  <si>
    <t>Edmondson</t>
  </si>
  <si>
    <t>Minimal increase is acceptable</t>
  </si>
  <si>
    <t>https://docket.images.azcc.gov/E000046290.pdf</t>
  </si>
  <si>
    <t>Mataraza</t>
  </si>
  <si>
    <t>When is enough, enough?</t>
  </si>
  <si>
    <t>https://docket.images.azcc.gov/E000046309.pdf</t>
  </si>
  <si>
    <t>Brumund</t>
  </si>
  <si>
    <t>Randy</t>
  </si>
  <si>
    <t>Barely have enough to cover the increase of food</t>
  </si>
  <si>
    <t>2387100000</t>
  </si>
  <si>
    <t>Malaki</t>
  </si>
  <si>
    <t>Samantha</t>
  </si>
  <si>
    <t>8027967579</t>
  </si>
  <si>
    <t>No MEP R3-47 ($84.85)</t>
  </si>
  <si>
    <t>Shah</t>
  </si>
  <si>
    <t>Raju</t>
  </si>
  <si>
    <t>1914731000</t>
  </si>
  <si>
    <t>Dermott</t>
  </si>
  <si>
    <t>Pircaro</t>
  </si>
  <si>
    <t>0029211000</t>
  </si>
  <si>
    <t>Tanika</t>
  </si>
  <si>
    <t>5458953850</t>
  </si>
  <si>
    <t>No MEP R-XS ($24.15)</t>
  </si>
  <si>
    <t>Josselyn</t>
  </si>
  <si>
    <t>https://docket.images.azcc.gov/E000046316.pdf</t>
  </si>
  <si>
    <t>4528501000</t>
  </si>
  <si>
    <t>No MEP R-XS ($117.00)</t>
  </si>
  <si>
    <t>10/8/2025 Left VM</t>
  </si>
  <si>
    <t>Ray</t>
  </si>
  <si>
    <t>Ingeborg</t>
  </si>
  <si>
    <t>6428400000</t>
  </si>
  <si>
    <t>Parker</t>
  </si>
  <si>
    <t>Opposed, small business struggling due to extreme heat waves</t>
  </si>
  <si>
    <t>Wellton</t>
  </si>
  <si>
    <t>Mikkola</t>
  </si>
  <si>
    <t>Cheryl</t>
  </si>
  <si>
    <t>Opposed, seniors, spouse has cancer, his temp is regulated for health</t>
  </si>
  <si>
    <t>https://docket.images.azcc.gov/E000046329.pdf</t>
  </si>
  <si>
    <t>9414462931</t>
  </si>
  <si>
    <t>No MEP R3-47 ($35.30)</t>
  </si>
  <si>
    <t>Frederick</t>
  </si>
  <si>
    <t>8805404344</t>
  </si>
  <si>
    <t>Craycroft</t>
  </si>
  <si>
    <t>4344550000</t>
  </si>
  <si>
    <t>This comment was submitted by The Arizona House of Rep Constituent Office</t>
  </si>
  <si>
    <t>Deer</t>
  </si>
  <si>
    <t>Payton</t>
  </si>
  <si>
    <t>3161149182</t>
  </si>
  <si>
    <t>No MEP R-XS ($119.86)</t>
  </si>
  <si>
    <t>10/9 reviewed account, average monthly energy usage is trending high so customer would be bumped up to tier 2</t>
  </si>
  <si>
    <t>No MEP R-XS ($78.14)</t>
  </si>
  <si>
    <t>5862540000</t>
  </si>
  <si>
    <t>Using hold on energy selection against Arizona families</t>
  </si>
  <si>
    <t>https://docket.images.azcc.gov/E000046349.pdf</t>
  </si>
  <si>
    <t>7228908122</t>
  </si>
  <si>
    <t>Mohajerin</t>
  </si>
  <si>
    <t>Saeed</t>
  </si>
  <si>
    <t>How much is enough</t>
  </si>
  <si>
    <t>8092710000</t>
  </si>
  <si>
    <t>Varner</t>
  </si>
  <si>
    <t>Edie</t>
  </si>
  <si>
    <t>Constant increase in utilities bill, senior, strict budget</t>
  </si>
  <si>
    <t>2482408877</t>
  </si>
  <si>
    <t>No MEP R3-47 ($15.79)</t>
  </si>
  <si>
    <t>Iewan</t>
  </si>
  <si>
    <t>Jim</t>
  </si>
  <si>
    <t>Thompson</t>
  </si>
  <si>
    <t>Shirley</t>
  </si>
  <si>
    <t>https://docket.images.azcc.gov/E000046359.pdf</t>
  </si>
  <si>
    <t>4175541000</t>
  </si>
  <si>
    <t>https://docket.images.azcc.gov/E000046388.pdf</t>
  </si>
  <si>
    <t>Driver</t>
  </si>
  <si>
    <t>Robin</t>
  </si>
  <si>
    <t>https://docket.images.azcc.gov/E000046404.pdf</t>
  </si>
  <si>
    <t>Saltzman</t>
  </si>
  <si>
    <t>2594531000</t>
  </si>
  <si>
    <t>No MEP R-BASIC ($77.70)</t>
  </si>
  <si>
    <t>Bejar</t>
  </si>
  <si>
    <t>Christen</t>
  </si>
  <si>
    <t>2001860000</t>
  </si>
  <si>
    <t>No MEP R3-47 ($120.96)</t>
  </si>
  <si>
    <t>10/08/2025 Left VM</t>
  </si>
  <si>
    <t>Redman</t>
  </si>
  <si>
    <t>0417096787</t>
  </si>
  <si>
    <t xml:space="preserve">Salt </t>
  </si>
  <si>
    <t>1444600000</t>
  </si>
  <si>
    <t>Menoche</t>
  </si>
  <si>
    <t>Kaitlynn</t>
  </si>
  <si>
    <t>https://docket.images.azcc.gov/E000046437.pdf</t>
  </si>
  <si>
    <t>Harms</t>
  </si>
  <si>
    <t>Reduced exorbitant salaries</t>
  </si>
  <si>
    <t>5304030000</t>
  </si>
  <si>
    <t>Heaton</t>
  </si>
  <si>
    <t>price gouging</t>
  </si>
  <si>
    <t>Sinks</t>
  </si>
  <si>
    <t xml:space="preserve">O'Neil </t>
  </si>
  <si>
    <t>7224390000</t>
  </si>
  <si>
    <t>No MEP R3-47 ($19.36)</t>
  </si>
  <si>
    <t>Dukart</t>
  </si>
  <si>
    <t>Corporate Greed</t>
  </si>
  <si>
    <t>2139544986</t>
  </si>
  <si>
    <t>Fylan</t>
  </si>
  <si>
    <t>3066285596</t>
  </si>
  <si>
    <t>No MEP R3-47 ($355.98)</t>
  </si>
  <si>
    <t xml:space="preserve">10/08/2025 Left VM </t>
  </si>
  <si>
    <t>Martin</t>
  </si>
  <si>
    <t>0436289551</t>
  </si>
  <si>
    <t>No MEP R3-47 ($159.33)</t>
  </si>
  <si>
    <t>Mobley</t>
  </si>
  <si>
    <t>Susan</t>
  </si>
  <si>
    <t>3375784078</t>
  </si>
  <si>
    <t>No MEP R3-47 ($498.46)</t>
  </si>
  <si>
    <t>Andrews</t>
  </si>
  <si>
    <t>Firmly against</t>
  </si>
  <si>
    <t>4155800832</t>
  </si>
  <si>
    <t>Harris</t>
  </si>
  <si>
    <t>5288821061</t>
  </si>
  <si>
    <t>Pending stop 11/3</t>
  </si>
  <si>
    <t>Nancy</t>
  </si>
  <si>
    <t>Unreasonable</t>
  </si>
  <si>
    <t>5531290000</t>
  </si>
  <si>
    <t>No MEP R3-47 ($188.91))</t>
  </si>
  <si>
    <t>10/9 Tried to leave a VM, mailbox is full, Tried to call again on 11/10</t>
  </si>
  <si>
    <t>Camacho</t>
  </si>
  <si>
    <t>Chevon</t>
  </si>
  <si>
    <t>Mercado-Tarango</t>
  </si>
  <si>
    <t>Brenda</t>
  </si>
  <si>
    <t>4456121000</t>
  </si>
  <si>
    <t>Messing</t>
  </si>
  <si>
    <t>Manville</t>
  </si>
  <si>
    <t>La Plant</t>
  </si>
  <si>
    <t xml:space="preserve">Lind </t>
  </si>
  <si>
    <t>Sylvester</t>
  </si>
  <si>
    <t>Zachery</t>
  </si>
  <si>
    <t>9854457444</t>
  </si>
  <si>
    <t>Weigand</t>
  </si>
  <si>
    <t>Mathew</t>
  </si>
  <si>
    <t>0406230633</t>
  </si>
  <si>
    <t>R-Basic</t>
  </si>
  <si>
    <t>No MEP TOUE ($20.50)</t>
  </si>
  <si>
    <t>Callingham</t>
  </si>
  <si>
    <t>5672030668</t>
  </si>
  <si>
    <t>We are struggling</t>
  </si>
  <si>
    <t>Mercedes</t>
  </si>
  <si>
    <t>Extremely expensive</t>
  </si>
  <si>
    <t>2060349043</t>
  </si>
  <si>
    <t>No MEP TOUE ($157.52)</t>
  </si>
  <si>
    <t>10/9 Reviewed account, on 9/29 customer called to switch to MEP</t>
  </si>
  <si>
    <t>Called into CX center to switch plans to MEP on 9/29</t>
  </si>
  <si>
    <t>Quinet</t>
  </si>
  <si>
    <t>3985295602</t>
  </si>
  <si>
    <t>Gaydosz</t>
  </si>
  <si>
    <t xml:space="preserve">Ridiculous  </t>
  </si>
  <si>
    <t>Enough is enough, already paying $160 for a 700 sqdt apartment</t>
  </si>
  <si>
    <t>3081131103</t>
  </si>
  <si>
    <t>No MEP R-XS ($98.76)</t>
  </si>
  <si>
    <t>Donato</t>
  </si>
  <si>
    <t xml:space="preserve">This is a significant burden, especially at a time when cost of living continues to rise </t>
  </si>
  <si>
    <t>https://docket.images.azcc.gov/E000046472.pdf</t>
  </si>
  <si>
    <t>No MEP R3-47(336.10)</t>
  </si>
  <si>
    <t>Bramble</t>
  </si>
  <si>
    <t>The proposed rate increase is excessive</t>
  </si>
  <si>
    <t>https://docket.images.azcc.gov/E000046494.pdf</t>
  </si>
  <si>
    <t>Craig</t>
  </si>
  <si>
    <t>Fein</t>
  </si>
  <si>
    <t>Opposed-I wont survive another summer in AZ</t>
  </si>
  <si>
    <t>Keates</t>
  </si>
  <si>
    <t>Rob</t>
  </si>
  <si>
    <t>Opposed-Price gouging</t>
  </si>
  <si>
    <t>https://docket.images.azcc.gov/E000046502.pdf</t>
  </si>
  <si>
    <t>No MEP R-BASIC(126.09)</t>
  </si>
  <si>
    <t>10/9 Reviewed account and average monthly energe use is 760 kwh - want to confirm BASIC is a good recommendation?</t>
  </si>
  <si>
    <t>Gregg</t>
  </si>
  <si>
    <t>Opposed-APS sees a profit margin already of 9.55%</t>
  </si>
  <si>
    <t>3547350000</t>
  </si>
  <si>
    <t>Mensinger</t>
  </si>
  <si>
    <t>Opposed-Lets take a closer look at company spending habits</t>
  </si>
  <si>
    <t>Houck</t>
  </si>
  <si>
    <t>Opposed-APS sis 25% higher than SRP</t>
  </si>
  <si>
    <t>https://docket.images.azcc.gov/E000046525.pdf</t>
  </si>
  <si>
    <t>Pop</t>
  </si>
  <si>
    <t>Don’t raise the rates for electricity</t>
  </si>
  <si>
    <t>Already had an 8% increase last year</t>
  </si>
  <si>
    <t>Opposed-AC set 83 and still high bills</t>
  </si>
  <si>
    <t>Hendricks</t>
  </si>
  <si>
    <t>Joseph City</t>
  </si>
  <si>
    <t>Opposed-Why am I forced to APS and not someone else?</t>
  </si>
  <si>
    <t>Several missed payments</t>
  </si>
  <si>
    <t>Walton</t>
  </si>
  <si>
    <t>Opposed-Shareholders interests are prioritized</t>
  </si>
  <si>
    <t>Frausto</t>
  </si>
  <si>
    <t>Esmeralda</t>
  </si>
  <si>
    <t>Opposed-Think of customers first, high cost of living</t>
  </si>
  <si>
    <t>Continuous payment arrangements for a couple years, may need more assistance?</t>
  </si>
  <si>
    <t>Opposed- Going to contact Attorney Gen. to allow SRP serv</t>
  </si>
  <si>
    <t>Avalos</t>
  </si>
  <si>
    <t>Opposed-It will only drive away more jobs</t>
  </si>
  <si>
    <t>Hulsey</t>
  </si>
  <si>
    <t>Strongly Oppose 14% increase</t>
  </si>
  <si>
    <t>Multiple ACC Complaints (2023 and 2024)</t>
  </si>
  <si>
    <t>Munson</t>
  </si>
  <si>
    <t>Show Low</t>
  </si>
  <si>
    <t>Opposed-Corporate greed</t>
  </si>
  <si>
    <t>Craft</t>
  </si>
  <si>
    <t xml:space="preserve">Opposed-Ridiculous for such a large company </t>
  </si>
  <si>
    <t>Lopardo</t>
  </si>
  <si>
    <t>Corinna</t>
  </si>
  <si>
    <t>No MEP R3-47 ($13.58)</t>
  </si>
  <si>
    <t>Trisha</t>
  </si>
  <si>
    <t>Opposed-Absolutely ridiculous</t>
  </si>
  <si>
    <t>Siers</t>
  </si>
  <si>
    <t>Wade</t>
  </si>
  <si>
    <t>Opposed-14% appears rather excessive</t>
  </si>
  <si>
    <t>Boerner</t>
  </si>
  <si>
    <t>Rhonda</t>
  </si>
  <si>
    <t>Opposed-Unfair to residential customers</t>
  </si>
  <si>
    <t>Zamudio</t>
  </si>
  <si>
    <t>Alejandro</t>
  </si>
  <si>
    <t>Opposed- Unacceptable and unreasonable</t>
  </si>
  <si>
    <t>Ducar</t>
  </si>
  <si>
    <t>Outraged the commission would even consider this</t>
  </si>
  <si>
    <t>Sept</t>
  </si>
  <si>
    <t>Opposed-Monopoly</t>
  </si>
  <si>
    <t>Vandenberg</t>
  </si>
  <si>
    <t>Opposed-Terrible idea for Arizonans</t>
  </si>
  <si>
    <t>No MEP R3-47(175.40)</t>
  </si>
  <si>
    <t>Downing</t>
  </si>
  <si>
    <t>Opposed-increase is 4X higher than prevailing inflation</t>
  </si>
  <si>
    <t>Marinero</t>
  </si>
  <si>
    <t>Walter</t>
  </si>
  <si>
    <t xml:space="preserve">Strongly Opposed- Undue and unsustainable financial burden </t>
  </si>
  <si>
    <t>No MEP R3-47(1039.42)</t>
  </si>
  <si>
    <t>10/10/2025 Left VM</t>
  </si>
  <si>
    <t>Sharley</t>
  </si>
  <si>
    <t>Opposed- Financial burden if passed</t>
  </si>
  <si>
    <t>https://docket.images.azcc.gov/E000046531.pdf</t>
  </si>
  <si>
    <t>0636160358</t>
  </si>
  <si>
    <t>Opposed-16.6% increase? That's Crazy!!!</t>
  </si>
  <si>
    <t>https://docket.images.azcc.gov/E000046900.pdf</t>
  </si>
  <si>
    <t>Opposed- New Mexico bill is cheaper</t>
  </si>
  <si>
    <t>2829931000</t>
  </si>
  <si>
    <t>Opposed-Pinnacle West netted 600 million in profit</t>
  </si>
  <si>
    <t>Dagerman</t>
  </si>
  <si>
    <t>Opposed-Energy is a necessity not luxury</t>
  </si>
  <si>
    <t>6014831000</t>
  </si>
  <si>
    <t>Good payment history, shows a recent missed payment</t>
  </si>
  <si>
    <t>Denton</t>
  </si>
  <si>
    <t>Opposed, Ludicrous</t>
  </si>
  <si>
    <t>Gina</t>
  </si>
  <si>
    <t>Strongly Oppose</t>
  </si>
  <si>
    <t>Friedman</t>
  </si>
  <si>
    <t>Ashleigh</t>
  </si>
  <si>
    <t>Opposed- too much wit increased cost of living</t>
  </si>
  <si>
    <t>Sawyer</t>
  </si>
  <si>
    <t>Opposed-SRP model is superior</t>
  </si>
  <si>
    <t>9300806707</t>
  </si>
  <si>
    <t>Suckow</t>
  </si>
  <si>
    <t>Opposed-Rates already incredibly high</t>
  </si>
  <si>
    <t>3389991021</t>
  </si>
  <si>
    <t>No MEP R3-47 (101.27)</t>
  </si>
  <si>
    <t>Cor will think about this and request a cb at her convenience</t>
  </si>
  <si>
    <t>Swett</t>
  </si>
  <si>
    <t>Paige</t>
  </si>
  <si>
    <t xml:space="preserve">Glendale </t>
  </si>
  <si>
    <t xml:space="preserve">Strongly against rate increase </t>
  </si>
  <si>
    <t>2219505228</t>
  </si>
  <si>
    <t xml:space="preserve">Mathews </t>
  </si>
  <si>
    <t>Dajiah</t>
  </si>
  <si>
    <t>Opposed-increase e3 and crises base lines to match</t>
  </si>
  <si>
    <t>https://docket.images.azcc.gov/E000046548.pdf</t>
  </si>
  <si>
    <t>4591969515</t>
  </si>
  <si>
    <t>Norquist</t>
  </si>
  <si>
    <t>Paradise Valley</t>
  </si>
  <si>
    <t>Chip factories and AI are driving up costs</t>
  </si>
  <si>
    <t>9097961505</t>
  </si>
  <si>
    <t>Hamilton</t>
  </si>
  <si>
    <t>Opposed-retired on a fixed income</t>
  </si>
  <si>
    <t>3630760766</t>
  </si>
  <si>
    <t>R</t>
  </si>
  <si>
    <t>Opposed-too many increases</t>
  </si>
  <si>
    <t>Ilya</t>
  </si>
  <si>
    <t xml:space="preserve">Opposed- deep concern and frustration </t>
  </si>
  <si>
    <t>9308190000</t>
  </si>
  <si>
    <t>Machuca</t>
  </si>
  <si>
    <t>Senorina</t>
  </si>
  <si>
    <t xml:space="preserve">El Mirage </t>
  </si>
  <si>
    <t>Opposed-600 million in net income</t>
  </si>
  <si>
    <t>Bourdieu</t>
  </si>
  <si>
    <t>Krystal</t>
  </si>
  <si>
    <t xml:space="preserve">Opposed-2024 net income 600 million </t>
  </si>
  <si>
    <t>3083620000</t>
  </si>
  <si>
    <t>Ruddy</t>
  </si>
  <si>
    <t>Cayla</t>
  </si>
  <si>
    <t>Opposed-APS is not interested in providing affordable energy</t>
  </si>
  <si>
    <t>7002436554</t>
  </si>
  <si>
    <t>Toback</t>
  </si>
  <si>
    <t>Opposed-Average family wont be able to keep up</t>
  </si>
  <si>
    <t>0355361000</t>
  </si>
  <si>
    <t>Phay</t>
  </si>
  <si>
    <t>Brittney</t>
  </si>
  <si>
    <t>Opposed-protect rate payers and reject this</t>
  </si>
  <si>
    <t>3392630000</t>
  </si>
  <si>
    <t>Sexton</t>
  </si>
  <si>
    <t>5316089188</t>
  </si>
  <si>
    <t>No MEP R-XS ($126.36)</t>
  </si>
  <si>
    <t>Will reassign soon</t>
  </si>
  <si>
    <t>Freda</t>
  </si>
  <si>
    <t>Opposed-other utilities have increased</t>
  </si>
  <si>
    <t>Vollmer</t>
  </si>
  <si>
    <t>Opposed-Bogus rate increase, money grab</t>
  </si>
  <si>
    <t>9129688999</t>
  </si>
  <si>
    <t>Schiff</t>
  </si>
  <si>
    <t>1326918238</t>
  </si>
  <si>
    <t>Knaeble</t>
  </si>
  <si>
    <t>Opposed-Charge data centers more</t>
  </si>
  <si>
    <t>6830451000</t>
  </si>
  <si>
    <t>Valerio</t>
  </si>
  <si>
    <t>Veronica R.</t>
  </si>
  <si>
    <t>Opposed-increase is concerning</t>
  </si>
  <si>
    <t>9727210000</t>
  </si>
  <si>
    <t>9/192025</t>
  </si>
  <si>
    <t>Eggert</t>
  </si>
  <si>
    <t>Opposed-Is there a reason AZ doesn’t allow competition?</t>
  </si>
  <si>
    <t>4021850045</t>
  </si>
  <si>
    <t>Bottlinger</t>
  </si>
  <si>
    <t>Janelle</t>
  </si>
  <si>
    <t>Rates are extremely expensive</t>
  </si>
  <si>
    <t>0823076351</t>
  </si>
  <si>
    <t>Filed Multiple Complaints</t>
  </si>
  <si>
    <t>Romesburg</t>
  </si>
  <si>
    <t>Denise</t>
  </si>
  <si>
    <t>APS does not need a rate hike</t>
  </si>
  <si>
    <t>Gibson</t>
  </si>
  <si>
    <t>No one can keep up with their bills</t>
  </si>
  <si>
    <t>3159030000</t>
  </si>
  <si>
    <t>Lorig</t>
  </si>
  <si>
    <t>Apache Jct</t>
  </si>
  <si>
    <t>My mom wont be able to afford to eat</t>
  </si>
  <si>
    <t>Haggard</t>
  </si>
  <si>
    <t>Opposed- no reason for a rate hike</t>
  </si>
  <si>
    <t>1450385073</t>
  </si>
  <si>
    <t>Pickett</t>
  </si>
  <si>
    <t>Opposed- impacting working income families</t>
  </si>
  <si>
    <t>Baskovitz</t>
  </si>
  <si>
    <t>Opposed- Monopoly energy market</t>
  </si>
  <si>
    <t>Peralta</t>
  </si>
  <si>
    <t>Opposed-We need full disclosure on spending</t>
  </si>
  <si>
    <t>4978619668</t>
  </si>
  <si>
    <t>LeVangie</t>
  </si>
  <si>
    <t>Opposed-I'm moving to SRP territory</t>
  </si>
  <si>
    <t>2646435979</t>
  </si>
  <si>
    <t>Connie</t>
  </si>
  <si>
    <t>Owsley</t>
  </si>
  <si>
    <t>Dawn</t>
  </si>
  <si>
    <t>Unacceptable- will leave many unable to pay their bills</t>
  </si>
  <si>
    <t>3566321000</t>
  </si>
  <si>
    <t>Castano</t>
  </si>
  <si>
    <t>Opposed-already struggling with cost of living</t>
  </si>
  <si>
    <t>6222147125</t>
  </si>
  <si>
    <t>Madilyn</t>
  </si>
  <si>
    <t>Opposed-prioritizes share holders over customers</t>
  </si>
  <si>
    <t>https://docket.images.azcc.gov/E000046578.pdf</t>
  </si>
  <si>
    <t>No MEP R-BASIC ($254.29)</t>
  </si>
  <si>
    <t>Will cb at a later time - Final Bill Sent 10/27</t>
  </si>
  <si>
    <t>Mulugen</t>
  </si>
  <si>
    <t>Strongly Oppose formula rates, unaffordable</t>
  </si>
  <si>
    <t>Addair</t>
  </si>
  <si>
    <t>SRP is cheaper</t>
  </si>
  <si>
    <t>McCloskey</t>
  </si>
  <si>
    <t>7210380000</t>
  </si>
  <si>
    <t>Barley</t>
  </si>
  <si>
    <t>Kaitlynne</t>
  </si>
  <si>
    <t>Strongly Opposed</t>
  </si>
  <si>
    <t>0627214453</t>
  </si>
  <si>
    <t>APS needs to be kept inn check and ave rates controlled</t>
  </si>
  <si>
    <t>6338318391</t>
  </si>
  <si>
    <t>No MEP R3-47 ($65.89)</t>
  </si>
  <si>
    <t>Hoffner</t>
  </si>
  <si>
    <t>6407918651</t>
  </si>
  <si>
    <t>No MEP R3-47 ($91.07)</t>
  </si>
  <si>
    <t>Pablo</t>
  </si>
  <si>
    <t>Power is already expensive</t>
  </si>
  <si>
    <t>9340701000</t>
  </si>
  <si>
    <t>No MEP R3-47 ($310.77)</t>
  </si>
  <si>
    <t>Barbarite</t>
  </si>
  <si>
    <t>Absolutely Unjust</t>
  </si>
  <si>
    <t>6736335990</t>
  </si>
  <si>
    <t>McElroy</t>
  </si>
  <si>
    <t>Opposed-Money grab</t>
  </si>
  <si>
    <t>Rooen</t>
  </si>
  <si>
    <t>Cheyenne</t>
  </si>
  <si>
    <t>I cannot afford this</t>
  </si>
  <si>
    <t>Opposed-Unacceptable</t>
  </si>
  <si>
    <t>Valdivia</t>
  </si>
  <si>
    <t>Why put everyone in a worse situation</t>
  </si>
  <si>
    <t>Opposed-High cost of living- living paycheck to paycheck</t>
  </si>
  <si>
    <t>Barone</t>
  </si>
  <si>
    <t>Opposed-Prices too high</t>
  </si>
  <si>
    <t>Mccann</t>
  </si>
  <si>
    <t>Haley</t>
  </si>
  <si>
    <t xml:space="preserve">People can barely afford electricity as is now </t>
  </si>
  <si>
    <t>Warneke</t>
  </si>
  <si>
    <t>I do not wish any further increases in APS rates</t>
  </si>
  <si>
    <t>https://docket.images.azcc.gov/E000046586.pdf</t>
  </si>
  <si>
    <t>Ross</t>
  </si>
  <si>
    <t>Shelreece</t>
  </si>
  <si>
    <t>Dueringer</t>
  </si>
  <si>
    <t>Helen</t>
  </si>
  <si>
    <t>Rates should only be risen for Commercial properties</t>
  </si>
  <si>
    <t>https://docket.images.azcc.gov/E000046579.pdf</t>
  </si>
  <si>
    <t>De Santiago</t>
  </si>
  <si>
    <t>Marisol</t>
  </si>
  <si>
    <t>I object</t>
  </si>
  <si>
    <t>No MEP R3-47(104.05)</t>
  </si>
  <si>
    <t>Cor will remain on current plan</t>
  </si>
  <si>
    <t>Mckinney</t>
  </si>
  <si>
    <t>Strongly disagree</t>
  </si>
  <si>
    <t>Cisneros</t>
  </si>
  <si>
    <t>Completely against any increase in prices</t>
  </si>
  <si>
    <t>Perkins</t>
  </si>
  <si>
    <t>Rayney</t>
  </si>
  <si>
    <t>Opposed- Single income family of 8</t>
  </si>
  <si>
    <t>Skaric</t>
  </si>
  <si>
    <t>Miroslav</t>
  </si>
  <si>
    <t>APS fees are outrageous</t>
  </si>
  <si>
    <t>https://docket.images.azcc.gov/E000046826.pdf</t>
  </si>
  <si>
    <t>Opposed-already struggling with the last increase</t>
  </si>
  <si>
    <t>I am against the rate increase</t>
  </si>
  <si>
    <t>https://docket.images.azcc.gov/E000046638.pdf</t>
  </si>
  <si>
    <t>Hakes</t>
  </si>
  <si>
    <t>Linnea</t>
  </si>
  <si>
    <t>Camp Verde</t>
  </si>
  <si>
    <t>It’s a shame for APS to think of raising rates</t>
  </si>
  <si>
    <t>No MEP RTOUE ($149.70)</t>
  </si>
  <si>
    <t xml:space="preserve">Nelson </t>
  </si>
  <si>
    <t>Opposed-Bills are unaffordable</t>
  </si>
  <si>
    <t>Fenton</t>
  </si>
  <si>
    <t>Fixed Income, cannot afford an increase</t>
  </si>
  <si>
    <t>Apostolides</t>
  </si>
  <si>
    <t>Opposed and upset over fuel pricing</t>
  </si>
  <si>
    <t>First SA is on MEP, Second SA could save $41.57 on Tier 2 (should be reassigned next month)</t>
  </si>
  <si>
    <t>Lynne</t>
  </si>
  <si>
    <t>Opposed-Outrageous</t>
  </si>
  <si>
    <t>Wheeler</t>
  </si>
  <si>
    <t>Opposed-CEO needs a pay cut</t>
  </si>
  <si>
    <t>https://docket.images.azcc.gov/E000046665.pdf</t>
  </si>
  <si>
    <t>Huina</t>
  </si>
  <si>
    <t>My husband and I are really upset about it</t>
  </si>
  <si>
    <t>https://docket.images.azcc.gov/E000046645.pdf</t>
  </si>
  <si>
    <t>Gonzales</t>
  </si>
  <si>
    <t>Opposed-I don’t want to use aps but have no choice</t>
  </si>
  <si>
    <t>Please consider delaying rate increase</t>
  </si>
  <si>
    <t>https://docket.images.azcc.gov/E000046726.pdf</t>
  </si>
  <si>
    <t>Hage</t>
  </si>
  <si>
    <t>What cost cutting measures has aps taken internally?</t>
  </si>
  <si>
    <t>Gerblick</t>
  </si>
  <si>
    <t>Alison</t>
  </si>
  <si>
    <t>Opposed-AC is a necessity not a luxury for survival</t>
  </si>
  <si>
    <t>Elliot</t>
  </si>
  <si>
    <t>Opposed-Stop wasting our hard earned money</t>
  </si>
  <si>
    <t>Gillespie</t>
  </si>
  <si>
    <t>Elissa</t>
  </si>
  <si>
    <t>Opposed-request something more inline with inflation</t>
  </si>
  <si>
    <t>Mankiewicz</t>
  </si>
  <si>
    <t>Leo</t>
  </si>
  <si>
    <t>Unacceptable</t>
  </si>
  <si>
    <t>https://docket.images.azcc.gov/E000046710.pdf</t>
  </si>
  <si>
    <t>Trethewey</t>
  </si>
  <si>
    <t>Rate increase outpasses the rate of inflation</t>
  </si>
  <si>
    <t>Opposed-highway robbery</t>
  </si>
  <si>
    <t>Filed complaint with AG and ACC</t>
  </si>
  <si>
    <t>Dietrich</t>
  </si>
  <si>
    <t>Enough is enough with increases</t>
  </si>
  <si>
    <t>Not eligible</t>
  </si>
  <si>
    <t>Non-AMI customer</t>
  </si>
  <si>
    <t>Morales</t>
  </si>
  <si>
    <t>Linnette</t>
  </si>
  <si>
    <t>No MEP R-XS(143.13)</t>
  </si>
  <si>
    <t xml:space="preserve">Cor is satisfied with her current service plan </t>
  </si>
  <si>
    <t>Kapolas</t>
  </si>
  <si>
    <t>From letter</t>
  </si>
  <si>
    <t>No MEP R3-47(7.05)</t>
  </si>
  <si>
    <t>Eskew</t>
  </si>
  <si>
    <t>Kendall</t>
  </si>
  <si>
    <t>Opposed- Solar customers are to shoulder the financial burden</t>
  </si>
  <si>
    <t>https://docket.images.azcc.gov/E000046709.pdf</t>
  </si>
  <si>
    <t>No MEP R3-47(23.91)</t>
  </si>
  <si>
    <t>Hughes</t>
  </si>
  <si>
    <t>Joy</t>
  </si>
  <si>
    <t>Simply too high</t>
  </si>
  <si>
    <t>https://docket.images.azcc.gov/E000046762.pdf</t>
  </si>
  <si>
    <t>Lynch</t>
  </si>
  <si>
    <t>Blake</t>
  </si>
  <si>
    <t xml:space="preserve">Opposed-Why are you letting aps increase their rates </t>
  </si>
  <si>
    <t>https://docket.images.azcc.gov/E000046791.pdf</t>
  </si>
  <si>
    <t>Kozerski</t>
  </si>
  <si>
    <t>Alaxandra</t>
  </si>
  <si>
    <t>https://edocket.azcc.gov/search/document-search/item-detail/448293</t>
  </si>
  <si>
    <t>Respectfully Opposed-already financially strained</t>
  </si>
  <si>
    <t>Recently changed from Basic to R-EV</t>
  </si>
  <si>
    <t>Opposed-Phoenix families are struggling</t>
  </si>
  <si>
    <t>https://docket.images.azcc.gov/E000046833.pdf</t>
  </si>
  <si>
    <t>Hellring</t>
  </si>
  <si>
    <t>Opposed-no salary has seen an equivalent increase</t>
  </si>
  <si>
    <t>https://docket.images.azcc.gov/E000046843.pdf</t>
  </si>
  <si>
    <t>Elofson</t>
  </si>
  <si>
    <t>Opposed-limited income</t>
  </si>
  <si>
    <t>https://docket.images.azcc.gov/E000046876.pdf</t>
  </si>
  <si>
    <t>R-XS//R-2</t>
  </si>
  <si>
    <t>Yes/Frozen</t>
  </si>
  <si>
    <t>Moffat</t>
  </si>
  <si>
    <t xml:space="preserve">Opposed-I find it appalling </t>
  </si>
  <si>
    <t>Retiree, increase will cause hardship</t>
  </si>
  <si>
    <t>No MEP R-BASIC(90.00)</t>
  </si>
  <si>
    <t>Stephen</t>
  </si>
  <si>
    <t>Totally inappropriate</t>
  </si>
  <si>
    <t>Colan</t>
  </si>
  <si>
    <t>Whitmore</t>
  </si>
  <si>
    <t>Clarkdale</t>
  </si>
  <si>
    <t>Konves</t>
  </si>
  <si>
    <t>Courtney</t>
  </si>
  <si>
    <t>Opposed, struggling to make ends meet</t>
  </si>
  <si>
    <t>Colbett</t>
  </si>
  <si>
    <t>Opposed-Senior Citizen limited/fixed income</t>
  </si>
  <si>
    <t>Pavlov</t>
  </si>
  <si>
    <t>David&amp;Tiffany</t>
  </si>
  <si>
    <t>Opposed- unaffordable</t>
  </si>
  <si>
    <t>Bois</t>
  </si>
  <si>
    <t>Garret</t>
  </si>
  <si>
    <t>Yoon</t>
  </si>
  <si>
    <t>Eunice</t>
  </si>
  <si>
    <t>Opposed-Prioritize cost control</t>
  </si>
  <si>
    <t>Tornetta</t>
  </si>
  <si>
    <t>Opposed-please consider seniors,families,fixed income</t>
  </si>
  <si>
    <t>No MEP R3-47(68.47)</t>
  </si>
  <si>
    <t>Vallabhaneni</t>
  </si>
  <si>
    <t>Kamala</t>
  </si>
  <si>
    <t>Opposed-Simply too much</t>
  </si>
  <si>
    <t>https://docket.images.azcc.gov/E000046911.pdf</t>
  </si>
  <si>
    <t>0857783306</t>
  </si>
  <si>
    <t>Petition-21</t>
  </si>
  <si>
    <t>Petition</t>
  </si>
  <si>
    <t>Multiple</t>
  </si>
  <si>
    <t xml:space="preserve">This opposition has multiple customer signatures </t>
  </si>
  <si>
    <t>Petition-200</t>
  </si>
  <si>
    <t>Star Valley</t>
  </si>
  <si>
    <t>Opposed-APS is attempting to influence legislature</t>
  </si>
  <si>
    <t>Petition-131</t>
  </si>
  <si>
    <t>Rademacher</t>
  </si>
  <si>
    <t>Judy</t>
  </si>
  <si>
    <t>Opposed-Fixed Income</t>
  </si>
  <si>
    <t>Curtis</t>
  </si>
  <si>
    <t>Opposed-I will discontinue my solar service</t>
  </si>
  <si>
    <t>Behike</t>
  </si>
  <si>
    <t>https://docket.images.azcc.gov/E000046970.pdf</t>
  </si>
  <si>
    <t>Mary Lynee</t>
  </si>
  <si>
    <t>Urging you all to vote no on the APS request</t>
  </si>
  <si>
    <t>1163301000</t>
  </si>
  <si>
    <t xml:space="preserve">2 SAs </t>
  </si>
  <si>
    <t>Spencer</t>
  </si>
  <si>
    <t>Unreasonable ever-increasing rates</t>
  </si>
  <si>
    <t>1790274066</t>
  </si>
  <si>
    <t>Eason</t>
  </si>
  <si>
    <t>This rate hike would be deeply burdensome to families, seniors and working individuals</t>
  </si>
  <si>
    <t>3317467505</t>
  </si>
  <si>
    <t>Solar Communities</t>
  </si>
  <si>
    <t>unreasonable, unjustified, and harmful to Arizona families, schools, and small businesses.</t>
  </si>
  <si>
    <t>Express concerns with proposal to increase rates without appropriately considering the contribution of residential solar users</t>
  </si>
  <si>
    <t>Hall</t>
  </si>
  <si>
    <t>Rate hike would place an even heavier financial burden on families, seniors, and small businesses across our state.</t>
  </si>
  <si>
    <t>9713723488</t>
  </si>
  <si>
    <t>Quinte</t>
  </si>
  <si>
    <t>Roger</t>
  </si>
  <si>
    <t>Form Letter: Enough is enough! You must reject the latest 14% rate hikes by APS and TEP</t>
  </si>
  <si>
    <t>2707161000</t>
  </si>
  <si>
    <t>EPR-6w/ECT-2</t>
  </si>
  <si>
    <t>Ratner</t>
  </si>
  <si>
    <t>Low fixed income cannot afford such huge rate increases</t>
  </si>
  <si>
    <t>4322390000</t>
  </si>
  <si>
    <t>Non-AMI customer, has filed multiple ACC complaints and rate case comments over the years</t>
  </si>
  <si>
    <t>Tucson</t>
  </si>
  <si>
    <t>Ufnal</t>
  </si>
  <si>
    <t>Jerry</t>
  </si>
  <si>
    <t>Arbizu</t>
  </si>
  <si>
    <t>Angelina</t>
  </si>
  <si>
    <t>9543902054</t>
  </si>
  <si>
    <t>Myers</t>
  </si>
  <si>
    <t>4057076823</t>
  </si>
  <si>
    <t xml:space="preserve">No MEP R3-47 ($272.50) </t>
  </si>
  <si>
    <t>Holcombe</t>
  </si>
  <si>
    <t>Gene</t>
  </si>
  <si>
    <t>2725650087</t>
  </si>
  <si>
    <t>Only 3  months in new location and 2 months since solar was installed. Requested rate online 10/8 - moving to R3-47</t>
  </si>
  <si>
    <t>Ogledzinski</t>
  </si>
  <si>
    <t>9804331000</t>
  </si>
  <si>
    <t>Youngker</t>
  </si>
  <si>
    <t>Virginia</t>
  </si>
  <si>
    <t>5596059869</t>
  </si>
  <si>
    <t>No MEP R3-47 ($991.58)</t>
  </si>
  <si>
    <t>10/15 Left VM, payment history shows several missed payments and broken PAs</t>
  </si>
  <si>
    <t>Mahr</t>
  </si>
  <si>
    <t>RM</t>
  </si>
  <si>
    <t>Homeowners are being asked to pay for the new infrastructure required for the new data centers</t>
  </si>
  <si>
    <t>Jones</t>
  </si>
  <si>
    <t>Opposed - unfair and biased commission</t>
  </si>
  <si>
    <t>https://docket.images.azcc.gov/E000046988.pdf</t>
  </si>
  <si>
    <t>Hartley</t>
  </si>
  <si>
    <t>Collene</t>
  </si>
  <si>
    <t>5687941000</t>
  </si>
  <si>
    <t>Warnecke</t>
  </si>
  <si>
    <t>Kristi</t>
  </si>
  <si>
    <t>Senior on fixed income, could be choosing between air conditioning and medicine</t>
  </si>
  <si>
    <t>4095570000</t>
  </si>
  <si>
    <t>Noffsinger</t>
  </si>
  <si>
    <t>Exempt 25% energy discount program customers from proposed rate increase</t>
  </si>
  <si>
    <t>Foti</t>
  </si>
  <si>
    <t>Opposed - Arizonans are already struggling with inflation</t>
  </si>
  <si>
    <t>https://docket.images.azcc.gov/E000047024.pdf</t>
  </si>
  <si>
    <t>5427869471</t>
  </si>
  <si>
    <t>No MEP R-XS ($108.43)</t>
  </si>
  <si>
    <t>10/17 Left VM</t>
  </si>
  <si>
    <t>Haden</t>
  </si>
  <si>
    <t>https://docket.images.azcc.gov/E000046996.pdf</t>
  </si>
  <si>
    <t>6013821000</t>
  </si>
  <si>
    <t>No MEP R3-47 ($43.09)</t>
  </si>
  <si>
    <t>Signed petition 8</t>
  </si>
  <si>
    <t>Grimwood</t>
  </si>
  <si>
    <t>4855301000</t>
  </si>
  <si>
    <t>No MEP R3-47 ($437.04)</t>
  </si>
  <si>
    <t>Signed petition 8 - 10/17 Left VM</t>
  </si>
  <si>
    <t>Linzey</t>
  </si>
  <si>
    <t>Benson</t>
  </si>
  <si>
    <t>Gibbons</t>
  </si>
  <si>
    <t>TJ</t>
  </si>
  <si>
    <t>Guertin</t>
  </si>
  <si>
    <t>Pollock</t>
  </si>
  <si>
    <t>6922736019</t>
  </si>
  <si>
    <t>Signed petition 8 - Filed same letter again on 10/27</t>
  </si>
  <si>
    <t>Shem</t>
  </si>
  <si>
    <t>0370184572</t>
  </si>
  <si>
    <t>https://docket.images.azcc.gov/E000047057.pdf</t>
  </si>
  <si>
    <t>Ufinal</t>
  </si>
  <si>
    <t>Roxanne</t>
  </si>
  <si>
    <t>Yarber</t>
  </si>
  <si>
    <t>Seligman</t>
  </si>
  <si>
    <t>Do not allow APS to constantly raise their rates</t>
  </si>
  <si>
    <t>https://docket.images.azcc.gov/E000047007.pdf</t>
  </si>
  <si>
    <t>9297010000</t>
  </si>
  <si>
    <t>Robnett</t>
  </si>
  <si>
    <t>Sierra Vista</t>
  </si>
  <si>
    <t>What are you doing to stop this from happening?</t>
  </si>
  <si>
    <t>7395790000</t>
  </si>
  <si>
    <t>APS  needs to work with the ACC for these increases</t>
  </si>
  <si>
    <t>https://docket.images.azcc.gov/E000047028.pdf</t>
  </si>
  <si>
    <t>Settje</t>
  </si>
  <si>
    <t>Tonto Basin</t>
  </si>
  <si>
    <t>Off-peak/demand income and demand charges after outages</t>
  </si>
  <si>
    <t>https://docket.images.azcc.gov/E000047034.pdf</t>
  </si>
  <si>
    <t>9988610610</t>
  </si>
  <si>
    <t>Terrie</t>
  </si>
  <si>
    <t>Opposed, significant burden, especially when cost of living continued to rise</t>
  </si>
  <si>
    <t>https://docket.images.azcc.gov/E000047053.pdf</t>
  </si>
  <si>
    <t>7948393933</t>
  </si>
  <si>
    <t>Brent</t>
  </si>
  <si>
    <t>Opposed, vote for something more reasonable</t>
  </si>
  <si>
    <t>https://docket.images.azcc.gov/E000047091.pdf</t>
  </si>
  <si>
    <t>8909137526</t>
  </si>
  <si>
    <t>Terranova</t>
  </si>
  <si>
    <t>belt-tightening needed here</t>
  </si>
  <si>
    <t>4797590000</t>
  </si>
  <si>
    <t>No MEP R3-47 ($42.77)</t>
  </si>
  <si>
    <t>Mr. Terranova filed a separate ACC complaint on 9/30 regarding the price he sells back his solar. Beth spoke with him.</t>
  </si>
  <si>
    <t>Hecht</t>
  </si>
  <si>
    <t>Justine</t>
  </si>
  <si>
    <t xml:space="preserve">Form letter </t>
  </si>
  <si>
    <t>6641580000</t>
  </si>
  <si>
    <t>VanCleave</t>
  </si>
  <si>
    <t>Magi</t>
  </si>
  <si>
    <t>Pad corporate profits at the expense of AZ consumers</t>
  </si>
  <si>
    <t>8253620000</t>
  </si>
  <si>
    <t>No MEP TOUE ($29.42)</t>
  </si>
  <si>
    <t>Ariana</t>
  </si>
  <si>
    <t>Against the proposed rate increase</t>
  </si>
  <si>
    <t>1460051272</t>
  </si>
  <si>
    <t>Punishing for having solar</t>
  </si>
  <si>
    <t>https://docket.images.azcc.gov/E000047066.pdf</t>
  </si>
  <si>
    <t>Vermillion</t>
  </si>
  <si>
    <t>The increase is absolutely absurd</t>
  </si>
  <si>
    <t>Wittie</t>
  </si>
  <si>
    <t>Please do not vote for the APS rate increase</t>
  </si>
  <si>
    <t>0474852117</t>
  </si>
  <si>
    <t>Meixler</t>
  </si>
  <si>
    <t>Lakeside</t>
  </si>
  <si>
    <t>Revoke net zero plans for 2050</t>
  </si>
  <si>
    <t>https://docket.images.azcc.gov/E000047064.pdf</t>
  </si>
  <si>
    <t>Coking</t>
  </si>
  <si>
    <t>Margolis</t>
  </si>
  <si>
    <t>Express my frustration and disappointment regarding the recent rate increases</t>
  </si>
  <si>
    <t>https://docket.images.azcc.gov/E000047089.pdf</t>
  </si>
  <si>
    <t>0352210000</t>
  </si>
  <si>
    <t>Moving to R-XS</t>
  </si>
  <si>
    <t>Lagerquist</t>
  </si>
  <si>
    <t>That's not a reasonable increase!</t>
  </si>
  <si>
    <t>https://docket.images.azcc.gov/E000047105.pdf</t>
  </si>
  <si>
    <t>6253965494</t>
  </si>
  <si>
    <t>Rudy</t>
  </si>
  <si>
    <t>Major hardship for my family. My solar benefits APS</t>
  </si>
  <si>
    <t>5084150000</t>
  </si>
  <si>
    <t>Raymer</t>
  </si>
  <si>
    <t>Charge high users such as data centers an excessive use fee</t>
  </si>
  <si>
    <t>https://docket.images.azcc.gov/E000047136.pdf</t>
  </si>
  <si>
    <t xml:space="preserve">Object to any rate increases </t>
  </si>
  <si>
    <t>Davenport</t>
  </si>
  <si>
    <t>Preston</t>
  </si>
  <si>
    <t>Rate hike would make it harder for working residents - concerned that this appears to subsidize data centers</t>
  </si>
  <si>
    <t>1507948531</t>
  </si>
  <si>
    <t>No MEP R3-47 ($84.40)</t>
  </si>
  <si>
    <t>White</t>
  </si>
  <si>
    <t>Decline their request for a rate increase</t>
  </si>
  <si>
    <t>https://docket.images.azcc.gov/E000047160.pdf</t>
  </si>
  <si>
    <t>Koval</t>
  </si>
  <si>
    <t>Jane</t>
  </si>
  <si>
    <t>Supports the expansion and updates for energy infrastructure</t>
  </si>
  <si>
    <t>https://docket.images.azcc.gov/E000047140.pdf</t>
  </si>
  <si>
    <t>1189841000</t>
  </si>
  <si>
    <t>Bennett</t>
  </si>
  <si>
    <t>Too many rate increases</t>
  </si>
  <si>
    <t>https://docket.images.azcc.gov/E000047139.pdf</t>
  </si>
  <si>
    <t>Vanessa</t>
  </si>
  <si>
    <t>Outrageous, on-peak plan is horrible, charging more when consumers are home</t>
  </si>
  <si>
    <t>Graig</t>
  </si>
  <si>
    <t>14% increase will hurt people on a fixed income</t>
  </si>
  <si>
    <t>Greig</t>
  </si>
  <si>
    <t>Can't afford increase, especially after being deceived by Odin Energy with our solar panels</t>
  </si>
  <si>
    <t>https://docket.images.azcc.gov/E000047166.pdf</t>
  </si>
  <si>
    <t>Toro</t>
  </si>
  <si>
    <t>Petty</t>
  </si>
  <si>
    <t>I object to this rate increase due to the excessive executive pay</t>
  </si>
  <si>
    <t>https://docket.images.azcc.gov/E000047175.pdf</t>
  </si>
  <si>
    <t>8709456718</t>
  </si>
  <si>
    <t>Hagen</t>
  </si>
  <si>
    <t>Rates are already too high and lack of competition</t>
  </si>
  <si>
    <t>4263668163</t>
  </si>
  <si>
    <t>Dayton</t>
  </si>
  <si>
    <t>For families like mine, the continued rise in utility costs presents a significant burden.</t>
  </si>
  <si>
    <t>6573080097</t>
  </si>
  <si>
    <t>Summons</t>
  </si>
  <si>
    <t>https://docket.images.azcc.gov/E000047191.pdf</t>
  </si>
  <si>
    <t>1205900735</t>
  </si>
  <si>
    <t>No MEP R3-47 ($3.61)</t>
  </si>
  <si>
    <t>Larsen</t>
  </si>
  <si>
    <t xml:space="preserve">Strongly against and simply repulsed </t>
  </si>
  <si>
    <t>Byman</t>
  </si>
  <si>
    <t>https://docket.images.azcc.gov/E000047270.pdf</t>
  </si>
  <si>
    <t>1039090000</t>
  </si>
  <si>
    <t>No MEP RTOUE ($1.30)</t>
  </si>
  <si>
    <t>Kourtney</t>
  </si>
  <si>
    <t>1754570000</t>
  </si>
  <si>
    <t>Skoog</t>
  </si>
  <si>
    <t>Bridget</t>
  </si>
  <si>
    <t>Castellanos</t>
  </si>
  <si>
    <t>Gaietto</t>
  </si>
  <si>
    <t>Vince</t>
  </si>
  <si>
    <t>1383444423</t>
  </si>
  <si>
    <t>Cantore</t>
  </si>
  <si>
    <t>Xiomara</t>
  </si>
  <si>
    <t>5816055793</t>
  </si>
  <si>
    <t>No MEP RBASIC ($65.01)</t>
  </si>
  <si>
    <t>Menjivar</t>
  </si>
  <si>
    <t>Edna</t>
  </si>
  <si>
    <t>Marino</t>
  </si>
  <si>
    <t>Susie</t>
  </si>
  <si>
    <t>8510901315</t>
  </si>
  <si>
    <t>Lyda</t>
  </si>
  <si>
    <t>Marissa</t>
  </si>
  <si>
    <t>https://docket.images.azcc.gov/E000047255.pdf</t>
  </si>
  <si>
    <t>4077484827</t>
  </si>
  <si>
    <t>Jaffe</t>
  </si>
  <si>
    <t>Russell</t>
  </si>
  <si>
    <t>This is an insane request in these challenging times</t>
  </si>
  <si>
    <t>https://docket.images.azcc.gov/E000047250.pdf</t>
  </si>
  <si>
    <t>1946751000</t>
  </si>
  <si>
    <t>Cota</t>
  </si>
  <si>
    <t>https://docket.images.azcc.gov/E000047297.pdf</t>
  </si>
  <si>
    <t>Soqui</t>
  </si>
  <si>
    <t>Jubal</t>
  </si>
  <si>
    <t>7591331000</t>
  </si>
  <si>
    <t>Felicia</t>
  </si>
  <si>
    <t>6818845467</t>
  </si>
  <si>
    <t>3806613194</t>
  </si>
  <si>
    <t>Evans</t>
  </si>
  <si>
    <t>Medina</t>
  </si>
  <si>
    <t>Alexandria</t>
  </si>
  <si>
    <t>3297731000</t>
  </si>
  <si>
    <t>ER-6w/ET-2</t>
  </si>
  <si>
    <t>Ponce</t>
  </si>
  <si>
    <t>Joi</t>
  </si>
  <si>
    <t>Form Letter: For families like mine this is simply too much</t>
  </si>
  <si>
    <t>https://docket.images.azcc.gov/E000047324.pdf</t>
  </si>
  <si>
    <t>2271888532</t>
  </si>
  <si>
    <t>Ortiz</t>
  </si>
  <si>
    <t>6473321000</t>
  </si>
  <si>
    <t>Willeford</t>
  </si>
  <si>
    <t>Nolan</t>
  </si>
  <si>
    <t>Koren</t>
  </si>
  <si>
    <t>That is an unacceptable increase</t>
  </si>
  <si>
    <t>Fisher</t>
  </si>
  <si>
    <t>Nathan</t>
  </si>
  <si>
    <t>16% increase is egregious</t>
  </si>
  <si>
    <t>3214901000</t>
  </si>
  <si>
    <t>Prichard</t>
  </si>
  <si>
    <t>Barth</t>
  </si>
  <si>
    <t>Pat</t>
  </si>
  <si>
    <t>Protect Arizonans - Reject APS's 14% rate hike</t>
  </si>
  <si>
    <t>I oppose the rate hike</t>
  </si>
  <si>
    <t>Cavanaugh</t>
  </si>
  <si>
    <t>Sundell</t>
  </si>
  <si>
    <t>As a senior citizen, this rate increase request will directly affect my financial situation.</t>
  </si>
  <si>
    <t>https://docket.images.azcc.gov/0000215502.pdf</t>
  </si>
  <si>
    <t>1150201000</t>
  </si>
  <si>
    <t>Previously filed two different ACC Complaints in 2021 and 2024</t>
  </si>
  <si>
    <t xml:space="preserve">Proposed rate increase will undoubtedly exacerbate the financial burden on the citizens of Glendale. </t>
  </si>
  <si>
    <t>https://docket.images.azcc.gov/0000215501.pdf</t>
  </si>
  <si>
    <t>Hayden</t>
  </si>
  <si>
    <t>Cezanne</t>
  </si>
  <si>
    <t>https://docket.images.azcc.gov/E000047338.pdf</t>
  </si>
  <si>
    <t>Opposed, Infrastructure expansion caused by large commercial loads should be paid for by those same corporation</t>
  </si>
  <si>
    <t>Stines</t>
  </si>
  <si>
    <t>Stop net zero plans</t>
  </si>
  <si>
    <t>9452141000</t>
  </si>
  <si>
    <t>Barry</t>
  </si>
  <si>
    <t>rapid datacenter growth should not shift infrastructure and generation costs onto ordinary families.</t>
  </si>
  <si>
    <t>Greg</t>
  </si>
  <si>
    <t>https://docket.images.azcc.gov/E000047365.pdf</t>
  </si>
  <si>
    <t>4309031000</t>
  </si>
  <si>
    <t xml:space="preserve">Senior citizen, Opposed to the request for a fourteen percent raise in electrical rates. </t>
  </si>
  <si>
    <t>Rojas</t>
  </si>
  <si>
    <t>Chrystin &amp; Raul</t>
  </si>
  <si>
    <t>Concerns about the proposed rate increase and formula rate mechanism.</t>
  </si>
  <si>
    <t>6003957639</t>
  </si>
  <si>
    <t>No MEP R3-47 ($62.21)</t>
  </si>
  <si>
    <t xml:space="preserve">Assistance? In collections Note: Spanish Bill </t>
  </si>
  <si>
    <t>Nacinovich</t>
  </si>
  <si>
    <t>reject this proposed rate increase and to ensure that the financial responsibility for new grid demand falls on the businesses creating i</t>
  </si>
  <si>
    <t>5470751000</t>
  </si>
  <si>
    <t>Drobnica</t>
  </si>
  <si>
    <t>Many customers are on a fixed income that isn't growing with the rates APS, Focus on providing safe, reliable and affordable energy not corporate philanthropy</t>
  </si>
  <si>
    <t>9058887734</t>
  </si>
  <si>
    <t>Susser</t>
  </si>
  <si>
    <t>Norm</t>
  </si>
  <si>
    <t>Fees, taxes, surcharges and adjustors seem excessive</t>
  </si>
  <si>
    <t>https://docket.images.azcc.gov/E000047398.pdf</t>
  </si>
  <si>
    <t>3801590000</t>
  </si>
  <si>
    <t>3505651000</t>
  </si>
  <si>
    <t>No MEP R3-47 ($176.69)</t>
  </si>
  <si>
    <t>11/10 Left VM regarding MEP at Flagstaff SA</t>
  </si>
  <si>
    <t>Dershowitz</t>
  </si>
  <si>
    <t>SS going up 2.8%, suggest rate increase be limited to the same</t>
  </si>
  <si>
    <t>https://docket.images.azcc.gov/E000047371.pdf</t>
  </si>
  <si>
    <t>2990380000</t>
  </si>
  <si>
    <t>No MEP R3-47 ($255.76)</t>
  </si>
  <si>
    <t xml:space="preserve">11/10 Spoke to customer briefly then he said "leave me alone" and hung up. </t>
  </si>
  <si>
    <t>Curds</t>
  </si>
  <si>
    <t>I oppose the rate hike. Bills are high enough. No one can survive paying $650.</t>
  </si>
  <si>
    <t>https://docket.images.azcc.gov/E000047425.pdf</t>
  </si>
  <si>
    <t>3304816868</t>
  </si>
  <si>
    <t>No MEP R3-47 ($113.52)</t>
  </si>
  <si>
    <t>Customer filed an ACC complaint 11/3</t>
  </si>
  <si>
    <t>Doe</t>
  </si>
  <si>
    <t>Opposed to advertising at sports arena. Opposed to donations made to charity.</t>
  </si>
  <si>
    <t>Thome</t>
  </si>
  <si>
    <t>Cari</t>
  </si>
  <si>
    <t>Opposed to another rate hike - they have frequently asked for rate increases</t>
  </si>
  <si>
    <t>7319203567</t>
  </si>
  <si>
    <t>Huff</t>
  </si>
  <si>
    <t>High percentage of reitrees in Arizona who are on a fixed income. Data centers should pay for themselves.</t>
  </si>
  <si>
    <t>https://docket.images.azcc.gov/E000047417.pdf</t>
  </si>
  <si>
    <t>Boyd</t>
  </si>
  <si>
    <t>Magan</t>
  </si>
  <si>
    <t>Tonopah</t>
  </si>
  <si>
    <t>It makes no sense that the rates are higher… Issues with energy water agreements (PV).</t>
  </si>
  <si>
    <t>https://docket.images.azcc.gov/E000047432.pdf</t>
  </si>
  <si>
    <t>3647741244</t>
  </si>
  <si>
    <t>Smitt</t>
  </si>
  <si>
    <t>Erik</t>
  </si>
  <si>
    <t xml:space="preserve">Do not support green new deal nor the net zero </t>
  </si>
  <si>
    <t>Arnold</t>
  </si>
  <si>
    <t>Terrence</t>
  </si>
  <si>
    <t>The recent APS request to rate increase of 16% is absurd</t>
  </si>
  <si>
    <t>9909801000</t>
  </si>
  <si>
    <t>Elder</t>
  </si>
  <si>
    <t>Scottland</t>
  </si>
  <si>
    <t>https://docket.images.azcc.gov/E000047451.pdf</t>
  </si>
  <si>
    <t>Cordova</t>
  </si>
  <si>
    <t>Form Letter: Enough is enough! You must reject the latest 14% rate hikes by APS bby TEP</t>
  </si>
  <si>
    <t>Jeronimo</t>
  </si>
  <si>
    <t>Form Letter: Enough is enough! You must reject the latest 14% rate hikes by APS lda TEP</t>
  </si>
  <si>
    <t>4506338330</t>
  </si>
  <si>
    <t>Petition - Assistance?</t>
  </si>
  <si>
    <t>Debrum</t>
  </si>
  <si>
    <t>Sophia</t>
  </si>
  <si>
    <t>Form Letter: Enough is enough! You must reject the latest 14% rate hikes by APS  TEP</t>
  </si>
  <si>
    <t>Bojado</t>
  </si>
  <si>
    <t>Form Letter: Enough is enough! You must reject the latest 14% rate hikes by APS a TEP</t>
  </si>
  <si>
    <t>Fonseca</t>
  </si>
  <si>
    <t>Jasmine</t>
  </si>
  <si>
    <t>Form Letter: Enough is enough! You must reject the latest 14% rate hikes by APS e TEP</t>
  </si>
  <si>
    <t>4885204722</t>
  </si>
  <si>
    <t>Ellison</t>
  </si>
  <si>
    <t>Sylvia</t>
  </si>
  <si>
    <t xml:space="preserve">Opposed: No options other than APS. Senior Citizens, AC is a life saving need. </t>
  </si>
  <si>
    <t>https://docket.images.azcc.gov/E000047554.pdf?i=1763105891311</t>
  </si>
  <si>
    <t>Krakora</t>
  </si>
  <si>
    <t>Opposed, As a retiree with a limited income, and do not qualify for assistance</t>
  </si>
  <si>
    <t>https://docket.images.azcc.gov/E000047658.pdf</t>
  </si>
  <si>
    <t>Anand</t>
  </si>
  <si>
    <t>Anupama</t>
  </si>
  <si>
    <t>Do not approve the proposed rate increase</t>
  </si>
  <si>
    <t>https://docket.images.azcc.gov/E000047665.pdf</t>
  </si>
  <si>
    <t>No MEP RTOU47 ($53.39)</t>
  </si>
  <si>
    <t>Oswald</t>
  </si>
  <si>
    <t>Fred</t>
  </si>
  <si>
    <t>Rate hike is grossly excessive, oppose formula rates</t>
  </si>
  <si>
    <t>https://docket.images.azcc.gov/E000047735.pdf</t>
  </si>
  <si>
    <t>Leeper</t>
  </si>
  <si>
    <t>Tom and Melissa</t>
  </si>
  <si>
    <t>Stop the proposed rate hikes</t>
  </si>
  <si>
    <t>https://docket.images.azcc.gov/E000047729.pdf</t>
  </si>
  <si>
    <t>EPR6w/ET-1</t>
  </si>
  <si>
    <t xml:space="preserve">Cheri </t>
  </si>
  <si>
    <t>Opposed: Senior on a fixed income in a mobile home</t>
  </si>
  <si>
    <t>https://docket.images.azcc.gov/E000047757.pdf</t>
  </si>
  <si>
    <t>No MEP R-XS</t>
  </si>
  <si>
    <t>Should be automatically reassigned to Tier 1 this month</t>
  </si>
  <si>
    <t>Koplan</t>
  </si>
  <si>
    <t>Katelyn</t>
  </si>
  <si>
    <t>I strongly urge you to reconsider this proposal in light of economic pressures facing Arizona families</t>
  </si>
  <si>
    <t>https://docket.images.azcc.gov/E000047784.pdf</t>
  </si>
  <si>
    <t>Buttler</t>
  </si>
  <si>
    <t>Carol and Alan</t>
  </si>
  <si>
    <t>ACC has obligation to protect APS customers from consistently high rate increases</t>
  </si>
  <si>
    <t>https://docket.images.azcc.gov/E000047808.pdf</t>
  </si>
  <si>
    <t>No MEP R-BASIC ($41.34)</t>
  </si>
  <si>
    <t>The proposed rate of increase on seniors is outrageous!</t>
  </si>
  <si>
    <t>Putnam</t>
  </si>
  <si>
    <t>Marla</t>
  </si>
  <si>
    <t>The rates have steadily increased</t>
  </si>
  <si>
    <t>RCPw/TOUE</t>
  </si>
  <si>
    <t>Anonymous</t>
  </si>
  <si>
    <t>I am against the APS rate increase</t>
  </si>
  <si>
    <t>https://docket.images.azcc.gov/E000047827.pdf</t>
  </si>
  <si>
    <t>Adeline</t>
  </si>
  <si>
    <t>APS prices are too high</t>
  </si>
  <si>
    <t>Dowling</t>
  </si>
  <si>
    <t>Means</t>
  </si>
  <si>
    <t>Vote no</t>
  </si>
  <si>
    <t>https://docket.images.azcc.gov/E000047828.pdf?i=1764228532333</t>
  </si>
  <si>
    <t>Boontjer</t>
  </si>
  <si>
    <t>Ken and JoAnn</t>
  </si>
  <si>
    <t>Research APS net zero plan, open Cholla</t>
  </si>
  <si>
    <t>EPR6w/E-12</t>
  </si>
  <si>
    <t>Kissling</t>
  </si>
  <si>
    <t xml:space="preserve">Shari </t>
  </si>
  <si>
    <t>stop approving rate increases</t>
  </si>
  <si>
    <t>https://docket.images.azcc.gov/E000047852.pdf</t>
  </si>
  <si>
    <t>Logan</t>
  </si>
  <si>
    <t>https://docket.images.azcc.gov/E000047963.pdf</t>
  </si>
  <si>
    <t>Spence</t>
  </si>
  <si>
    <t>Stop the price hike that APS is planning to impose.</t>
  </si>
  <si>
    <t>https://docket.images.azcc.gov/E000047971.pdf</t>
  </si>
  <si>
    <t>Palomera</t>
  </si>
  <si>
    <t>https://docket.images.azcc.gov/E000047935.pdf</t>
  </si>
  <si>
    <t>No MEP R-BASIC ($167.08)</t>
  </si>
  <si>
    <t>Salaiz</t>
  </si>
  <si>
    <t>Stefanie</t>
  </si>
  <si>
    <t>Walberg</t>
  </si>
  <si>
    <t xml:space="preserve">I am a middle class single mom on a teacher income. I don't qualilfy for assistance. </t>
  </si>
  <si>
    <t>EPR6-ET-1</t>
  </si>
  <si>
    <t>Charlene</t>
  </si>
  <si>
    <t>No more rate increases. We are struggling to pay already!</t>
  </si>
  <si>
    <t>No MEP R3-47 ($295.17)</t>
  </si>
  <si>
    <t>Wallach</t>
  </si>
  <si>
    <t>Kurt</t>
  </si>
  <si>
    <t xml:space="preserve">I am voicing concern over repeated rate requests from APS. </t>
  </si>
  <si>
    <t>Hayes</t>
  </si>
  <si>
    <t>There is no need to increase residential rates. we are already paying an all-time high</t>
  </si>
  <si>
    <t>Barbosa</t>
  </si>
  <si>
    <t>Beatriz</t>
  </si>
  <si>
    <t>Whittmann</t>
  </si>
  <si>
    <t>Cassandra</t>
  </si>
  <si>
    <t>Opposed rate hike, increase solar buy back.</t>
  </si>
  <si>
    <t>Rodriquez</t>
  </si>
  <si>
    <t>Jennav</t>
  </si>
  <si>
    <t>Ghiardi</t>
  </si>
  <si>
    <t>Opposed to rate hike and solar fee. Main lines going to data centers</t>
  </si>
  <si>
    <t>T</t>
  </si>
  <si>
    <t>https://docket.images.azcc.gov/E000048010.pdf</t>
  </si>
  <si>
    <t>Elleray</t>
  </si>
  <si>
    <t>Philip and Vicky</t>
  </si>
  <si>
    <t xml:space="preserve"> For a retired person and disabled veteran, that is an excessive rate increase</t>
  </si>
  <si>
    <t>https://docket.images.azcc.gov/E000047995.pdf</t>
  </si>
  <si>
    <t>3762361661</t>
  </si>
  <si>
    <t>Pedroza</t>
  </si>
  <si>
    <t>Maricela</t>
  </si>
  <si>
    <t>I do not want to turn on the air conditioning because the cost of electricity is too high.</t>
  </si>
  <si>
    <t>https://docket.images.azcc.gov/0000215712.pdf</t>
  </si>
  <si>
    <t>Spanish letter docketed</t>
  </si>
  <si>
    <t>Pichardo</t>
  </si>
  <si>
    <t xml:space="preserve">Martha C. </t>
  </si>
  <si>
    <t>It is too expensive. I can hardly decide whether to pay for electricity or buy food.</t>
  </si>
  <si>
    <t>Elizarraras</t>
  </si>
  <si>
    <t>Juana</t>
  </si>
  <si>
    <t>For equity and humanity in this state of heat, they should not be supporting so many increases.</t>
  </si>
  <si>
    <t>Isidro Chavez</t>
  </si>
  <si>
    <t>We have to buy basic things like food and other services, and adjust our base salary to cover</t>
  </si>
  <si>
    <t xml:space="preserve">Wages have been the same for years while payments keep rising, </t>
  </si>
  <si>
    <t>Eriksen</t>
  </si>
  <si>
    <t xml:space="preserve">Maria </t>
  </si>
  <si>
    <t>I would tell APS to stop increasing rates because this will affect our low-income population</t>
  </si>
  <si>
    <t>5070041000</t>
  </si>
  <si>
    <t>No MEP R-XS ($51.48)</t>
  </si>
  <si>
    <t>Spanish letter docketed, Customer should automatically be reassigned to R-XS tier 1</t>
  </si>
  <si>
    <t>For me, it wasn't too expensive because I was in a program</t>
  </si>
  <si>
    <t>Clara Alvaro</t>
  </si>
  <si>
    <t>I have to limit buying food in order to pay for electricity because it is not easy to pay for everything</t>
  </si>
  <si>
    <t>Juan</t>
  </si>
  <si>
    <t>Ambrocia Sausado</t>
  </si>
  <si>
    <t>I dont earn enough to pay all my expenses with increase in electricity</t>
  </si>
  <si>
    <t>Armando</t>
  </si>
  <si>
    <t>my finances off balance because the cost keeps increasing,</t>
  </si>
  <si>
    <t>Loaizd</t>
  </si>
  <si>
    <t>Jasmin</t>
  </si>
  <si>
    <t>Sacrafice buying food or turning on the lights</t>
  </si>
  <si>
    <t>Saurez</t>
  </si>
  <si>
    <t>Hellen</t>
  </si>
  <si>
    <t>Would have to choose between which bill to pay first</t>
  </si>
  <si>
    <t>Minnesota</t>
  </si>
  <si>
    <t>Dorothy</t>
  </si>
  <si>
    <t>Fixed income, my pay doesn't go up at this rate</t>
  </si>
  <si>
    <t>0807760000</t>
  </si>
  <si>
    <t>Energy charges are already my 2nd largest expense</t>
  </si>
  <si>
    <t>Marisela</t>
  </si>
  <si>
    <t>Make decisions between buying groceries and cooling down my house</t>
  </si>
  <si>
    <t>RTOU47</t>
  </si>
  <si>
    <t>No MEP R3-47 ($116.16)</t>
  </si>
  <si>
    <t>Please contact customer regarding plan options</t>
  </si>
  <si>
    <t>Deja</t>
  </si>
  <si>
    <t>working overtime to be able to afford to just llive, another increase is unacceptable</t>
  </si>
  <si>
    <t>Chaves</t>
  </si>
  <si>
    <t>Diana Trejo</t>
  </si>
  <si>
    <t>My dad works overtime in the heat to keep up with the bills</t>
  </si>
  <si>
    <t>Fernatt</t>
  </si>
  <si>
    <t>ACC should consider the needs of the citzens</t>
  </si>
  <si>
    <t>Behreas</t>
  </si>
  <si>
    <t>Rosario</t>
  </si>
  <si>
    <t>Energy costs already affect everyone's quality of life</t>
  </si>
  <si>
    <t>Ulin</t>
  </si>
  <si>
    <t>Unacceptable to me that the ACC would approve such an enormous rate hike</t>
  </si>
  <si>
    <t>1845644568</t>
  </si>
  <si>
    <t>No MEP R3-47 ($8.47)</t>
  </si>
  <si>
    <t>Silva</t>
  </si>
  <si>
    <t>Knor</t>
  </si>
  <si>
    <t>I have to choose between paying the electricity bill or paying for the food I put on the table for my family or their medications</t>
  </si>
  <si>
    <t>Alcazar</t>
  </si>
  <si>
    <t xml:space="preserve">Jose P. </t>
  </si>
  <si>
    <t>To be able to pay for energy, I have to limit my spending on basic needs such as food, clothing, and health</t>
  </si>
  <si>
    <t>Habern</t>
  </si>
  <si>
    <t>Marianna</t>
  </si>
  <si>
    <t>My wages have not increased at all while APS makes record profits</t>
  </si>
  <si>
    <t>Curiel</t>
  </si>
  <si>
    <t>Lahayla</t>
  </si>
  <si>
    <t>A higher utility bill will compete with my grocery bills</t>
  </si>
  <si>
    <t>Jorge</t>
  </si>
  <si>
    <t>ACC needs to represent the people not the corporations</t>
  </si>
  <si>
    <t>Ballmann</t>
  </si>
  <si>
    <t>Beth</t>
  </si>
  <si>
    <t>Seek solutions that will lower rates for all of Arizona</t>
  </si>
  <si>
    <t>8351131000</t>
  </si>
  <si>
    <t>Avila</t>
  </si>
  <si>
    <t>Lidia</t>
  </si>
  <si>
    <t>lt affects my health a lot with the stress. If I cannot afford the bills</t>
  </si>
  <si>
    <t>Leticia</t>
  </si>
  <si>
    <t>These increases affect poor families the most</t>
  </si>
  <si>
    <t>Aricelia</t>
  </si>
  <si>
    <t>The ACC should vote against an increase because of corporate profits and econimic situation</t>
  </si>
  <si>
    <t>Ruelas</t>
  </si>
  <si>
    <t>Thais Beltran</t>
  </si>
  <si>
    <t>Vote against it becuase it's just unreasonable</t>
  </si>
  <si>
    <t>Cuevas</t>
  </si>
  <si>
    <t xml:space="preserve">Italia M. </t>
  </si>
  <si>
    <t>Pheonix</t>
  </si>
  <si>
    <t xml:space="preserve">In addition to paying for the solar panels, I continue to receive a high bill from SRP. </t>
  </si>
  <si>
    <t>Elva</t>
  </si>
  <si>
    <t>Twitchell</t>
  </si>
  <si>
    <t xml:space="preserve">Melissa </t>
  </si>
  <si>
    <t>Seems like it would be absolutely crippling if it goes any higher.</t>
  </si>
  <si>
    <t>https://docket.images.azcc.gov/E000048049.pdf</t>
  </si>
  <si>
    <t>Multiple Accts</t>
  </si>
  <si>
    <t>R-XS and EPR6w/ET-2</t>
  </si>
  <si>
    <t>Marrapodi</t>
  </si>
  <si>
    <t>I believe this request is unjustified and harmful to ordinary ratepayers</t>
  </si>
  <si>
    <t>https://docket.images.azcc.gov/E000048069.pdf</t>
  </si>
  <si>
    <t>0895261000</t>
  </si>
  <si>
    <t>No MEP R3-47 ($139.25)</t>
  </si>
  <si>
    <t>Greene</t>
  </si>
  <si>
    <t>Small business owner against proposed rate increase</t>
  </si>
  <si>
    <t>https://docket.images.azcc.gov/E000048180.pdf</t>
  </si>
  <si>
    <t>Ranchhod</t>
  </si>
  <si>
    <t>Kamal</t>
  </si>
  <si>
    <t>Opposed: Retired on fixed income</t>
  </si>
  <si>
    <t>7571491082</t>
  </si>
  <si>
    <t>Saez</t>
  </si>
  <si>
    <t>Elia</t>
  </si>
  <si>
    <t>We need the ACC to stand up for Arizona households</t>
  </si>
  <si>
    <t>4776840675</t>
  </si>
  <si>
    <t>RCPw/TOUE-47</t>
  </si>
  <si>
    <t>Barrett</t>
  </si>
  <si>
    <t>On a fixed income- this rate increase is unjustified</t>
  </si>
  <si>
    <t>6559521559</t>
  </si>
  <si>
    <t>RCPw/R2</t>
  </si>
  <si>
    <t>Frozen Plan</t>
  </si>
  <si>
    <t>https://docket.images.azcc.gov/E000048199.pdf</t>
  </si>
  <si>
    <t>Opposed - against solar and wind, only reliable sources are nuclear, hydro-electric, natural gas and coal.</t>
  </si>
  <si>
    <t>https://docket.images.azcc.gov/E000048206.pdf</t>
  </si>
  <si>
    <t>7171143951</t>
  </si>
  <si>
    <t>Diaz</t>
  </si>
  <si>
    <t>Valandra</t>
  </si>
  <si>
    <t>Opposed to water rate increases from Global Water Resources</t>
  </si>
  <si>
    <t>https://docket.images.azcc.gov/E000048235.pdf</t>
  </si>
  <si>
    <t>Espinoza</t>
  </si>
  <si>
    <t>Las Vegas</t>
  </si>
  <si>
    <t>Against the recent decision to approve the Bring Your Own Device battery program</t>
  </si>
  <si>
    <t>https://docket.images.azcc.gov/E000048229.pdf</t>
  </si>
  <si>
    <t>This is getting out of hand! It's time for a change at ACC</t>
  </si>
  <si>
    <t>https://docket.images.azcc.gov/E000048266.pdf</t>
  </si>
  <si>
    <t>Hotham</t>
  </si>
  <si>
    <t xml:space="preserve">Sharon </t>
  </si>
  <si>
    <t>https://docket.images.azcc.gov/E000048302.pdf</t>
  </si>
  <si>
    <t>6181201000</t>
  </si>
  <si>
    <t>No MEP R3-47 ($232.55)</t>
  </si>
  <si>
    <t>Anissa</t>
  </si>
  <si>
    <t>Kaeleigh</t>
  </si>
  <si>
    <t>Daza-Smith</t>
  </si>
  <si>
    <t>https://docket.images.azcc.gov/E000048311.pdf</t>
  </si>
  <si>
    <t>Kaitlyn Q</t>
  </si>
  <si>
    <t>Posey</t>
  </si>
  <si>
    <t>No MEP R3-47 ($326.27)</t>
  </si>
  <si>
    <t>Please contact customer regarding plan options and assistance programs</t>
  </si>
  <si>
    <t>Marmor</t>
  </si>
  <si>
    <t>Arvizu</t>
  </si>
  <si>
    <t>Rokke</t>
  </si>
  <si>
    <t>Audrey</t>
  </si>
  <si>
    <t>1969900000</t>
  </si>
  <si>
    <t>7382953794</t>
  </si>
  <si>
    <t>No MEP R3-47 ($306.58)</t>
  </si>
  <si>
    <t>Figgins</t>
  </si>
  <si>
    <t>Keith</t>
  </si>
  <si>
    <t>https://docket.images.azcc.gov/E000048356.pdf</t>
  </si>
  <si>
    <t>Vail</t>
  </si>
  <si>
    <t>Mason-Ewing</t>
  </si>
  <si>
    <t>Sauiqui</t>
  </si>
  <si>
    <t>Pattie</t>
  </si>
  <si>
    <t>https://docket.images.azcc.gov/E000048402.pdf</t>
  </si>
  <si>
    <t>Lengele</t>
  </si>
  <si>
    <t>Opposed to any rate increase request that subsidize costs associated with infrastructure for industrial custoemrs/data centers</t>
  </si>
  <si>
    <t>3711421000</t>
  </si>
  <si>
    <t>Krause</t>
  </si>
  <si>
    <t>Glenda</t>
  </si>
  <si>
    <t>https://docket.images.azcc.gov/E000048419.pdf</t>
  </si>
  <si>
    <t>9762601000</t>
  </si>
  <si>
    <t>Kendrick</t>
  </si>
  <si>
    <t>5434621000</t>
  </si>
  <si>
    <t>Vastbinder</t>
  </si>
  <si>
    <t>1276931000</t>
  </si>
  <si>
    <t>Pal</t>
  </si>
  <si>
    <t>EV charging stations and Data Center - make them pay</t>
  </si>
  <si>
    <t>https://docket.images.azcc.gov/E000048447.pdf</t>
  </si>
  <si>
    <t>Davina</t>
  </si>
  <si>
    <t>Opposed: I don't belileve residents should have to foot the bill for data centers</t>
  </si>
  <si>
    <t>https://docket.images.azcc.gov/E000048452.pdf</t>
  </si>
  <si>
    <t>Rieger</t>
  </si>
  <si>
    <t>Loveland</t>
  </si>
  <si>
    <t>Taunia</t>
  </si>
  <si>
    <t>3668790000</t>
  </si>
  <si>
    <t>Durbin</t>
  </si>
  <si>
    <t xml:space="preserve">Daryl </t>
  </si>
  <si>
    <t>Kurtz</t>
  </si>
  <si>
    <t>O'Neill</t>
  </si>
  <si>
    <t>Hellard</t>
  </si>
  <si>
    <t>Joyce</t>
  </si>
  <si>
    <t>Vasquez</t>
  </si>
  <si>
    <t>Shaw</t>
  </si>
  <si>
    <t>Tom</t>
  </si>
  <si>
    <t>https://docket.images.azcc.gov/E000048497.pdf</t>
  </si>
  <si>
    <t>3406690000</t>
  </si>
  <si>
    <t>Mayberry</t>
  </si>
  <si>
    <t>8746371337</t>
  </si>
  <si>
    <t>Marsha</t>
  </si>
  <si>
    <t>3898390000</t>
  </si>
  <si>
    <t>Offer Assistance Programs?</t>
  </si>
  <si>
    <t>Sidhu</t>
  </si>
  <si>
    <t>Arman</t>
  </si>
  <si>
    <t>Filed two petitions 12/31 and 1/2</t>
  </si>
  <si>
    <t xml:space="preserve">Phoenix </t>
  </si>
  <si>
    <t>5434101000</t>
  </si>
  <si>
    <t>Salazar</t>
  </si>
  <si>
    <t>ER Lara</t>
  </si>
  <si>
    <t>TM</t>
  </si>
  <si>
    <t>Kok</t>
  </si>
  <si>
    <t>Queen Creek</t>
  </si>
  <si>
    <t>LaBarbera</t>
  </si>
  <si>
    <t>9194711000</t>
  </si>
  <si>
    <t>No MEP R3-47 ($84.61)</t>
  </si>
  <si>
    <t>Cearns</t>
  </si>
  <si>
    <t>Katharine</t>
  </si>
  <si>
    <t>7401033818</t>
  </si>
  <si>
    <t>Frozen</t>
  </si>
  <si>
    <t>Customer filed ACC complaint about automatic PA on 10/16/2025</t>
  </si>
  <si>
    <t>0037795787</t>
  </si>
  <si>
    <t>Winslow</t>
  </si>
  <si>
    <t>4471111000</t>
  </si>
  <si>
    <t>No MEP R3-47 ($274.25)</t>
  </si>
  <si>
    <t>Walewski</t>
  </si>
  <si>
    <t>2582490000</t>
  </si>
  <si>
    <t>Drumm</t>
  </si>
  <si>
    <t>S Marie</t>
  </si>
  <si>
    <t>Hager</t>
  </si>
  <si>
    <t>Janine</t>
  </si>
  <si>
    <t>6810330000</t>
  </si>
  <si>
    <t>Adams</t>
  </si>
  <si>
    <t>Shaffer</t>
  </si>
  <si>
    <t>3744670000</t>
  </si>
  <si>
    <t>No MEP TOUE-47 ($171.32)</t>
  </si>
  <si>
    <t>https://docket.images.azcc.gov/E000048522.pdf</t>
  </si>
  <si>
    <t>Williamson</t>
  </si>
  <si>
    <t>Elaine</t>
  </si>
  <si>
    <t>Holmquist</t>
  </si>
  <si>
    <t>Furlong</t>
  </si>
  <si>
    <t>2887570000</t>
  </si>
  <si>
    <t>Aycock</t>
  </si>
  <si>
    <t>5126480000</t>
  </si>
  <si>
    <t>Foushee</t>
  </si>
  <si>
    <t>3336741000</t>
  </si>
  <si>
    <t>No MEP R3-47 ($446.36)</t>
  </si>
  <si>
    <t>Sise</t>
  </si>
  <si>
    <t>6007103080</t>
  </si>
  <si>
    <t>Cummings</t>
  </si>
  <si>
    <t>Opposed: Data Centers are causing the issue; vote for the people not the corporations</t>
  </si>
  <si>
    <t>6353724277</t>
  </si>
  <si>
    <t>Patrovich</t>
  </si>
  <si>
    <t>Marcie</t>
  </si>
  <si>
    <t>Opposed: Too many fees, deny the rate increase</t>
  </si>
  <si>
    <t>2463621000</t>
  </si>
  <si>
    <t>EPR6w/ET-2</t>
  </si>
  <si>
    <t>Macek</t>
  </si>
  <si>
    <t>Marlene</t>
  </si>
  <si>
    <t>Opposed: APS is highly profitable. What about APS's expenses and spending?</t>
  </si>
  <si>
    <t>https://docket.images.azcc.gov/E000048542.pdf</t>
  </si>
  <si>
    <t>2897563325</t>
  </si>
  <si>
    <t>Arroyo</t>
  </si>
  <si>
    <t>Arielle</t>
  </si>
  <si>
    <t>Nurse and mother in protest of rate increase. Bills are astronomical.</t>
  </si>
  <si>
    <t>Palowoda</t>
  </si>
  <si>
    <t>APS just had a rate increase and $600 M in neet income. Prices are drive up becuase of EV charging ad Data Centers.</t>
  </si>
  <si>
    <t>9099650000</t>
  </si>
  <si>
    <t>Deny rate increase; quoting AZ Republic article 11/2/2025 and Kris Mayes. Against AI and data centers</t>
  </si>
  <si>
    <t>https://docket.images.azcc.gov/E000048535.pdf</t>
  </si>
  <si>
    <t>0211611000</t>
  </si>
  <si>
    <t>Hatler</t>
  </si>
  <si>
    <t>Carol (Phil)</t>
  </si>
  <si>
    <t>Deny rate increase: quoting Kris Mayes</t>
  </si>
  <si>
    <t>6381851000</t>
  </si>
  <si>
    <t>Winkler</t>
  </si>
  <si>
    <t>Laurie</t>
  </si>
  <si>
    <t>Deny the APS request for increased prices</t>
  </si>
  <si>
    <t>Levinshon</t>
  </si>
  <si>
    <t>Allyson</t>
  </si>
  <si>
    <t>https://docket.images.azcc.gov/E000048550.pdf</t>
  </si>
  <si>
    <t>Docketed 2x</t>
  </si>
  <si>
    <t>Alger</t>
  </si>
  <si>
    <t>Widow on a very fixed income. Supporting data centers bulit on my back. APS has never been honest or transparent</t>
  </si>
  <si>
    <t>https://docket.images.azcc.gov/E000048581.pdf</t>
  </si>
  <si>
    <t>5254461000</t>
  </si>
  <si>
    <t>Offer Assistance Program Info?</t>
  </si>
  <si>
    <t xml:space="preserve"> Seniors on fixed incomes are disproportionately affected by higher summer electric bills</t>
  </si>
  <si>
    <t>https://docket.images.azcc.gov/E000048641.pdf</t>
  </si>
  <si>
    <t>No MEP R3-47 ($99.06)</t>
  </si>
  <si>
    <t>Sally</t>
  </si>
  <si>
    <t>Put a stop to this kind of spending and stop inflation. Enough is enough.</t>
  </si>
  <si>
    <t>https://docket.images.azcc.gov/E000048716.pdf</t>
  </si>
  <si>
    <t>Elliott</t>
  </si>
  <si>
    <t>APS has deep enough pockets to cover these costs. We don't.</t>
  </si>
  <si>
    <t>Pouncy</t>
  </si>
  <si>
    <t>Ernest</t>
  </si>
  <si>
    <t xml:space="preserve">Retired on a fixed income. On-peak hours should change. Unfair, APS had a rate  hike two years ago. </t>
  </si>
  <si>
    <t>Filice</t>
  </si>
  <si>
    <t>Ridiculous, 22% increase in 3 years. People are struggling. Reject the rate increase.</t>
  </si>
  <si>
    <t>Fixed income, had the foresight to install solar, should not be charged an increase again.</t>
  </si>
  <si>
    <t xml:space="preserve">Opposed: APS top execs should take a pay cut and try to live on the median income. </t>
  </si>
  <si>
    <t>Furnas</t>
  </si>
  <si>
    <t>Kirkland</t>
  </si>
  <si>
    <t>yearly reduction of export rates for the past 5 years on solar systems supplying the grid. Non-solar customers have paid the difference</t>
  </si>
  <si>
    <t>Chesney</t>
  </si>
  <si>
    <t>16% for residential on top of the previous 8% is crippling as a retired person; with solar.</t>
  </si>
  <si>
    <t>Residents should not have to shoulder repeated increases while APS reports strong profits.</t>
  </si>
  <si>
    <t>No MEP R3-47 ($64.33)</t>
  </si>
  <si>
    <t>McCann</t>
  </si>
  <si>
    <t>We can't afford this type of increase - reeks of greed and corruption and quite frankly if this is passed l'd assume the council is getting bribed.</t>
  </si>
  <si>
    <t>Burkhart</t>
  </si>
  <si>
    <t>Pretty soon, my electric bill will be HALF of what I pay in mortgage. Normal people are struggling.</t>
  </si>
  <si>
    <t>Lindmark</t>
  </si>
  <si>
    <t>Commission sides with the Developers and Utility Companies; when are you going to side with the people?</t>
  </si>
  <si>
    <t>Harmonson</t>
  </si>
  <si>
    <t>It should not be allowed to profit off of the working class for things that are a necessity to survive.</t>
  </si>
  <si>
    <t>https://docket.images.azcc.gov/E000048738.pdf</t>
  </si>
  <si>
    <t>No MEP R3-47 ($359.67)</t>
  </si>
  <si>
    <t xml:space="preserve">Owned home for 15 years and made all the EE improvements and bills are still going up. </t>
  </si>
  <si>
    <t>No MEP R3-47 ($128.88</t>
  </si>
  <si>
    <t xml:space="preserve">Cumulative 23% increase in just over 2 years. Arizona are already struggling. </t>
  </si>
  <si>
    <t>Special Handling Case on Account (3 executive referrals, 1 AG complaint and 1 BBB complaint)</t>
  </si>
  <si>
    <t>Gutierrez-Whitmire</t>
  </si>
  <si>
    <t>Karla</t>
  </si>
  <si>
    <t>35-year customer and retiree on a fixed income. Watch  my neighbors struggle while APS continues to raise rates.</t>
  </si>
  <si>
    <t xml:space="preserve">Pricing should align with SRP. Believes power and water should be government provided. </t>
  </si>
  <si>
    <t>Gruber</t>
  </si>
  <si>
    <t>Fixed rate criteria must be updated to reflect hotter climate.</t>
  </si>
  <si>
    <t>Culligan</t>
  </si>
  <si>
    <t>Marianne</t>
  </si>
  <si>
    <t>Huge chip plant - costs should not be shouldered by homeowners/renters and those with solar shoulder an additional monthly fee</t>
  </si>
  <si>
    <t>Behnke</t>
  </si>
  <si>
    <t>Lynea</t>
  </si>
  <si>
    <t>Mother to young children, huge portion of paycheck is already going toward electric bill, impossible to save.</t>
  </si>
  <si>
    <t>https://images.edocket.azcc.gov/docketpdf/E000048753.pdf</t>
  </si>
  <si>
    <t>Yates-Reiser</t>
  </si>
  <si>
    <t xml:space="preserve">Seen bill  jump from $122 to over $300 after solar panel lease. Fighting to get onto the off-peak plan. </t>
  </si>
  <si>
    <t>Mancuso</t>
  </si>
  <si>
    <t>already too high, wages are stagnant, and the profit margins of this company are absurd.</t>
  </si>
  <si>
    <t>No MEP R3-47 ($336.56)</t>
  </si>
  <si>
    <t>Dzezinski</t>
  </si>
  <si>
    <t>APS's greed is asking for another hike less than 2  years after the last increase is borderline criminal.</t>
  </si>
  <si>
    <t>Ollis</t>
  </si>
  <si>
    <t>Cannot attend the public comment meeting. Monopoly, $483M profits, Their solar reimbursement program is a scam</t>
  </si>
  <si>
    <t>https://images.edocket.azcc.gov/docketpdf/E000048762.pdf</t>
  </si>
  <si>
    <t>1/22/2026+</t>
  </si>
  <si>
    <t>Ciasnocha</t>
  </si>
  <si>
    <t>Opposed, another increase after an 8% increase just 2 y ears ago, punishing solar, alarming FRM, quoting AG</t>
  </si>
  <si>
    <t>https://docket.images.azcc.gov/E000048791.pdf</t>
  </si>
  <si>
    <t>Apolinar</t>
  </si>
  <si>
    <t>Alexia</t>
  </si>
  <si>
    <t>Oppose -rate was just increased less than 2 years ago</t>
  </si>
  <si>
    <t>RCPw/TOUE47</t>
  </si>
  <si>
    <t>No MEP R3-47 ($84.24)</t>
  </si>
  <si>
    <t>Please contact customer regarding plan options and additional assistance programs</t>
  </si>
  <si>
    <t>Doris</t>
  </si>
  <si>
    <t>They just got a 16% rate increase and now those greedy people demand more?</t>
  </si>
  <si>
    <t>Participated in public comment session on 1/20</t>
  </si>
  <si>
    <t>Lister</t>
  </si>
  <si>
    <t xml:space="preserve">Thank you for the opportunity to testify today. Representing Opportunity Arizona. Quotes 12News for data center growth make up energy demand. </t>
  </si>
  <si>
    <t>Participated in public comment session on 1/20 - Representing Opportunity Arizona</t>
  </si>
  <si>
    <t>Kaur</t>
  </si>
  <si>
    <t>Sue</t>
  </si>
  <si>
    <t xml:space="preserve">Your Constitutional role as Commissioners... set just and reasonalbe rates. Majority of the commission has eyes on higher offices. </t>
  </si>
  <si>
    <t>My bill in the winter was almost $300 last month, and the heat and air were never used - that is criminal.</t>
  </si>
  <si>
    <t>Liu</t>
  </si>
  <si>
    <t>Yijeng</t>
  </si>
  <si>
    <t>Why do residents have to pay APS shareholders' dividends more and more each year?</t>
  </si>
  <si>
    <t>Lucas</t>
  </si>
  <si>
    <t xml:space="preserve">For families like mine, this is simply too much... customers should not be expected to absorb constant hikes whiles APS continues to report healthy returns. </t>
  </si>
  <si>
    <t>Simon</t>
  </si>
  <si>
    <t xml:space="preserve">Approving yet another rate ncrease-especially one that penalizes solar adoption and inflates transmission costs-would violate your duty. </t>
  </si>
  <si>
    <t>Arriola</t>
  </si>
  <si>
    <t>It's tough as it is to try to keep up with life without yet another increase from APS</t>
  </si>
  <si>
    <t>Pottorf</t>
  </si>
  <si>
    <t>Jaimie</t>
  </si>
  <si>
    <t>APS is a regulated utility with a statutory right to seek recovery of reasonable costs, however the magnitude of the request, paired with existing profits and the ongoing financial strain on AZ residents makes this application neither fair nor reasonable</t>
  </si>
  <si>
    <t>Conte</t>
  </si>
  <si>
    <t>Davide</t>
  </si>
  <si>
    <t xml:space="preserve">Commission review APS's solar rate design and consider whether forcing all solar customers into sunset-aligned peak pricing is consistent with fair cost allocation. </t>
  </si>
  <si>
    <t>Baird</t>
  </si>
  <si>
    <t>I have filed numerous complaints with BBB because our bills are sometimes $700! How does a family living on one income afford anymore?!</t>
  </si>
  <si>
    <t>Vassallo</t>
  </si>
  <si>
    <t>Kayla</t>
  </si>
  <si>
    <t>Burke</t>
  </si>
  <si>
    <t>Victoria</t>
  </si>
  <si>
    <t>Dahne</t>
  </si>
  <si>
    <t xml:space="preserve">Demand Charge Limiter and Demand Charge Credit... l've dropped my bills about 13% through my work on my electricity usage. Now APS wants to wipe that out just for the benefit of their shareholders and executive pay. </t>
  </si>
  <si>
    <t>Peterson</t>
  </si>
  <si>
    <t xml:space="preserve">Familes are trying to survive high interest rates, inflation, and provide for themselves and children. The name Arizona Public Service should be a reminder that electricity is a publis service, not a slush fund. </t>
  </si>
  <si>
    <t>No MEP R3-47 ($402.12)</t>
  </si>
  <si>
    <t>More effective and cheaper "green" policies on your part, APS, can make elevated usage of clean and cheap electricity happen,  not with the rising of prices</t>
  </si>
  <si>
    <t>Newbern</t>
  </si>
  <si>
    <t>James Marshall</t>
  </si>
  <si>
    <t>It is not evident that the current return on eequity being earned by APS is inadequate or that it threatens the company's ability to continue its already reliably service</t>
  </si>
  <si>
    <t>Sagadraca</t>
  </si>
  <si>
    <t>heavily against this price increase as it will add strain to the rising cost of living</t>
  </si>
  <si>
    <t>Green</t>
  </si>
  <si>
    <t xml:space="preserve">we are already struggling to balance the rising costs of childcare with our monthly utility bills. </t>
  </si>
  <si>
    <t>No MEP TOUE-47 ($139.27)</t>
  </si>
  <si>
    <t>Downs</t>
  </si>
  <si>
    <t>On a budget and already working 2 jobs to make ends meet, the price hike is nothing but greed.</t>
  </si>
  <si>
    <t>No MEP R3-47 ($42.04)</t>
  </si>
  <si>
    <t>Bergeron</t>
  </si>
  <si>
    <t>Electricity is an essential function of daily life and Arizona Public Service is a monolith in service provision in the valley.</t>
  </si>
  <si>
    <t>Scarborough</t>
  </si>
  <si>
    <t xml:space="preserve">I live with my mentally disabled uncle who is on a low-income. The last rate increased almost sent him to the hospital for heat stroke trying to k eep the AC bill down in his 1000 sq ft house. </t>
  </si>
  <si>
    <t>William III</t>
  </si>
  <si>
    <t>Retired, 2,000 sqft home, large solar system, 2 EV. APS is punishing us and h olding us hostage for doing the right thing for the environment</t>
  </si>
  <si>
    <t>https://docket.images.azcc.gov/E000048819.pdf</t>
  </si>
  <si>
    <t>Harrington</t>
  </si>
  <si>
    <t>APS's proposed 14% rate hike is an erroneous and unjustified increase that places unnecessary financial strain on the residents</t>
  </si>
  <si>
    <t xml:space="preserve">Gabriel </t>
  </si>
  <si>
    <t xml:space="preserve">Prices are outrageous and 4 or 5 increases in 5 years is disgraceful and completely shows it's about just money. Old boyz club. </t>
  </si>
  <si>
    <t xml:space="preserve">households are already struggling with rising costs for housing, food, healthcare, and fuel. Wages have not increased at the same pace as utility costs. </t>
  </si>
  <si>
    <t>At what time do we expect APS to reinvest their own profits to upgrade infrastructure?</t>
  </si>
  <si>
    <t>No MEP R3-47 ($55.05)</t>
  </si>
  <si>
    <t>Akers</t>
  </si>
  <si>
    <t xml:space="preserve">The Federal Government uses is about 2.7%. Why a 14% increase? When does it stop? I understand they need to make a profit but at what point do we say enough is enough. </t>
  </si>
  <si>
    <t>Donovan</t>
  </si>
  <si>
    <t>Tricia</t>
  </si>
  <si>
    <t xml:space="preserve">These rate increases are unsubstantiated on a consumer level. There should be an adjusted rate for the corporation over a certain size against the homeowner. </t>
  </si>
  <si>
    <t>Maynard</t>
  </si>
  <si>
    <t>Margie</t>
  </si>
  <si>
    <t>It is unethical for APS to increase rates 14% after just raising costs by 8% last year. Arizonans are already struggling</t>
  </si>
  <si>
    <t>Morris</t>
  </si>
  <si>
    <t>Abigail</t>
  </si>
  <si>
    <t xml:space="preserve">We are experiencing a death by a thousand rate hikes with no pathway to homeownership to start our family. </t>
  </si>
  <si>
    <t>Cupp</t>
  </si>
  <si>
    <t>Eva</t>
  </si>
  <si>
    <t>I am against any further hikes or increases in cost for electricity</t>
  </si>
  <si>
    <t>Duesbury</t>
  </si>
  <si>
    <t>As a senior on a fixed income, I cannot afford another rate hike by APS especially after they have gotten two in the last few years</t>
  </si>
  <si>
    <t>Marquez</t>
  </si>
  <si>
    <t>people cannot afford another APS price hike. We live in the desert, and to this company all you see is dollar signs. YOU GUYS SUCK IF YOU INCREASE MORE RATES</t>
  </si>
  <si>
    <t>No MEP RTOUE47 ($27.85)</t>
  </si>
  <si>
    <t>Musselman</t>
  </si>
  <si>
    <t>Williametta</t>
  </si>
  <si>
    <t xml:space="preserve">We purchased solar many  years ago. Now we hear APS wants to double the rate for solar customers. Why? </t>
  </si>
  <si>
    <t xml:space="preserve">Horton </t>
  </si>
  <si>
    <t>Daryl</t>
  </si>
  <si>
    <t xml:space="preserve">Arizonans are struggling with costs for housing, food, and other essentials. This increase is unjust and unreasonable. The Proposed FRM is a blank check. </t>
  </si>
  <si>
    <t>Berger</t>
  </si>
  <si>
    <t>No MEP R3-47 ($311.33)</t>
  </si>
  <si>
    <t>Akram</t>
  </si>
  <si>
    <t>Rami</t>
  </si>
  <si>
    <t xml:space="preserve">Aps needs to stop increase the bills. The gas and oil is cheaper there is no reason to increase the rate. </t>
  </si>
  <si>
    <t>Tocco</t>
  </si>
  <si>
    <t>Hailee</t>
  </si>
  <si>
    <t>Kocho</t>
  </si>
  <si>
    <t>Eileen</t>
  </si>
  <si>
    <t>rising costs places an undue financial burden on households-especially those on fixed incomes,</t>
  </si>
  <si>
    <t>No MEP R-XS ($11.32)</t>
  </si>
  <si>
    <t>Gewargis</t>
  </si>
  <si>
    <t>Sargis</t>
  </si>
  <si>
    <t xml:space="preserve">I am not fine with this increase and this will be so bad to manage for my home and business. </t>
  </si>
  <si>
    <t>Youshia</t>
  </si>
  <si>
    <t>This increase places a significant financial burden on households and small businesses</t>
  </si>
  <si>
    <t>No MEP R3-47 ($108.10)</t>
  </si>
  <si>
    <t xml:space="preserve">Costs of electricity are rising much faster than our incomes. People with fixed/limited income can't afford these drastic increases year over year. </t>
  </si>
  <si>
    <t>Not eligible yet</t>
  </si>
  <si>
    <t>Just transitioned from Tier 1 to Tier 2</t>
  </si>
  <si>
    <t>Kelcey</t>
  </si>
  <si>
    <t>Higher utility rates will place an undue burden on Arizona residents. Energy should remain affordable and accessible to all</t>
  </si>
  <si>
    <t>Montoya</t>
  </si>
  <si>
    <t>We personally have solar panels which we pay slot of money for only to have our electric bill still high. Our account should be in the negative.</t>
  </si>
  <si>
    <t>Seifert</t>
  </si>
  <si>
    <t>Lyn</t>
  </si>
  <si>
    <t>APS needs to be pressured to figure out how to keep costs down and find other ways to create cost-effective energy, such as portable nuclear power and natural gas.</t>
  </si>
  <si>
    <t>No MEP R3-47 ($339.29)</t>
  </si>
  <si>
    <t>Rueda</t>
  </si>
  <si>
    <t>Cristiana</t>
  </si>
  <si>
    <t>consider how this affects our total cost of living - many of us struggle to pay rising rent prices without utilities</t>
  </si>
  <si>
    <t>No MEP R-XS ($103.62)</t>
  </si>
  <si>
    <t>Huizenga</t>
  </si>
  <si>
    <t>Spend money within their means as opposed to growing the grid to prepare for future growth at the expense of the sonsumer. I invested in solar... costs continue to grow.</t>
  </si>
  <si>
    <t>Lundin</t>
  </si>
  <si>
    <t>This is pure GREED and negatively impacts all constituents. Do not pass this!</t>
  </si>
  <si>
    <t>No MEP R-XS ($845.52)</t>
  </si>
  <si>
    <t>Please contact customer regarding plan options - 3 properties total but 1 property is not on MEP.</t>
  </si>
  <si>
    <t>Pillsbury</t>
  </si>
  <si>
    <t>No more rate hikes! Already increased 8% last year! I oppose the 14% proposed increase!</t>
  </si>
  <si>
    <t>Zegarac</t>
  </si>
  <si>
    <t>Mara</t>
  </si>
  <si>
    <t>No increase in rates is needed or warranted. Put people over profits,</t>
  </si>
  <si>
    <t>No MEP R-BASIC ($40.52)</t>
  </si>
  <si>
    <t>Zach</t>
  </si>
  <si>
    <t>Increase on those awful dat centers which I'm going tonight to protest against the possibility of Surprise, Arizona, adding another one.</t>
  </si>
  <si>
    <t>Sukhera</t>
  </si>
  <si>
    <t>Jasim</t>
  </si>
  <si>
    <t>a resident of Phoenix AZ oppose the 14% utilities rate increase</t>
  </si>
  <si>
    <t>Mahoney</t>
  </si>
  <si>
    <t>Brindle</t>
  </si>
  <si>
    <t xml:space="preserve">Newly widowed, disabled snior. Half the time I don't even use the utilities because I can barely afford them. </t>
  </si>
  <si>
    <t>Arias</t>
  </si>
  <si>
    <t>Tessa</t>
  </si>
  <si>
    <t>Double the price I paid in SRP territory. Troubled by the proposal for FRM</t>
  </si>
  <si>
    <t>Currie</t>
  </si>
  <si>
    <t>Donald</t>
  </si>
  <si>
    <t xml:space="preserve">Solar customers got solar to help sustain the grid and keep our price stable. We paid for these panels. We should not be fee'd to death. Inrease data center even more. </t>
  </si>
  <si>
    <t>Neal</t>
  </si>
  <si>
    <t xml:space="preserve">14% APS rate hike is excessive for consumers. I am a senior citizen, struggling already. </t>
  </si>
  <si>
    <t>No MEP R3-47 ($235.41)</t>
  </si>
  <si>
    <t>Murton</t>
  </si>
  <si>
    <t>OPPOSE the proposed 14% rate increase by APS. Coming on the heels of an 8% increase just last year.</t>
  </si>
  <si>
    <t>Baughman Vincent</t>
  </si>
  <si>
    <t>Ericaanne</t>
  </si>
  <si>
    <t>Please do not let APS hike our rates! I already  had to cut vidal expenses such as food, medicine because the utilities rates are already out rages!</t>
  </si>
  <si>
    <t>Loomis</t>
  </si>
  <si>
    <t>The rate hike for 14 percent is crazy and to change solar customer's a sur change is not right</t>
  </si>
  <si>
    <t>My wife and I are on fixed incomes and our bill has risen from $103.52 per month to $174.52 in the last 2 years.</t>
  </si>
  <si>
    <t>No MEP R3-47 ($30.74)</t>
  </si>
  <si>
    <t>Pendergraft</t>
  </si>
  <si>
    <t xml:space="preserve">It is unreasonable to expect Arizona families to shoulder another significant iincrease. Quotes APS  mission statement on 'About Us' page. </t>
  </si>
  <si>
    <t>Mueller</t>
  </si>
  <si>
    <t xml:space="preserve">Why do they need YET ANOTHER INCREASE? APS is already charging WAAAAY more than SRP. </t>
  </si>
  <si>
    <t>Barraza</t>
  </si>
  <si>
    <t xml:space="preserve">Parent of  three children, like many Arizona families, we are already struggling with the rising cost of living. </t>
  </si>
  <si>
    <t>No MEP R-BASIC ($1.22)</t>
  </si>
  <si>
    <t>I also think that data centers should be paying their share for the increased electricity</t>
  </si>
  <si>
    <t>https://docket.images.azcc.gov/E000048828.pdf</t>
  </si>
  <si>
    <t>McKee</t>
  </si>
  <si>
    <t xml:space="preserve">It is unfathomable that they would request yet another rate hike, especially considering the outrageous amount the APS officers are taking in sompensation. </t>
  </si>
  <si>
    <t>Pays for advertising and sponsorships and events. APS could care less about the rate payers</t>
  </si>
  <si>
    <t>Devlin</t>
  </si>
  <si>
    <t>difficult to enjoy my retirement from hard work for 50 years. My family consistently tries to conserve but it seems like large businesses are not pulling their weight.</t>
  </si>
  <si>
    <t>Johancen</t>
  </si>
  <si>
    <t>Pls do NOT let them raise the elec rate, $600 million last year seems like they are doing OK</t>
  </si>
  <si>
    <t>https://docket.images.azcc.gov/E000048860.pdf</t>
  </si>
  <si>
    <t>Keliher</t>
  </si>
  <si>
    <t>Prices at the grocery store and it has tripled the cost per month that we pay for food. This has really out into our budget.</t>
  </si>
  <si>
    <t>Schedler</t>
  </si>
  <si>
    <t xml:space="preserve">As a person of faith, I believe it is morally wrong to ask for yet another rate increase for APS customers while simultaneously abandoning clean energy goals. </t>
  </si>
  <si>
    <t>Regen</t>
  </si>
  <si>
    <t>Dapcedich</t>
  </si>
  <si>
    <t>A 16%+ increase is unreasonable and unjustified. APS has made little improvements to their infrastructure compared to the increased amount of customers and revenue.</t>
  </si>
  <si>
    <t>https://docket.images.azcc.gov/E000048844.pdf</t>
  </si>
  <si>
    <t>Triggs</t>
  </si>
  <si>
    <t>Jovada</t>
  </si>
  <si>
    <t>Live with my daughter and am on a fixed income. Even with a discounted plan, I am still paying over $100 per month. I can't afford another increase. This is unfair</t>
  </si>
  <si>
    <t>https://docket.images.azcc.gov/E000048847.pdf</t>
  </si>
  <si>
    <t>Gaydos</t>
  </si>
  <si>
    <t>I worry about our schools. It should be the developers building that should be paying for the expansion and infrastructure to support our power grid.</t>
  </si>
  <si>
    <t>Griffis</t>
  </si>
  <si>
    <t>Arizonans are already struggling to afford. This proposal comes after multiple rate increases in recent years,</t>
  </si>
  <si>
    <t>https://docket.images.azcc.gov/E000048888.pdf</t>
  </si>
  <si>
    <t>Crawley</t>
  </si>
  <si>
    <t xml:space="preserve">I'm opposed to a rate increase from APS. It is difficult to pay our current bill, let alone an additional increase. We (retired folks) only received a $34 increase on our SS. </t>
  </si>
  <si>
    <t>??</t>
  </si>
  <si>
    <t>Frampton</t>
  </si>
  <si>
    <t>This is an unreasonable increase, particularly since APS just abandoned its clean energy goals.</t>
  </si>
  <si>
    <t>Tuggle</t>
  </si>
  <si>
    <t>Nora</t>
  </si>
  <si>
    <t xml:space="preserve">I am 72 years old, a disabled veteran on a fixed income. I am left questiong what options are available to me. </t>
  </si>
  <si>
    <t>Previous utility employee. Keep coal plants running. Solar customers should  not be penalized.</t>
  </si>
  <si>
    <t>The data copanies monopolizing the most usage need to pair their fair share. Do not put it off on the residential customers</t>
  </si>
  <si>
    <t>Gerald</t>
  </si>
  <si>
    <t>A 14% rate increase is unreasonable and unconscionable.It puts an unnecessary burden upon the average consumer</t>
  </si>
  <si>
    <t>https://docket.images.azcc.gov/E000048866.pdf</t>
  </si>
  <si>
    <t>Chettle</t>
  </si>
  <si>
    <t>We are opposed to the proposed rate increase of 14% in 2026</t>
  </si>
  <si>
    <t xml:space="preserve">Hill </t>
  </si>
  <si>
    <t>We the people the voters can't afford to have another increase in our electric. Data centers should be paying even more</t>
  </si>
  <si>
    <t>Participated in public comment session on 1/26</t>
  </si>
  <si>
    <t>Ewing</t>
  </si>
  <si>
    <t>We are already paying historic rate heights while the data centers receive their power at a discounted rate. Enough is enough!</t>
  </si>
  <si>
    <t>https://docket.images.azcc.gov/E000048893.pdf</t>
  </si>
  <si>
    <t>Threadgill</t>
  </si>
  <si>
    <t>If their expenses are on the rise pass the rate increases off to the mega users-Al &amp; Fab, plants not us</t>
  </si>
  <si>
    <t>Multiple Acct</t>
  </si>
  <si>
    <t xml:space="preserve">ACC should require APS to demonstrate stronger cost controls, clearer justification for projected expensses and meaningful efforts to protect low-income customers. </t>
  </si>
  <si>
    <t>This customer was re-assigned from Tier 1 to Tier 3. Likely not their best rate. Needs 3 months of data to see if RTOUE or R3 would be better.</t>
  </si>
  <si>
    <t>Hamrick</t>
  </si>
  <si>
    <t>Trying get help because every year my rent goes up</t>
  </si>
  <si>
    <t>https://docket.images.azcc.gov/E000048917.pdf</t>
  </si>
  <si>
    <t>May need information for additional assistance programs?</t>
  </si>
  <si>
    <t xml:space="preserve">Make a change now away from the Green new deal and do not allow APS to rais their rates. </t>
  </si>
  <si>
    <t>Unkown</t>
  </si>
  <si>
    <t>Representing Arizona Mormon Women for Ethical Government</t>
  </si>
  <si>
    <t>https://images.edocket.azcc.gov/docketpdf/E000048922.pdf</t>
  </si>
  <si>
    <t>Roberta</t>
  </si>
  <si>
    <t>I would like to ask why you weren't at the meeting as you are an elected official and you are one of the members in charge of making this important decision. I have lived in my current home that uses APS for 11 years. I have seen my rates inrease 3 times.</t>
  </si>
  <si>
    <t>https://docket.images.azcc.gov/E000048953.pdf</t>
  </si>
  <si>
    <t>1511021000</t>
  </si>
  <si>
    <t>No MEP R3-47 ($393.92)</t>
  </si>
  <si>
    <t>Please contact customer regarding rate options. Participated in public comment session on 1/20, Docketed 2x</t>
  </si>
  <si>
    <t>Keithly</t>
  </si>
  <si>
    <t>https://docket.images.azcc.gov/E000048950.pdf</t>
  </si>
  <si>
    <t>2146811000</t>
  </si>
  <si>
    <t>???</t>
  </si>
  <si>
    <t xml:space="preserve">Let's not California our state. As a republican I know that you'r first instinct is to help the people of Arizona not to line APS pockets. </t>
  </si>
  <si>
    <t>Cook</t>
  </si>
  <si>
    <t>$5 billion scheme to build a pipeline to bring gas from Texas, they're moving Arizona away from a clean energy future</t>
  </si>
  <si>
    <t>https://docket.images.azcc.gov/E000048958.pdf</t>
  </si>
  <si>
    <t>Gerheauser</t>
  </si>
  <si>
    <t>Why aren't savings from the alternate sources applied to customers, or invested in more alternate sources?</t>
  </si>
  <si>
    <t>0470347729</t>
  </si>
  <si>
    <t>Spear</t>
  </si>
  <si>
    <t>I don't think it is right for the existing residential homes to foot the bill in the form of rate increases for new residential and new commercial development.</t>
  </si>
  <si>
    <t>6336530000</t>
  </si>
  <si>
    <t>Chaison</t>
  </si>
  <si>
    <t>Please don't raise my rates! l can't afford the rates now! Help!</t>
  </si>
  <si>
    <t>Gloria</t>
  </si>
  <si>
    <t>They are already initially to high '??</t>
  </si>
  <si>
    <t>Jeana</t>
  </si>
  <si>
    <t xml:space="preserve">Over the past 12 months our electricy expenses have totaled under $5,000 for a family of five, despite having no major electricity draws or unusually high usage. </t>
  </si>
  <si>
    <t>3115810000</t>
  </si>
  <si>
    <t>Bollinger</t>
  </si>
  <si>
    <t>You want to raise but what are you going to tell disabled people like me that are basically trying to stay afloat</t>
  </si>
  <si>
    <t>5696755909</t>
  </si>
  <si>
    <t>No MEP TOUE-47 ($384.68)</t>
  </si>
  <si>
    <t>Hudson</t>
  </si>
  <si>
    <t xml:space="preserve"> it's impossible for the average Arizona. To afford electricity , if they continue to do this every single year.</t>
  </si>
  <si>
    <t>8552949923</t>
  </si>
  <si>
    <t>RTOUE</t>
  </si>
  <si>
    <t>No MEP R3-47 ($641.78)</t>
  </si>
  <si>
    <t>Gardella</t>
  </si>
  <si>
    <t>An average of $20 being added to simmer until bill will make it almost unmanageable for residents on a fixed income.</t>
  </si>
  <si>
    <t>https://docket.images.azcc.gov/E000048995.pdf</t>
  </si>
  <si>
    <t>2196530000</t>
  </si>
  <si>
    <t>Zamora</t>
  </si>
  <si>
    <t>Jeannette</t>
  </si>
  <si>
    <t>I am a retired individual who really can't afford the rate hikes that you continue to add. Tell the good people of Arizona why the hikes are so high</t>
  </si>
  <si>
    <t>3750358464</t>
  </si>
  <si>
    <t>Adena</t>
  </si>
  <si>
    <t>I live on a fixed income. Take care of an 82-year-old man you continuously increase these rates. I am unable to sustain payments so consider this my hardship letter if rates go up.</t>
  </si>
  <si>
    <t>3381172505</t>
  </si>
  <si>
    <t>Aho</t>
  </si>
  <si>
    <t>Tammy</t>
  </si>
  <si>
    <t>I'm currently 3 months behind and I've called every publlis assistance agency for help. Rate hikes will for sure 100% cut my electric off for my family. When is enough enough???</t>
  </si>
  <si>
    <t>8823390000</t>
  </si>
  <si>
    <t>Raggio</t>
  </si>
  <si>
    <t xml:space="preserve">Family of 6... I've already seen enough increases over the years that l'm constantly having to decide how to move my budget around to adjust for rising power costs. </t>
  </si>
  <si>
    <t>https://docket.images.azcc.gov/E000048963.pdf</t>
  </si>
  <si>
    <t>2493851000</t>
  </si>
  <si>
    <t>Murad</t>
  </si>
  <si>
    <t xml:space="preserve">I live in a 2-bedroom, 2-bathroom unit, yet last summer my bill was as high as someone living in a 2,000 sq. ft. house. The tier system they use is also a mess. </t>
  </si>
  <si>
    <t>This customer was re-assigned from Tier 1 to Tier 2. Likely not their best rate. Needs 3 months of data to see if RTOUE or R3 would be better.</t>
  </si>
  <si>
    <t>Maillie</t>
  </si>
  <si>
    <t xml:space="preserve">I work part time since 2023 march when I lost my job due to an accident. I help take care of a 73yr. cripple that requires 24/7/365 care. </t>
  </si>
  <si>
    <t>Vitagliano</t>
  </si>
  <si>
    <t>Lori</t>
  </si>
  <si>
    <t>As a teacher I can barely afford the costs of electricity as is let alone with a 14% increase.</t>
  </si>
  <si>
    <t>https://images.edocket.azcc.gov/docketpdf/E000049005.pdf</t>
  </si>
  <si>
    <t>6253351000</t>
  </si>
  <si>
    <t>Cortez</t>
  </si>
  <si>
    <t>They already got a hike no more greed please</t>
  </si>
  <si>
    <t>3425146909</t>
  </si>
  <si>
    <t>Deborah</t>
  </si>
  <si>
    <t>I am one of the many retired members living here and feel that they ahve taken advantage of the people long enough</t>
  </si>
  <si>
    <t>https://docket.images.azcc.gov/E000048921.pdf</t>
  </si>
  <si>
    <t>Parkhurst</t>
  </si>
  <si>
    <t>Phil</t>
  </si>
  <si>
    <t>APS's Continued quest for rate increases must be stopped.either they are guilty of outlandish greed or are incredibly inefficient</t>
  </si>
  <si>
    <t>9163322510</t>
  </si>
  <si>
    <t>Holmes</t>
  </si>
  <si>
    <t>They are selling there power to California at a profit. They should be cost conscious of the people of AZ!</t>
  </si>
  <si>
    <t>6608681161</t>
  </si>
  <si>
    <t>Perez</t>
  </si>
  <si>
    <t>Martha</t>
  </si>
  <si>
    <t>Have a heart in Jesus Christ we beg for lower cost. Please help American people with solar is the best option for all if</t>
  </si>
  <si>
    <t>Bingham</t>
  </si>
  <si>
    <t>Why does the commission always side with APS ? When will you side with poor and retired citizens</t>
  </si>
  <si>
    <t>2146939294</t>
  </si>
  <si>
    <t>Yolanda</t>
  </si>
  <si>
    <t>struggling to stay a float and you're trying to add another blow to our lives, NO WAY! Stop this madness and let us be able to feed our families</t>
  </si>
  <si>
    <t>1254845445</t>
  </si>
  <si>
    <t>Palomino</t>
  </si>
  <si>
    <t>Erica</t>
  </si>
  <si>
    <t>The service is expensive.</t>
  </si>
  <si>
    <t>9873429265</t>
  </si>
  <si>
    <t>Spanish Preference</t>
  </si>
  <si>
    <t xml:space="preserve">I worked for a water company at for 27 years in California... people are flocking to AZ which creates huge amounts of revenue. </t>
  </si>
  <si>
    <t>7219224316</t>
  </si>
  <si>
    <t>Munoz</t>
  </si>
  <si>
    <t>Olga</t>
  </si>
  <si>
    <t>Please do not allow APS to rise the rate on electricity.</t>
  </si>
  <si>
    <t>Ann</t>
  </si>
  <si>
    <t xml:space="preserve">As a senior citizen on a very fixed income; aware of help services but qualify for none. I haven't been able to afford red meat for 3 years. </t>
  </si>
  <si>
    <t>8289031000</t>
  </si>
  <si>
    <t>Crnich</t>
  </si>
  <si>
    <t>Betty</t>
  </si>
  <si>
    <t>everyone keep raising prices and the increase they give each year doesn't even begin to help us on cost of living</t>
  </si>
  <si>
    <t>8471280303</t>
  </si>
  <si>
    <t>Richter</t>
  </si>
  <si>
    <t>Klaus</t>
  </si>
  <si>
    <t>I am against the increase APS is planning</t>
  </si>
  <si>
    <t>9120261000</t>
  </si>
  <si>
    <t>EPR6w/ET</t>
  </si>
  <si>
    <t>Hopper</t>
  </si>
  <si>
    <t xml:space="preserve"> I'm on a payment plan now. Paying back the money owed during summer. (Which I can't afford) I still have 2-3 more payments</t>
  </si>
  <si>
    <t>2894811000</t>
  </si>
  <si>
    <t>Reis</t>
  </si>
  <si>
    <t>I am apposed to APS rate hike stop using the inefficient green energy and get more of the power from the PV plant</t>
  </si>
  <si>
    <t>7320710000</t>
  </si>
  <si>
    <t>Velasquez</t>
  </si>
  <si>
    <t>Geordanny</t>
  </si>
  <si>
    <t>APS already earns substantial profits, and raising rates again would place an unfair burden on Arizona households</t>
  </si>
  <si>
    <t>7653356618</t>
  </si>
  <si>
    <t>Orville</t>
  </si>
  <si>
    <t>Laveen</t>
  </si>
  <si>
    <t xml:space="preserve">When is enough enough. The more we give the more they ask for. But our pay as employees remains the same. </t>
  </si>
  <si>
    <t>Devita</t>
  </si>
  <si>
    <t>This company is scamming their customers... newsletter tips, want people to only do their heave use during off hours, they are the AT&amp;T of Arizona</t>
  </si>
  <si>
    <t>Merriam</t>
  </si>
  <si>
    <t>Danyial</t>
  </si>
  <si>
    <t>When you have to decide to cool your home so your babies wont die, or to buy food something is terribly wrong.</t>
  </si>
  <si>
    <t>9190810517</t>
  </si>
  <si>
    <t>Theadora</t>
  </si>
  <si>
    <t>They are charging at least half of the APS charges in taxes on top of the usage charges. That's wrong.</t>
  </si>
  <si>
    <t>6812133768</t>
  </si>
  <si>
    <t>Avery</t>
  </si>
  <si>
    <t>Some of us are barely making ends meet as it is already! Please vote NO to APS!!</t>
  </si>
  <si>
    <t>8747623529</t>
  </si>
  <si>
    <t>Parks</t>
  </si>
  <si>
    <t>Drop some of your expensive sponsorships that benefit few of us and keep your rates the same.</t>
  </si>
  <si>
    <t>6372180000</t>
  </si>
  <si>
    <t>Hubler</t>
  </si>
  <si>
    <t>Sherrie</t>
  </si>
  <si>
    <t xml:space="preserve">Notes company revenue, executive order to re-open Cholla, donations to Katie Hobbs and Kari Lake. </t>
  </si>
  <si>
    <t>0638230000</t>
  </si>
  <si>
    <t>Merrick</t>
  </si>
  <si>
    <t>m against the continuous increase in utilities. The cost of living isn't keeping up with these hikes.</t>
  </si>
  <si>
    <t>May be linked to a closed account in Peoria with a write off balance</t>
  </si>
  <si>
    <t>Nield</t>
  </si>
  <si>
    <t>Carolyn</t>
  </si>
  <si>
    <t xml:space="preserve">Most AZ citizens are like my Mother in law living on a fxed income from Social Security or disability. The prices are getting out of control. </t>
  </si>
  <si>
    <t>Wahlert</t>
  </si>
  <si>
    <t xml:space="preserve">Our living expenses have skyrocketed and it I have to stay cool in summer and warm in the winter. Please don't raise the fees again. </t>
  </si>
  <si>
    <t>3835027127</t>
  </si>
  <si>
    <t>No MEP R3-47 ($173.12)</t>
  </si>
  <si>
    <t>Amaro</t>
  </si>
  <si>
    <t>I have only one limited income to keep my home warm in the winter and especiall cooler in the hot hot summer months</t>
  </si>
  <si>
    <t>2488431000</t>
  </si>
  <si>
    <t>Chrzanowski</t>
  </si>
  <si>
    <t>Alma</t>
  </si>
  <si>
    <t>The average family is struggling enough just to put food on the table...we don't need our power company to "stick it to us",</t>
  </si>
  <si>
    <t>McAnney</t>
  </si>
  <si>
    <t>Congress</t>
  </si>
  <si>
    <t>APS already charges exorbitant fees for poor quality services. We as consumers cannot afford higher prices</t>
  </si>
  <si>
    <t>9193700000</t>
  </si>
  <si>
    <t xml:space="preserve"> I struggle and inconvenience my family trying to keep power bill under 400.00! And most of the time can't.</t>
  </si>
  <si>
    <t>Dunne</t>
  </si>
  <si>
    <t>Utility costs are already high, unaffordable energy costs will hurt our economy.</t>
  </si>
  <si>
    <t>7717350000</t>
  </si>
  <si>
    <t>Wyndy</t>
  </si>
  <si>
    <t>Enough is enough. People are at the limit, trying to make ends meet.</t>
  </si>
  <si>
    <t>5848920000</t>
  </si>
  <si>
    <t>Loiselle</t>
  </si>
  <si>
    <t>Jeffery</t>
  </si>
  <si>
    <t>APS continues to make 100+ million in profit. How much is enough? Till people particularly the elderly on fixed incomes can't afford it in the extreme heat or cold?</t>
  </si>
  <si>
    <t>Corlew</t>
  </si>
  <si>
    <t>We can no longer afford it I will need to sell and move if this continues Can you please give seniors a discount??</t>
  </si>
  <si>
    <t>2946131433</t>
  </si>
  <si>
    <t>Sadolfo</t>
  </si>
  <si>
    <t>As a military veteran and current government employee, we only received a 1% raise for 2026</t>
  </si>
  <si>
    <t>8914350000</t>
  </si>
  <si>
    <t>Harlene</t>
  </si>
  <si>
    <t xml:space="preserve">decide if I want heat or cool or or food and medicines. Using increases are going way over my head. Please help to keep them not going up. </t>
  </si>
  <si>
    <t>9780090000</t>
  </si>
  <si>
    <t>No MEP R3-47 ($66.61)</t>
  </si>
  <si>
    <t>DiGiovanni</t>
  </si>
  <si>
    <t>Vote No and gain some respect and integrity for once in your life.</t>
  </si>
  <si>
    <t>Milinovich</t>
  </si>
  <si>
    <t>Seniors will suffer in the summer heat because they can't afford to cool their homes in the summer.</t>
  </si>
  <si>
    <t>Kenyon</t>
  </si>
  <si>
    <t>From 2023 to 2024 they increase profits by about 400%. Now wanting an 18% increase is just corporate theft from the Arizona residents.</t>
  </si>
  <si>
    <t>Busby</t>
  </si>
  <si>
    <t>Public utilities along with a mortgage and food are necessities. Controlling the cost of these things is a must.</t>
  </si>
  <si>
    <t>3718560000</t>
  </si>
  <si>
    <t>Casillas</t>
  </si>
  <si>
    <t>Danielle Salas</t>
  </si>
  <si>
    <t>It breeds gentrification and pushes out already at risk communities. The last thing our communities need are price hikes.</t>
  </si>
  <si>
    <t>The 14% rate hike your company is asking for is uncalled for. You raised your rate last year.</t>
  </si>
  <si>
    <t>5836280000</t>
  </si>
  <si>
    <t>Don't you think we pay enough for power ? The data centers should pay any increase in power rates.</t>
  </si>
  <si>
    <t>Company already making millions in profits and therefore does not need an increase in revenue.</t>
  </si>
  <si>
    <t>Helie</t>
  </si>
  <si>
    <t>Jay</t>
  </si>
  <si>
    <t>Who in there right mind would vote Democrat and higher rates, there isn't any God nor the people in these price gougers</t>
  </si>
  <si>
    <t>7979387407</t>
  </si>
  <si>
    <t>Hanlon</t>
  </si>
  <si>
    <t>I am a 71 year old senior and my Social security is $956.00 a month. I am having trouble keeping my electric bill paid now</t>
  </si>
  <si>
    <t>1223180000</t>
  </si>
  <si>
    <t>Koukal</t>
  </si>
  <si>
    <t>Autumn</t>
  </si>
  <si>
    <t>ONE MILLION DOLLARS. ONE MILLION DOLLARS base pay is what Our APS CEO's salary is! That's Outrageous!</t>
  </si>
  <si>
    <t>3156865214</t>
  </si>
  <si>
    <t>No MEP R-BASIC ($213.65)</t>
  </si>
  <si>
    <t>Birtciel</t>
  </si>
  <si>
    <t>We can barely afford the electric bills now! No to a rate increase!</t>
  </si>
  <si>
    <t>Mosher</t>
  </si>
  <si>
    <t>Tonia</t>
  </si>
  <si>
    <t>customers cannot afford such a large increase at this time, especially because it has been only a short time since the rates were last raised.</t>
  </si>
  <si>
    <t>Chester</t>
  </si>
  <si>
    <t>When is enough enough ? The price is already at an all time high. No more increase</t>
  </si>
  <si>
    <t>1641700000</t>
  </si>
  <si>
    <t>EPR6w/ECT-2</t>
  </si>
  <si>
    <t>Ricci</t>
  </si>
  <si>
    <t>the cost of everything else skyrocketing someone like me who is 66 yrs old and 100% disabled will be homeless if the rates go up AGAIN!</t>
  </si>
  <si>
    <t>Past account has write off balance</t>
  </si>
  <si>
    <t>Andrea</t>
  </si>
  <si>
    <t xml:space="preserve">we cannot lower the A/C enough to stay cool in the summer. Sleeping in temps above 70 are not optimal for our health and well being and feeling rested. </t>
  </si>
  <si>
    <t>3987590960</t>
  </si>
  <si>
    <t>Andujar</t>
  </si>
  <si>
    <t>I believe that aps should lower the cost because not all of us has the funds to keep paying a lot of money</t>
  </si>
  <si>
    <t>8998382174</t>
  </si>
  <si>
    <t>No MEP RTOUE47 ($64.15)</t>
  </si>
  <si>
    <t>Vallejo</t>
  </si>
  <si>
    <t>David S</t>
  </si>
  <si>
    <t>I could agree to a rate increase if the salaries of the highest paid were lessened and bonuses across the board were eliminated.</t>
  </si>
  <si>
    <t>5752931000</t>
  </si>
  <si>
    <t>Arends</t>
  </si>
  <si>
    <t>TeNisha</t>
  </si>
  <si>
    <t>We have the sun at our disposal. Why isn't APS taking advantage of that to help the consumers that need their services</t>
  </si>
  <si>
    <t>7201057343</t>
  </si>
  <si>
    <t xml:space="preserve">I believe all the data centers you've allowed in our state are the biggest reason for the proposed increase. </t>
  </si>
  <si>
    <t>9059000000</t>
  </si>
  <si>
    <t>No MEP RTOUE47 ($37.10)</t>
  </si>
  <si>
    <t>Kleiner</t>
  </si>
  <si>
    <t>I am sick and tired of APS ripping me off every time you turn around the rates are going up because they can't manage their business</t>
  </si>
  <si>
    <t>8584354754</t>
  </si>
  <si>
    <t>Benge</t>
  </si>
  <si>
    <t>Robert E</t>
  </si>
  <si>
    <t>Power is hi enough</t>
  </si>
  <si>
    <t>7756330000</t>
  </si>
  <si>
    <t>Senior on a fixed income... I will petition to not pass the rate hike. How much more do you need? Will blood be enough?</t>
  </si>
  <si>
    <t>6957903863</t>
  </si>
  <si>
    <t>RCPw/RTOUE</t>
  </si>
  <si>
    <t>Krukovsky</t>
  </si>
  <si>
    <t xml:space="preserve">Aps has raised our bills enough they need to be stopped people on social security can't afford it </t>
  </si>
  <si>
    <t>9085230000</t>
  </si>
  <si>
    <t>Danica</t>
  </si>
  <si>
    <t>Utility prices are high enough and your profit margin is also high enough.</t>
  </si>
  <si>
    <t>3305306760</t>
  </si>
  <si>
    <t>Zickau</t>
  </si>
  <si>
    <t>l'm against the concept of consent price hikes</t>
  </si>
  <si>
    <t>Mitchell</t>
  </si>
  <si>
    <t>Electricity costs are already causing people to go without enough heat.</t>
  </si>
  <si>
    <t>Foutch</t>
  </si>
  <si>
    <t xml:space="preserve"> Everytime we turn around our rates go up. Enough is enough</t>
  </si>
  <si>
    <t>8037650000</t>
  </si>
  <si>
    <t>Young Town</t>
  </si>
  <si>
    <t>Against</t>
  </si>
  <si>
    <t>Rodger</t>
  </si>
  <si>
    <t>Electric need to come down on price the power plant in joe city need to be operation at 100 %</t>
  </si>
  <si>
    <t>Cassidy</t>
  </si>
  <si>
    <t>In my opinion APS rates are already crippling high for a lot of people</t>
  </si>
  <si>
    <t>8774200000</t>
  </si>
  <si>
    <t>Don't raise rates!</t>
  </si>
  <si>
    <t>4250340000</t>
  </si>
  <si>
    <t>Varga</t>
  </si>
  <si>
    <t>affordable access to power can be a matter of life and death.</t>
  </si>
  <si>
    <t>Bugenski</t>
  </si>
  <si>
    <t>I'm against the rate hike we are expensive enough</t>
  </si>
  <si>
    <t>3323516971</t>
  </si>
  <si>
    <t>We already pay for high electric bills why raise it? Why not help the community</t>
  </si>
  <si>
    <t>Brewer</t>
  </si>
  <si>
    <t>No price increase. APS is price gauging. They spent millions to keep solar energy out of Arizona.</t>
  </si>
  <si>
    <t>5904989349</t>
  </si>
  <si>
    <t>Tracy</t>
  </si>
  <si>
    <t>Stop this current rate hike</t>
  </si>
  <si>
    <t>7017440000</t>
  </si>
  <si>
    <t>Herrington</t>
  </si>
  <si>
    <t>Holly</t>
  </si>
  <si>
    <t>Aps is already making huge profits. Americans are already struggling. 14% would just hurt already struggling</t>
  </si>
  <si>
    <t>Masingale</t>
  </si>
  <si>
    <t>Drayanna</t>
  </si>
  <si>
    <t>Seniors; We are already down to remen daily if we want our Rx or no meds if we eat a roast.</t>
  </si>
  <si>
    <t>7135791485</t>
  </si>
  <si>
    <t>Terra</t>
  </si>
  <si>
    <t xml:space="preserve">I am against a rate increase for APS or SRP or any other peivate entity wishing to raise rates </t>
  </si>
  <si>
    <t>Rasor</t>
  </si>
  <si>
    <t>Against yet ANOTHER rate increase.</t>
  </si>
  <si>
    <t>7167141848</t>
  </si>
  <si>
    <t>Noe</t>
  </si>
  <si>
    <t>Kelli</t>
  </si>
  <si>
    <t>APS is receiving over millions of dollars and this price increase would negatively affect our families</t>
  </si>
  <si>
    <t>7837541989</t>
  </si>
  <si>
    <t>Guerena</t>
  </si>
  <si>
    <t>We don't need a rate increase. We pay enough as is. We have other things to pay for as well.</t>
  </si>
  <si>
    <t>4728431000</t>
  </si>
  <si>
    <t xml:space="preserve"> l'm a senior citizen on a fixed income and they are already profiting millions of dollars a year</t>
  </si>
  <si>
    <t>1584750000</t>
  </si>
  <si>
    <t>Jasmyne</t>
  </si>
  <si>
    <t xml:space="preserve">I am a single mom of 6.  I am already working two jobs just to handle the demand of the bills and other necessities </t>
  </si>
  <si>
    <t>Richardson</t>
  </si>
  <si>
    <t>This hike will hurt me and make me choose food or electricity. We do everything we can to conserve energy</t>
  </si>
  <si>
    <t>9393011000</t>
  </si>
  <si>
    <t>No MEP R3-47 ($239.72)</t>
  </si>
  <si>
    <t>Terrones</t>
  </si>
  <si>
    <t>Sharice</t>
  </si>
  <si>
    <t>I urge the commission and APS to consider alternative solutions that do not disproportionately impact customers</t>
  </si>
  <si>
    <t>8421411000</t>
  </si>
  <si>
    <t>Lederer</t>
  </si>
  <si>
    <t>Gordon</t>
  </si>
  <si>
    <t>Economy is barely catching up and we've just recently had a rate hike of 8% in 2024.</t>
  </si>
  <si>
    <t>Lawhead</t>
  </si>
  <si>
    <t>Jon</t>
  </si>
  <si>
    <t>l'll not pay more. l'II go off the grid</t>
  </si>
  <si>
    <t>1348524311</t>
  </si>
  <si>
    <t>No MEP R-BASIC ($73.44)</t>
  </si>
  <si>
    <t>Colcord</t>
  </si>
  <si>
    <t>APS already makes millions off of us. Corporate greed is a pox on society and the people deserve better.</t>
  </si>
  <si>
    <t>9329250000</t>
  </si>
  <si>
    <t>please take a minute or two and try to remember what it was like to get through the day when you don't have all the money in the world</t>
  </si>
  <si>
    <t>3529182418</t>
  </si>
  <si>
    <t>No MEP R-XS ($159.52)</t>
  </si>
  <si>
    <t>Rothanburg</t>
  </si>
  <si>
    <t>I have not turned my heat on this winter because I can't afford it. Yet their pockets and those of stockholders get fatter</t>
  </si>
  <si>
    <t>8128520000</t>
  </si>
  <si>
    <t>Sisco</t>
  </si>
  <si>
    <t>Christina</t>
  </si>
  <si>
    <t xml:space="preserve">My husband and I are retired. We can barely pay for our utilities, food, mortgage and meds. </t>
  </si>
  <si>
    <t>3918610000</t>
  </si>
  <si>
    <t>Perryman</t>
  </si>
  <si>
    <t xml:space="preserve">I also believe the higher cost of electricity is caused by electric car use. The country was not prepared for this at all. The grid is too small so APS... make prices higher. </t>
  </si>
  <si>
    <t>Saliba</t>
  </si>
  <si>
    <t>(APS) already profits millions, but they're trying to raise our prices even more</t>
  </si>
  <si>
    <t>8253626106</t>
  </si>
  <si>
    <t>Maribel</t>
  </si>
  <si>
    <t>Bills are already high I'm living pay check to pay check. Please don't raise the price up.</t>
  </si>
  <si>
    <t>You people keep raising prices having no concern for the customers and are only focused on your shareholders</t>
  </si>
  <si>
    <t>5811606019</t>
  </si>
  <si>
    <t>Sours</t>
  </si>
  <si>
    <t>No NetZero... Keep energy cheap and affordable and reliable!! Nobody wants blackouts when it's 114 at night time!</t>
  </si>
  <si>
    <t>4886048295</t>
  </si>
  <si>
    <t>Kasten</t>
  </si>
  <si>
    <t>Surpsie</t>
  </si>
  <si>
    <t>No other company in the world gets to increase rates over 20% in a years time. If you make record profits</t>
  </si>
  <si>
    <t>9312211000</t>
  </si>
  <si>
    <t>Hatfield</t>
  </si>
  <si>
    <t>lm a handicapped senior with medical problems and I live on sandi so I have no money for a increase</t>
  </si>
  <si>
    <t>1293888411</t>
  </si>
  <si>
    <t>Zazzi</t>
  </si>
  <si>
    <t>My APS bill is so high . I struggle every month just to get it paid.</t>
  </si>
  <si>
    <t>3587630000</t>
  </si>
  <si>
    <t>its CEO almost $15,000,00. Seriously. And we have to pay an increase on a $30,000 salary a year.</t>
  </si>
  <si>
    <t>Rates have risen every year up to 5% We even have solar and are still paying over 200.00</t>
  </si>
  <si>
    <t>7156731000</t>
  </si>
  <si>
    <t>They say the grid needs improvement and corporations pay little or nothing ; they need to pay for improvements not residential</t>
  </si>
  <si>
    <t>Shauna</t>
  </si>
  <si>
    <t>Please don't raise prices I'm already trying my hardest at 64 years old and working restaurants</t>
  </si>
  <si>
    <t>8951210000</t>
  </si>
  <si>
    <t>Viggiani</t>
  </si>
  <si>
    <t>Karineh</t>
  </si>
  <si>
    <t>My bill is already high and for single seniors that are living off of social security it will be almost impossible</t>
  </si>
  <si>
    <t>0820101000</t>
  </si>
  <si>
    <t>Stop the price increases let the utilities take it out of thief not consumers pockets</t>
  </si>
  <si>
    <t>Bell</t>
  </si>
  <si>
    <t>Esther</t>
  </si>
  <si>
    <t>Prices are too high already being on a fixed income it will hurt</t>
  </si>
  <si>
    <t>9614631000</t>
  </si>
  <si>
    <t>No MEP R3-47 ($97.32)</t>
  </si>
  <si>
    <t>Weiss</t>
  </si>
  <si>
    <t>Please stop raising our electric bills no one can afford this . Plus the big shots are getting very rich</t>
  </si>
  <si>
    <t>0395270000</t>
  </si>
  <si>
    <t xml:space="preserve">Bradley </t>
  </si>
  <si>
    <t xml:space="preserve">The company is already making so much and instead of working to reduce costs, they just go for price increases. </t>
  </si>
  <si>
    <t>0676710000</t>
  </si>
  <si>
    <t>Zavala</t>
  </si>
  <si>
    <t>everything is so expensive we can't no longer are able to support ourselves on the income we receive from social security</t>
  </si>
  <si>
    <t>4591520000</t>
  </si>
  <si>
    <t>Lorrie</t>
  </si>
  <si>
    <t>Do not support increase for APS Please!!!!!!</t>
  </si>
  <si>
    <t>9044440000</t>
  </si>
  <si>
    <t>Qiyan</t>
  </si>
  <si>
    <t>Bee</t>
  </si>
  <si>
    <t>APS NEEDS TO INVEST IN WINDMILL POWER SOURCE.</t>
  </si>
  <si>
    <t>Stewart</t>
  </si>
  <si>
    <t>They dent need a rate increase. They make millions in profits. Consumers deserve a rate cut!</t>
  </si>
  <si>
    <t>6124887026</t>
  </si>
  <si>
    <t>Wilkes</t>
  </si>
  <si>
    <t>Give us all a break! Prices way too high!</t>
  </si>
  <si>
    <t>Ong</t>
  </si>
  <si>
    <t>Please do not approve this, many of us are already living paycheck to paycheck for these billionaires to line their pockets</t>
  </si>
  <si>
    <t>7862501317</t>
  </si>
  <si>
    <t>La Fever</t>
  </si>
  <si>
    <t>we are already getting taxed a bunch I can varely afford the bill now</t>
  </si>
  <si>
    <t>In today's improved economy (just ask Trump) and with the help from AI, APS should be able to figure out how to keep expenses down</t>
  </si>
  <si>
    <t>Use least amount of electricity, best plan, hard time now paying my bill</t>
  </si>
  <si>
    <t>3334230000</t>
  </si>
  <si>
    <t>Jacobs</t>
  </si>
  <si>
    <t>Rodney</t>
  </si>
  <si>
    <t>They claim to be honest and trustworthy to help it's customers but at the same time increase utilities with a smile</t>
  </si>
  <si>
    <t>Marilyn</t>
  </si>
  <si>
    <t>The Corporation Commission has burdened the rate payers of Arizona for years.</t>
  </si>
  <si>
    <t>1190311000</t>
  </si>
  <si>
    <t>Heller Walstra</t>
  </si>
  <si>
    <t>MORE hardship than already has been committed, I want to use harsher language, but am restraining myself</t>
  </si>
  <si>
    <t>I am widowed, on a fixed income. My income dropped in half after my husband passed away. My income pretty much stays the same</t>
  </si>
  <si>
    <t>3107488641</t>
  </si>
  <si>
    <t>Paulden</t>
  </si>
  <si>
    <t xml:space="preserve">The current rates are high enough and any increase would put an unfair burden on those of us in the lower income bracket. </t>
  </si>
  <si>
    <t>4148665323</t>
  </si>
  <si>
    <t>Delores</t>
  </si>
  <si>
    <t>Senior on a fixed income with UTILITIES CONSTANTLY GOING UP..CAN WE PLEASE GET A BREAK...PLEASE.. THANK YOU AND</t>
  </si>
  <si>
    <t>3166080000</t>
  </si>
  <si>
    <t>Monroe</t>
  </si>
  <si>
    <t>Constance</t>
  </si>
  <si>
    <t>We are on a fixed income and can't afford this utilities hike. Our golden years is now fools gold .</t>
  </si>
  <si>
    <t>No hike needed</t>
  </si>
  <si>
    <t>Buglione</t>
  </si>
  <si>
    <t>Jerald</t>
  </si>
  <si>
    <t xml:space="preserve">Once the economy is better we can talk about it. Everything right now is in a up wing. So please wait. </t>
  </si>
  <si>
    <t>8641426607</t>
  </si>
  <si>
    <t>Mer</t>
  </si>
  <si>
    <t>watch and say maybe this one will break them. Then start raking in all your mafia corporation greed blood money</t>
  </si>
  <si>
    <t>Crow</t>
  </si>
  <si>
    <t>Becky</t>
  </si>
  <si>
    <t>It can mean children won't have heat, people could end up losing their kids because of this. Money only goes so far</t>
  </si>
  <si>
    <t>Cannon</t>
  </si>
  <si>
    <t>We the people cannot, for the most part, cannot afford a raise on our port bills. The rich are already rich</t>
  </si>
  <si>
    <t>No More Rate hikes. We are paying for their upgrades without them having to spend from their bottom line.</t>
  </si>
  <si>
    <t>7220682240</t>
  </si>
  <si>
    <t>Shirk</t>
  </si>
  <si>
    <t>There presently no justification for an increase in utility rates. The present profit level meets their operating needs</t>
  </si>
  <si>
    <t>5802184548</t>
  </si>
  <si>
    <t>Corinne</t>
  </si>
  <si>
    <t xml:space="preserve">Proces on everything has increased enough and wages for my work aren't changing with it. </t>
  </si>
  <si>
    <t>Beas</t>
  </si>
  <si>
    <t>Kristina</t>
  </si>
  <si>
    <t>increase in cost is hurting my family to the point we almost get our services shut down.</t>
  </si>
  <si>
    <t>Pittenridge</t>
  </si>
  <si>
    <t>My summer bills are already between $500-$600, I have solar (another $110) that APS buys for pennies on the dollar</t>
  </si>
  <si>
    <t>7106518603</t>
  </si>
  <si>
    <t>Denning</t>
  </si>
  <si>
    <t>Charlene (Mark)</t>
  </si>
  <si>
    <t>HAVE NO MONEY TO LIVE ON. An a.p.s. keep sucking and sucking more money out of us elderly and disable.</t>
  </si>
  <si>
    <t>2138130000</t>
  </si>
  <si>
    <t>May need information for additional assistance programs? COR filed ACC complaint 3/26/2025</t>
  </si>
  <si>
    <t>What we need is more reliable service before we ever discuss rate increases</t>
  </si>
  <si>
    <t>3853770000</t>
  </si>
  <si>
    <t>Multiple accts</t>
  </si>
  <si>
    <t>I'm begging you to freeze the price increase. We simply can't afford to be squeezed any more,</t>
  </si>
  <si>
    <t>0961541000</t>
  </si>
  <si>
    <t>Isis</t>
  </si>
  <si>
    <t>After the emergency heat warning is over, I shouldn't be paying off my light bill from a few months ago. It's sick to profit off of a necessity</t>
  </si>
  <si>
    <t>Fought</t>
  </si>
  <si>
    <t>Jacquelyn</t>
  </si>
  <si>
    <t xml:space="preserve">Should be rejected unless APS demonstrates that residential customers are not subsidizing private industrial development. Quotes AG... </t>
  </si>
  <si>
    <t>Weston</t>
  </si>
  <si>
    <t>Your CEO and CFO and all the top executives are making a fortune off of us! Please think of the average Arizonans.</t>
  </si>
  <si>
    <t>5044377438</t>
  </si>
  <si>
    <t>Caruso</t>
  </si>
  <si>
    <t xml:space="preserve">Aps can't keep my power going as it is and want to raise rates. When the service gets better then we can talk about the 15% insrease. </t>
  </si>
  <si>
    <t>Ellingson</t>
  </si>
  <si>
    <t xml:space="preserve"> It is already so expensive - when I lived in MN it was cheaper to heat a four story house in the middle of a snow storm!</t>
  </si>
  <si>
    <t>Please stop raising the utility rates</t>
  </si>
  <si>
    <t>0970302756</t>
  </si>
  <si>
    <t>Melvinna</t>
  </si>
  <si>
    <t xml:space="preserve"> it's time to humble oneself because God is coming to humble those who feel they are in control</t>
  </si>
  <si>
    <t>4067480384</t>
  </si>
  <si>
    <t>Escalera</t>
  </si>
  <si>
    <t>Arturo</t>
  </si>
  <si>
    <t>We are against any more rate hikes from APS</t>
  </si>
  <si>
    <t>Corrales</t>
  </si>
  <si>
    <t>please don't let asp rise the price on our electric bill and l don't find it fair</t>
  </si>
  <si>
    <t>2249152989</t>
  </si>
  <si>
    <t>No MEP R3-47 ($170.72)</t>
  </si>
  <si>
    <t>DeMarco</t>
  </si>
  <si>
    <t>As it is as a senior it is hard enough to pay the electric bill now without a raise. Enough is enough.</t>
  </si>
  <si>
    <t>2175301000</t>
  </si>
  <si>
    <t>Sluis</t>
  </si>
  <si>
    <t xml:space="preserve">I think the service fees are already very high. It is hard enough to pay the bills. </t>
  </si>
  <si>
    <t>7684247240</t>
  </si>
  <si>
    <t>Hopley</t>
  </si>
  <si>
    <t>The increases in utilities are ridiculous. Our income is fixed and does not increase</t>
  </si>
  <si>
    <t>Gier</t>
  </si>
  <si>
    <t>Sandye</t>
  </si>
  <si>
    <t>Pine</t>
  </si>
  <si>
    <t>Make it STOP please! Enough is enough. The burden is too much. These constant rate hikes are breaking us</t>
  </si>
  <si>
    <t>5031931000</t>
  </si>
  <si>
    <t>Not Eligible - Non-AMI Analog</t>
  </si>
  <si>
    <t>Boyle</t>
  </si>
  <si>
    <t>nothing to do with improving services. They are pricing consumers right out of living.</t>
  </si>
  <si>
    <t>7962260520</t>
  </si>
  <si>
    <t>Chaparro</t>
  </si>
  <si>
    <t>Giselle</t>
  </si>
  <si>
    <t>we are being censored and how none of the people we voted for care about the citizens of Arizona. May I remind them we pay their underseved salaries</t>
  </si>
  <si>
    <t>Gayle</t>
  </si>
  <si>
    <t>APS is raping the customers! The educated have not forgotten the APS &amp; Republicans scandal just a few years ago! It's time to stop the corruption.</t>
  </si>
  <si>
    <t>0457800000</t>
  </si>
  <si>
    <t>Luchini</t>
  </si>
  <si>
    <t>Lining the pockets of the people at the top, but if there's no substantial change in infrastructure, there's no reason to increase our bills</t>
  </si>
  <si>
    <t>2197965965</t>
  </si>
  <si>
    <t>Vago</t>
  </si>
  <si>
    <t>Most of us are going to have to pay around 50.00 more per month than 2 years ago. When is the public going to get a break.</t>
  </si>
  <si>
    <t>7653281462</t>
  </si>
  <si>
    <t>Chavira</t>
  </si>
  <si>
    <t>In this day &amp; age of changes to our atmosphere, climate shifting to Mid Central, Southwestern states in our Country.</t>
  </si>
  <si>
    <t>Temp</t>
  </si>
  <si>
    <t>People can't afford things as it is. Please don't raise rates on our utilities.</t>
  </si>
  <si>
    <t>Alcaraz</t>
  </si>
  <si>
    <t>get rid of all the unnecessary fees and reduce the salary of your executives and board of directors.</t>
  </si>
  <si>
    <t>Dannen</t>
  </si>
  <si>
    <t xml:space="preserve">APS needs to start cutting costs just like the rest of us... instead of running a poor business model and coming running to the Corporation Commission. </t>
  </si>
  <si>
    <t>7538194993</t>
  </si>
  <si>
    <t>Bapst</t>
  </si>
  <si>
    <t xml:space="preserve">I'm a single mom - I can't even afford internet let alone an increase in one of my normal costs. </t>
  </si>
  <si>
    <t>8063548465</t>
  </si>
  <si>
    <t>Gruhlke</t>
  </si>
  <si>
    <t>Why? Are energy prices not high enough? in an era of gauging, be less greedy.</t>
  </si>
  <si>
    <t>Brunton</t>
  </si>
  <si>
    <t>It's hard to keep up with the cost in the heat of Arizona let alone for the rest of the year. I have a family of four and it's really hard</t>
  </si>
  <si>
    <t>Nepley</t>
  </si>
  <si>
    <t>Claudia</t>
  </si>
  <si>
    <t>Best plan; solar panels, turn off electric from 4-7, affects my fibromyalgia.</t>
  </si>
  <si>
    <t>Ariel</t>
  </si>
  <si>
    <t>APS already profits millions off us. There is no other reason to raise rates other than greed.</t>
  </si>
  <si>
    <t>Stevens</t>
  </si>
  <si>
    <t>There is no need to raise consumer rates. The need is for APS to cut the fat!</t>
  </si>
  <si>
    <t>Kamb</t>
  </si>
  <si>
    <t>If the parent company is unable to run the utility without requiring huge profits from the public need, perhaps they should sell to the State of Arizona</t>
  </si>
  <si>
    <t>7376875088</t>
  </si>
  <si>
    <t>Mikles</t>
  </si>
  <si>
    <t>Merry</t>
  </si>
  <si>
    <t>I invested in solar and they still charge excessive amounts in the summer when it's high usage in Arizona</t>
  </si>
  <si>
    <t>9237480000</t>
  </si>
  <si>
    <t>company shouldn't be benefiting from their customers as everything is so expensive and we no longe can afford anything with social security income</t>
  </si>
  <si>
    <t>Griffin</t>
  </si>
  <si>
    <t>Robert S</t>
  </si>
  <si>
    <t>We are Directors if the Southwest Indian Missionary Association. APS classifies the chapel and SWIMA office accounts as commercial. We are NOT a store or a business</t>
  </si>
  <si>
    <t>Jorgensen</t>
  </si>
  <si>
    <t>Faith</t>
  </si>
  <si>
    <t>We already pay incredibly high energy prices in the summer. I do not approve of any increases in prices.</t>
  </si>
  <si>
    <t>3686490000</t>
  </si>
  <si>
    <t>Quit with the money grab and lower our bills, charge the data centers and other high users more</t>
  </si>
  <si>
    <t>https://docket.images.azcc.gov/E000049100.pdf</t>
  </si>
  <si>
    <t>Instead of raising utilities, why can't you find out how to recycle cables, copper, metal and use it like SRP. I am a retired... can't afford the rate hikes</t>
  </si>
  <si>
    <t>This seems to be a total disregard for the welfare of others with such a ridiculous increase. l'd like for someone, anyone to explain why</t>
  </si>
  <si>
    <t>My experience with APS has been defined by a total lack of transparency and poor service</t>
  </si>
  <si>
    <t>4132830000</t>
  </si>
  <si>
    <t>Gajon</t>
  </si>
  <si>
    <t>Anaisabel</t>
  </si>
  <si>
    <t>Everything is too expensive. It is impossible to afford electricity in this heat as is,</t>
  </si>
  <si>
    <t>0339264588</t>
  </si>
  <si>
    <t>No MEP R3-47 ($107.12)</t>
  </si>
  <si>
    <t>Please contact customer regarding plan options and additional assistance programs?</t>
  </si>
  <si>
    <t>Prices continue to go up as l currently sit in a power outage at 8:30pm which was scheduled with less than 24 hours notice.</t>
  </si>
  <si>
    <t>Pittman</t>
  </si>
  <si>
    <t>you've supported everything the federal government has done in the last year. Eat your costs, provide your public service</t>
  </si>
  <si>
    <t>9771481818</t>
  </si>
  <si>
    <t>The continual increase of pricing is hurting the community more than they know.</t>
  </si>
  <si>
    <t>STOP RAISING THE PRICES WE CANT KEEP DOING THIS</t>
  </si>
  <si>
    <t>Carmody</t>
  </si>
  <si>
    <t>I am 75 years old and living on a fixed income. APS is constantly raising the electric bill because of political nonsense</t>
  </si>
  <si>
    <t>Bright</t>
  </si>
  <si>
    <t>it is wrong to ask for more when their profits are through the roof. People are already struggling to pay their basic bills</t>
  </si>
  <si>
    <t xml:space="preserve">My fiance and I are raising two kids as a middle-class household, but with these increasing costs, it doesn't even feel like we are middle class anymore. </t>
  </si>
  <si>
    <t>1970970000</t>
  </si>
  <si>
    <t>Smouse</t>
  </si>
  <si>
    <t>Rachelle</t>
  </si>
  <si>
    <t xml:space="preserve"> I am a public school teacher and my pay cannot keep up. AC set to 80 degrees, got solar</t>
  </si>
  <si>
    <t>Crozier</t>
  </si>
  <si>
    <t xml:space="preserve">We are living paycheck to paycheck, but it's just over the limit for help with our utilities. We live in a small trailer in a RV park. </t>
  </si>
  <si>
    <t>1023732719</t>
  </si>
  <si>
    <t>Kolodinsky</t>
  </si>
  <si>
    <t>seeking to skirt the historical process of public comment and rate making procedure. Particularly in light of the fact that APS has not followed through with prior commitment to clean energy</t>
  </si>
  <si>
    <t>7279540000</t>
  </si>
  <si>
    <t>Alsbrook</t>
  </si>
  <si>
    <t>Darlene</t>
  </si>
  <si>
    <t>The  mental &amp; emotional impact of rising costs in each of these areas is contributing to the decline in mental health and directly to the riots &amp; civil unrest</t>
  </si>
  <si>
    <t>2697756949</t>
  </si>
  <si>
    <t>They already got a hike no more greed please.</t>
  </si>
  <si>
    <t>APS wants to increase cost of payback of line use on transmission of solar that they sell to others at a higer rate.</t>
  </si>
  <si>
    <t>1694440000</t>
  </si>
  <si>
    <t>Schrieber</t>
  </si>
  <si>
    <t>Silvia</t>
  </si>
  <si>
    <t>Cut back other places and do not charge residents one penny for the construction of data centers</t>
  </si>
  <si>
    <t>https://docket.images.azcc.gov/E000049142.pdf</t>
  </si>
  <si>
    <t>Tolmachoff</t>
  </si>
  <si>
    <t>As a mom helping to support a family of six, our electricity costs are already overwhelming</t>
  </si>
  <si>
    <t>2159340000</t>
  </si>
  <si>
    <t>Gorski</t>
  </si>
  <si>
    <t>Rates continue rising every year without any protection for consumers. We need help lowering rates.</t>
  </si>
  <si>
    <t>3984073978</t>
  </si>
  <si>
    <t>No MEP R3-47 ($106.33)</t>
  </si>
  <si>
    <t>Take care of an 82-year-old man you continuously increase these rates... will need assistance.</t>
  </si>
  <si>
    <t>asking ratepayers to absorb such a significant increase while the utility continues to receive guaranteed returns and protected profits-raises serious concerns about fairness,</t>
  </si>
  <si>
    <t>3846299964</t>
  </si>
  <si>
    <t>Ulreich-Power</t>
  </si>
  <si>
    <t>Siobhan</t>
  </si>
  <si>
    <t>Do NOT pass the bill to increase our costs. Encourage solar power - Arizona should be a leader in solar, not dragging our feet!</t>
  </si>
  <si>
    <t>8629551000</t>
  </si>
  <si>
    <t>If the ACC votes to allow APS to have ANY increase again, I can assure you not one Republican will be voted into office again. Y</t>
  </si>
  <si>
    <t>https://docket.images.azcc.gov/E000049112.pdf</t>
  </si>
  <si>
    <t xml:space="preserve"> I have emailed you numerous times stating how STRONGLY I AM AGAINST ANY RATE INCREASE FOR APS. I will be waiting for you to email me with the requested information. </t>
  </si>
  <si>
    <t>https://docket.images.azcc.gov/E000049115.pdf</t>
  </si>
  <si>
    <t>5494061000</t>
  </si>
  <si>
    <t>Rosalina</t>
  </si>
  <si>
    <t>A $700 light bill for a 1,691 square foot house is outrageous. Why should we need to depend on (assistance) programs...</t>
  </si>
  <si>
    <t>https://docket.images.azcc.gov/E000049211.pdf</t>
  </si>
  <si>
    <t>Haas</t>
  </si>
  <si>
    <t>(Rates) are well above inflation and need to be skated back. These large increases should be placed on all the large data centers</t>
  </si>
  <si>
    <t>Jan</t>
  </si>
  <si>
    <t>we just can not afford all these increases. Especially not when we see the savings being passed on to the large customers in terms of lower rates.</t>
  </si>
  <si>
    <t>https://docket.images.azcc.gov/E000049176.pdf</t>
  </si>
  <si>
    <t>Larson</t>
  </si>
  <si>
    <t>As someone who works n education, I am often home during the summer months and the ever rising costs for utilities sting quite a</t>
  </si>
  <si>
    <t>Thayer</t>
  </si>
  <si>
    <t>No on APS rate increase until they stop all advertising at the Phoenix Suns! Do they have a suite there? No to data centers</t>
  </si>
  <si>
    <t>Rosas</t>
  </si>
  <si>
    <t>Snowflake</t>
  </si>
  <si>
    <t>Prioritize affordability and bill stability for residential and rural customers Reliable electricity is essential, but it must remain affordable.</t>
  </si>
  <si>
    <t>https://docket.images.azcc.gov/E000049239.pdf</t>
  </si>
  <si>
    <t>Bright Future?</t>
  </si>
  <si>
    <t>I propose aperformance-based interconnection standard centered on Industrial Thermal Symbiosis</t>
  </si>
  <si>
    <t>https://docket.images.azcc.gov/E000049228.pdf</t>
  </si>
  <si>
    <t>Wederski</t>
  </si>
  <si>
    <t>Lonnie and Billie</t>
  </si>
  <si>
    <t>I'm writing to request a no vot on the FRM which would allow APS free reign to raise rates</t>
  </si>
  <si>
    <t>https://docket.images.azcc.gov/E000049260.pdf</t>
  </si>
  <si>
    <t>Maura</t>
  </si>
  <si>
    <t>*Spanish comments*</t>
  </si>
  <si>
    <t>As a military family with a son, we strongly oppose this rate increase. It is not fair that regular families are being charged more while big corp get discounts</t>
  </si>
  <si>
    <t>No MEP R3-47 ($27.99)</t>
  </si>
  <si>
    <t>Legrand</t>
  </si>
  <si>
    <t>Kareem</t>
  </si>
  <si>
    <t xml:space="preserve">APS is taking advantage of the Arizona weather and it is hurting the citizens who have no choice in the matter. </t>
  </si>
  <si>
    <t>Ostreicher</t>
  </si>
  <si>
    <t>As a single father of 2 kids, a 14% rate increase in just over a year is ridiculous</t>
  </si>
  <si>
    <t>https://docket.images.azcc.gov/E000049265.pdf</t>
  </si>
  <si>
    <t>COR is linked to multiple accounts</t>
  </si>
  <si>
    <t>Keneally</t>
  </si>
  <si>
    <t xml:space="preserve">I am fortunate enough to be able to afford any proposed rate increases, but that doesn't mean that I think its right. </t>
  </si>
  <si>
    <t>They are taking money from their customers... while donating to charities and advertising on TV</t>
  </si>
  <si>
    <t>https://docket.images.azcc.gov/E000049336.pdf</t>
  </si>
  <si>
    <t>I been living in my place for 24 years. I get low-income discounts and equalizer. I will start setting my AC to 85.</t>
  </si>
  <si>
    <t>Gerkin</t>
  </si>
  <si>
    <t>$240 extra per year for the average household. I am retired and on a fixed income, so I and many others like me, cannot afford</t>
  </si>
  <si>
    <t>Graham</t>
  </si>
  <si>
    <t>86 y/o, lives alone, Social Security Cost of Living 2.8 percent</t>
  </si>
  <si>
    <t>https://docket.images.azcc.gov/E000049357.pdf</t>
  </si>
  <si>
    <t>Litke</t>
  </si>
  <si>
    <t>Senior living in subsidized housing on a low income</t>
  </si>
  <si>
    <t>Valladares</t>
  </si>
  <si>
    <t>Data Centers are ready to work with the water and electricity.</t>
  </si>
  <si>
    <t>No MEP R3-47 ($248.22)</t>
  </si>
  <si>
    <t>SPANISH PREFERRED CUSTOMER - Please contact customer regarding plan options</t>
  </si>
  <si>
    <t xml:space="preserve">Relying solely on our Social Security benefits... we are already struggling with the rising costs of living. </t>
  </si>
  <si>
    <t>Varanauski</t>
  </si>
  <si>
    <t>Joan</t>
  </si>
  <si>
    <t>A nearly 15% increase on my utility bill is an excessive financial burden that l simply cannot afford.</t>
  </si>
  <si>
    <t>Sun City Home Owners Association</t>
  </si>
  <si>
    <t>Unknow</t>
  </si>
  <si>
    <t>SCHOA does formally oppose granting this proposed APS increase as we believe it is unfair, unjustified, and harmful to nearly 40k residents</t>
  </si>
  <si>
    <t>Rosalva</t>
  </si>
  <si>
    <t>If APS really cares about its customers look into blocking these data centers from moving to Arizona</t>
  </si>
  <si>
    <t>No MEP R3-47 ($64.75)</t>
  </si>
  <si>
    <t>Ender</t>
  </si>
  <si>
    <t xml:space="preserve">Working citizens should not have to have to have an increase on an already rising cost of living. Data centers are the ones that are taking so much energy. </t>
  </si>
  <si>
    <t>Shirreff</t>
  </si>
  <si>
    <t>Wanda</t>
  </si>
  <si>
    <t>large commercial and business customers are not bearing a greater share of this increase. Protect residential customers</t>
  </si>
  <si>
    <t>G</t>
  </si>
  <si>
    <t>Stan</t>
  </si>
  <si>
    <t>Uknown</t>
  </si>
  <si>
    <t>Concerned with the rate change from Tier 1 to Tier 2 and provides transcript of the chat with aps</t>
  </si>
  <si>
    <t>Malter</t>
  </si>
  <si>
    <t>Rosalie</t>
  </si>
  <si>
    <t>APS greed is causing suffering among people like us 80+ aged seniors.</t>
  </si>
  <si>
    <t>Hilliard</t>
  </si>
  <si>
    <t>I am concerned about the economic impact of the proposed 13.99% increase on Navajo County residential and business customers</t>
  </si>
  <si>
    <t>https://docket.images.azcc.gov/E000049383.pdf</t>
  </si>
  <si>
    <t>Sherman</t>
  </si>
  <si>
    <t>express my concern with APS's proposed rate increases, particularl the solar Grid Access Charge alongside the continued erosion of affordability for Arizona families.</t>
  </si>
  <si>
    <t>Conner</t>
  </si>
  <si>
    <t xml:space="preserve">I am a retiree on a fixed income and am very concerned about the continuing raising costs of living. </t>
  </si>
  <si>
    <t>Snapp</t>
  </si>
  <si>
    <t>I have solar and believe this should not raise my rates. I believe more investment in solar would benefit APS.</t>
  </si>
  <si>
    <t>Pappin</t>
  </si>
  <si>
    <t>My wife and I are retired and our only income is from My Navy Retirement and Social Security Benefits. You should limit the rate increase to the COLA increase.</t>
  </si>
  <si>
    <t>https://docket.images.azcc.gov/E000049378.pdf</t>
  </si>
  <si>
    <t>Stoop</t>
  </si>
  <si>
    <t>I would like to know if The ACC is requiring APS to keep Four Corners Online?</t>
  </si>
  <si>
    <t>https://docket.images.azcc.gov/E000049379.pdf</t>
  </si>
  <si>
    <t>Bean</t>
  </si>
  <si>
    <t>I dent think APS needs another 14% rate hike people are barely making ends meet.</t>
  </si>
  <si>
    <t>No MEP R3-47 ($326.85)</t>
  </si>
  <si>
    <t>Docketed 2x Please contact customer regarding plan options and additional assistance programs?</t>
  </si>
  <si>
    <t>Please stop letting APS having constant rate hikes! I leased solar panels to reduce my energy costs.</t>
  </si>
  <si>
    <t>not all that long ago that APS did not need to have an "on peak/offpeak" ... renewable energy sources are driving up costs.</t>
  </si>
  <si>
    <t>https://docket.images.azcc.gov/E000049400.pdf</t>
  </si>
  <si>
    <t>We had a rateincrease of 8% in 2024 another 8% increase in 2025 and now you expect that we should allow another increase of 14%</t>
  </si>
  <si>
    <t>January, my demand charge was $240.55. My total bill was $513.80. I am paying nearly as much for one hour of peak demand per month as I am for all 30 days</t>
  </si>
  <si>
    <t>Little</t>
  </si>
  <si>
    <t>Despite ratepayers using virtually the same or fewer KWHs, we are now being asked AGAIN to accommodate a rate increase. Let those that use the most, pay the most.</t>
  </si>
  <si>
    <t>https://docket.images.azcc.gov/E000049387.pdf</t>
  </si>
  <si>
    <t>St Clair</t>
  </si>
  <si>
    <t>APS rate increase. When is enough, enough!?!? No more rate increases. It's outrageous!</t>
  </si>
  <si>
    <t>Bowman</t>
  </si>
  <si>
    <t>My husband and I are both nurses and we have one child. Even living modestly with two professional degrees and employment, we struggle to keep up</t>
  </si>
  <si>
    <t>Noyes</t>
  </si>
  <si>
    <t>Wage growth has not caught up to the rising costs of living, especially here in Arizona</t>
  </si>
  <si>
    <t>Jack</t>
  </si>
  <si>
    <t>I am a native born Arizonan and always believed APS was here to serve the people who lived in Arizona.But I no longer feel that way.</t>
  </si>
  <si>
    <t>2 locations are AMI Opt Out</t>
  </si>
  <si>
    <t>Fleet</t>
  </si>
  <si>
    <t>October 2023 $67 credit, October 2024 $71 credit, October 2025 $81 bill</t>
  </si>
  <si>
    <t>Solar United Neighbors</t>
  </si>
  <si>
    <t>Organizational Comment Opposing APS's Proposed Grid Access Charge, Excessive ROE, and Unaffordable Rate Increase</t>
  </si>
  <si>
    <t>https://docket.images.azcc.gov/E000049395.pdf</t>
  </si>
  <si>
    <t>N/A</t>
  </si>
  <si>
    <t>Please vote against the APS rate increase application and any other increase application APS applies for</t>
  </si>
  <si>
    <t>https://docket.images.azcc.gov/E000049441.pdf</t>
  </si>
  <si>
    <t>As a senior citizen the rate increase will impact me but I do have an income. My COLA from Social Security was 2.8% this past year.</t>
  </si>
  <si>
    <t>Near retirement and invested in 34 solar panels to cover our long-term energy needs. Do not yet cover our full electrical costs and proposed increase will exacerbate this issue.</t>
  </si>
  <si>
    <t>https://docket.images.azcc.gov/E000049487.pdf</t>
  </si>
  <si>
    <t>No MEP R3-47 ($14.60)</t>
  </si>
  <si>
    <t>Furber</t>
  </si>
  <si>
    <t>Sharyn</t>
  </si>
  <si>
    <t>notes job listing for 'Leader Creative Services' and the millions of $ it will take to change the logo</t>
  </si>
  <si>
    <t>Wilkening</t>
  </si>
  <si>
    <t xml:space="preserve">They are agreeing to provide expensive gas generated power to hyperscale data centers. 2024 there were 608 heat related deaths. The number will only keep increasing. </t>
  </si>
  <si>
    <t>Sapundzhiev</t>
  </si>
  <si>
    <t>ILiya</t>
  </si>
  <si>
    <t xml:space="preserve">I am an Arizona resident, a small business owner, and a solar customer since 2020. I am writing to strongly oppose. </t>
  </si>
  <si>
    <t>Dallam</t>
  </si>
  <si>
    <t>Enough with these unnecessary rate increases! You folks campaigned on the promise of keeping rates reasonable, what happened to that?</t>
  </si>
  <si>
    <t>Lasky</t>
  </si>
  <si>
    <t>we feel ( solar people) the 50k we spent to provide additional power to the grid is a waisted money</t>
  </si>
  <si>
    <t>We don't need rate hikes, we need more investment in solar and other lower cost forms of power.</t>
  </si>
  <si>
    <t>Lipson</t>
  </si>
  <si>
    <t>Leonard</t>
  </si>
  <si>
    <t>Solar panels worth les Retired on fixed income Paying enough now.</t>
  </si>
  <si>
    <t>even with solar panels, I have to still pay APS bc of their rate increase through the years</t>
  </si>
  <si>
    <t>Meek</t>
  </si>
  <si>
    <t>concern with rate increases, particularly the solar Grid Access Charge alongside the continued erosion of affordability for AZ families</t>
  </si>
  <si>
    <t>Osborn</t>
  </si>
  <si>
    <t>Dwayne</t>
  </si>
  <si>
    <t xml:space="preserve">fixed income, with solar, do not support any increase in APS rate increases while continuing to set record profits. </t>
  </si>
  <si>
    <t>Moreno</t>
  </si>
  <si>
    <t>Energy should be free! Tesla showed us that already. Stop being greedy. Stop stop stop you greedy miserable pople whoever you are</t>
  </si>
  <si>
    <t>No MEP R3-47 ($73.15)</t>
  </si>
  <si>
    <t>Hedenreich</t>
  </si>
  <si>
    <t>Flagstff</t>
  </si>
  <si>
    <t>I strongly request that permission to raise rates for APS be denied for the common good.</t>
  </si>
  <si>
    <t>Ceballos</t>
  </si>
  <si>
    <t>I am an elderly citizen of 86 yrs. I have had increasing APS bills over the years making it harder.</t>
  </si>
  <si>
    <t>No MEP R3-47 ($142.29)</t>
  </si>
  <si>
    <t>Flgastaff</t>
  </si>
  <si>
    <t>Against further utillity rate increases. More importantly, I am against the limitations you are putting on Wind and Solar Power in Arizona.</t>
  </si>
  <si>
    <t>Armstrong</t>
  </si>
  <si>
    <t>It is criminal to ignore cheaper clearn energy like solar and wind. APS would not need to even consider a rate hike if they stopped ignoring clean</t>
  </si>
  <si>
    <t>Families across this state already struggle to pay their mortgages, cover their bills and make ends meet</t>
  </si>
  <si>
    <t>Galloway</t>
  </si>
  <si>
    <t>Electricity bills are becoming profoundly unaffordable for everyday Arizona citizens.</t>
  </si>
  <si>
    <t>Newell</t>
  </si>
  <si>
    <t>Shawn</t>
  </si>
  <si>
    <t>when APS customers like me are struggling with affordability, APS should not be guaranteed higher profits</t>
  </si>
  <si>
    <t>Budde</t>
  </si>
  <si>
    <t>How about APS stop doing commercials using the money they charge us customers for</t>
  </si>
  <si>
    <t>Chaikin</t>
  </si>
  <si>
    <t>Peggy</t>
  </si>
  <si>
    <t>As a senior citizen living on retirement income and savings, I am strongly against the proposed APS rate hike and Solar Grid Access Charge.</t>
  </si>
  <si>
    <t xml:space="preserve">Who let this happen? The correction in billing method should have been planned for </t>
  </si>
  <si>
    <t>No MEP R3-47 ($216.81)</t>
  </si>
  <si>
    <t>l am a retired postal employee and on a pension. I am sick and tired of APS ripping off its Customers</t>
  </si>
  <si>
    <t>APS has very high profits. They don't need yet another increase.</t>
  </si>
  <si>
    <t>I do not approve of allowing APS any new side steps to any rate hikes that by pass or skip the commission by the FRM</t>
  </si>
  <si>
    <t>No MEP R3-47 ($430.61)</t>
  </si>
  <si>
    <t>Sun City West Property Owners and Residents Association</t>
  </si>
  <si>
    <t>continued utility rate increases have become unsustainablew for many, Rate increases must also be dligently reviewed by RUCO without any shortcuts.</t>
  </si>
  <si>
    <t>https://docket.images.azcc.gov/E000049488.pdf</t>
  </si>
  <si>
    <t>Ybarra</t>
  </si>
  <si>
    <t>David C (or C David)</t>
  </si>
  <si>
    <t>Advanced Customer Service Advisor at APS for 2 years</t>
  </si>
  <si>
    <t>https://docket.images.azcc.gov/E000049493.pdf</t>
  </si>
  <si>
    <t>Wesolowski</t>
  </si>
  <si>
    <t>Spent over 140k on solar to negate the costs of my electricity bills and used to actually get credit on my bill each month. 2025 I never once had a month where I got a credit</t>
  </si>
  <si>
    <t>Pratt</t>
  </si>
  <si>
    <t>As a retiree, fixed income, invested in solar, prior APS rate increase negated much of my actual financial benefit and anticipated return on investment.</t>
  </si>
  <si>
    <t>Hawthorne</t>
  </si>
  <si>
    <t>Jewell</t>
  </si>
  <si>
    <t>Three rate hikes in the past three years. And to make matters worse, the utility's proposed "formula rates" would allow them to increase annually</t>
  </si>
  <si>
    <t>reject the rate increase and not allow any other tax or fee APS throws on the monthly bill.</t>
  </si>
  <si>
    <t>No MEP R3-47 ($53.67)</t>
  </si>
  <si>
    <t>Docketed 2x, Participated in public comment session on 2/18</t>
  </si>
  <si>
    <t>Conn</t>
  </si>
  <si>
    <t>IM on a fixed income and another increase. We'II be taking food off my table simple as that</t>
  </si>
  <si>
    <t>McClellan</t>
  </si>
  <si>
    <t xml:space="preserve">I am putting in more energy to their grid with my solar panels then I take out and yet they have still found back door methods to take money from  me. </t>
  </si>
  <si>
    <t>Soto</t>
  </si>
  <si>
    <t xml:space="preserve">Ratepayers should not be asked to keep footing the bill for old, expensive coal plant when cleaner, cheaper options are available. </t>
  </si>
  <si>
    <t>we need to stop this because we cannot afford these rate hikes. We are on fixed incomes.</t>
  </si>
  <si>
    <t>Ayyar</t>
  </si>
  <si>
    <t>Adarsh</t>
  </si>
  <si>
    <t>concern with APS's proposed rate increases, particularly the solar Grid Access Charge</t>
  </si>
  <si>
    <t>R-TOUE47</t>
  </si>
  <si>
    <t>Fero</t>
  </si>
  <si>
    <t>example of the already unfair and irrational penalties placed on Solar contributors to the grid.</t>
  </si>
  <si>
    <t>No MEP R3-47 ($81.32)</t>
  </si>
  <si>
    <t>Rings</t>
  </si>
  <si>
    <t xml:space="preserve">After rate increases in both 2023 and 2024, this is unconscionable, especially when APS profits last year were over $6 million. </t>
  </si>
  <si>
    <t>I am presenting this public comment on behalf of Poder Latinx</t>
  </si>
  <si>
    <t>https://docket.images.azcc.gov/E000049524.pdf</t>
  </si>
  <si>
    <t>Participated in public comment session on 2/18</t>
  </si>
  <si>
    <t>Lyall</t>
  </si>
  <si>
    <t xml:space="preserve">I am an 80 y/o low income senior citizen of Prescott Valley, AZ. I have trouble making ends meet on my Social Security income. </t>
  </si>
  <si>
    <t>Chuppa</t>
  </si>
  <si>
    <t xml:space="preserve">SRP is a not-for-profit entity... and works just fine. In cotnrast, APS is focused on making huge profits for inevestors and executieves. </t>
  </si>
  <si>
    <t>No MEP R3-47 ($319.00)</t>
  </si>
  <si>
    <t>Fine</t>
  </si>
  <si>
    <t>Jovita</t>
  </si>
  <si>
    <t>installed solar on my house a few years ago, which I appreciate having, but already APS uses most of the energy</t>
  </si>
  <si>
    <t>Tyquiengco Wilson</t>
  </si>
  <si>
    <t>Janae</t>
  </si>
  <si>
    <t>Frewer Jr.</t>
  </si>
  <si>
    <t xml:space="preserve">between the three of us, we're juggling four jobs. We work hard, pay our bills on time, and do everything America says one must do to afford a good life. Yet somehow, we're barely keeping our heads above water. </t>
  </si>
  <si>
    <t>Daily</t>
  </si>
  <si>
    <t xml:space="preserve">I think that a 14 % rate increase is a little to much to ask for all at once. Our COLA increase this year doesn't come clos to that. </t>
  </si>
  <si>
    <t>Bihary</t>
  </si>
  <si>
    <t>Judith</t>
  </si>
  <si>
    <t xml:space="preserve">We need some assurances that rate hikes will have public oversight, so future rate hikes will not be easy for APS to put through. </t>
  </si>
  <si>
    <t xml:space="preserve">considering their profits, and that they should be charging the data centers the appropriate rates they will consume, I believe they need to give consideration to permanent residents first, partial residents secondary and then businesses. </t>
  </si>
  <si>
    <t>Stallcop</t>
  </si>
  <si>
    <t>I vehemently oppose the "formula rates," which would allow the utility to fast-track rate increases every year</t>
  </si>
  <si>
    <t>Finch</t>
  </si>
  <si>
    <t>Jessie K</t>
  </si>
  <si>
    <t>Please stop charging the people of Arizona TO MAKE A PROFIT on what should be a utility FOR THE PEOPLE.</t>
  </si>
  <si>
    <t>No MEP R3-47 ($56.37)</t>
  </si>
  <si>
    <t>Sturnacle</t>
  </si>
  <si>
    <t>Arwin</t>
  </si>
  <si>
    <t>Requesting that Arizona Corporation Commission determine the relation of APS to Pinnacle West Capital Corporation</t>
  </si>
  <si>
    <t>AMI Opt-Out</t>
  </si>
  <si>
    <t xml:space="preserve">Member of Sun City PORA, with solar. </t>
  </si>
  <si>
    <t>https://docket.images.azcc.gov/0000216207.pdf</t>
  </si>
  <si>
    <t>No MEP R3-47 ($15.82)</t>
  </si>
  <si>
    <t>Opposes nuclear</t>
  </si>
  <si>
    <t>https://docket.images.azcc.gov/0000216208.pdf</t>
  </si>
  <si>
    <t>Hakari</t>
  </si>
  <si>
    <t>Lana</t>
  </si>
  <si>
    <t>The considerable increase of 14% would disproportionately affect fixed-income customers, such as myself</t>
  </si>
  <si>
    <t>https://docket.images.azcc.gov/E000049528.pdf</t>
  </si>
  <si>
    <t>Reeese</t>
  </si>
  <si>
    <t>Mykel</t>
  </si>
  <si>
    <t>The company is already profitable and the fact that they are demanding a rate increase is a great burden to folks like me who are on fixed incomes.</t>
  </si>
  <si>
    <t xml:space="preserve">I feel that APS is unfairly raising bills on homeowners without requiring the new chip manufacturers and the housing developers to pay their share of the rate increases. </t>
  </si>
  <si>
    <t>Steinert</t>
  </si>
  <si>
    <t>APS residential power rates have already increased far beyond those of SRP and I can see no good reason for this except a thirst for excessive profits</t>
  </si>
  <si>
    <t>Brame</t>
  </si>
  <si>
    <t>conern with APS's proposed rate increases, particularly the solar Grid Access Charge</t>
  </si>
  <si>
    <t>https://docket.images.azcc.gov/E000049547.pdf</t>
  </si>
  <si>
    <t>NO</t>
  </si>
  <si>
    <t>Kerata</t>
  </si>
  <si>
    <t>Pleas consider supporting solar power, solar tax credits and infrastructure so these electricity rates start to Go Down instead of continually UP.</t>
  </si>
  <si>
    <t>APS argues this increase is necessary for grid reliability, the burden is being unfairly placed on residential households</t>
  </si>
  <si>
    <t>Brianne</t>
  </si>
  <si>
    <t xml:space="preserve">Representing Arizona Alliance for Retired Americans (AARA) advocates for retirees and seniors to ensure social and economic justice after a lifetime of work. </t>
  </si>
  <si>
    <t>Engelman</t>
  </si>
  <si>
    <t xml:space="preserve">try living in the AZ heat with minimal air conditioning such as this. Try it, and I can assure you, you would never approve a rate hike. </t>
  </si>
  <si>
    <t>https://docket.images.azcc.gov/E000049561.pdf</t>
  </si>
  <si>
    <t>Hardin</t>
  </si>
  <si>
    <t xml:space="preserve">Is it possible for the company to have multi-tiered rates, considering that some power usage is for "WANTS" rather than "NEEDS". </t>
  </si>
  <si>
    <t>Arnon</t>
  </si>
  <si>
    <t xml:space="preserve">Oppose rate increase, FRM, APS will not allow solar customer to operate stand-alone facilities, deny Grid Access Charge, abandoned their clean energy goals. </t>
  </si>
  <si>
    <t>https://docket.images.azcc.gov/E000049585.pdf</t>
  </si>
  <si>
    <t>No MEP R3-47 ($310.50)</t>
  </si>
  <si>
    <t xml:space="preserve">They've made big profits and had several recent rate increases. </t>
  </si>
  <si>
    <t>https://docket.images.azcc.gov/E000049618.pdf</t>
  </si>
  <si>
    <t>Stambaugh</t>
  </si>
  <si>
    <t>Alice</t>
  </si>
  <si>
    <t>APS does NOT need to make life harder for the masses and more lucrative for shareholders,</t>
  </si>
  <si>
    <t>Outcome</t>
  </si>
  <si>
    <t/>
  </si>
  <si>
    <t>Joaquin</t>
  </si>
  <si>
    <t>YES</t>
  </si>
  <si>
    <t>CLOSED ACCT 07/09/2015</t>
  </si>
  <si>
    <t>SOLAR ACCT</t>
  </si>
  <si>
    <t>PHONE DISCONNECTED / NOT ON BEST PLAN</t>
  </si>
  <si>
    <t>DID NOT WANT TO TALK / NOT ON BEST RATE PLAN</t>
  </si>
  <si>
    <t>VERY UP SET ABOUT THE RATES POSSIBLY GOING UP</t>
  </si>
  <si>
    <t>Rate Change</t>
  </si>
  <si>
    <t>ON PA, DID ADVISE BB AFTER PA IS DONE</t>
  </si>
  <si>
    <t>BETTER RATE TIME OF USE WITH DEMAND $1046</t>
  </si>
  <si>
    <t>E3/E4</t>
  </si>
  <si>
    <t>General Education</t>
  </si>
  <si>
    <t>Other (fill in)</t>
  </si>
  <si>
    <t>solar acct////WILL CB TO REVIEW OPTION TO LOWER BILL</t>
  </si>
  <si>
    <t>ON THE BEST PLAN</t>
  </si>
  <si>
    <t>SOLAR</t>
  </si>
  <si>
    <t>SOLAR, PA</t>
  </si>
  <si>
    <t>PA, ON BEST RATE PLAN</t>
  </si>
  <si>
    <t>GAVE ASSISTANCE NUMBERS AND ADVISED TO APPLY FOR E-3</t>
  </si>
  <si>
    <t>SAID SHE DID SIGN PETITION</t>
  </si>
  <si>
    <t># ON ACCT NO GOOD CALLED 12/6/25</t>
  </si>
  <si>
    <t>Updated/New PA</t>
  </si>
  <si>
    <t>Utility Assistance</t>
  </si>
  <si>
    <t>VMs</t>
  </si>
  <si>
    <t>Priority</t>
  </si>
  <si>
    <t>MEP Status</t>
  </si>
  <si>
    <t>Associate</t>
  </si>
  <si>
    <t>Called</t>
  </si>
  <si>
    <t>Remaining</t>
  </si>
  <si>
    <t>Avg Calls/Week</t>
  </si>
  <si>
    <t>Spoke With</t>
  </si>
  <si>
    <t>ASSOCIATE PERFORMANCE</t>
  </si>
  <si>
    <t>Calls Made</t>
  </si>
  <si>
    <t>Contacts</t>
  </si>
  <si>
    <t>CALL OUTCOMES</t>
  </si>
  <si>
    <t>Count</t>
  </si>
  <si>
    <t>Other</t>
  </si>
  <si>
    <t>VM - No Answer</t>
  </si>
  <si>
    <t>Week Of</t>
  </si>
  <si>
    <t>Total Calls</t>
  </si>
  <si>
    <t>Total</t>
  </si>
  <si>
    <t>Date Added</t>
  </si>
  <si>
    <t>✏️ Associate</t>
  </si>
  <si>
    <t>✏️ Date Called</t>
  </si>
  <si>
    <t>✏️ VM?</t>
  </si>
  <si>
    <t>✏️ Outcome</t>
  </si>
  <si>
    <t>✏️ Notes</t>
  </si>
  <si>
    <t>MEP Status (Clean)</t>
  </si>
  <si>
    <t>Coudriet, Lise</t>
  </si>
  <si>
    <t>Price, Shannon</t>
  </si>
  <si>
    <t>Bryant, Shelby</t>
  </si>
  <si>
    <t>Santoyo, Ashlee</t>
  </si>
  <si>
    <t>McCloud, Jason</t>
  </si>
  <si>
    <t>Inman, Bonnie</t>
  </si>
  <si>
    <t>Josselyn, Anne</t>
  </si>
  <si>
    <t>Ramos, Mercedes</t>
  </si>
  <si>
    <t>Vandenberg, Taylor</t>
  </si>
  <si>
    <t>Pablo, Jerome</t>
  </si>
  <si>
    <t>Youngker, Virginia</t>
  </si>
  <si>
    <t>Haden, Scott</t>
  </si>
  <si>
    <t>Summons, Miranda</t>
  </si>
  <si>
    <t>Byman, Rachel</t>
  </si>
  <si>
    <t>Hernandez, Maria</t>
  </si>
  <si>
    <t>Curds, Diana</t>
  </si>
  <si>
    <t>Posey, Michael</t>
  </si>
  <si>
    <t>Cearns, Katharine</t>
  </si>
  <si>
    <t>Apolinar, Alexia</t>
  </si>
  <si>
    <t>Downs, Jodi</t>
  </si>
  <si>
    <t>Andujar, Elizabeth</t>
  </si>
  <si>
    <t>Arends, TeNisha</t>
  </si>
  <si>
    <t>Bugenski, Jennifer</t>
  </si>
  <si>
    <t>King, Melvinna</t>
  </si>
  <si>
    <t>Gajon, Anaisabel</t>
  </si>
  <si>
    <t>Valladares, Rosalva</t>
  </si>
  <si>
    <t>Bean, Jodi</t>
  </si>
  <si>
    <t>Snyder, Steven</t>
  </si>
  <si>
    <t>Rizzi, Carol</t>
  </si>
  <si>
    <t>Charapata, Maxwell</t>
  </si>
  <si>
    <t>Howell, Chris</t>
  </si>
  <si>
    <t>Scharroo, George</t>
  </si>
  <si>
    <t>Farr, Amanda</t>
  </si>
  <si>
    <t>Norton, Colin</t>
  </si>
  <si>
    <t>Bergstrom, Shailey</t>
  </si>
  <si>
    <t>Rogers, Richard</t>
  </si>
  <si>
    <t>Gutierrez, Francisco</t>
  </si>
  <si>
    <t>Mohapatra, Sangram</t>
  </si>
  <si>
    <t>Gurram , Tanooj Kumar Reddy</t>
  </si>
  <si>
    <t>Crowley, Kendell</t>
  </si>
  <si>
    <t>Schroeder, John</t>
  </si>
  <si>
    <t>Messmer, Catherine</t>
  </si>
  <si>
    <t>Pranesh, Vinay</t>
  </si>
  <si>
    <t>Kukkapalli, Vasu</t>
  </si>
  <si>
    <t>Gottipati, Srinivasa</t>
  </si>
  <si>
    <t>Kuppuswamy, Balaji</t>
  </si>
  <si>
    <t>Ziller, Chris</t>
  </si>
  <si>
    <t>Arrowsmith, Kelsey</t>
  </si>
  <si>
    <t>Ahmad, Ammara</t>
  </si>
  <si>
    <t>Rauschkolb, Phillip</t>
  </si>
  <si>
    <t>Arpaia, Mary</t>
  </si>
  <si>
    <t>Erra, Mohan</t>
  </si>
  <si>
    <t>Underwood, Sarah</t>
  </si>
  <si>
    <t>Cuadras, JoVon</t>
  </si>
  <si>
    <t>Monteleone, Kathleen</t>
  </si>
  <si>
    <t>Pahuja, Himanshu</t>
  </si>
  <si>
    <t>Clow, Richard</t>
  </si>
  <si>
    <t>Tremblay, Michelle</t>
  </si>
  <si>
    <t>Marshall, Allen</t>
  </si>
  <si>
    <t>Robinson, Carter</t>
  </si>
  <si>
    <t>Woehl, Timothy</t>
  </si>
  <si>
    <t>Delaney, Amy</t>
  </si>
  <si>
    <t>Votypka, Lindsay</t>
  </si>
  <si>
    <t>Sundarachar, Hema</t>
  </si>
  <si>
    <t>Laszczak, Lauren</t>
  </si>
  <si>
    <t>Blocker, Nicholas</t>
  </si>
  <si>
    <t>Sedillo, Sidney</t>
  </si>
  <si>
    <t>Torres, Daniel</t>
  </si>
  <si>
    <t>Thomas, Shaun</t>
  </si>
  <si>
    <t>Berry, Mason</t>
  </si>
  <si>
    <t>Ficarra, Gregory</t>
  </si>
  <si>
    <t>Ramos, Pedro</t>
  </si>
  <si>
    <t>Cross, Katie</t>
  </si>
  <si>
    <t>Matelski, Heather</t>
  </si>
  <si>
    <t>Testo, George</t>
  </si>
  <si>
    <t>Brunetti, Isabel</t>
  </si>
  <si>
    <t>Pera, Natalie</t>
  </si>
  <si>
    <t>Kennedy, Robert</t>
  </si>
  <si>
    <t>Healey, Tyler</t>
  </si>
  <si>
    <t>Abitz, Zachary</t>
  </si>
  <si>
    <t>Henderson, David</t>
  </si>
  <si>
    <t>Siddavatam, Govardhan Reddy</t>
  </si>
  <si>
    <t>Zohn, Ethan</t>
  </si>
  <si>
    <t>Royster, Aaron</t>
  </si>
  <si>
    <t>Macagni, Christopher</t>
  </si>
  <si>
    <t>Heiser, Morgan</t>
  </si>
  <si>
    <t>Phipps, Michelle</t>
  </si>
  <si>
    <t>Smith, Jordon</t>
  </si>
  <si>
    <t>Sommer, Bryce</t>
  </si>
  <si>
    <t>Glass, Samuel</t>
  </si>
  <si>
    <t>Pham, Anthony</t>
  </si>
  <si>
    <t>Roberts, Stefan</t>
  </si>
  <si>
    <t>Rascon, Diego</t>
  </si>
  <si>
    <t>De Simone, Andre</t>
  </si>
  <si>
    <t>McWilliams, Jesse</t>
  </si>
  <si>
    <t>Perelman, Dale</t>
  </si>
  <si>
    <t>Leal, Steven</t>
  </si>
  <si>
    <t>Lakshmipathy, Arunkumar</t>
  </si>
  <si>
    <t>Copeland, Joen</t>
  </si>
  <si>
    <t>Bracken, Daniel</t>
  </si>
  <si>
    <t>Turner-Warren, Jessica</t>
  </si>
  <si>
    <t>Dinnerstein, Marc</t>
  </si>
  <si>
    <t>Vidal, Chanel</t>
  </si>
  <si>
    <t>Armenta, Xavier</t>
  </si>
  <si>
    <t>Horne, Matt</t>
  </si>
  <si>
    <t>Hochgraver, Jeremy</t>
  </si>
  <si>
    <t>Simone, Vicki</t>
  </si>
  <si>
    <t>Cotton, James</t>
  </si>
  <si>
    <t>Pydimarry, Srinivascharandeepak</t>
  </si>
  <si>
    <t>Newton, Laura</t>
  </si>
  <si>
    <t>Meiergerd, Celeste</t>
  </si>
  <si>
    <t>Chandler, Emily</t>
  </si>
  <si>
    <t>Deltoro, Jose</t>
  </si>
  <si>
    <t>Jender, Michael</t>
  </si>
  <si>
    <t>Ferrales, Marlenne</t>
  </si>
  <si>
    <t>Pesala, Harikrishna</t>
  </si>
  <si>
    <t>Lee, Daniel</t>
  </si>
  <si>
    <t>Kulandaivadivelu, Rajesh</t>
  </si>
  <si>
    <t>Ezrre, Diego</t>
  </si>
  <si>
    <t>Greibesland, Bevan</t>
  </si>
  <si>
    <t>Litton, Miranda</t>
  </si>
  <si>
    <t>Watson, Mary Ann</t>
  </si>
  <si>
    <t>Bahrie, Atul</t>
  </si>
  <si>
    <t>Pludowski, Andrew</t>
  </si>
  <si>
    <t>Nicholson, Kirsten</t>
  </si>
  <si>
    <t>Haynes, Melissa</t>
  </si>
  <si>
    <t>Yip, Indy</t>
  </si>
  <si>
    <t>Wollman, Kenneth</t>
  </si>
  <si>
    <t>Lassner, Zachary</t>
  </si>
  <si>
    <t>Wesley, Jason</t>
  </si>
  <si>
    <t>Futi, Ruben</t>
  </si>
  <si>
    <t>Ramia, Joseph</t>
  </si>
  <si>
    <t>Kane, Patrick</t>
  </si>
  <si>
    <t>Wallace, Michael</t>
  </si>
  <si>
    <t>Lindsey, Jamison</t>
  </si>
  <si>
    <t>Corirossi, Jason</t>
  </si>
  <si>
    <t>Talbott, Nicole</t>
  </si>
  <si>
    <t>Gilmore, Jeremy</t>
  </si>
  <si>
    <t>Hobson, Lisa</t>
  </si>
  <si>
    <t>Kumar, Sumit</t>
  </si>
  <si>
    <t>Taylor, Kathryne</t>
  </si>
  <si>
    <t>Morrison, Quandra</t>
  </si>
  <si>
    <t>Parr, Joshua Roy</t>
  </si>
  <si>
    <t>Malaki, Samantha</t>
  </si>
  <si>
    <t>Roy, Tanika</t>
  </si>
  <si>
    <t>Deer, Payton</t>
  </si>
  <si>
    <t>Horne, Benjamin</t>
  </si>
  <si>
    <t>Saltzman, Stephanie</t>
  </si>
  <si>
    <t>Bejar, Christen</t>
  </si>
  <si>
    <t>O'Neil , Patricia</t>
  </si>
  <si>
    <t>Fylan, Rachel</t>
  </si>
  <si>
    <t>Martin, Sharon</t>
  </si>
  <si>
    <t>Mobley, Susan</t>
  </si>
  <si>
    <t>Nelson, Nancy</t>
  </si>
  <si>
    <t>Weigand, Mathew</t>
  </si>
  <si>
    <t>Mohajerin, Susan</t>
  </si>
  <si>
    <t>Donato, Danielle</t>
  </si>
  <si>
    <t>Keates, Rob</t>
  </si>
  <si>
    <t>Lopardo, Corinna</t>
  </si>
  <si>
    <t>Marinero, Walter</t>
  </si>
  <si>
    <t>Suckow, Mary</t>
  </si>
  <si>
    <t>Sexton, Robert</t>
  </si>
  <si>
    <t>Haggard, Jonathan</t>
  </si>
  <si>
    <t>LeVangie, Richard</t>
  </si>
  <si>
    <t>Rhodes, Madilyn</t>
  </si>
  <si>
    <t>Hill, Samantha</t>
  </si>
  <si>
    <t>Hoffner, Dawn</t>
  </si>
  <si>
    <t>De Santiago, Marisol</t>
  </si>
  <si>
    <t>Dietrich, Karen</t>
  </si>
  <si>
    <t>Morales, Linnette</t>
  </si>
  <si>
    <t>Kapolas, Linda</t>
  </si>
  <si>
    <t>Eskew, Kendall</t>
  </si>
  <si>
    <t>Simpson, Elliot</t>
  </si>
  <si>
    <t>Rae, Linda</t>
  </si>
  <si>
    <t>Tornetta, Cynthia</t>
  </si>
  <si>
    <t>Myers, Brenda</t>
  </si>
  <si>
    <t>Holcombe, Gene</t>
  </si>
  <si>
    <t>Foti, Danielle</t>
  </si>
  <si>
    <t>Grimwood, Jaime</t>
  </si>
  <si>
    <t>Terranova, Joseph</t>
  </si>
  <si>
    <t>VanCleave, Magi</t>
  </si>
  <si>
    <t>Margolis, Bruce</t>
  </si>
  <si>
    <t>Davenport, Preston</t>
  </si>
  <si>
    <t>Cantore, Xiomara</t>
  </si>
  <si>
    <t>Ponce, Joi</t>
  </si>
  <si>
    <t>Sellers, Jennifer</t>
  </si>
  <si>
    <t>Dershowitz, Mark</t>
  </si>
  <si>
    <t>Anand, Anupama</t>
  </si>
  <si>
    <t xml:space="preserve">Thomas, Cheri </t>
  </si>
  <si>
    <t>Buttler, Carol and Alan</t>
  </si>
  <si>
    <t>Palomera, Stephanie</t>
  </si>
  <si>
    <t>Jones, Charlene</t>
  </si>
  <si>
    <t>Barbosa, Beatriz</t>
  </si>
  <si>
    <t xml:space="preserve">Eriksen, Maria </t>
  </si>
  <si>
    <t>Gomez, Marisela</t>
  </si>
  <si>
    <t>Ulin, Maxwell</t>
  </si>
  <si>
    <t>Marrapodi, Anthony</t>
  </si>
  <si>
    <t xml:space="preserve">Hotham, Sharon </t>
  </si>
  <si>
    <t>Sanders, Marissa</t>
  </si>
  <si>
    <t>Tucker, Lisa</t>
  </si>
  <si>
    <t>Shaffer, William</t>
  </si>
  <si>
    <t>Foushee, Rachael</t>
  </si>
  <si>
    <t>Young, Monica</t>
  </si>
  <si>
    <t>Harmonson, Debbie</t>
  </si>
  <si>
    <t>Diaz, Bethany</t>
  </si>
  <si>
    <t>Mancuso, Jared</t>
  </si>
  <si>
    <t>Peterson, Nathan</t>
  </si>
  <si>
    <t>Green, Vanessa</t>
  </si>
  <si>
    <t>Courtney, Paul</t>
  </si>
  <si>
    <t>Marquez, Vanessa</t>
  </si>
  <si>
    <t>Berger, Madison</t>
  </si>
  <si>
    <t>Kocho, Eileen</t>
  </si>
  <si>
    <t>Gewargis, Youshia</t>
  </si>
  <si>
    <t>Lewis, Rebecca</t>
  </si>
  <si>
    <t>Seifert, Lyn</t>
  </si>
  <si>
    <t>Rueda, Cristiana</t>
  </si>
  <si>
    <t>Lundin, Jennifer</t>
  </si>
  <si>
    <t>Zegarac, Mara</t>
  </si>
  <si>
    <t>Neal, Linda</t>
  </si>
  <si>
    <t>Duffy, Scott</t>
  </si>
  <si>
    <t>Barraza, Andrew</t>
  </si>
  <si>
    <t>Crawley, Nancy</t>
  </si>
  <si>
    <t>Ewing, Christopher</t>
  </si>
  <si>
    <t>Daniels, Jesse</t>
  </si>
  <si>
    <t>Smith, Roberta</t>
  </si>
  <si>
    <t>Keithly, Cheryl</t>
  </si>
  <si>
    <t>Spear, James</t>
  </si>
  <si>
    <t>Bollinger, Michael</t>
  </si>
  <si>
    <t>Hudson, Mara</t>
  </si>
  <si>
    <t>Murad, Jamie</t>
  </si>
  <si>
    <t>Wahlert, Joyce</t>
  </si>
  <si>
    <t>Dunne, James</t>
  </si>
  <si>
    <t>Smith, Harlene</t>
  </si>
  <si>
    <t>Koukal, Autumn</t>
  </si>
  <si>
    <t>Kane, Michele</t>
  </si>
  <si>
    <t>Richardson, Danielle</t>
  </si>
  <si>
    <t>Lawhead, Jon</t>
  </si>
  <si>
    <t>Wade, George</t>
  </si>
  <si>
    <t>Bell, Esther</t>
  </si>
  <si>
    <t>Corrales, Brenda</t>
  </si>
  <si>
    <t>Gier, Sandye</t>
  </si>
  <si>
    <t>Luchini, Jessica</t>
  </si>
  <si>
    <t>Gorski, Keith</t>
  </si>
  <si>
    <t>Morrison, Nancy</t>
  </si>
  <si>
    <t>Valladares, Diana</t>
  </si>
  <si>
    <t>Sherman, Jennifer</t>
  </si>
  <si>
    <t>Pine, Bob</t>
  </si>
  <si>
    <t>Diaz, Sue</t>
  </si>
  <si>
    <t>Moreno, Michael</t>
  </si>
  <si>
    <t>Ceballos, Ruben</t>
  </si>
  <si>
    <t>Morgan, Fred</t>
  </si>
  <si>
    <t>Morgan, Linda</t>
  </si>
  <si>
    <t>Fero, David</t>
  </si>
  <si>
    <t>Chuppa, Kimberly</t>
  </si>
  <si>
    <t>Finch, Jessie K</t>
  </si>
  <si>
    <t>Sturnacle, Arwin</t>
  </si>
  <si>
    <t>Scott, Jim</t>
  </si>
  <si>
    <t>Findley, Moses</t>
  </si>
  <si>
    <t>Frazier, Brandon</t>
  </si>
  <si>
    <t>Petersen, Ashley</t>
  </si>
  <si>
    <t>Hupka, Tanner</t>
  </si>
  <si>
    <t>Gregersen, Kyle</t>
  </si>
  <si>
    <t>Hileman, Elizabeth</t>
  </si>
  <si>
    <t>Taylor, Pamela</t>
  </si>
  <si>
    <t>Richey, Sean</t>
  </si>
  <si>
    <t>Syring, Lani</t>
  </si>
  <si>
    <t>Scott, Fatima</t>
  </si>
  <si>
    <t xml:space="preserve">Herrin, Dani </t>
  </si>
  <si>
    <t>Jaeger, Paul</t>
  </si>
  <si>
    <t>Martinez, Evelin</t>
  </si>
  <si>
    <t>Carroll, Cecilia</t>
  </si>
  <si>
    <t>Bernhardt, Lisa</t>
  </si>
  <si>
    <t>Coschigano, Danielle</t>
  </si>
  <si>
    <t>Hendricks, Thomas</t>
  </si>
  <si>
    <t>Rodriguez, Eli</t>
  </si>
  <si>
    <t>Dagerman, Justin</t>
  </si>
  <si>
    <t>Phay, Brittney</t>
  </si>
  <si>
    <t>Peralta, Christopher</t>
  </si>
  <si>
    <t>Rooen, Cheyenne</t>
  </si>
  <si>
    <t>Valdivia, Veronica</t>
  </si>
  <si>
    <t>Ross, Shelreece</t>
  </si>
  <si>
    <t>Gerblick, Alison</t>
  </si>
  <si>
    <t>Lynch, Blake</t>
  </si>
  <si>
    <t>Arbizu, Angelina</t>
  </si>
  <si>
    <t>Toro, Petty</t>
  </si>
  <si>
    <t>Ortiz, Noel</t>
  </si>
  <si>
    <t>Thome, Cari</t>
  </si>
  <si>
    <t>Boyd, Magan</t>
  </si>
  <si>
    <t>Jeronimo, Esmeralda</t>
  </si>
  <si>
    <t>Walberg, Paige</t>
  </si>
  <si>
    <t>Clark, Marsha</t>
  </si>
  <si>
    <t>Burkhart, Karen</t>
  </si>
  <si>
    <t>Aho, Tammy</t>
  </si>
  <si>
    <t>Cortez, Benjamin</t>
  </si>
  <si>
    <t>Bingham, David</t>
  </si>
  <si>
    <t>Cordova, Yolanda</t>
  </si>
  <si>
    <t>Hopper, Trudy</t>
  </si>
  <si>
    <t>Romero, Theadora</t>
  </si>
  <si>
    <t>McAnney, Joseph</t>
  </si>
  <si>
    <t>Corlew, Rebecca</t>
  </si>
  <si>
    <t>Kleiner, Jay</t>
  </si>
  <si>
    <t>Cassidy, James</t>
  </si>
  <si>
    <t>Hatfield, Thomas</t>
  </si>
  <si>
    <t>Zazzi, Kimberly</t>
  </si>
  <si>
    <t>Stewart, Heather</t>
  </si>
  <si>
    <t>Denning, Charlene (Mark)</t>
  </si>
  <si>
    <t>Larson, Antoinette</t>
  </si>
  <si>
    <t>Holmes, Andrea</t>
  </si>
  <si>
    <t>Nuccio, Tina</t>
  </si>
  <si>
    <t>Henkel, Dean</t>
  </si>
  <si>
    <t>Witte, Jessica</t>
  </si>
  <si>
    <t>Wheatley, Heather</t>
  </si>
  <si>
    <t>Millbranth, Mark</t>
  </si>
  <si>
    <t>Delgado, Amber</t>
  </si>
  <si>
    <t>Merlino, Teri</t>
  </si>
  <si>
    <t>van Dalen, Danielle</t>
  </si>
  <si>
    <t>Porter, Kristal</t>
  </si>
  <si>
    <t>McGibbon, Charles</t>
  </si>
  <si>
    <t>Sanchez, Isabella</t>
  </si>
  <si>
    <t>Underwood, Revis</t>
  </si>
  <si>
    <t>Hacker, Dennis</t>
  </si>
  <si>
    <t>Sternberg, Karen</t>
  </si>
  <si>
    <t>Lovato, Tiffany</t>
  </si>
  <si>
    <t>Read, David</t>
  </si>
  <si>
    <t>Huynh, Nam</t>
  </si>
  <si>
    <t>Wood, Ethan</t>
  </si>
  <si>
    <t>Keller, John</t>
  </si>
  <si>
    <t>Vint, Shannon</t>
  </si>
  <si>
    <t>Lafond, Ciara</t>
  </si>
  <si>
    <t>Tighe, Paul</t>
  </si>
  <si>
    <t>Ward, Karen</t>
  </si>
  <si>
    <t>Nash, Destiny</t>
  </si>
  <si>
    <t>Wilkymacky, Abby</t>
  </si>
  <si>
    <t>Crosbie, David</t>
  </si>
  <si>
    <t>Schmidt, Bryan</t>
  </si>
  <si>
    <t>Bernardi, Patrick</t>
  </si>
  <si>
    <t>Mangerie, Chelsea</t>
  </si>
  <si>
    <t>Strauss, John</t>
  </si>
  <si>
    <t>Bauman, Raymie</t>
  </si>
  <si>
    <t>Bradley, Steven</t>
  </si>
  <si>
    <t>Hale, Catherine</t>
  </si>
  <si>
    <t>Lindsey, Alexander</t>
  </si>
  <si>
    <t>Koduri, Divya</t>
  </si>
  <si>
    <t>Bauman, Cody</t>
  </si>
  <si>
    <t>Lyngaas, Owen</t>
  </si>
  <si>
    <t>Peluso, Colin</t>
  </si>
  <si>
    <t>Scaminaci, Todd</t>
  </si>
  <si>
    <t>Bailey, Isaiah</t>
  </si>
  <si>
    <t>Nadolski, Andrew</t>
  </si>
  <si>
    <t xml:space="preserve">Vargo, Daniel </t>
  </si>
  <si>
    <t>Nicosia, Marcella</t>
  </si>
  <si>
    <t>Assaraf, Sandy</t>
  </si>
  <si>
    <t>Esho, Jacob</t>
  </si>
  <si>
    <t>Shuck, Ken</t>
  </si>
  <si>
    <t>Hampton, Destiny</t>
  </si>
  <si>
    <t>Soledad, Ramon</t>
  </si>
  <si>
    <t>Simpson, Adam</t>
  </si>
  <si>
    <t>Marr, Michaela</t>
  </si>
  <si>
    <t>Hatch, Geoffrey</t>
  </si>
  <si>
    <t>Sutton, Terry</t>
  </si>
  <si>
    <t>Klein, Christian</t>
  </si>
  <si>
    <t>Becker, Nicholas</t>
  </si>
  <si>
    <t>Shoop, Jordan</t>
  </si>
  <si>
    <t>Kovar, Paul</t>
  </si>
  <si>
    <t>Lamb, Sarah</t>
  </si>
  <si>
    <t>Munuswamy, Dinesh</t>
  </si>
  <si>
    <t>Kelly, Wilson</t>
  </si>
  <si>
    <t>Sahoo, Prakash</t>
  </si>
  <si>
    <t>Pela, Allison</t>
  </si>
  <si>
    <t>Elliston, Juanita</t>
  </si>
  <si>
    <t>Kroytoro, Eli</t>
  </si>
  <si>
    <t>McCallum, Robert</t>
  </si>
  <si>
    <t>Weaver, Jordan</t>
  </si>
  <si>
    <t>Ramakrishnan, Shyam Sundar</t>
  </si>
  <si>
    <t>Vandiver, Kaneshea</t>
  </si>
  <si>
    <t>Fajardo, Adam</t>
  </si>
  <si>
    <t>Purohit, Amit Kumar</t>
  </si>
  <si>
    <t>Theis, Madison</t>
  </si>
  <si>
    <t>Deep, Varun</t>
  </si>
  <si>
    <t>Skidmore, Marie</t>
  </si>
  <si>
    <t>Floyd, Casey</t>
  </si>
  <si>
    <t>Vogt, Gary</t>
  </si>
  <si>
    <t>Heck, Traci</t>
  </si>
  <si>
    <t>Dhamotharan, Madhavan</t>
  </si>
  <si>
    <t xml:space="preserve">Johnson, Ty </t>
  </si>
  <si>
    <t>Willett, Wayne</t>
  </si>
  <si>
    <t>Schwartz, Alan</t>
  </si>
  <si>
    <t>Nance, Stacy</t>
  </si>
  <si>
    <t>Beatty, Austin</t>
  </si>
  <si>
    <t>Embrey, Robert</t>
  </si>
  <si>
    <t>Oakley, Abraham</t>
  </si>
  <si>
    <t>Grow, Scott</t>
  </si>
  <si>
    <t>Satawa, Austin</t>
  </si>
  <si>
    <t>Messner, Matthew</t>
  </si>
  <si>
    <t>Wasylenko, Emily</t>
  </si>
  <si>
    <t>Pernatozzi, Lauren</t>
  </si>
  <si>
    <t>Hansen, Jennifer</t>
  </si>
  <si>
    <t>Salameh, Samira</t>
  </si>
  <si>
    <t>Benchwick, Paul</t>
  </si>
  <si>
    <t>Amoroso, Terri</t>
  </si>
  <si>
    <t>Hozian, Cathy</t>
  </si>
  <si>
    <t>Hendrickson, Ria</t>
  </si>
  <si>
    <t>Meraz, Victor</t>
  </si>
  <si>
    <t>Garrick, Jacqueline</t>
  </si>
  <si>
    <t>Zuniga, Dante</t>
  </si>
  <si>
    <t>Sutinen, Valerie</t>
  </si>
  <si>
    <t>Corona, Anthony</t>
  </si>
  <si>
    <t>Bahoura, Jayne</t>
  </si>
  <si>
    <t>Porchia, Dominic</t>
  </si>
  <si>
    <t>Vivekananthan, Amarnath</t>
  </si>
  <si>
    <t>Nelson, Amy</t>
  </si>
  <si>
    <t>Trudell, Stephanie</t>
  </si>
  <si>
    <t>Brahmecha, Swapnil</t>
  </si>
  <si>
    <t>Osorio, Juan E &amp; Helen</t>
  </si>
  <si>
    <t>Townsend, Shawna</t>
  </si>
  <si>
    <t xml:space="preserve">Darfus, Doug </t>
  </si>
  <si>
    <t>Whitney, Douglas</t>
  </si>
  <si>
    <t>Haslett, Bryan</t>
  </si>
  <si>
    <t>Cagle, Christine</t>
  </si>
  <si>
    <t>Duell, Brad</t>
  </si>
  <si>
    <t>Roberts, Aria</t>
  </si>
  <si>
    <t>Schuit, Cathy</t>
  </si>
  <si>
    <t>Zinn, Robert</t>
  </si>
  <si>
    <t>Wolfe, Phillip</t>
  </si>
  <si>
    <t>Ravikumar, Sangeetha</t>
  </si>
  <si>
    <t>Penny, Leigh</t>
  </si>
  <si>
    <t>Koripella, Ravi</t>
  </si>
  <si>
    <t>Rajan, Kiran</t>
  </si>
  <si>
    <t>Vanos, Kimberly</t>
  </si>
  <si>
    <t>Yadav, Ashish</t>
  </si>
  <si>
    <t>Chinta, Bhavanishankar</t>
  </si>
  <si>
    <t>Paul, Justin</t>
  </si>
  <si>
    <t>Fugiel, Kirsten</t>
  </si>
  <si>
    <t>Brower, Randall</t>
  </si>
  <si>
    <t>Willems, Dale</t>
  </si>
  <si>
    <t>Anna, Pradeep</t>
  </si>
  <si>
    <t>Rivarde, Renee</t>
  </si>
  <si>
    <t>Boersma, Patti</t>
  </si>
  <si>
    <t>Pandit, Najaraj</t>
  </si>
  <si>
    <t>Mallory, Evan</t>
  </si>
  <si>
    <t>Mahato, Partha</t>
  </si>
  <si>
    <t>Klug, Cameron</t>
  </si>
  <si>
    <t>Bedadala, Harinatha</t>
  </si>
  <si>
    <t>Lukson, Fred &amp; Carolyn</t>
  </si>
  <si>
    <t>Williams, Nichole</t>
  </si>
  <si>
    <t>Malladi, Ravindranath</t>
  </si>
  <si>
    <t>DeFilippo, Michele</t>
  </si>
  <si>
    <t>Pederson, Halie</t>
  </si>
  <si>
    <t>Gram, Ken</t>
  </si>
  <si>
    <t>Liddell, Lianne</t>
  </si>
  <si>
    <t>Rees, Evan</t>
  </si>
  <si>
    <t>Vestal, Allen</t>
  </si>
  <si>
    <t>Coble, Kevin</t>
  </si>
  <si>
    <t>McLeod, Lee</t>
  </si>
  <si>
    <t>Carpenter, Bonny</t>
  </si>
  <si>
    <t>Glanzer, Addison</t>
  </si>
  <si>
    <t>Stecker, Stacey</t>
  </si>
  <si>
    <t>Wallace, Joshua</t>
  </si>
  <si>
    <t>Short, Gregory</t>
  </si>
  <si>
    <t>Flam, Sara</t>
  </si>
  <si>
    <t>Kwon, Grace</t>
  </si>
  <si>
    <t>Hernandez, Cathy</t>
  </si>
  <si>
    <t>Pierce, Coleen</t>
  </si>
  <si>
    <t>Roe, Sandy</t>
  </si>
  <si>
    <t>Esman, Dava</t>
  </si>
  <si>
    <t>He , Luke</t>
  </si>
  <si>
    <t>Duensing, Alan</t>
  </si>
  <si>
    <t>Day, Ravyn</t>
  </si>
  <si>
    <t>Petersen, Larry</t>
  </si>
  <si>
    <t>Mahony, Monica</t>
  </si>
  <si>
    <t>Briney, Dave</t>
  </si>
  <si>
    <t>Nabity, Mariah</t>
  </si>
  <si>
    <t>Lund, Jason</t>
  </si>
  <si>
    <t>Scheigert, Rebecca</t>
  </si>
  <si>
    <t>Scheele, Samuel</t>
  </si>
  <si>
    <t>Geiger, William</t>
  </si>
  <si>
    <t>Singh , Soni</t>
  </si>
  <si>
    <t>Pratik, Rahul</t>
  </si>
  <si>
    <t>Bodempudi, Vinod</t>
  </si>
  <si>
    <t>Nelson, Corianne</t>
  </si>
  <si>
    <t>Van Marter, Charles</t>
  </si>
  <si>
    <t>Gulotta, Nicholas</t>
  </si>
  <si>
    <t>Caballero Sosa, Gabriel</t>
  </si>
  <si>
    <t>Harrison, Chelsie</t>
  </si>
  <si>
    <t>Bartley, Leslie</t>
  </si>
  <si>
    <t>Lawson, Candace</t>
  </si>
  <si>
    <t>Quain-Kollar, Scott</t>
  </si>
  <si>
    <t>Carson, Loren</t>
  </si>
  <si>
    <t>Hanel, Beverly</t>
  </si>
  <si>
    <t>Hermida, Anne</t>
  </si>
  <si>
    <t>Schmidt, Rebecca</t>
  </si>
  <si>
    <t>Campbell, Corey</t>
  </si>
  <si>
    <t>Scallorns, Melodie</t>
  </si>
  <si>
    <t>Hoffa, Geoffery</t>
  </si>
  <si>
    <t>McAdams, Levi</t>
  </si>
  <si>
    <t>Court, Jonathan</t>
  </si>
  <si>
    <t>Stroup, Karen</t>
  </si>
  <si>
    <t>Fortson, Steven</t>
  </si>
  <si>
    <t>Walker, Clint</t>
  </si>
  <si>
    <t>Glass, Louis</t>
  </si>
  <si>
    <t>Beltz, Sherri</t>
  </si>
  <si>
    <t>Sies, Dale</t>
  </si>
  <si>
    <t>Phillips, Nicole</t>
  </si>
  <si>
    <t>Pennington, Maurice</t>
  </si>
  <si>
    <t>Devarapu, Kondal</t>
  </si>
  <si>
    <t>Spicola, Jason</t>
  </si>
  <si>
    <t>Maheshwari, Vishal</t>
  </si>
  <si>
    <t>Chaffin, Dustin</t>
  </si>
  <si>
    <t>Feldman, Zack</t>
  </si>
  <si>
    <t>Hanshew, Eric</t>
  </si>
  <si>
    <t>German, Alexander</t>
  </si>
  <si>
    <t>Reynolds, James</t>
  </si>
  <si>
    <t>Gorman, Joshua</t>
  </si>
  <si>
    <t>Chambers, Timothy</t>
  </si>
  <si>
    <t>Daniels, Shannon</t>
  </si>
  <si>
    <t>Michels, Aleshia</t>
  </si>
  <si>
    <t xml:space="preserve">Albers, Ann </t>
  </si>
  <si>
    <t>Li, Duo</t>
  </si>
  <si>
    <t>Pereluka, Vasyl</t>
  </si>
  <si>
    <t>Wagner, Ryan</t>
  </si>
  <si>
    <t>Long, Dana</t>
  </si>
  <si>
    <t>Duncan, Nicholas</t>
  </si>
  <si>
    <t>Wood, Joshua</t>
  </si>
  <si>
    <t>Kaples, Kameron</t>
  </si>
  <si>
    <t>Keehn, Aaron</t>
  </si>
  <si>
    <t>Phillips, Ruth</t>
  </si>
  <si>
    <t>Willits, Mark</t>
  </si>
  <si>
    <t>Grassi, Benjamin</t>
  </si>
  <si>
    <t>Leslie, Steven</t>
  </si>
  <si>
    <t>Bandy, Justin</t>
  </si>
  <si>
    <t>James, Jerome</t>
  </si>
  <si>
    <t>Mongini, Joey</t>
  </si>
  <si>
    <t>Frey, Gabriel</t>
  </si>
  <si>
    <t>Siegel, Austin</t>
  </si>
  <si>
    <t>Singh , Harjeet</t>
  </si>
  <si>
    <t>Mesch, Ryan</t>
  </si>
  <si>
    <t>Quine, Andrew</t>
  </si>
  <si>
    <t>Bowen, Sunsarae</t>
  </si>
  <si>
    <t>Irwin, William</t>
  </si>
  <si>
    <t>DeMelo, Marc</t>
  </si>
  <si>
    <t>Sidebottom, Ryan</t>
  </si>
  <si>
    <t>McKinney, Joshua</t>
  </si>
  <si>
    <t>Vontran, Brady</t>
  </si>
  <si>
    <t>Ingraham, Corey</t>
  </si>
  <si>
    <t>Greenfield, Ronald</t>
  </si>
  <si>
    <t>Duclos, Bryan</t>
  </si>
  <si>
    <t>Guerin, Patrick</t>
  </si>
  <si>
    <t>Bello, Jose</t>
  </si>
  <si>
    <t>Fransen, Eric</t>
  </si>
  <si>
    <t>Alba, Ellen</t>
  </si>
  <si>
    <t>Willer, Jeffrey</t>
  </si>
  <si>
    <t>Johnson, Colin</t>
  </si>
  <si>
    <t>Rothen, James</t>
  </si>
  <si>
    <t>Ling, Aaron</t>
  </si>
  <si>
    <t>Noel, Brian</t>
  </si>
  <si>
    <t>Mroczek, Rayanne</t>
  </si>
  <si>
    <t>Hull, Jason</t>
  </si>
  <si>
    <t>Fajardo, James</t>
  </si>
  <si>
    <t>Zamenick, Joseph</t>
  </si>
  <si>
    <t>Good, Travis</t>
  </si>
  <si>
    <t>McKeever, Michael</t>
  </si>
  <si>
    <t>Vega, Macario</t>
  </si>
  <si>
    <t>Talamantez, Jonathan</t>
  </si>
  <si>
    <t>Feehery, Lorraine</t>
  </si>
  <si>
    <t>Penaloza, Reyna</t>
  </si>
  <si>
    <t>Parrish, Rose</t>
  </si>
  <si>
    <t>Kovacs , Ronald</t>
  </si>
  <si>
    <t>Borror, Nicholas</t>
  </si>
  <si>
    <t>Ferguson, Ken</t>
  </si>
  <si>
    <t>Cobb, Ian</t>
  </si>
  <si>
    <t>Pray, Lisa</t>
  </si>
  <si>
    <t>Scheid , Dennis</t>
  </si>
  <si>
    <t>Burt, Gary</t>
  </si>
  <si>
    <t>Toma, Ramiz</t>
  </si>
  <si>
    <t>Misner, Alexander</t>
  </si>
  <si>
    <t>Gilliland, Clark</t>
  </si>
  <si>
    <t>Franovich, Chris</t>
  </si>
  <si>
    <t>Rosenberger, Melissa</t>
  </si>
  <si>
    <t>Mora, Richard</t>
  </si>
  <si>
    <t>Altiveros, Armand</t>
  </si>
  <si>
    <t>Roman, Kim</t>
  </si>
  <si>
    <t>Hooker, Michael</t>
  </si>
  <si>
    <t>Bihms, Sarah</t>
  </si>
  <si>
    <t>Hayter, Dean</t>
  </si>
  <si>
    <t>Rhodes, Jacob</t>
  </si>
  <si>
    <t>Coltom, Janene</t>
  </si>
  <si>
    <t>Hardee, Michael</t>
  </si>
  <si>
    <t>Starr, Brian</t>
  </si>
  <si>
    <t>Lanchbury, Hunter</t>
  </si>
  <si>
    <t>Lopez, Ivan</t>
  </si>
  <si>
    <t>Young, Troy</t>
  </si>
  <si>
    <t>Clements, Matthew</t>
  </si>
  <si>
    <t>Paynter, DJ</t>
  </si>
  <si>
    <t>Kachur, Marina</t>
  </si>
  <si>
    <t>Gallagher, Tina</t>
  </si>
  <si>
    <t>Juneau, Paul</t>
  </si>
  <si>
    <t>Landau, Leslie</t>
  </si>
  <si>
    <t>Mandala, Stephanie</t>
  </si>
  <si>
    <t>Alexander, Steven</t>
  </si>
  <si>
    <t>Orillie, Megan</t>
  </si>
  <si>
    <t>Gunderson, Adam</t>
  </si>
  <si>
    <t>McPherson, Amy</t>
  </si>
  <si>
    <t>Neville, John</t>
  </si>
  <si>
    <t>Cafagna, Caryn</t>
  </si>
  <si>
    <t>Weiner, Christian</t>
  </si>
  <si>
    <t>Verdi, Richard</t>
  </si>
  <si>
    <t>Duckworth, Loyiel</t>
  </si>
  <si>
    <t>Prakriya, Veena</t>
  </si>
  <si>
    <t>Funk, Cecilia</t>
  </si>
  <si>
    <t>Fehr, David</t>
  </si>
  <si>
    <t>Hepner, Sean</t>
  </si>
  <si>
    <t>Hart, Kyle</t>
  </si>
  <si>
    <t>Tucker, Caitlin</t>
  </si>
  <si>
    <t>Jimenez, David</t>
  </si>
  <si>
    <t>Bauer, Heather</t>
  </si>
  <si>
    <t>Willer , Matthew</t>
  </si>
  <si>
    <t>Johnston, Madeline</t>
  </si>
  <si>
    <t>Valeev, Margaret</t>
  </si>
  <si>
    <t>Hareza, Darla</t>
  </si>
  <si>
    <t>Downey, Aaron</t>
  </si>
  <si>
    <t xml:space="preserve">Handelman, Jeff </t>
  </si>
  <si>
    <t>Palaniraj, Selvakumar</t>
  </si>
  <si>
    <t>Becus, Lucie</t>
  </si>
  <si>
    <t>Zausmer, Julie</t>
  </si>
  <si>
    <t>Terry, Jessica</t>
  </si>
  <si>
    <t>Taft, Konrad</t>
  </si>
  <si>
    <t>Reddy, Rohit</t>
  </si>
  <si>
    <t>Stout, Claire</t>
  </si>
  <si>
    <t>Lenick, Andrew</t>
  </si>
  <si>
    <t>Campbell, Derek</t>
  </si>
  <si>
    <t>Reynolds, Jackson</t>
  </si>
  <si>
    <t xml:space="preserve">DeBay, Jan </t>
  </si>
  <si>
    <t>Traverso, Luca</t>
  </si>
  <si>
    <t>Reed, Ralph</t>
  </si>
  <si>
    <t>Stumpf, Yvette</t>
  </si>
  <si>
    <t>Funke, Carrie</t>
  </si>
  <si>
    <t>Kriechbaum, Sherry</t>
  </si>
  <si>
    <t>Boardman, Julia</t>
  </si>
  <si>
    <t>Dara, Krishna</t>
  </si>
  <si>
    <t>Johnson, Gregory</t>
  </si>
  <si>
    <t>Sanders, Kaelyn</t>
  </si>
  <si>
    <t>Kalikar, Vinayak</t>
  </si>
  <si>
    <t>Hudgins, Eldeen</t>
  </si>
  <si>
    <t>Burkes, Justin</t>
  </si>
  <si>
    <t>Nelson, Hollie</t>
  </si>
  <si>
    <t>Hill, Ashley</t>
  </si>
  <si>
    <t>Stolarski, Larry</t>
  </si>
  <si>
    <t>Ryan, Catie</t>
  </si>
  <si>
    <t>Dunn, Debbie</t>
  </si>
  <si>
    <t>Stumpf, Michael</t>
  </si>
  <si>
    <t>Kobus, Mark</t>
  </si>
  <si>
    <t>Emery, Jennifer</t>
  </si>
  <si>
    <t>Sosnicki, Theodore</t>
  </si>
  <si>
    <t>Wyatt, Kristin</t>
  </si>
  <si>
    <t>Decker, Courtland</t>
  </si>
  <si>
    <t>Boisvert, Devin</t>
  </si>
  <si>
    <t>Grondin, Sarah &amp; Micah</t>
  </si>
  <si>
    <t>Lander, Terri</t>
  </si>
  <si>
    <t>Bezanson, Lisa</t>
  </si>
  <si>
    <t>Luke, Katsura</t>
  </si>
  <si>
    <t>Boos, Al</t>
  </si>
  <si>
    <t>Farnsworth, Cynthia</t>
  </si>
  <si>
    <t>Thomas, Carol</t>
  </si>
  <si>
    <t>Shaver, Andrew</t>
  </si>
  <si>
    <t>Colon, Justin</t>
  </si>
  <si>
    <t>Brumund, Randy</t>
  </si>
  <si>
    <t>Shah, Raju</t>
  </si>
  <si>
    <t>Pircaro, Mark</t>
  </si>
  <si>
    <t>Ray, Ingeborg</t>
  </si>
  <si>
    <t>Frederick, Kyle</t>
  </si>
  <si>
    <t>Craycroft, Paul</t>
  </si>
  <si>
    <t xml:space="preserve">Starr, Chris </t>
  </si>
  <si>
    <t>Lassner, Aaron</t>
  </si>
  <si>
    <t>Mohajerin, Saeed</t>
  </si>
  <si>
    <t>Thompson, Shirley</t>
  </si>
  <si>
    <t>Redman, Melissa</t>
  </si>
  <si>
    <t>Salt , Kevin</t>
  </si>
  <si>
    <t>Harms, Steven</t>
  </si>
  <si>
    <t>Dukart, David</t>
  </si>
  <si>
    <t>Andrews, David</t>
  </si>
  <si>
    <t>Harris, Anthony</t>
  </si>
  <si>
    <t>Mercado-Tarango, Brenda</t>
  </si>
  <si>
    <t>Sylvester, Zachery</t>
  </si>
  <si>
    <t>Callingham, Richard</t>
  </si>
  <si>
    <t>Quinet, Alexander</t>
  </si>
  <si>
    <t>Bramble, James</t>
  </si>
  <si>
    <t>Craig, Frank</t>
  </si>
  <si>
    <t>Fein, Karen</t>
  </si>
  <si>
    <t>Hernandez, David</t>
  </si>
  <si>
    <t>Gregg, Daniel</t>
  </si>
  <si>
    <t>Mensinger, Matt</t>
  </si>
  <si>
    <t>Houck, Christopher</t>
  </si>
  <si>
    <t>Lewis, Steven</t>
  </si>
  <si>
    <t>Hulsey, Joseph</t>
  </si>
  <si>
    <t>Munson, Julie</t>
  </si>
  <si>
    <t>Craft, Madeline</t>
  </si>
  <si>
    <t>Siers, Wade</t>
  </si>
  <si>
    <t>Boerner, Rhonda</t>
  </si>
  <si>
    <t>Zamudio, Alejandro</t>
  </si>
  <si>
    <t>Ducar, Christopher</t>
  </si>
  <si>
    <t>Sharley, Rachel</t>
  </si>
  <si>
    <t>Post, Carol</t>
  </si>
  <si>
    <t>Sawyer, Gregg</t>
  </si>
  <si>
    <t>Swett, Paige</t>
  </si>
  <si>
    <t>Mathews , Dajiah</t>
  </si>
  <si>
    <t>Norquist, Laura</t>
  </si>
  <si>
    <t>Hamilton, David</t>
  </si>
  <si>
    <t>Brown, Ilya</t>
  </si>
  <si>
    <t>Bourdieu, Krystal</t>
  </si>
  <si>
    <t>Ruddy, Cayla</t>
  </si>
  <si>
    <t>Toback, Vicki</t>
  </si>
  <si>
    <t>Vollmer, Jacob</t>
  </si>
  <si>
    <t>Schiff, Adam</t>
  </si>
  <si>
    <t>Knaeble, Richard</t>
  </si>
  <si>
    <t>Valerio, Veronica R.</t>
  </si>
  <si>
    <t>Eggert, Kimberly</t>
  </si>
  <si>
    <t>Bottlinger, Janelle</t>
  </si>
  <si>
    <t>Gibson, Pamela</t>
  </si>
  <si>
    <t>Owsley, Dawn</t>
  </si>
  <si>
    <t>Castano, Kevin</t>
  </si>
  <si>
    <t>McCloskey, Christine</t>
  </si>
  <si>
    <t>Barley, Kaitlynne</t>
  </si>
  <si>
    <t>Barbarite, Katherine</t>
  </si>
  <si>
    <t>Haynes, Michelle</t>
  </si>
  <si>
    <t>Mccann, Haley</t>
  </si>
  <si>
    <t>Dueringer, Helen</t>
  </si>
  <si>
    <t>Mckinney, Karen</t>
  </si>
  <si>
    <t>Brown, Valerie</t>
  </si>
  <si>
    <t>Fenton, John</t>
  </si>
  <si>
    <t>Apostolides, Steven</t>
  </si>
  <si>
    <t>Wheeler, Brandon</t>
  </si>
  <si>
    <t>Gonzales, Gregory</t>
  </si>
  <si>
    <t>Hage, Nikki</t>
  </si>
  <si>
    <t>Trethewey, Peter</t>
  </si>
  <si>
    <t>Barnes, Jessica</t>
  </si>
  <si>
    <t>Kozerski, Alaxandra</t>
  </si>
  <si>
    <t>Hellring, Bruce</t>
  </si>
  <si>
    <t>Moffat, Jennifer</t>
  </si>
  <si>
    <t>Faulkner, Stephen</t>
  </si>
  <si>
    <t>Whitmore, Donna</t>
  </si>
  <si>
    <t>Pavlov, David&amp;Tiffany</t>
  </si>
  <si>
    <t>Yoon, Eunice</t>
  </si>
  <si>
    <t>Vallabhaneni, Kamala</t>
  </si>
  <si>
    <t>Rogers, Arthur</t>
  </si>
  <si>
    <t>Rademacher, Judy</t>
  </si>
  <si>
    <t>Spencer, Delaney</t>
  </si>
  <si>
    <t>Eason, Ashley</t>
  </si>
  <si>
    <t>Hall, Steven</t>
  </si>
  <si>
    <t>Quinte, Roger</t>
  </si>
  <si>
    <t>Ratner, Sherry</t>
  </si>
  <si>
    <t>Ogledzinski, Debra</t>
  </si>
  <si>
    <t>Hartley, Collene</t>
  </si>
  <si>
    <t>Warnecke, Kristi</t>
  </si>
  <si>
    <t>Pollock, James</t>
  </si>
  <si>
    <t>Miller, Shem</t>
  </si>
  <si>
    <t>Yarber, Catherine</t>
  </si>
  <si>
    <t>Robnett, Dawn</t>
  </si>
  <si>
    <t>Settje, Scott</t>
  </si>
  <si>
    <t>Cunningham, Terrie</t>
  </si>
  <si>
    <t>Hughes, Brent</t>
  </si>
  <si>
    <t>Smith, Barbara</t>
  </si>
  <si>
    <t>Flores, Ariana</t>
  </si>
  <si>
    <t>Wittie, Steve</t>
  </si>
  <si>
    <t>Lagerquist, Adam</t>
  </si>
  <si>
    <t>Rudy, Robert</t>
  </si>
  <si>
    <t>Koval, Jane</t>
  </si>
  <si>
    <t>Hagen, Nicholas</t>
  </si>
  <si>
    <t>Dayton, Michael</t>
  </si>
  <si>
    <t>Lawson, Kourtney</t>
  </si>
  <si>
    <t>Gaietto, Vince</t>
  </si>
  <si>
    <t>Marino, Susie</t>
  </si>
  <si>
    <t>Hughes, Kristen</t>
  </si>
  <si>
    <t>Jaffe, Russell</t>
  </si>
  <si>
    <t>Allen, Katie</t>
  </si>
  <si>
    <t>Anderson, Felicia</t>
  </si>
  <si>
    <t>Johnson, Madison</t>
  </si>
  <si>
    <t>Medina, Alexandria</t>
  </si>
  <si>
    <t>Fisher, Nathan</t>
  </si>
  <si>
    <t>Sundell, Michael</t>
  </si>
  <si>
    <t>Stines, Carol</t>
  </si>
  <si>
    <t>Thompson, Greg</t>
  </si>
  <si>
    <t>Nacinovich, Richard</t>
  </si>
  <si>
    <t>Drobnica, John</t>
  </si>
  <si>
    <t>Susser, Norm</t>
  </si>
  <si>
    <t>Arnold, Terrence</t>
  </si>
  <si>
    <t>McKnight, Jasmine</t>
  </si>
  <si>
    <t>Ellison, Sylvia</t>
  </si>
  <si>
    <t>Krakora, George</t>
  </si>
  <si>
    <t>Oswald, Fred</t>
  </si>
  <si>
    <t>Leeper, Tom and Melissa</t>
  </si>
  <si>
    <t>Nathan, Stephen</t>
  </si>
  <si>
    <t>Putnam, Marla</t>
  </si>
  <si>
    <t>Dowling, Melissa</t>
  </si>
  <si>
    <t>Means, Carol</t>
  </si>
  <si>
    <t>Boontjer, Ken and JoAnn</t>
  </si>
  <si>
    <t xml:space="preserve">Kissling, Shari </t>
  </si>
  <si>
    <t>Logan, Justin</t>
  </si>
  <si>
    <t>Spence, Sheri</t>
  </si>
  <si>
    <t>Wallach, Kurt</t>
  </si>
  <si>
    <t>Hayes, Dawn</t>
  </si>
  <si>
    <t>Jenkins, Cassandra</t>
  </si>
  <si>
    <t>Ghiardi, Roger</t>
  </si>
  <si>
    <t>Elleray, Philip and Vicky</t>
  </si>
  <si>
    <t>Minnesota, Dorothy</t>
  </si>
  <si>
    <t>Ballmann, Beth</t>
  </si>
  <si>
    <t>Ranchhod, Kamal</t>
  </si>
  <si>
    <t>Saez, Elia</t>
  </si>
  <si>
    <t>Barrett, Thomas</t>
  </si>
  <si>
    <t>Jones, Michael</t>
  </si>
  <si>
    <t>Arvizu, Marc</t>
  </si>
  <si>
    <t>Jones, Audrey</t>
  </si>
  <si>
    <t>Lengele, Wade</t>
  </si>
  <si>
    <t>Krause, Glenda</t>
  </si>
  <si>
    <t>Kendrick, William</t>
  </si>
  <si>
    <t>Vastbinder, James</t>
  </si>
  <si>
    <t>White, Davina</t>
  </si>
  <si>
    <t>Rieger, Robyn</t>
  </si>
  <si>
    <t>Loveland, Taunia</t>
  </si>
  <si>
    <t>Shaw, Tom</t>
  </si>
  <si>
    <t>Mayberry, Susan</t>
  </si>
  <si>
    <t>Brady, Brandon</t>
  </si>
  <si>
    <t>LaBarbera, Brian</t>
  </si>
  <si>
    <t>Anderson, Sandra</t>
  </si>
  <si>
    <t>Walewski, Walter</t>
  </si>
  <si>
    <t>Nelson, Karen</t>
  </si>
  <si>
    <t>Williamson, Elaine</t>
  </si>
  <si>
    <t>Furlong, Judy</t>
  </si>
  <si>
    <t>Aycock, Sandra</t>
  </si>
  <si>
    <t>Sise, Jason</t>
  </si>
  <si>
    <t>Cummings, Leslie</t>
  </si>
  <si>
    <t>Patrovich, Marcie</t>
  </si>
  <si>
    <t>Macek, Marlene</t>
  </si>
  <si>
    <t>Palowoda, Marie</t>
  </si>
  <si>
    <t>Hatler, Carol (Phil)</t>
  </si>
  <si>
    <t>Alger, Debra</t>
  </si>
  <si>
    <t>Dunn, Sally</t>
  </si>
  <si>
    <t>Elliott, Catherine</t>
  </si>
  <si>
    <t>Pouncy, Ernest</t>
  </si>
  <si>
    <t>Filice, Jordan</t>
  </si>
  <si>
    <t>Hozian, Catherine</t>
  </si>
  <si>
    <t>Furnas, Daniel</t>
  </si>
  <si>
    <t>Chesney, Dennis</t>
  </si>
  <si>
    <t>McCann, Haley</t>
  </si>
  <si>
    <t>Lindmark, Gary</t>
  </si>
  <si>
    <t>Salazar, Kathryn</t>
  </si>
  <si>
    <t>Gruber, Eli</t>
  </si>
  <si>
    <t>Culligan, Marianne</t>
  </si>
  <si>
    <t>Yates-Reiser, Karen</t>
  </si>
  <si>
    <t>Dzezinski, Michael</t>
  </si>
  <si>
    <t>Ollis, Brandon</t>
  </si>
  <si>
    <t>Ciasnocha, Greg</t>
  </si>
  <si>
    <t>Freeman, Doris</t>
  </si>
  <si>
    <t>Lister, Blake</t>
  </si>
  <si>
    <t>Welch, Cheryl</t>
  </si>
  <si>
    <t>Liu, Yijeng</t>
  </si>
  <si>
    <t>Lucas, Barbara</t>
  </si>
  <si>
    <t>Simon, Ross</t>
  </si>
  <si>
    <t>Arriola, Frank</t>
  </si>
  <si>
    <t>Pottorf, Jaimie</t>
  </si>
  <si>
    <t>Conte, Davide</t>
  </si>
  <si>
    <t>Baird, Candace</t>
  </si>
  <si>
    <t>Vassallo, Kayla</t>
  </si>
  <si>
    <t>Dahne, Scott</t>
  </si>
  <si>
    <t>Sagadraca, Daniel</t>
  </si>
  <si>
    <t>Bergeron, Rachel</t>
  </si>
  <si>
    <t>Palmer, William III</t>
  </si>
  <si>
    <t>Harrington, Matthew</t>
  </si>
  <si>
    <t xml:space="preserve">Gonzales, Gabriel </t>
  </si>
  <si>
    <t>Donovan, Tricia</t>
  </si>
  <si>
    <t>Cupp, Eva</t>
  </si>
  <si>
    <t>Duesbury, Andrew</t>
  </si>
  <si>
    <t>Musselman, Williametta</t>
  </si>
  <si>
    <t>Horton , Daryl</t>
  </si>
  <si>
    <t>Tocco, Hailee</t>
  </si>
  <si>
    <t>Huizenga, Joseph</t>
  </si>
  <si>
    <t>Pillsbury, Heather</t>
  </si>
  <si>
    <t>Sukhera, Jasim</t>
  </si>
  <si>
    <t>Mahoney, Brindle</t>
  </si>
  <si>
    <t>Arias, Tessa</t>
  </si>
  <si>
    <t>Currie, Donald</t>
  </si>
  <si>
    <t>Murton, Stacy</t>
  </si>
  <si>
    <t>Waddell, Alyssa</t>
  </si>
  <si>
    <t>Pendergraft, Stephen</t>
  </si>
  <si>
    <t>Mueller, Shannon</t>
  </si>
  <si>
    <t>McKee, Dave</t>
  </si>
  <si>
    <t>Devlin, Diane</t>
  </si>
  <si>
    <t>Keliher, Michael</t>
  </si>
  <si>
    <t>Dapcedich, Mark</t>
  </si>
  <si>
    <t>Triggs, Jovada</t>
  </si>
  <si>
    <t>Gaydos, Kathleen</t>
  </si>
  <si>
    <t>Tuggle, Nora</t>
  </si>
  <si>
    <t>Chettle, Barbara</t>
  </si>
  <si>
    <t>Hamrick, Larry</t>
  </si>
  <si>
    <t>Cook, Stephen</t>
  </si>
  <si>
    <t>Gerheauser, Mark</t>
  </si>
  <si>
    <t>Johnson, Jeana</t>
  </si>
  <si>
    <t>Gardella, Louis</t>
  </si>
  <si>
    <t>Zamora, Jeannette</t>
  </si>
  <si>
    <t>Franklin, Adena</t>
  </si>
  <si>
    <t>Raggio, Louis</t>
  </si>
  <si>
    <t>Vitagliano, Lori</t>
  </si>
  <si>
    <t>Parkhurst, Phil</t>
  </si>
  <si>
    <t>Holmes, Andrew</t>
  </si>
  <si>
    <t>Palomino, Erica</t>
  </si>
  <si>
    <t>Alexander, Laurie</t>
  </si>
  <si>
    <t>Miller, Ann</t>
  </si>
  <si>
    <t>Crnich, Betty</t>
  </si>
  <si>
    <t>Richter, Klaus</t>
  </si>
  <si>
    <t>Reis, David</t>
  </si>
  <si>
    <t>Velasquez, Geordanny</t>
  </si>
  <si>
    <t>Merriam, Danyial</t>
  </si>
  <si>
    <t>Avery, Sheri</t>
  </si>
  <si>
    <t>Parks, Debra</t>
  </si>
  <si>
    <t>Hubler, Sherrie</t>
  </si>
  <si>
    <t>Amaro, Susan</t>
  </si>
  <si>
    <t>Harris, Wyndy</t>
  </si>
  <si>
    <t>Sadolfo, Anthony</t>
  </si>
  <si>
    <t>Busby, Eric</t>
  </si>
  <si>
    <t>Young, Steven</t>
  </si>
  <si>
    <t>Helie, Jay</t>
  </si>
  <si>
    <t>Hanlon, Debra</t>
  </si>
  <si>
    <t>Chester, Lawrence</t>
  </si>
  <si>
    <t>Davis, Andrea</t>
  </si>
  <si>
    <t>Vallejo, David S</t>
  </si>
  <si>
    <t>Benge, Robert E</t>
  </si>
  <si>
    <t>Gonzales, Debra</t>
  </si>
  <si>
    <t>Krukovsky, Carol</t>
  </si>
  <si>
    <t>Taylor, Danica</t>
  </si>
  <si>
    <t>Foutch, William</t>
  </si>
  <si>
    <t>Klaus, Wayne</t>
  </si>
  <si>
    <t>Brewer, Kelly</t>
  </si>
  <si>
    <t>Jones, Tracy</t>
  </si>
  <si>
    <t>Masingale, Drayanna</t>
  </si>
  <si>
    <t>Rasor, Nikki</t>
  </si>
  <si>
    <t>Harris, Kelli</t>
  </si>
  <si>
    <t>Guerena, Dan</t>
  </si>
  <si>
    <t>Martin, James</t>
  </si>
  <si>
    <t>Terrones, Sharice</t>
  </si>
  <si>
    <t>Colcord, Lisa</t>
  </si>
  <si>
    <t>Rothanburg, Laura</t>
  </si>
  <si>
    <t>Sisco, Christina</t>
  </si>
  <si>
    <t>Perryman, Michelle</t>
  </si>
  <si>
    <t>Saliba, Ricci</t>
  </si>
  <si>
    <t>Carson, Tim</t>
  </si>
  <si>
    <t>Sours, Trisha</t>
  </si>
  <si>
    <t>Kasten, Nancy</t>
  </si>
  <si>
    <t>Mark, Paul</t>
  </si>
  <si>
    <t>Jones, Shauna</t>
  </si>
  <si>
    <t>Viggiani, Karineh</t>
  </si>
  <si>
    <t>Weiss, Elizabeth</t>
  </si>
  <si>
    <t>Bradley , Virginia</t>
  </si>
  <si>
    <t>Zavala, Rosario</t>
  </si>
  <si>
    <t>Brown, Lorrie</t>
  </si>
  <si>
    <t>Ong, Addison</t>
  </si>
  <si>
    <t>Carter, John</t>
  </si>
  <si>
    <t>Smith, Heather</t>
  </si>
  <si>
    <t>Jackson, Marilyn</t>
  </si>
  <si>
    <t>Heller Walstra, Alison</t>
  </si>
  <si>
    <t>Brown, Nancy</t>
  </si>
  <si>
    <t>Thompson, Craig</t>
  </si>
  <si>
    <t>Walker, Delores</t>
  </si>
  <si>
    <t>Buglione, Jerald</t>
  </si>
  <si>
    <t>Adams, Karla</t>
  </si>
  <si>
    <t>Shirk, Dan</t>
  </si>
  <si>
    <t>Morris, Corinne</t>
  </si>
  <si>
    <t>Pittenridge, Craig</t>
  </si>
  <si>
    <t>Taylor, Brian</t>
  </si>
  <si>
    <t>Hunt, Peter</t>
  </si>
  <si>
    <t>Weston, Tina</t>
  </si>
  <si>
    <t>Gunderson, Daryl</t>
  </si>
  <si>
    <t>DeMarco, Audrey</t>
  </si>
  <si>
    <t>Sluis, Amy</t>
  </si>
  <si>
    <t>Boyle, Debbie</t>
  </si>
  <si>
    <t>Anderson, Gayle</t>
  </si>
  <si>
    <t>Vago, Susan</t>
  </si>
  <si>
    <t>Dannen, Scott</t>
  </si>
  <si>
    <t>Bapst, Heather</t>
  </si>
  <si>
    <t>Kamb, James</t>
  </si>
  <si>
    <t>Mikles, Merry</t>
  </si>
  <si>
    <t>Jorgensen, Faith</t>
  </si>
  <si>
    <t>Thomas, Jason</t>
  </si>
  <si>
    <t>Pittman, Christian</t>
  </si>
  <si>
    <t>Vega, Daniel</t>
  </si>
  <si>
    <t>Crozier, Virginia</t>
  </si>
  <si>
    <t>Kolodinsky, Jennifer</t>
  </si>
  <si>
    <t>Alsbrook, Darlene</t>
  </si>
  <si>
    <t>Craig, Franklin</t>
  </si>
  <si>
    <t>Tolmachoff, Hollie</t>
  </si>
  <si>
    <t>Ulreich-Power, Siobhan</t>
  </si>
  <si>
    <t>Stittleburg, Jan</t>
  </si>
  <si>
    <t>Thayer, Brad</t>
  </si>
  <si>
    <t>Wederski, Lonnie and Billie</t>
  </si>
  <si>
    <t>Valenzuela, Maura</t>
  </si>
  <si>
    <t>Ostreicher, Derek</t>
  </si>
  <si>
    <t>Lewis, Timothy</t>
  </si>
  <si>
    <t>Gerkin, David</t>
  </si>
  <si>
    <t>Graham, Michael</t>
  </si>
  <si>
    <t>Litke, Katherine</t>
  </si>
  <si>
    <t>Varanauski, Joan</t>
  </si>
  <si>
    <t>Malter, Rosalie</t>
  </si>
  <si>
    <t>Conner, Alan</t>
  </si>
  <si>
    <t>Pappin, William</t>
  </si>
  <si>
    <t>Stoop, Carol</t>
  </si>
  <si>
    <t>Williams, Jesse</t>
  </si>
  <si>
    <t>Murphy, Kathleen</t>
  </si>
  <si>
    <t>Little, Wesley</t>
  </si>
  <si>
    <t>St Clair, Kelly</t>
  </si>
  <si>
    <t>Bowman, Emily</t>
  </si>
  <si>
    <t>Noyes, Mike</t>
  </si>
  <si>
    <t>Jack, Michelle</t>
  </si>
  <si>
    <t>Fleet, Cheryl</t>
  </si>
  <si>
    <t>Thompson, Carolyn</t>
  </si>
  <si>
    <t>Sapundzhiev, ILiya</t>
  </si>
  <si>
    <t>Dallam, Michael</t>
  </si>
  <si>
    <t>Johnson, Wayne</t>
  </si>
  <si>
    <t>Lipson, Leonard</t>
  </si>
  <si>
    <t>Perez, David</t>
  </si>
  <si>
    <t>Osborn, Dwayne</t>
  </si>
  <si>
    <t>Armstrong, Kathleen</t>
  </si>
  <si>
    <t>Martinez, Judy</t>
  </si>
  <si>
    <t>Newell, Shawn</t>
  </si>
  <si>
    <t>Budde, Jay</t>
  </si>
  <si>
    <t>Martin, Mike</t>
  </si>
  <si>
    <t>Wesolowski, James</t>
  </si>
  <si>
    <t>Pratt, Donald</t>
  </si>
  <si>
    <t>Hawthorne, Jewell</t>
  </si>
  <si>
    <t>McClellan, Katherine</t>
  </si>
  <si>
    <t>Soto, Chris</t>
  </si>
  <si>
    <t>Ayyar, Adarsh</t>
  </si>
  <si>
    <t>Rings, Sally</t>
  </si>
  <si>
    <t>Lyall, Barbara</t>
  </si>
  <si>
    <t>Fine, Jovita</t>
  </si>
  <si>
    <t>Daily, Kelly</t>
  </si>
  <si>
    <t>Bihary, Judith</t>
  </si>
  <si>
    <t>Paul, Amy</t>
  </si>
  <si>
    <t>Stallcop, Leslie</t>
  </si>
  <si>
    <t>Hakari, Lana</t>
  </si>
  <si>
    <t>Peterson, Karen</t>
  </si>
  <si>
    <t>Brame, Jeffrey</t>
  </si>
  <si>
    <t>Kerata, Jan</t>
  </si>
  <si>
    <t>Engelman, Carol</t>
  </si>
  <si>
    <t>📄 Link</t>
  </si>
  <si>
    <t>ACT 0644019886</t>
  </si>
  <si>
    <t>SENT E3</t>
  </si>
  <si>
    <t>DID TALK PHILLIPS,CRYSTAL OFFER REVIEW ACCT</t>
  </si>
  <si>
    <t>CORE ON BB PROGRAM</t>
  </si>
  <si>
    <t>LEFT VOICE MESSAGE</t>
  </si>
  <si>
    <t>RATE CHANGE</t>
  </si>
  <si>
    <t>BETTER RATE TIME OF USE WITH DEMAND</t>
  </si>
  <si>
    <t>WANTED INFO DATA CENTER RATES</t>
  </si>
  <si>
    <t>VOICE MAIL WAS FULL</t>
  </si>
  <si>
    <t>VOICE MESSAGE</t>
  </si>
  <si>
    <t>TIME OF USE WITH DEMAND BEST PLAN</t>
  </si>
  <si>
    <t>sent claim form to fill out updated contact#</t>
  </si>
  <si>
    <t>LEFT VOICE MAIL</t>
  </si>
  <si>
    <t>DID TALK TO CORE OFFER TO REVIEW ACCT</t>
  </si>
  <si>
    <t>IS ON DEMAND &amp; IS VERY HIGH</t>
  </si>
  <si>
    <t>NUMBER OUT OF SERVICE</t>
  </si>
  <si>
    <t>5372102528</t>
  </si>
  <si>
    <t>4300170000</t>
  </si>
  <si>
    <t>0356005964</t>
  </si>
  <si>
    <t>6846061000</t>
  </si>
  <si>
    <t>4573855715</t>
  </si>
  <si>
    <t>0509660000</t>
  </si>
  <si>
    <t>2947560540</t>
  </si>
  <si>
    <t>3110727023</t>
  </si>
  <si>
    <t>9532631000</t>
  </si>
  <si>
    <t>0310740000</t>
  </si>
  <si>
    <t>3049940000</t>
  </si>
  <si>
    <t>2779220471</t>
  </si>
  <si>
    <t>7035930772</t>
  </si>
  <si>
    <t>4014511000</t>
  </si>
  <si>
    <t>5131511000</t>
  </si>
  <si>
    <t>0487982450</t>
  </si>
  <si>
    <t>7835950000</t>
  </si>
  <si>
    <t>4997806847</t>
  </si>
  <si>
    <t>2166343167</t>
  </si>
  <si>
    <t>6907731000</t>
  </si>
  <si>
    <t>0555026441</t>
  </si>
  <si>
    <t>3305713016</t>
  </si>
  <si>
    <t>5718650660</t>
  </si>
  <si>
    <t>9800380431</t>
  </si>
  <si>
    <t>9660984623</t>
  </si>
  <si>
    <t>5278430000</t>
  </si>
  <si>
    <t>6940323949</t>
  </si>
  <si>
    <t>2290331000</t>
  </si>
  <si>
    <t>4333270000</t>
  </si>
  <si>
    <t>4789794091</t>
  </si>
  <si>
    <t>5582530000</t>
  </si>
  <si>
    <t>2697623904</t>
  </si>
  <si>
    <t>7036097429</t>
  </si>
  <si>
    <t>0947385737</t>
  </si>
  <si>
    <t>0189241000</t>
  </si>
  <si>
    <t>9504901000</t>
  </si>
  <si>
    <t>9467156300</t>
  </si>
  <si>
    <t>1876163520</t>
  </si>
  <si>
    <t>0901196121</t>
  </si>
  <si>
    <t>0363441000</t>
  </si>
  <si>
    <t>9986232210</t>
  </si>
  <si>
    <t>4586872061</t>
  </si>
  <si>
    <t>5137610000</t>
  </si>
  <si>
    <t>5161972296</t>
  </si>
  <si>
    <t>6017698985</t>
  </si>
  <si>
    <t>6228956660</t>
  </si>
  <si>
    <t>9746250000</t>
  </si>
  <si>
    <t>4022467820</t>
  </si>
  <si>
    <t>3852813845</t>
  </si>
  <si>
    <t>7042751772</t>
  </si>
  <si>
    <t>4096651000</t>
  </si>
  <si>
    <t>5127241787</t>
  </si>
  <si>
    <t>4864054917</t>
  </si>
  <si>
    <t>0228851000</t>
  </si>
  <si>
    <t>7370951000</t>
  </si>
  <si>
    <t>5604121000</t>
  </si>
  <si>
    <t>5983450000</t>
  </si>
  <si>
    <t>3128248912</t>
  </si>
  <si>
    <t>2655378250</t>
  </si>
  <si>
    <t>2649331000</t>
  </si>
  <si>
    <t>8598239302</t>
  </si>
  <si>
    <t>5485214420</t>
  </si>
  <si>
    <t>3850123644</t>
  </si>
  <si>
    <t>8157321000</t>
  </si>
  <si>
    <t>1636279128</t>
  </si>
  <si>
    <t>2874030000</t>
  </si>
  <si>
    <t>6154479450</t>
  </si>
  <si>
    <t>9336980000</t>
  </si>
  <si>
    <t>7972989951</t>
  </si>
  <si>
    <t>6154174693</t>
  </si>
  <si>
    <t>6531421867</t>
  </si>
  <si>
    <t>6327806553</t>
  </si>
  <si>
    <t>7400931000</t>
  </si>
  <si>
    <t>5245451000</t>
  </si>
  <si>
    <t>4757278626</t>
  </si>
  <si>
    <t>7619340000</t>
  </si>
  <si>
    <t>5662251000</t>
  </si>
  <si>
    <t>7397370000</t>
  </si>
  <si>
    <t>5391718246</t>
  </si>
  <si>
    <t>0181561492</t>
  </si>
  <si>
    <t>3805928813</t>
  </si>
  <si>
    <t>2752541344</t>
  </si>
  <si>
    <t>8171441100</t>
  </si>
  <si>
    <t>1027321000</t>
  </si>
  <si>
    <t>0829573314</t>
  </si>
  <si>
    <t>9041804996</t>
  </si>
  <si>
    <t>1669206811</t>
  </si>
  <si>
    <t>6541680000</t>
  </si>
  <si>
    <t>3242131815</t>
  </si>
  <si>
    <t>2303209836</t>
  </si>
  <si>
    <t>8231151000</t>
  </si>
  <si>
    <t>5447681797</t>
  </si>
  <si>
    <t>6651244518</t>
  </si>
  <si>
    <t>6906826313</t>
  </si>
  <si>
    <t>4171727671</t>
  </si>
  <si>
    <t>9503447476</t>
  </si>
  <si>
    <t>2792050000</t>
  </si>
  <si>
    <t>4078611000</t>
  </si>
  <si>
    <t>7903115868</t>
  </si>
  <si>
    <t>5307870697</t>
  </si>
  <si>
    <t>9738841000</t>
  </si>
  <si>
    <t>9539410000</t>
  </si>
  <si>
    <t>6543951000</t>
  </si>
  <si>
    <t>4762621000</t>
  </si>
  <si>
    <t>1678080000</t>
  </si>
  <si>
    <t>3470156203</t>
  </si>
  <si>
    <t>7004974298</t>
  </si>
  <si>
    <t>6238748397</t>
  </si>
  <si>
    <t>0591010000</t>
  </si>
  <si>
    <t>6711360000</t>
  </si>
  <si>
    <t>5334816770</t>
  </si>
  <si>
    <t>7165151000</t>
  </si>
  <si>
    <t>9880461000</t>
  </si>
  <si>
    <t>6651201000</t>
  </si>
  <si>
    <t>0139488954</t>
  </si>
  <si>
    <t>1232541000</t>
  </si>
  <si>
    <t>8223980000</t>
  </si>
  <si>
    <t>4625460000</t>
  </si>
  <si>
    <t>9969975926</t>
  </si>
  <si>
    <t>4337494792</t>
  </si>
  <si>
    <t>7508640000</t>
  </si>
  <si>
    <t>3985375594</t>
  </si>
  <si>
    <t>1370585483</t>
  </si>
  <si>
    <t>6237080000</t>
  </si>
  <si>
    <t>1176780126</t>
  </si>
  <si>
    <t>7607661000</t>
  </si>
  <si>
    <t>8776414251</t>
  </si>
  <si>
    <t>7912130000</t>
  </si>
  <si>
    <t>5377231000</t>
  </si>
  <si>
    <t>3540008359</t>
  </si>
  <si>
    <t>3498941000</t>
  </si>
  <si>
    <t>8807453315</t>
  </si>
  <si>
    <t>5578697625</t>
  </si>
  <si>
    <t>2225101000</t>
  </si>
  <si>
    <t>9987316691</t>
  </si>
  <si>
    <t>6643300000</t>
  </si>
  <si>
    <t>2382490000</t>
  </si>
  <si>
    <t>6088988776</t>
  </si>
  <si>
    <t>9989951000</t>
  </si>
  <si>
    <t>7553261000</t>
  </si>
  <si>
    <t>4408511000</t>
  </si>
  <si>
    <t>4206800000</t>
  </si>
  <si>
    <t>8374031000</t>
  </si>
  <si>
    <t>1490131000</t>
  </si>
  <si>
    <t>1985520000</t>
  </si>
  <si>
    <t>3841761035</t>
  </si>
  <si>
    <t>3107890000</t>
  </si>
  <si>
    <t>1235903059</t>
  </si>
  <si>
    <t>8043001000</t>
  </si>
  <si>
    <t>1880001294</t>
  </si>
  <si>
    <t>5579377804</t>
  </si>
  <si>
    <t>5786437888</t>
  </si>
  <si>
    <t>8125471475</t>
  </si>
  <si>
    <t>3727344076</t>
  </si>
  <si>
    <t>0491835909</t>
  </si>
  <si>
    <t>6157060000</t>
  </si>
  <si>
    <t>2491806502</t>
  </si>
  <si>
    <t>0573685084</t>
  </si>
  <si>
    <t>5392330000</t>
  </si>
  <si>
    <t>5085875679</t>
  </si>
  <si>
    <t>2400731000</t>
  </si>
  <si>
    <t>7304972242</t>
  </si>
  <si>
    <t>6829562710</t>
  </si>
  <si>
    <t>6780889797</t>
  </si>
  <si>
    <t>7114840000</t>
  </si>
  <si>
    <t>4236731000</t>
  </si>
  <si>
    <t>0223345291</t>
  </si>
  <si>
    <t>5900820000</t>
  </si>
  <si>
    <t>1569851000</t>
  </si>
  <si>
    <t>7413433376</t>
  </si>
  <si>
    <t>7397110970</t>
  </si>
  <si>
    <t>5288831000</t>
  </si>
  <si>
    <t>3007031000</t>
  </si>
  <si>
    <t>3736855436</t>
  </si>
  <si>
    <t>2721067262</t>
  </si>
  <si>
    <t>5237011424</t>
  </si>
  <si>
    <t>6062541000</t>
  </si>
  <si>
    <t>7846277073</t>
  </si>
  <si>
    <t>1113187095</t>
  </si>
  <si>
    <t>7115261000</t>
  </si>
  <si>
    <t>8999251000</t>
  </si>
  <si>
    <t>9797240000</t>
  </si>
  <si>
    <t>5733698031</t>
  </si>
  <si>
    <t>1391416918</t>
  </si>
  <si>
    <t>6626729560</t>
  </si>
  <si>
    <t>6218364523</t>
  </si>
  <si>
    <t>3352572159</t>
  </si>
  <si>
    <t>3322263490</t>
  </si>
  <si>
    <t>6177370000</t>
  </si>
  <si>
    <t>3066335881</t>
  </si>
  <si>
    <t>6430651000</t>
  </si>
  <si>
    <t>1370139140</t>
  </si>
  <si>
    <t>3401570000</t>
  </si>
  <si>
    <t>6594526342</t>
  </si>
  <si>
    <t>1772154718</t>
  </si>
  <si>
    <t>7135590000</t>
  </si>
  <si>
    <t>3244078434</t>
  </si>
  <si>
    <t>8166327537</t>
  </si>
  <si>
    <t>4308401000</t>
  </si>
  <si>
    <t>3485675279</t>
  </si>
  <si>
    <t>1710517819</t>
  </si>
  <si>
    <t>0040730000</t>
  </si>
  <si>
    <t>8801331688</t>
  </si>
  <si>
    <t>0185829085</t>
  </si>
  <si>
    <t>6640329915</t>
  </si>
  <si>
    <t>8993658310</t>
  </si>
  <si>
    <t>2550279335</t>
  </si>
  <si>
    <t>3505331000</t>
  </si>
  <si>
    <t>7114611000</t>
  </si>
  <si>
    <t>2942450000</t>
  </si>
  <si>
    <t>4490163832</t>
  </si>
  <si>
    <t>8806340000</t>
  </si>
  <si>
    <t>7096364439</t>
  </si>
  <si>
    <t>0002746863</t>
  </si>
  <si>
    <t>2122958371</t>
  </si>
  <si>
    <t>5769060000</t>
  </si>
  <si>
    <t>5214610000</t>
  </si>
  <si>
    <t>9294235852</t>
  </si>
  <si>
    <t>0887574779</t>
  </si>
  <si>
    <t>3884451846</t>
  </si>
  <si>
    <t>9575044862</t>
  </si>
  <si>
    <t>5622315139</t>
  </si>
  <si>
    <t>6031103650</t>
  </si>
  <si>
    <t>7532070000</t>
  </si>
  <si>
    <t>5526300000</t>
  </si>
  <si>
    <t>8251801000</t>
  </si>
  <si>
    <t>3135361000</t>
  </si>
  <si>
    <t>0869170000</t>
  </si>
  <si>
    <t>4875496471</t>
  </si>
  <si>
    <t>4100903949</t>
  </si>
  <si>
    <t>6747966884</t>
  </si>
  <si>
    <t>9756846766</t>
  </si>
  <si>
    <t>3718280000</t>
  </si>
  <si>
    <t>2216771581</t>
  </si>
  <si>
    <t>9214141000</t>
  </si>
  <si>
    <t>4328013004</t>
  </si>
  <si>
    <t>8551601000</t>
  </si>
  <si>
    <t>5703576714</t>
  </si>
  <si>
    <t>0448028030</t>
  </si>
  <si>
    <t>5780730097</t>
  </si>
  <si>
    <t>8651110000</t>
  </si>
  <si>
    <t>0086465467</t>
  </si>
  <si>
    <t>9890161000</t>
  </si>
  <si>
    <t>9738604563</t>
  </si>
  <si>
    <t>6892964511</t>
  </si>
  <si>
    <t>8233981790</t>
  </si>
  <si>
    <t>7482519669</t>
  </si>
  <si>
    <t>4321958928</t>
  </si>
  <si>
    <t>9277734775</t>
  </si>
  <si>
    <t>3530497128</t>
  </si>
  <si>
    <t>0240641000</t>
  </si>
  <si>
    <t>1560882175</t>
  </si>
  <si>
    <t>2815878027</t>
  </si>
  <si>
    <t>0208180000</t>
  </si>
  <si>
    <t>8950883553</t>
  </si>
  <si>
    <t>6677040000</t>
  </si>
  <si>
    <t>3106790000</t>
  </si>
  <si>
    <t>8098420000</t>
  </si>
  <si>
    <t>0225558656</t>
  </si>
  <si>
    <t>3472796278</t>
  </si>
  <si>
    <t>3240422325</t>
  </si>
  <si>
    <t>7248154783</t>
  </si>
  <si>
    <t>1975660000</t>
  </si>
  <si>
    <t>2398680000</t>
  </si>
  <si>
    <t>2557440000</t>
  </si>
  <si>
    <t>6098358533</t>
  </si>
  <si>
    <t>2160086156</t>
  </si>
  <si>
    <t>8133906758</t>
  </si>
  <si>
    <t>4386253597</t>
  </si>
  <si>
    <t>8168993129</t>
  </si>
  <si>
    <t>8830066687</t>
  </si>
  <si>
    <t>0980512306</t>
  </si>
  <si>
    <t>2800620000</t>
  </si>
  <si>
    <t>3957802541</t>
  </si>
  <si>
    <t>0747358204</t>
  </si>
  <si>
    <t>4860597868</t>
  </si>
  <si>
    <t>7247493303</t>
  </si>
  <si>
    <t>2698642394</t>
  </si>
  <si>
    <t>0871451000</t>
  </si>
  <si>
    <t>8085100837</t>
  </si>
  <si>
    <t>6040546107</t>
  </si>
  <si>
    <t>1459950257</t>
  </si>
  <si>
    <t>0126527094</t>
  </si>
  <si>
    <t>8764120000</t>
  </si>
  <si>
    <t>1567183764</t>
  </si>
  <si>
    <t>3300419615</t>
  </si>
  <si>
    <t>3567250984</t>
  </si>
  <si>
    <t>7298780000</t>
  </si>
  <si>
    <t>4409132093</t>
  </si>
  <si>
    <t>0020521000</t>
  </si>
  <si>
    <t>7447867552</t>
  </si>
  <si>
    <t>7898944772</t>
  </si>
  <si>
    <t>4650100233</t>
  </si>
  <si>
    <t>2090761111</t>
  </si>
  <si>
    <t>7675631000</t>
  </si>
  <si>
    <t>9779470098</t>
  </si>
  <si>
    <t>6229785331</t>
  </si>
  <si>
    <t>1794260000</t>
  </si>
  <si>
    <t>7776290000</t>
  </si>
  <si>
    <t>6833563852</t>
  </si>
  <si>
    <t>7671960000</t>
  </si>
  <si>
    <t>3846098682</t>
  </si>
  <si>
    <t>6393740000</t>
  </si>
  <si>
    <t>0510900360</t>
  </si>
  <si>
    <t>6346280696</t>
  </si>
  <si>
    <t>9775140000</t>
  </si>
  <si>
    <t>1908399537</t>
  </si>
  <si>
    <t>7791021977</t>
  </si>
  <si>
    <t>4218400000</t>
  </si>
  <si>
    <t>0460101000</t>
  </si>
  <si>
    <t>5554267371</t>
  </si>
  <si>
    <t>4656135575</t>
  </si>
  <si>
    <t>7871459753</t>
  </si>
  <si>
    <t>8270011000</t>
  </si>
  <si>
    <t>0949968967</t>
  </si>
  <si>
    <t>5463797477</t>
  </si>
  <si>
    <t>8372996858</t>
  </si>
  <si>
    <t>0915272757</t>
  </si>
  <si>
    <t>1939300000</t>
  </si>
  <si>
    <t>3664029144</t>
  </si>
  <si>
    <t>2321911932</t>
  </si>
  <si>
    <t>2205290521</t>
  </si>
  <si>
    <t>8573211000</t>
  </si>
  <si>
    <t>6799540000</t>
  </si>
  <si>
    <t>2372410000</t>
  </si>
  <si>
    <t>2801777569</t>
  </si>
  <si>
    <t>6916550547</t>
  </si>
  <si>
    <t>7488840436</t>
  </si>
  <si>
    <t>4789087884</t>
  </si>
  <si>
    <t>9045311000</t>
  </si>
  <si>
    <t>4051995898</t>
  </si>
  <si>
    <t>1333897739</t>
  </si>
  <si>
    <t>8964410000</t>
  </si>
  <si>
    <t>7013259359</t>
  </si>
  <si>
    <t>6898240000</t>
  </si>
  <si>
    <t>1682180000</t>
  </si>
  <si>
    <t>3126570303</t>
  </si>
  <si>
    <t>5236586269</t>
  </si>
  <si>
    <t>0394780000</t>
  </si>
  <si>
    <t>5644842190</t>
  </si>
  <si>
    <t>0947452464</t>
  </si>
  <si>
    <t>5160556053</t>
  </si>
  <si>
    <t>3520685256</t>
  </si>
  <si>
    <t>3812550000</t>
  </si>
  <si>
    <t>6238293189</t>
  </si>
  <si>
    <t>2037614704</t>
  </si>
  <si>
    <t>5486441000</t>
  </si>
  <si>
    <t>3615886354</t>
  </si>
  <si>
    <t>0574011608</t>
  </si>
  <si>
    <t>3430450000</t>
  </si>
  <si>
    <t>6046328982</t>
  </si>
  <si>
    <t>5744736365</t>
  </si>
  <si>
    <t>0103650000</t>
  </si>
  <si>
    <t>3353472148</t>
  </si>
  <si>
    <t>6807568001</t>
  </si>
  <si>
    <t>2224828876</t>
  </si>
  <si>
    <t>4684530000</t>
  </si>
  <si>
    <t>5248721000</t>
  </si>
  <si>
    <t>8715441000</t>
  </si>
  <si>
    <t>0831730979</t>
  </si>
  <si>
    <t>0179082566</t>
  </si>
  <si>
    <t>7586510000</t>
  </si>
  <si>
    <t>8422252988</t>
  </si>
  <si>
    <t>6220501000</t>
  </si>
  <si>
    <t>6942363976</t>
  </si>
  <si>
    <t>7925230997</t>
  </si>
  <si>
    <t>4455318107</t>
  </si>
  <si>
    <t>7014080000</t>
  </si>
  <si>
    <t>2239392578</t>
  </si>
  <si>
    <t>2798910000</t>
  </si>
  <si>
    <t>1353321000</t>
  </si>
  <si>
    <t>5831790000</t>
  </si>
  <si>
    <t>4572687906</t>
  </si>
  <si>
    <t>2613256425</t>
  </si>
  <si>
    <t>5669951000</t>
  </si>
  <si>
    <t>1806989657</t>
  </si>
  <si>
    <t>7420351130</t>
  </si>
  <si>
    <t>7765620000</t>
  </si>
  <si>
    <t>9868436686</t>
  </si>
  <si>
    <t>6651001000</t>
  </si>
  <si>
    <t>0454456361</t>
  </si>
  <si>
    <t>4738111000</t>
  </si>
  <si>
    <t>0440430000</t>
  </si>
  <si>
    <t>5055918329</t>
  </si>
  <si>
    <t>2553232071</t>
  </si>
  <si>
    <t>4755350632</t>
  </si>
  <si>
    <t>9713457751</t>
  </si>
  <si>
    <t>2283931000</t>
  </si>
  <si>
    <t>7423629431</t>
  </si>
  <si>
    <t>2644830000</t>
  </si>
  <si>
    <t>6292353892</t>
  </si>
  <si>
    <t>9126001412</t>
  </si>
  <si>
    <t>4246694688</t>
  </si>
  <si>
    <t>1816340000</t>
  </si>
  <si>
    <t>2786739945</t>
  </si>
  <si>
    <t>7789171149</t>
  </si>
  <si>
    <t>4949150000</t>
  </si>
  <si>
    <t>8072751000</t>
  </si>
  <si>
    <t>9524460000</t>
  </si>
  <si>
    <t>0770620000</t>
  </si>
  <si>
    <t>1471520000</t>
  </si>
  <si>
    <t>4195950000</t>
  </si>
  <si>
    <t>6232280000</t>
  </si>
  <si>
    <t>3480611000</t>
  </si>
  <si>
    <t>2713960000</t>
  </si>
  <si>
    <t>8914685192</t>
  </si>
  <si>
    <t>8798080598</t>
  </si>
  <si>
    <t>5936601000</t>
  </si>
  <si>
    <t>5931221000</t>
  </si>
  <si>
    <t>2057731000</t>
  </si>
  <si>
    <t>5909528621</t>
  </si>
  <si>
    <t>5503296768</t>
  </si>
  <si>
    <t>8464670000</t>
  </si>
  <si>
    <t>6932600000</t>
  </si>
  <si>
    <t>6129600993</t>
  </si>
  <si>
    <t>1501070000</t>
  </si>
  <si>
    <t>4773125499</t>
  </si>
  <si>
    <t>1370851931</t>
  </si>
  <si>
    <t>9983127893</t>
  </si>
  <si>
    <t>9411880000</t>
  </si>
  <si>
    <t>4392248810</t>
  </si>
  <si>
    <t>8352070000</t>
  </si>
  <si>
    <t>1116019420</t>
  </si>
  <si>
    <t>1336550000</t>
  </si>
  <si>
    <t>5226390000</t>
  </si>
  <si>
    <t>2887200000</t>
  </si>
  <si>
    <t>0762951654</t>
  </si>
  <si>
    <t>8744753955</t>
  </si>
  <si>
    <t>6609290000</t>
  </si>
  <si>
    <t>0272930000</t>
  </si>
  <si>
    <t>6945331000</t>
  </si>
  <si>
    <t>4232034608</t>
  </si>
  <si>
    <t>0777430000</t>
  </si>
  <si>
    <t>6740473583</t>
  </si>
  <si>
    <t>4591500000</t>
  </si>
  <si>
    <t>5852690207</t>
  </si>
  <si>
    <t>0629830000</t>
  </si>
  <si>
    <t>1107990000</t>
  </si>
  <si>
    <t>6529860000</t>
  </si>
  <si>
    <t>0876477458</t>
  </si>
  <si>
    <t>5636251000</t>
  </si>
  <si>
    <t>2726500000</t>
  </si>
  <si>
    <t>2729421000</t>
  </si>
  <si>
    <t>6975666837</t>
  </si>
  <si>
    <t>0836129855</t>
  </si>
  <si>
    <t>8492801026</t>
  </si>
  <si>
    <t>5226342152</t>
  </si>
  <si>
    <t>9928983381</t>
  </si>
  <si>
    <t>3500289152</t>
  </si>
  <si>
    <t>8321721000</t>
  </si>
  <si>
    <t>4539057378</t>
  </si>
  <si>
    <t>8910276728</t>
  </si>
  <si>
    <t>2349858876</t>
  </si>
  <si>
    <t>3287157855</t>
  </si>
  <si>
    <t>8334963855</t>
  </si>
  <si>
    <t>2782988581</t>
  </si>
  <si>
    <t>4627150000</t>
  </si>
  <si>
    <t>6893057406</t>
  </si>
  <si>
    <t>5403700000</t>
  </si>
  <si>
    <t>2971450583</t>
  </si>
  <si>
    <t>9378625789</t>
  </si>
  <si>
    <t>4460413461</t>
  </si>
  <si>
    <t>5403079705</t>
  </si>
  <si>
    <t>1217381119</t>
  </si>
  <si>
    <t>6948703534</t>
  </si>
  <si>
    <t>0859906185</t>
  </si>
  <si>
    <t>3042908052</t>
  </si>
  <si>
    <t>7836090000</t>
  </si>
  <si>
    <t>4812351000</t>
  </si>
  <si>
    <t>7329530000</t>
  </si>
  <si>
    <t>1264630000</t>
  </si>
  <si>
    <t>8262211000</t>
  </si>
  <si>
    <t>7812541000</t>
  </si>
  <si>
    <t>1334820000</t>
  </si>
  <si>
    <t>0611347410</t>
  </si>
  <si>
    <t>5213017390</t>
  </si>
  <si>
    <t>7489330000</t>
  </si>
  <si>
    <t>1022760000</t>
  </si>
  <si>
    <t>3266151000</t>
  </si>
  <si>
    <t>2265569362</t>
  </si>
  <si>
    <t>1993960000</t>
  </si>
  <si>
    <t>1935101000</t>
  </si>
  <si>
    <t>7884110000</t>
  </si>
  <si>
    <t>1080686483</t>
  </si>
  <si>
    <t>6838697128</t>
  </si>
  <si>
    <t>0581519571</t>
  </si>
  <si>
    <t>5577998699</t>
  </si>
  <si>
    <t>4523821000</t>
  </si>
  <si>
    <t>1237080000</t>
  </si>
  <si>
    <t>2047225462</t>
  </si>
  <si>
    <t>8793561000</t>
  </si>
  <si>
    <t>9087250000</t>
  </si>
  <si>
    <t>3728125563</t>
  </si>
  <si>
    <t>9134311000</t>
  </si>
  <si>
    <t>0099821000</t>
  </si>
  <si>
    <t>2790610000</t>
  </si>
  <si>
    <t>5972711000</t>
  </si>
  <si>
    <t>9057041000</t>
  </si>
  <si>
    <t>3003812929</t>
  </si>
  <si>
    <t>6676790000</t>
  </si>
  <si>
    <t>1728530000</t>
  </si>
  <si>
    <t>2055710000</t>
  </si>
  <si>
    <t>8586855180</t>
  </si>
  <si>
    <t>3536710738</t>
  </si>
  <si>
    <t>0763016212</t>
  </si>
  <si>
    <t>3879241000</t>
  </si>
  <si>
    <t>6221886781</t>
  </si>
  <si>
    <t>2933051000</t>
  </si>
  <si>
    <t>7244159793</t>
  </si>
  <si>
    <t>0637500000</t>
  </si>
  <si>
    <t>2586710000</t>
  </si>
  <si>
    <t>3369131000</t>
  </si>
  <si>
    <t>7243260797</t>
  </si>
  <si>
    <t>4086961885</t>
  </si>
  <si>
    <t>2127440000</t>
  </si>
  <si>
    <t>7215060777</t>
  </si>
  <si>
    <t>3924500000</t>
  </si>
  <si>
    <t>9914120000</t>
  </si>
  <si>
    <t>1654610000</t>
  </si>
  <si>
    <t>5450260000</t>
  </si>
  <si>
    <t>6975921000</t>
  </si>
  <si>
    <t>8004441000</t>
  </si>
  <si>
    <t>8540070000</t>
  </si>
  <si>
    <t>7277849791</t>
  </si>
  <si>
    <t>6316480000</t>
  </si>
  <si>
    <t>9899890000</t>
  </si>
  <si>
    <t>1675649579</t>
  </si>
  <si>
    <t>3421360000</t>
  </si>
  <si>
    <t>3493863264</t>
  </si>
  <si>
    <t>7082251000</t>
  </si>
  <si>
    <t>3235933656</t>
  </si>
  <si>
    <t>1486220000</t>
  </si>
  <si>
    <t>6579001000</t>
  </si>
  <si>
    <t>8135001000</t>
  </si>
  <si>
    <t>2790433981</t>
  </si>
  <si>
    <t>5799850000</t>
  </si>
  <si>
    <t>6626220000</t>
  </si>
  <si>
    <t>0050340630</t>
  </si>
  <si>
    <t>0644019886</t>
  </si>
  <si>
    <t>2009184288</t>
  </si>
  <si>
    <t>4220132529</t>
  </si>
  <si>
    <t>9474035507</t>
  </si>
  <si>
    <t>6178141000</t>
  </si>
  <si>
    <t>4823746138</t>
  </si>
  <si>
    <t>6601188228</t>
  </si>
  <si>
    <t>9240700000</t>
  </si>
  <si>
    <t>4826470000</t>
  </si>
  <si>
    <t>7700448567</t>
  </si>
  <si>
    <t>6608972636</t>
  </si>
  <si>
    <t>5797101000</t>
  </si>
  <si>
    <t>9798231000</t>
  </si>
  <si>
    <t>5257583600</t>
  </si>
  <si>
    <t>2484289538</t>
  </si>
  <si>
    <t>2318631000</t>
  </si>
  <si>
    <t>2287263111</t>
  </si>
  <si>
    <t>4330169654</t>
  </si>
  <si>
    <t>7809411352</t>
  </si>
  <si>
    <t>1901940000</t>
  </si>
  <si>
    <t>2344543728</t>
  </si>
  <si>
    <t>4400568112</t>
  </si>
  <si>
    <t>0337770119</t>
  </si>
  <si>
    <t>1084589454</t>
  </si>
  <si>
    <t>8809578171</t>
  </si>
  <si>
    <t>0138600000</t>
  </si>
  <si>
    <t>9851454126</t>
  </si>
  <si>
    <t>7113636850</t>
  </si>
  <si>
    <t>8707818706</t>
  </si>
  <si>
    <t>0014802989</t>
  </si>
  <si>
    <t>8729590000</t>
  </si>
  <si>
    <t>5144511000</t>
  </si>
  <si>
    <t>4233804978</t>
  </si>
  <si>
    <t>3487507055</t>
  </si>
  <si>
    <t>1028298226</t>
  </si>
  <si>
    <t>3000474278</t>
  </si>
  <si>
    <t>9689247354</t>
  </si>
  <si>
    <t>4535728753</t>
  </si>
  <si>
    <t>6477491967</t>
  </si>
  <si>
    <t>1080436652</t>
  </si>
  <si>
    <t>9868570000</t>
  </si>
  <si>
    <t>9812684449</t>
  </si>
  <si>
    <t>7263223413</t>
  </si>
  <si>
    <t>5323810000</t>
  </si>
  <si>
    <t>6377618578</t>
  </si>
  <si>
    <t>5100177684</t>
  </si>
  <si>
    <t>2213731000</t>
  </si>
  <si>
    <t>7194070000</t>
  </si>
  <si>
    <t>3556070925</t>
  </si>
  <si>
    <t>9646530000</t>
  </si>
  <si>
    <t>9467621419</t>
  </si>
  <si>
    <t>8800511000</t>
  </si>
  <si>
    <t>6965120000</t>
  </si>
  <si>
    <t>4144330000</t>
  </si>
  <si>
    <t>7638863637</t>
  </si>
  <si>
    <t>8212166884</t>
  </si>
  <si>
    <t>9811726626</t>
  </si>
  <si>
    <t>2143830000</t>
  </si>
  <si>
    <t>9099805696</t>
  </si>
  <si>
    <t>7750680041</t>
  </si>
  <si>
    <t>7639960000</t>
  </si>
  <si>
    <t>4834742574</t>
  </si>
  <si>
    <t>3713921000</t>
  </si>
  <si>
    <t>8169892620</t>
  </si>
  <si>
    <t>0539435347</t>
  </si>
  <si>
    <t>5702540000</t>
  </si>
  <si>
    <t>2813530000</t>
  </si>
  <si>
    <t>4260226461</t>
  </si>
  <si>
    <t>7175791215</t>
  </si>
  <si>
    <t>4884885514</t>
  </si>
  <si>
    <t>6673831000</t>
  </si>
  <si>
    <t>7999643303</t>
  </si>
  <si>
    <t>5909021014</t>
  </si>
  <si>
    <t>1040821177</t>
  </si>
  <si>
    <t>6593130000</t>
  </si>
  <si>
    <t>3151454631</t>
  </si>
  <si>
    <t>5982620000</t>
  </si>
  <si>
    <t>9823890000</t>
  </si>
  <si>
    <t>5408340000</t>
  </si>
  <si>
    <t>5195558690</t>
  </si>
  <si>
    <t>8384335318</t>
  </si>
  <si>
    <t>4708815097</t>
  </si>
  <si>
    <t>3555354916</t>
  </si>
  <si>
    <t>1516066562</t>
  </si>
  <si>
    <t>2602229474</t>
  </si>
  <si>
    <t>4830007876</t>
  </si>
  <si>
    <t>9391573388</t>
  </si>
  <si>
    <t>5498445656</t>
  </si>
  <si>
    <t>8225159115</t>
  </si>
  <si>
    <t>4160660000</t>
  </si>
  <si>
    <t>6149005878</t>
  </si>
  <si>
    <t>9366820000</t>
  </si>
  <si>
    <t>1735662106</t>
  </si>
  <si>
    <t>7495690000</t>
  </si>
  <si>
    <t>1165327687</t>
  </si>
  <si>
    <t>4057601000</t>
  </si>
  <si>
    <t>4421402302</t>
  </si>
  <si>
    <t>6442661000</t>
  </si>
  <si>
    <t>9399510000</t>
  </si>
  <si>
    <t>4029770000</t>
  </si>
  <si>
    <t>8289821000</t>
  </si>
  <si>
    <t>4197620114</t>
  </si>
  <si>
    <t>5575896939</t>
  </si>
  <si>
    <t>3482449172</t>
  </si>
  <si>
    <t>7095896229</t>
  </si>
  <si>
    <t>6996682837</t>
  </si>
  <si>
    <t>8783763808</t>
  </si>
  <si>
    <t>4613459862</t>
  </si>
  <si>
    <t>8501883965</t>
  </si>
  <si>
    <t>3248157690</t>
  </si>
  <si>
    <t>8215139884</t>
  </si>
  <si>
    <t>5372451122</t>
  </si>
  <si>
    <t>3204790000</t>
  </si>
  <si>
    <t>6591101000</t>
  </si>
  <si>
    <t>7295561000</t>
  </si>
  <si>
    <t>6697601000</t>
  </si>
  <si>
    <t>8065380000</t>
  </si>
  <si>
    <t>5257261000</t>
  </si>
  <si>
    <t>1461856288</t>
  </si>
  <si>
    <t>9378830912</t>
  </si>
  <si>
    <t>5843594786</t>
  </si>
  <si>
    <t>7667970000</t>
  </si>
  <si>
    <t>6947951000</t>
  </si>
  <si>
    <t>3660458784</t>
  </si>
  <si>
    <t>0519511958</t>
  </si>
  <si>
    <t>9840231734</t>
  </si>
  <si>
    <t>6393049300</t>
  </si>
  <si>
    <t>5751430000</t>
  </si>
  <si>
    <t>0616290000</t>
  </si>
  <si>
    <t>2174790000</t>
  </si>
  <si>
    <t>1040090000</t>
  </si>
  <si>
    <t>2426870000</t>
  </si>
  <si>
    <t>7393110000</t>
  </si>
  <si>
    <t>1130640000</t>
  </si>
  <si>
    <t>4161750000</t>
  </si>
  <si>
    <t>9230683411</t>
  </si>
  <si>
    <t>8465277693</t>
  </si>
  <si>
    <t>2414554339</t>
  </si>
  <si>
    <t>6810195712</t>
  </si>
  <si>
    <t>0800411000</t>
  </si>
  <si>
    <t>7131023762</t>
  </si>
  <si>
    <t>1733200000</t>
  </si>
  <si>
    <t>9697522299</t>
  </si>
  <si>
    <t>6512865567</t>
  </si>
  <si>
    <t>6910890000</t>
  </si>
  <si>
    <t>3995860000</t>
  </si>
  <si>
    <t>7251710000</t>
  </si>
  <si>
    <t>1346040000</t>
  </si>
  <si>
    <t>4329109684</t>
  </si>
  <si>
    <t>8400273014</t>
  </si>
  <si>
    <t>4420690000</t>
  </si>
  <si>
    <t>1367611000</t>
  </si>
  <si>
    <t>2508401000</t>
  </si>
  <si>
    <t>5865680000</t>
  </si>
  <si>
    <t>5145361000</t>
  </si>
  <si>
    <t>2236812917</t>
  </si>
  <si>
    <t>3472511000</t>
  </si>
  <si>
    <t>5649900000</t>
  </si>
  <si>
    <t>5729136090</t>
  </si>
  <si>
    <t>4235588313</t>
  </si>
  <si>
    <t>2531312124</t>
  </si>
  <si>
    <t>1657964605</t>
  </si>
  <si>
    <t>7283731000</t>
  </si>
  <si>
    <t>5106490000</t>
  </si>
  <si>
    <t>3207210000</t>
  </si>
  <si>
    <t>1440430000</t>
  </si>
  <si>
    <t>0362190628</t>
  </si>
  <si>
    <t>9651100000</t>
  </si>
  <si>
    <t>1714040979</t>
  </si>
  <si>
    <t>8493970000</t>
  </si>
  <si>
    <t>9093518390</t>
  </si>
  <si>
    <t>8365380635</t>
  </si>
  <si>
    <t>2445041000</t>
  </si>
  <si>
    <t>6085118737</t>
  </si>
  <si>
    <t>7209213637</t>
  </si>
  <si>
    <t>0342680000</t>
  </si>
  <si>
    <t>3856949221</t>
  </si>
  <si>
    <t>3604131000</t>
  </si>
  <si>
    <t>2720371841</t>
  </si>
  <si>
    <t>5730448493</t>
  </si>
  <si>
    <t>7866236989</t>
  </si>
  <si>
    <t>9065406549</t>
  </si>
  <si>
    <t>6128271693</t>
  </si>
  <si>
    <t>9282570000</t>
  </si>
  <si>
    <t>7961900940</t>
  </si>
  <si>
    <t>6597211402</t>
  </si>
  <si>
    <t>9287216468</t>
  </si>
  <si>
    <t>3157160000</t>
  </si>
  <si>
    <t>2547200000</t>
  </si>
  <si>
    <t>9849411000</t>
  </si>
  <si>
    <t>7953727588</t>
  </si>
  <si>
    <t>9798240000</t>
  </si>
  <si>
    <t>4026100541</t>
  </si>
  <si>
    <t>3516164640</t>
  </si>
  <si>
    <t>2235600000</t>
  </si>
  <si>
    <t>1055401000</t>
  </si>
  <si>
    <t>4774490000</t>
  </si>
  <si>
    <t>4875921000</t>
  </si>
  <si>
    <t>4722240000</t>
  </si>
  <si>
    <t>2616411000</t>
  </si>
  <si>
    <t>5875521000</t>
  </si>
  <si>
    <t>AccountNumber</t>
  </si>
  <si>
    <t>DateCalled</t>
  </si>
  <si>
    <t>VM</t>
  </si>
  <si>
    <t>CustomerName</t>
  </si>
  <si>
    <t>RatePlan</t>
  </si>
  <si>
    <t>MEPStatus</t>
  </si>
  <si>
    <t>Issue</t>
  </si>
  <si>
    <t>P1</t>
  </si>
  <si>
    <t>P2</t>
  </si>
  <si>
    <t>P3</t>
  </si>
  <si>
    <t>P4</t>
  </si>
  <si>
    <t>Not on Best Plan</t>
  </si>
  <si>
    <t>On Best Plan</t>
  </si>
  <si>
    <t>LEFT VM, NOT ON BEST PLAN, NOT BB, NOT E-3</t>
  </si>
  <si>
    <t>LEFT VM</t>
  </si>
  <si>
    <t>DID NOT WANT TO SPEAK WITH ME AND HUNG UP</t>
  </si>
  <si>
    <t>TIME OF USE PLAN WITH DEMAND BEST PLAN</t>
  </si>
  <si>
    <t>UNHAPPY W/ RATE CASE</t>
  </si>
  <si>
    <t>REFUSED TOTAKE CALL HUNG UP</t>
  </si>
  <si>
    <t>LEFT VM, ON BEST PLAN, NOT ON BB, NOT E-3</t>
  </si>
  <si>
    <t>PHONE WAS PICKED UP AND HUNG UP</t>
  </si>
  <si>
    <t>SAID HE WAS GOOD</t>
  </si>
  <si>
    <t>WILL CALL US BACK</t>
  </si>
  <si>
    <t>SET UP BB $123</t>
  </si>
  <si>
    <t>WILL CB TO MAKE CHANGES</t>
  </si>
  <si>
    <t>UNHAPPY WITH THE RATE INCREASE CASE</t>
  </si>
  <si>
    <t>LEFT V-M</t>
  </si>
  <si>
    <t>COULD NOT LEAVE MESSAGE, VM NOT SET UP</t>
  </si>
  <si>
    <t>SOLAR ACT</t>
  </si>
  <si>
    <t>VM NOT SET UP</t>
  </si>
  <si>
    <t>DID TALK TO CORE BUT HUNG UP</t>
  </si>
  <si>
    <t>POSITIVE INFO</t>
  </si>
  <si>
    <t>COULD SAVE MONEY ON TOU 4-7 W/DEMAND</t>
  </si>
  <si>
    <t>WILL CB IF NEEDED</t>
  </si>
  <si>
    <t>NUMBER DISCONNECTED</t>
  </si>
  <si>
    <t>WILL REVIEW ON LINE THEN MAKE CHANGES</t>
  </si>
  <si>
    <t>NO GOOD CBR# ON FILE</t>
  </si>
  <si>
    <t>NOT FOR THE RATE CASE PROPOSAL</t>
  </si>
  <si>
    <t>RATE CHANGE  NEXT BILL DATE 2/21/26</t>
  </si>
  <si>
    <t>NO V-M OPTION</t>
  </si>
  <si>
    <t>PROVIDED TIPS LINE #S</t>
  </si>
  <si>
    <t>CORE HUNG UP CALL</t>
  </si>
  <si>
    <t>STOPPED S-A 2025-06-04 to 2025-11-03</t>
  </si>
  <si>
    <t>MAILED OUT E3</t>
  </si>
  <si>
    <t>OFFER OPTION TO LOWER BILL</t>
  </si>
  <si>
    <t>NO VOICE MAIL OPTION</t>
  </si>
  <si>
    <t>DID REVIEW OPTION TO LOWER BILL</t>
  </si>
  <si>
    <t>SENT E3 TO APPLY</t>
  </si>
  <si>
    <t>NO GOOD CONTACT # ON ACCT</t>
  </si>
  <si>
    <t>DID OFFER OPTION TO LOWER BILL</t>
  </si>
  <si>
    <t>S-A WAS STOPPED AS OF 12/11/25</t>
  </si>
  <si>
    <t>NO VM OPTION</t>
  </si>
  <si>
    <t>BETTER PLAN TIME OF WITH DEMAND</t>
  </si>
  <si>
    <t>BETTER RATE</t>
  </si>
  <si>
    <t>NOT  FOR RATE INCREASE</t>
  </si>
  <si>
    <t>ACCT IS ON P-A PAST DUE NO E3 ON ACCT</t>
  </si>
  <si>
    <t>2ND TIME LEAVING V-M</t>
  </si>
  <si>
    <t>not for rate increases</t>
  </si>
  <si>
    <t>ACCT CURRENT NO E3</t>
  </si>
  <si>
    <t>BB PROGRAM 114.00</t>
  </si>
  <si>
    <t>POSITIVE WITH OPTION OFFERED TO SAVE OR LOWER BILL</t>
  </si>
  <si>
    <t>ACCT CURRENT NO E3 LEFT VM</t>
  </si>
  <si>
    <t>DOUBLE IN SPREAD SHEET</t>
  </si>
  <si>
    <t>AGENCYS #S TO ASSIST WITH BILL</t>
  </si>
  <si>
    <t>CURRENT ON ACT LEFT VM</t>
  </si>
  <si>
    <t>ACCT IS ON P-A NO E3 OR MED</t>
  </si>
  <si>
    <t>ED ON PLANS TO HELP SAVE &amp; REBATE INFO</t>
  </si>
  <si>
    <t>BETTER PLAN TIME OF USE WITH DEMAND</t>
  </si>
  <si>
    <t>ACCT IS CURRENT .NO E3</t>
  </si>
  <si>
    <t>CHANGE PLAN TIME OF USE PLAN ACCT CURRENT</t>
  </si>
  <si>
    <t>CALLER HUNG UP</t>
  </si>
  <si>
    <t>ACT HAS 2 SERVICES ADDRESS</t>
  </si>
  <si>
    <t>NEW BB  Total Budget Amount $237.00</t>
  </si>
  <si>
    <t>NEW BB  AMOUNT 309.00</t>
  </si>
  <si>
    <t>REJECTED CALL</t>
  </si>
  <si>
    <t>IS ON P-A &amp;  NO E3 ON ACCT</t>
  </si>
  <si>
    <t>ACCT CURRENT NO PAST DUE NO E3</t>
  </si>
  <si>
    <t>OPTIONS TO HELP LOWER BILL</t>
  </si>
  <si>
    <t>DID TALK TO ROMINA LYNDH IS ON P-A MAILED E3</t>
  </si>
  <si>
    <t>MOVED OUT OF STATE</t>
  </si>
  <si>
    <t>PENDING STOP OF SERVICES FOR 1/7/25</t>
  </si>
  <si>
    <t>PENDING STOP OF SERVICES FOR 1/23/26</t>
  </si>
  <si>
    <t>TIME OF USE WITH DEMAND</t>
  </si>
  <si>
    <t>DID TALK TO CORE IS ON P-A SENT E3</t>
  </si>
  <si>
    <t>STILL NOT FOR RATE INCREASE</t>
  </si>
  <si>
    <t>NO E3 ON ACCT IS ON PAYMENT ARRANGEMENT</t>
  </si>
  <si>
    <t>ACCT IS CURRENT .NO E3  LEFT VM</t>
  </si>
  <si>
    <t>IS ON PAYMENT ARRANGEMENT</t>
  </si>
  <si>
    <t>NOT SAME NAME FOR ACCT HAS CREDIT 1122.94</t>
  </si>
  <si>
    <t>DID TALK TO MS BARBOSA ENROLLED IN BB PROGRAM</t>
  </si>
  <si>
    <t>WILL CB TO REVIEW OPTIONS TO LOWER BILL</t>
  </si>
  <si>
    <t>CLOSED ACCT 10/27/25</t>
  </si>
  <si>
    <t>WILL REVIEW THEN CB TO MAKE CHANGES TO ACT</t>
  </si>
  <si>
    <t>WILL APPLY ON LINE FOR E-3</t>
  </si>
  <si>
    <t>CONTACT # NEEDS TO BE UPDATED ON ACCT</t>
  </si>
  <si>
    <t>E-3 BB PROGRAM</t>
  </si>
  <si>
    <t>BETTER RATE FIXXED ENERGY PLAN</t>
  </si>
  <si>
    <t>DID NOT WANT TO BE CALLED</t>
  </si>
  <si>
    <t>OFFER OPTION TO LOWER BILL E3 --SOLAR ACCT</t>
  </si>
  <si>
    <t>CORE WAS PROVIDED WITH AGENCYS #</t>
  </si>
  <si>
    <t>E3</t>
  </si>
  <si>
    <t>WILL CB NEXT  WEEK</t>
  </si>
  <si>
    <t>SOLAR ACCT GRANDFATHER  PLAN 9-9</t>
  </si>
  <si>
    <t>HUNG UP</t>
  </si>
  <si>
    <t>STREETLIGHT ISSUE REPORTED</t>
  </si>
  <si>
    <t>INFO ON E3</t>
  </si>
  <si>
    <t>DID CB TO GET ON BETER RATE ON 1/5/26</t>
  </si>
  <si>
    <t>WILL REVIEW BILL THEN CB</t>
  </si>
  <si>
    <t>RATE CASE OUTREACH — EXECUTIVE SUMMARY</t>
  </si>
  <si>
    <t>Total Docketed</t>
  </si>
  <si>
    <t>Callable</t>
  </si>
  <si>
    <t>Contacted</t>
  </si>
  <si>
    <t>Progress</t>
  </si>
  <si>
    <t>Comments Filed</t>
  </si>
  <si>
    <t>Valid Customers</t>
  </si>
  <si>
    <t>To Contact</t>
  </si>
  <si>
    <t>Completion</t>
  </si>
  <si>
    <t>CUSTOMER INSIGHTS</t>
  </si>
  <si>
    <t>Not on MEP Left</t>
  </si>
  <si>
    <t>Payoff Balance Left</t>
  </si>
  <si>
    <t>On MEP</t>
  </si>
  <si>
    <t>Unable to Locate</t>
  </si>
  <si>
    <t>Currently Enrolled</t>
  </si>
  <si>
    <t>Per Week</t>
  </si>
  <si>
    <t>Removed from Queue</t>
  </si>
  <si>
    <t>WEEKLY PERFORMANCE</t>
  </si>
  <si>
    <t>Calls</t>
  </si>
  <si>
    <t>═══════════════════════════════════════════════</t>
  </si>
  <si>
    <t>POWER APPS BUILD GUIDE — APS Rate Case Call Tracker</t>
  </si>
  <si>
    <t>PREREQUISITES</t>
  </si>
  <si>
    <t>• This Excel file must be on SharePoint or OneDrive for Business</t>
  </si>
  <si>
    <t>• You need Power Apps access (included with M365 Business/Enterprise)</t>
  </si>
  <si>
    <t>• The file has an Excel Table called tblCallTracker on the Call Tracker sheet</t>
  </si>
  <si>
    <t>STEP 1: CREATE THE APP (5 min)</t>
  </si>
  <si>
    <t>1. Go to make.powerapps.com</t>
  </si>
  <si>
    <t>2. Click + Create → Start with data → Excel</t>
  </si>
  <si>
    <t>3. Connect to your SharePoint site → navigate to this Excel file</t>
  </si>
  <si>
    <t>4. Select tblCallTracker → Click Connect</t>
  </si>
  <si>
    <t>5. Power Apps auto-generates a 3-screen app (Browse, Detail, Edit)</t>
  </si>
  <si>
    <t>STEP 2: CUSTOMIZE BROWSE SCREEN — CALL QUEUE (15 min)</t>
  </si>
  <si>
    <t>In the Items property of BrowseGallery1, replace the default with:</t>
  </si>
  <si>
    <t xml:space="preserve">  Sort(Filter(tblCallTracker, IsBlank(Associate)), Priority, SortOrder.Ascending)</t>
  </si>
  <si>
    <t>This shows only uncalled customers, sorted P1 → P4.</t>
  </si>
  <si>
    <t>Set gallery fields:</t>
  </si>
  <si>
    <t xml:space="preserve">  Title: ThisItem.CustomerName</t>
  </si>
  <si>
    <t xml:space="preserve">  Subtitle: ThisItem.City &amp; " | " &amp; ThisItem.RatePlan</t>
  </si>
  <si>
    <t xml:space="preserve">  Body: ThisItem.Issue</t>
  </si>
  <si>
    <t>Add a Priority label with color:</t>
  </si>
  <si>
    <t xml:space="preserve">  Switch(ThisItem.Priority, "P1", Color.Red, "P2", Color.OrangeRed, "P3", Color.Gold, "P4", Color.Green, Color.Gray)</t>
  </si>
  <si>
    <t>Add a counter label at top:</t>
  </si>
  <si>
    <t xml:space="preserve">  CountRows(Filter(tblCallTracker, IsBlank(Associate))) &amp; " customers remaining"</t>
  </si>
  <si>
    <t>STEP 3: CUSTOMIZE EDIT SCREEN — CALL FORM (15 min)</t>
  </si>
  <si>
    <t>Remove fields associates shouldn't edit: Priority, CustomerName, City, RatePlan, MEPStatus, Issue, AccountNumber</t>
  </si>
  <si>
    <t>Keep: Associate, DateCalled, VM, Outcome, Notes</t>
  </si>
  <si>
    <t>Show customer info as read-only labels at top:</t>
  </si>
  <si>
    <t xml:space="preserve">  BrowseGallery1.Selected.CustomerName &amp; " — " &amp; BrowseGallery1.Selected.City</t>
  </si>
  <si>
    <t xml:space="preserve">  "Account: " &amp; BrowseGallery1.Selected.AccountNumber</t>
  </si>
  <si>
    <t xml:space="preserve">  BrowseGallery1.Selected.Issue</t>
  </si>
  <si>
    <t>Configure input fields:</t>
  </si>
  <si>
    <t xml:space="preserve">  Associate → Dropdown: ["Michelle", "Joaquin"]</t>
  </si>
  <si>
    <t xml:space="preserve">  DateCalled → Default: Today()</t>
  </si>
  <si>
    <t xml:space="preserve">  VM → Dropdown: ["YES", "NO"]</t>
  </si>
  <si>
    <t xml:space="preserve">  Outcome → Dropdown: ["General Education", "Rate Change", "Updated/New PA", "Utility Assistance", "E3/E4", "Other (fill in)"]</t>
  </si>
  <si>
    <t xml:space="preserve">  Notes → Text input (free-form)</t>
  </si>
  <si>
    <t>Auto-set Priority to Called on submit:</t>
  </si>
  <si>
    <t xml:space="preserve">  Add Priority field back, set Default to "Called", set Visible to false</t>
  </si>
  <si>
    <t>STEP 4: PUBLISH AND SHARE (5 min)</t>
  </si>
  <si>
    <t>1. File → Save → name it "APS Rate Case Call Tracker"</t>
  </si>
  <si>
    <t>2. Click Publish</t>
  </si>
  <si>
    <t>3. Click Share → add associates by email</t>
  </si>
  <si>
    <t>4. They get it in their Power Apps app on desktop</t>
  </si>
  <si>
    <t>POWER AUTOMATE BUILD GUIDE — Auto-Add New Comments</t>
  </si>
  <si>
    <t>STEP 0: PREP (already done)</t>
  </si>
  <si>
    <t>Docketed Comments is already an Excel Table: tblDocketedComments ✅</t>
  </si>
  <si>
    <t>STEP 1: CREATE THE FLOW (5 min)</t>
  </si>
  <si>
    <t>1. Go to make.powerautomate.com</t>
  </si>
  <si>
    <t>2. + Create → Automated cloud flow</t>
  </si>
  <si>
    <t>3. Name: "New Docketed Comment → Call Tracker"</t>
  </si>
  <si>
    <t>4. Trigger: "When a row is added" (Excel Online Business)</t>
  </si>
  <si>
    <t>5. Configure: Location = SharePoint, File = this file, Table = tblDocketedComments</t>
  </si>
  <si>
    <t>STEP 2: ADD CONDITION — IS ACCOUNT CALLABLE? (5 min)</t>
  </si>
  <si>
    <t>Add a Condition with ALL of these (AND logic):</t>
  </si>
  <si>
    <t xml:space="preserve">  • Account # is not equal to "Unable to Locate Acct"</t>
  </si>
  <si>
    <t xml:space="preserve">  • Account # is not equal to (blank)</t>
  </si>
  <si>
    <t xml:space="preserve">  • Account # does not contain "Multiple"</t>
  </si>
  <si>
    <t xml:space="preserve">  • Account # does not contain "Unknown"</t>
  </si>
  <si>
    <t xml:space="preserve">  • Account # does not contain "Inactive"</t>
  </si>
  <si>
    <t xml:space="preserve">  • Account # does not contain "N/A"</t>
  </si>
  <si>
    <t>STEP 3: CALCULATE PRIORITY (10 min)</t>
  </si>
  <si>
    <t>In the If Yes branch, add a Compose action with this expression:</t>
  </si>
  <si>
    <t>Priority Logic:</t>
  </si>
  <si>
    <t xml:space="preserve">  P1 = Not on best plan AND has payoff balance (most at-risk)</t>
  </si>
  <si>
    <t xml:space="preserve">  P2 = Not on best plan, no balance</t>
  </si>
  <si>
    <t xml:space="preserve">  P3 = On best plan but has balance</t>
  </si>
  <si>
    <t xml:space="preserve">  P4 = On best plan, no balance (lowest priority)</t>
  </si>
  <si>
    <t>Expression (paste into Compose Inputs):</t>
  </si>
  <si>
    <t>if(and(not(or(startsWith(trim(triggerOutputs()?['body/Cust on MEP']),'Yes'),equals(trim(triggerOutputs()?['body/Cust on MEP']),'Y'),equals(triggerOutputs()?['body/Cust on MEP'],'Frozen Rate'),equals(triggerOutputs()?['body/Cust on MEP'],''))),and(not(equals(triggerOutputs()?['body/Payoff Balance'],'No')),not(equals(triggerOutputs()?['body/Payoff Balance'],'')))),</t>
  </si>
  <si>
    <t>P1',if(not(or(startsWith(trim(triggerOutputs()?['body/Cust on MEP']),'Yes'),equals(trim(triggerOutputs()?['body/Cust on MEP']),'Y'),equals(triggerOutputs()?['body/Cust on MEP'],'Frozen Rate'),equals(triggerOutputs()?['body/Cust on MEP'],''))),</t>
  </si>
  <si>
    <t>P2',if(and(not(equals(triggerOutputs()?['body/Payoff Balance'],'No')),not(equals(triggerOutputs()?['body/Payoff Balance'],''))),</t>
  </si>
  <si>
    <t>P3','P4')))</t>
  </si>
  <si>
    <t>STEP 4: ADD ROW TO CALL TRACKER (10 min)</t>
  </si>
  <si>
    <t>Add action: "Add a row into a table" (Excel Online Business)</t>
  </si>
  <si>
    <t>Table: tblCallTracker</t>
  </si>
  <si>
    <t>Field mapping:</t>
  </si>
  <si>
    <t xml:space="preserve">  AccountNumber → Expression: padLeft(trim(string(triggerOutputs()?['body/Account #'])),10,'0')</t>
  </si>
  <si>
    <t xml:space="preserve">  Associate → (leave blank)</t>
  </si>
  <si>
    <t xml:space="preserve">  DateCalled → (leave blank)</t>
  </si>
  <si>
    <t xml:space="preserve">  VM → (leave blank)</t>
  </si>
  <si>
    <t xml:space="preserve">  Outcome → (leave blank)</t>
  </si>
  <si>
    <t xml:space="preserve">  Notes → (leave blank)</t>
  </si>
  <si>
    <t xml:space="preserve">  Priority → Outputs from Calculate Priority step</t>
  </si>
  <si>
    <t xml:space="preserve">  CustomerName → Expression: concat(triggerOutputs()?['body/Last Name'],', ',triggerOutputs()?['body/First Name'])</t>
  </si>
  <si>
    <t xml:space="preserve">  City → Dynamic: City</t>
  </si>
  <si>
    <t xml:space="preserve">  RatePlan → Dynamic: Rate Plan</t>
  </si>
  <si>
    <t xml:space="preserve">  MEPStatus → "Not on Best Plan" or "On Best Plan" (use Switch expression on Cust on MEP field)</t>
  </si>
  <si>
    <t xml:space="preserve">  Issue → Dynamic: Issue / Complaint</t>
  </si>
  <si>
    <t>STEP 5: OPTIONAL — DUPLICATE DETECTION</t>
  </si>
  <si>
    <t>Before the Add Row step, add "List rows in table" with filter:</t>
  </si>
  <si>
    <t xml:space="preserve">  AccountNumber eq '[padded account]'</t>
  </si>
  <si>
    <t xml:space="preserve">  Only add if count = 0</t>
  </si>
  <si>
    <t>STEP 6: SAVE AND TEST</t>
  </si>
  <si>
    <t>1. Save the flow</t>
  </si>
  <si>
    <t>2. Test manually → add a test row to Docketed Comments</t>
  </si>
  <si>
    <t>3. Check tblCallTracker for the new row</t>
  </si>
  <si>
    <t>4. Delete test data from both sheets</t>
  </si>
  <si>
    <t>TABLE SCHEMA REFERENCE</t>
  </si>
  <si>
    <t>tblCallTracker columns:</t>
  </si>
  <si>
    <t xml:space="preserve">  AccountNumber | Text (10 digits, leading zeros) | e.g. 0356005964</t>
  </si>
  <si>
    <t xml:space="preserve">  Associate     | Text | Michelle, Joaquin | Editable</t>
  </si>
  <si>
    <t xml:space="preserve">  DateCalled    | Date | Auto-fills today in app | Editable</t>
  </si>
  <si>
    <t xml:space="preserve">  VM            | Text | YES / NO | Editable</t>
  </si>
  <si>
    <t xml:space="preserve">  Outcome       | Text | Dropdown list | Editable</t>
  </si>
  <si>
    <t xml:space="preserve">  Notes         | Text | Free-form | Editable</t>
  </si>
  <si>
    <t xml:space="preserve">  Priority      | Text | P1, P2, P3, P4, Called | Auto-set</t>
  </si>
  <si>
    <t xml:space="preserve">  CustomerName  | Text | Last, First | Read-only</t>
  </si>
  <si>
    <t xml:space="preserve">  City          | Text | e.g. Goodyear | Read-only</t>
  </si>
  <si>
    <t xml:space="preserve">  RatePlan      | Text | e.g. R-BASICL | Read-only</t>
  </si>
  <si>
    <t xml:space="preserve">  MEPStatus     | Text | Not on Best Plan, On Best Plan, etc. | Read-only</t>
  </si>
  <si>
    <t xml:space="preserve">  Issue         | Text | Customer complaint | Read-only</t>
  </si>
  <si>
    <t>VMs Left</t>
  </si>
  <si>
    <t>Voicemails</t>
  </si>
  <si>
    <t>Conversations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</si>
</sst>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164" formatCode="&quot;$&quot;#,##0.00"/>
    <numFmt numFmtId="165" formatCode="mm/dd/yyyy"/>
    <numFmt numFmtId="166" formatCode="0.0%"/>
    <numFmt numFmtId="168" formatCode="&quot;$&quot;#,##0.00;\(&quot;$&quot;#,##0.00\);&quot;No&quot;"/>
    <numFmt numFmtId="169" formatCode="mm/dd/yy"/>
  </numFmts>
  <fonts count="41">
    <font>
      <sz val="11"/>
      <color theme="1"/>
      <name val="Aptos Narrow"/>
      <family val="2"/>
      <scheme val="minor"/>
    </font>
    <font>
      <u/>
      <sz val="11"/>
      <color theme="10"/>
      <name val="Aptos Narrow"/>
      <family val="2"/>
      <scheme val="minor"/>
    </font>
    <font>
      <b/>
      <sz val="9"/>
      <color rgb="FF000000"/>
      <name val="Arial Nova Cond"/>
      <family val="2"/>
    </font>
    <font>
      <b/>
      <sz val="9"/>
      <color theme="1"/>
      <name val="Arial Nova Cond"/>
      <family val="2"/>
    </font>
    <font>
      <sz val="9"/>
      <color theme="1"/>
      <name val="Arial Nova Cond"/>
      <family val="2"/>
    </font>
    <font>
      <sz val="9"/>
      <color rgb="FF212121"/>
      <name val="Arial Nova Cond"/>
      <family val="2"/>
    </font>
    <font>
      <u/>
      <sz val="9"/>
      <color theme="10"/>
      <name val="Arial Nova Cond"/>
      <family val="2"/>
    </font>
    <font>
      <sz val="9"/>
      <name val="Arial Nova Cond"/>
      <family val="2"/>
    </font>
    <font>
      <sz val="9"/>
      <color rgb="FFFF0000"/>
      <name val="Arial Nova Cond"/>
      <family val="2"/>
    </font>
    <font>
      <sz val="9"/>
      <color rgb="FF000000"/>
      <name val="Arial Nova Cond"/>
      <family val="2"/>
    </font>
    <font>
      <sz val="9"/>
      <color rgb="FF000000"/>
      <name val="Arial Nova Cond"/>
    </font>
    <font>
      <sz val="9"/>
      <color theme="1"/>
      <name val="Arial Unicode MS"/>
      <family val="2"/>
    </font>
    <font>
      <sz val="9"/>
      <color rgb="FFFF0000"/>
      <name val="Arial Unicode MS"/>
      <family val="2"/>
    </font>
    <font>
      <b/>
      <sz val="16"/>
      <color theme="3"/>
      <name val="Aptos Narrow"/>
      <family val="2"/>
      <scheme val="minor"/>
    </font>
    <font>
      <sz val="9"/>
      <color rgb="FFFF0000"/>
      <name val="Arial Nova Cond"/>
    </font>
    <font>
      <sz val="11"/>
      <color theme="1"/>
      <name val="Aptos Narrow"/>
      <scheme val="minor"/>
    </font>
    <font>
      <sz val="11"/>
      <color rgb="FF333333"/>
      <name val="Aptos Narrow"/>
      <scheme val="minor"/>
    </font>
    <font>
      <b/>
      <sz val="11"/>
      <color rgb="FFFFFFFF"/>
      <name val="Aptos Narrow"/>
      <scheme val="minor"/>
    </font>
    <font>
      <b/>
      <sz val="11"/>
      <color rgb="FF1B5E20"/>
      <name val="Aptos Narrow"/>
      <scheme val="minor"/>
    </font>
    <font>
      <b/>
      <sz val="24"/>
      <color rgb="FF2E7D32"/>
      <name val="Aptos Display"/>
    </font>
    <font>
      <b/>
      <sz val="11"/>
      <color rgb="FF333333"/>
      <name val="Aptos Narrow"/>
      <scheme val="minor"/>
    </font>
    <font>
      <sz val="8"/>
      <name val="Aptos Narrow"/>
      <family val="2"/>
      <scheme val="minor"/>
    </font>
    <font>
      <sz val="9"/>
      <color rgb="FF1565C0"/>
      <name val="Aptos Narrow"/>
      <scheme val="minor"/>
    </font>
    <font>
      <b/>
      <sz val="18"/>
      <color rgb="FFFFFFFF"/>
      <name val="Aptos Display"/>
    </font>
    <font>
      <b/>
      <sz val="28"/>
      <color rgb="FF2E7D32"/>
      <name val="Aptos Display"/>
    </font>
    <font>
      <i/>
      <sz val="8"/>
      <color rgb="FF999999"/>
      <name val="Aptos Narrow"/>
      <scheme val="minor"/>
    </font>
    <font>
      <b/>
      <sz val="9"/>
      <color rgb="FFFFFFFF"/>
      <name val="Aptos Narrow"/>
      <scheme val="minor"/>
    </font>
    <font>
      <sz val="10"/>
      <color theme="1"/>
      <name val="Aptos Narrow"/>
      <scheme val="minor"/>
    </font>
    <font>
      <i/>
      <sz val="9"/>
      <color rgb="FF999999"/>
      <name val="Aptos Narrow"/>
      <scheme val="minor"/>
    </font>
    <font>
      <sz val="9"/>
      <color rgb="FF2E7D32"/>
      <name val="Aptos Narrow"/>
      <scheme val="minor"/>
    </font>
    <font>
      <b/>
      <sz val="14"/>
      <color rgb="FF2D5016"/>
      <name val="Aptos Narrow"/>
      <scheme val="minor"/>
    </font>
    <font>
      <b/>
      <sz val="11"/>
      <color rgb="FF1F4E79"/>
      <name val="Aptos Narrow"/>
      <scheme val="minor"/>
    </font>
    <font>
      <b/>
      <sz val="28"/>
      <color rgb="FF2C3E50"/>
      <name val="Aptos Display"/>
    </font>
    <font>
      <b/>
      <sz val="28"/>
      <color rgb="FF00695C"/>
      <name val="Aptos Display"/>
    </font>
    <font>
      <b/>
      <sz val="28"/>
      <color rgb="FF4527A0"/>
      <name val="Aptos Display"/>
    </font>
    <font>
      <b/>
      <sz val="9"/>
      <color rgb="FF555555"/>
      <name val="Aptos Narrow"/>
      <scheme val="minor"/>
    </font>
    <font>
      <b/>
      <sz val="24"/>
      <color rgb="FFAD1457"/>
      <name val="Aptos Display"/>
    </font>
    <font>
      <b/>
      <sz val="24"/>
      <color rgb="FF00695C"/>
      <name val="Aptos Display"/>
    </font>
    <font>
      <b/>
      <sz val="24"/>
      <color rgb="FF283593"/>
      <name val="Aptos Display"/>
    </font>
    <font>
      <b/>
      <sz val="24"/>
      <color rgb="FF455A64"/>
      <name val="Aptos Display"/>
    </font>
    <font>
      <b/>
      <sz val="24"/>
      <color rgb="FF2C3E50"/>
      <name val="Aptos Display"/>
    </font>
  </fonts>
  <fills count="30">
    <fill>
      <patternFill patternType="none"/>
    </fill>
    <fill>
      <patternFill patternType="gray125"/>
    </fill>
    <fill>
      <patternFill patternType="solid">
        <fgColor theme="5" tint="0.39997558519241921"/>
        <bgColor rgb="FF000000"/>
      </patternFill>
    </fill>
    <fill>
      <patternFill patternType="solid">
        <fgColor theme="5" tint="0.39997558519241921"/>
        <bgColor indexed="64"/>
      </patternFill>
    </fill>
    <fill>
      <patternFill patternType="solid">
        <fgColor rgb="FF00FF0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D9D9D9"/>
        <bgColor rgb="FF000000"/>
      </patternFill>
    </fill>
    <fill>
      <patternFill patternType="solid">
        <fgColor theme="0" tint="-0.14999847407452621"/>
        <bgColor indexed="64"/>
      </patternFill>
    </fill>
    <fill>
      <patternFill patternType="solid">
        <fgColor theme="3" tint="0.749992370372631"/>
        <bgColor indexed="64"/>
      </patternFill>
    </fill>
    <fill>
      <patternFill patternType="solid">
        <fgColor rgb="FFFFFFFF"/>
        <bgColor indexed="64"/>
      </patternFill>
    </fill>
    <fill>
      <patternFill patternType="solid">
        <fgColor rgb="FF2E7D32"/>
        <bgColor indexed="64"/>
      </patternFill>
    </fill>
    <fill>
      <patternFill patternType="solid">
        <fgColor rgb="FF37474F"/>
        <bgColor indexed="64"/>
      </patternFill>
    </fill>
    <fill>
      <patternFill patternType="solid">
        <fgColor rgb="FFECEFF1"/>
        <bgColor indexed="64"/>
      </patternFill>
    </fill>
    <fill>
      <patternFill patternType="solid">
        <fgColor rgb="FF1565C0"/>
        <bgColor indexed="64"/>
      </patternFill>
    </fill>
    <fill>
      <patternFill patternType="solid">
        <fgColor rgb="FF1B3A5C"/>
        <bgColor indexed="64"/>
      </patternFill>
    </fill>
    <fill>
      <patternFill patternType="solid">
        <fgColor rgb="FF00695C"/>
        <bgColor indexed="64"/>
      </patternFill>
    </fill>
    <fill>
      <patternFill patternType="solid">
        <fgColor rgb="FF455A64"/>
        <bgColor indexed="64"/>
      </patternFill>
    </fill>
    <fill>
      <patternFill patternType="solid">
        <fgColor rgb="FF263238"/>
        <bgColor indexed="64"/>
      </patternFill>
    </fill>
    <fill>
      <patternFill patternType="solid">
        <fgColor rgb="FFE8F0FE"/>
        <bgColor indexed="64"/>
      </patternFill>
    </fill>
    <fill>
      <patternFill patternType="solid">
        <fgColor rgb="FFFFF3E0"/>
        <bgColor indexed="64"/>
      </patternFill>
    </fill>
    <fill>
      <patternFill patternType="solid">
        <fgColor rgb="FFE8F5E9"/>
        <bgColor indexed="64"/>
      </patternFill>
    </fill>
    <fill>
      <patternFill patternType="solid">
        <fgColor rgb="FFFFF8E1"/>
        <bgColor indexed="64"/>
      </patternFill>
    </fill>
    <fill>
      <patternFill patternType="solid">
        <fgColor rgb="FFE8EDF2"/>
        <bgColor indexed="64"/>
      </patternFill>
    </fill>
    <fill>
      <patternFill patternType="solid">
        <fgColor rgb="FFE0F2F1"/>
        <bgColor indexed="64"/>
      </patternFill>
    </fill>
    <fill>
      <patternFill patternType="solid">
        <fgColor rgb="FFEDE7F6"/>
        <bgColor indexed="64"/>
      </patternFill>
    </fill>
    <fill>
      <patternFill patternType="solid">
        <fgColor rgb="FFFCE4EC"/>
        <bgColor indexed="64"/>
      </patternFill>
    </fill>
    <fill>
      <patternFill patternType="solid">
        <fgColor rgb="FFE0F7FA"/>
        <bgColor indexed="64"/>
      </patternFill>
    </fill>
    <fill>
      <patternFill patternType="solid">
        <fgColor rgb="FFE8EAF6"/>
        <bgColor indexed="64"/>
      </patternFill>
    </fill>
    <fill>
      <patternFill patternType="solid">
        <fgColor rgb="FFF8FAFB"/>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E0E0E0"/>
      </left>
      <right style="thin">
        <color rgb="FFE0E0E0"/>
      </right>
      <top/>
      <bottom style="thin">
        <color rgb="FFE0E0E0"/>
      </bottom>
      <diagonal/>
    </border>
    <border>
      <left style="thin">
        <color rgb="FFE0E0E0"/>
      </left>
      <right/>
      <top/>
      <bottom style="thin">
        <color rgb="FFE0E0E0"/>
      </bottom>
      <diagonal/>
    </border>
    <border>
      <left style="thin">
        <color rgb="FFE0E0E0"/>
      </left>
      <right style="thin">
        <color rgb="FFE0E0E0"/>
      </right>
      <top style="thin">
        <color rgb="FFE0E0E0"/>
      </top>
      <bottom/>
      <diagonal/>
    </border>
    <border>
      <left style="thin">
        <color rgb="FFE0E0E0"/>
      </left>
      <right/>
      <top style="thin">
        <color rgb="FFE0E0E0"/>
      </top>
      <bottom/>
      <diagonal/>
    </border>
    <border>
      <left/>
      <right style="thin">
        <color indexed="64"/>
      </right>
      <top/>
      <bottom style="thin">
        <color rgb="FFE8E8E8"/>
      </bottom>
      <diagonal/>
    </border>
    <border>
      <left style="thin">
        <color indexed="64"/>
      </left>
      <right style="thin">
        <color indexed="64"/>
      </right>
      <top/>
      <bottom style="thin">
        <color rgb="FFE8E8E8"/>
      </bottom>
      <diagonal/>
    </border>
    <border>
      <left style="thin">
        <color indexed="64"/>
      </left>
      <right/>
      <top/>
      <bottom style="thin">
        <color rgb="FFE8E8E8"/>
      </bottom>
      <diagonal/>
    </border>
    <border>
      <left/>
      <right/>
      <top/>
      <bottom style="thin">
        <color rgb="FFE8E8E8"/>
      </bottom>
      <diagonal/>
    </border>
    <border>
      <left/>
      <right/>
      <top style="thin">
        <color rgb="FFE8E8E8"/>
      </top>
      <bottom style="thin">
        <color rgb="FFE8E8E8"/>
      </bottom>
      <diagonal/>
    </border>
    <border>
      <left/>
      <right style="thin">
        <color indexed="64"/>
      </right>
      <top style="thin">
        <color rgb="FFE8E8E8"/>
      </top>
      <bottom style="thin">
        <color rgb="FFE8E8E8"/>
      </bottom>
      <diagonal/>
    </border>
    <border>
      <left style="thin">
        <color indexed="64"/>
      </left>
      <right style="thin">
        <color indexed="64"/>
      </right>
      <top style="thin">
        <color rgb="FFE8E8E8"/>
      </top>
      <bottom style="thin">
        <color rgb="FFE8E8E8"/>
      </bottom>
      <diagonal/>
    </border>
    <border>
      <left style="thin">
        <color indexed="64"/>
      </left>
      <right style="thin">
        <color indexed="64"/>
      </right>
      <top style="thin">
        <color rgb="FFE8E8E8"/>
      </top>
      <bottom style="thin">
        <color indexed="64"/>
      </bottom>
      <diagonal/>
    </border>
    <border>
      <left/>
      <right style="thin">
        <color indexed="64"/>
      </right>
      <top style="thin">
        <color rgb="FFE8E8E8"/>
      </top>
      <bottom style="thin">
        <color indexed="64"/>
      </bottom>
      <diagonal/>
    </border>
    <border>
      <left style="thin">
        <color indexed="64"/>
      </left>
      <right/>
      <top style="thin">
        <color rgb="FFE8E8E8"/>
      </top>
      <bottom style="thin">
        <color rgb="FFE8E8E8"/>
      </bottom>
      <diagonal/>
    </border>
    <border>
      <left style="thin">
        <color indexed="64"/>
      </left>
      <right/>
      <top style="thin">
        <color rgb="FFE8E8E8"/>
      </top>
      <bottom style="thin">
        <color indexed="64"/>
      </bottom>
      <diagonal/>
    </border>
    <border>
      <left style="medium">
        <color rgb="FFB0BEC5"/>
      </left>
      <right style="thin">
        <color indexed="64"/>
      </right>
      <top/>
      <bottom style="thin">
        <color rgb="FFE8E8E8"/>
      </bottom>
      <diagonal/>
    </border>
    <border>
      <left style="medium">
        <color rgb="FFB0BEC5"/>
      </left>
      <right/>
      <top style="thin">
        <color rgb="FFE8E8E8"/>
      </top>
      <bottom style="thin">
        <color rgb="FFE8E8E8"/>
      </bottom>
      <diagonal/>
    </border>
    <border>
      <left style="medium">
        <color rgb="FFB0BEC5"/>
      </left>
      <right style="thin">
        <color indexed="64"/>
      </right>
      <top style="thin">
        <color rgb="FFE8E8E8"/>
      </top>
      <bottom style="thin">
        <color rgb="FFE8E8E8"/>
      </bottom>
      <diagonal/>
    </border>
    <border>
      <left style="medium">
        <color rgb="FFB0BEC5"/>
      </left>
      <right style="thin">
        <color indexed="64"/>
      </right>
      <top style="thin">
        <color rgb="FFE8E8E8"/>
      </top>
      <bottom style="thin">
        <color indexed="64"/>
      </bottom>
      <diagonal/>
    </border>
    <border>
      <left style="medium">
        <color rgb="FF2E7D32"/>
      </left>
      <right/>
      <top style="thin">
        <color rgb="FFE8E8E8"/>
      </top>
      <bottom style="thin">
        <color rgb="FFE8E8E8"/>
      </bottom>
      <diagonal/>
    </border>
    <border>
      <left style="medium">
        <color rgb="FF2E7D32"/>
      </left>
      <right/>
      <top style="thin">
        <color rgb="FFE8E8E8"/>
      </top>
      <bottom style="thin">
        <color indexed="64"/>
      </bottom>
      <diagonal/>
    </border>
    <border>
      <left style="medium">
        <color rgb="FF2E7D32"/>
      </left>
      <right/>
      <top/>
      <bottom style="thin">
        <color rgb="FFE8E8E8"/>
      </bottom>
      <diagonal/>
    </border>
    <border>
      <left style="medium">
        <color rgb="FF1565C0"/>
      </left>
      <right style="thin">
        <color indexed="64"/>
      </right>
      <top/>
      <bottom style="thin">
        <color rgb="FFE8E8E8"/>
      </bottom>
      <diagonal/>
    </border>
    <border>
      <left style="medium">
        <color rgb="FF1565C0"/>
      </left>
      <right/>
      <top style="thin">
        <color rgb="FFE8E8E8"/>
      </top>
      <bottom style="thin">
        <color rgb="FFE8E8E8"/>
      </bottom>
      <diagonal/>
    </border>
    <border>
      <left style="medium">
        <color rgb="FF263238"/>
      </left>
      <right style="thin">
        <color indexed="64"/>
      </right>
      <top style="thin">
        <color indexed="64"/>
      </top>
      <bottom style="thin">
        <color rgb="FFE8E8E8"/>
      </bottom>
      <diagonal/>
    </border>
    <border>
      <left style="medium">
        <color rgb="FF263238"/>
      </left>
      <right style="thin">
        <color indexed="64"/>
      </right>
      <top style="thin">
        <color rgb="FFE8E8E8"/>
      </top>
      <bottom style="thin">
        <color rgb="FFE8E8E8"/>
      </bottom>
      <diagonal/>
    </border>
    <border>
      <left style="medium">
        <color rgb="FF263238"/>
      </left>
      <right style="thin">
        <color indexed="64"/>
      </right>
      <top style="thin">
        <color rgb="FFE8E8E8"/>
      </top>
      <bottom style="thin">
        <color indexed="64"/>
      </bottom>
      <diagonal/>
    </border>
    <border>
      <left/>
      <right/>
      <top/>
      <bottom style="thin">
        <color rgb="FF1B5E20"/>
      </bottom>
      <diagonal/>
    </border>
    <border>
      <left style="thin">
        <color rgb="FFE0E0E0"/>
      </left>
      <right/>
      <top/>
      <bottom/>
      <diagonal/>
    </border>
    <border>
      <left style="thin">
        <color rgb="FFE0E0E0"/>
      </left>
      <right style="thin">
        <color rgb="FFE0E0E0"/>
      </right>
      <top/>
      <bottom/>
      <diagonal/>
    </border>
  </borders>
  <cellStyleXfs count="2">
    <xf numFmtId="0" fontId="0" fillId="0" borderId="0"/>
    <xf numFmtId="0" fontId="1" fillId="0" borderId="0" applyNumberFormat="0" applyFill="0" applyBorder="0" applyAlignment="0" applyProtection="0"/>
  </cellStyleXfs>
  <cellXfs count="224">
    <xf numFmtId="0" fontId="0" fillId="0" borderId="0" xfId="0"/>
    <xf numFmtId="0" fontId="4" fillId="0" borderId="0" xfId="0" applyFont="1"/>
    <xf numFmtId="14" fontId="4" fillId="0" borderId="0" xfId="0" applyNumberFormat="1" applyFont="1" applyAlignment="1">
      <alignment horizontal="center"/>
    </xf>
    <xf numFmtId="0" fontId="4" fillId="0" borderId="0" xfId="0" applyFont="1" applyAlignment="1">
      <alignment wrapText="1"/>
    </xf>
    <xf numFmtId="49" fontId="4"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4" fillId="4" borderId="0" xfId="0" applyFont="1" applyFill="1" applyAlignment="1">
      <alignment horizontal="center"/>
    </xf>
    <xf numFmtId="0" fontId="6" fillId="0" borderId="0" xfId="1" applyFont="1"/>
    <xf numFmtId="49" fontId="4" fillId="4" borderId="0" xfId="0" applyNumberFormat="1" applyFont="1" applyFill="1" applyAlignment="1">
      <alignment horizontal="center"/>
    </xf>
    <xf numFmtId="0" fontId="7" fillId="0" borderId="0" xfId="0" applyFont="1" applyAlignment="1">
      <alignment horizontal="center"/>
    </xf>
    <xf numFmtId="0" fontId="4" fillId="5" borderId="0" xfId="0" applyFont="1" applyFill="1" applyAlignment="1">
      <alignment wrapText="1"/>
    </xf>
    <xf numFmtId="49" fontId="4" fillId="0" borderId="0" xfId="0" applyNumberFormat="1" applyFont="1" applyAlignment="1">
      <alignment horizontal="center" vertical="top"/>
    </xf>
    <xf numFmtId="8" fontId="4" fillId="0" borderId="0" xfId="0" applyNumberFormat="1" applyFont="1" applyAlignment="1">
      <alignment horizontal="center"/>
    </xf>
    <xf numFmtId="14" fontId="4" fillId="5" borderId="0" xfId="0" applyNumberFormat="1" applyFont="1" applyFill="1" applyAlignment="1">
      <alignment horizontal="center"/>
    </xf>
    <xf numFmtId="8" fontId="4" fillId="4" borderId="0" xfId="0" applyNumberFormat="1" applyFont="1" applyFill="1" applyAlignment="1">
      <alignment horizontal="center"/>
    </xf>
    <xf numFmtId="0" fontId="7" fillId="0" borderId="0" xfId="1" applyFont="1" applyAlignment="1">
      <alignment horizontal="center"/>
    </xf>
    <xf numFmtId="0" fontId="4" fillId="5" borderId="0" xfId="0" applyFont="1" applyFill="1" applyAlignment="1">
      <alignment horizontal="center"/>
    </xf>
    <xf numFmtId="0" fontId="9" fillId="0" borderId="0" xfId="0" applyFont="1" applyAlignment="1">
      <alignment horizontal="center"/>
    </xf>
    <xf numFmtId="6" fontId="4" fillId="0" borderId="0" xfId="0" applyNumberFormat="1" applyFont="1" applyAlignment="1">
      <alignment horizontal="center"/>
    </xf>
    <xf numFmtId="16" fontId="4" fillId="0" borderId="0" xfId="0" applyNumberFormat="1" applyFont="1"/>
    <xf numFmtId="49" fontId="9" fillId="0" borderId="0" xfId="0" applyNumberFormat="1" applyFont="1" applyAlignment="1">
      <alignment horizontal="center"/>
    </xf>
    <xf numFmtId="14" fontId="4" fillId="0" borderId="0" xfId="0" applyNumberFormat="1" applyFont="1"/>
    <xf numFmtId="0" fontId="4" fillId="0" borderId="0" xfId="0" applyFont="1" applyAlignment="1">
      <alignment horizontal="right"/>
    </xf>
    <xf numFmtId="0" fontId="4" fillId="5" borderId="0" xfId="0" applyFont="1" applyFill="1"/>
    <xf numFmtId="49" fontId="4" fillId="5" borderId="0" xfId="0" applyNumberFormat="1" applyFont="1" applyFill="1" applyAlignment="1">
      <alignment horizontal="center"/>
    </xf>
    <xf numFmtId="49" fontId="4" fillId="0" borderId="0" xfId="0" applyNumberFormat="1" applyFont="1" applyAlignment="1">
      <alignment horizontal="left"/>
    </xf>
    <xf numFmtId="0" fontId="7" fillId="0" borderId="0" xfId="0" applyFont="1"/>
    <xf numFmtId="0" fontId="4" fillId="6" borderId="0" xfId="0" applyFont="1" applyFill="1"/>
    <xf numFmtId="14" fontId="4" fillId="4" borderId="0" xfId="0" applyNumberFormat="1" applyFont="1" applyFill="1" applyAlignment="1">
      <alignment horizontal="center"/>
    </xf>
    <xf numFmtId="0" fontId="4" fillId="0" borderId="0" xfId="0" applyFont="1" applyAlignment="1">
      <alignment horizontal="left"/>
    </xf>
    <xf numFmtId="0" fontId="6" fillId="0" borderId="0" xfId="1" applyFont="1" applyFill="1"/>
    <xf numFmtId="0" fontId="8" fillId="0" borderId="0" xfId="0" applyFont="1"/>
    <xf numFmtId="14" fontId="9" fillId="0" borderId="0" xfId="0" applyNumberFormat="1" applyFont="1" applyAlignment="1">
      <alignment horizontal="center"/>
    </xf>
    <xf numFmtId="0" fontId="9" fillId="0" borderId="0" xfId="0" applyFont="1"/>
    <xf numFmtId="0" fontId="10" fillId="0" borderId="0" xfId="0" applyFont="1"/>
    <xf numFmtId="14" fontId="9" fillId="7" borderId="0" xfId="0" applyNumberFormat="1" applyFont="1" applyFill="1" applyAlignment="1">
      <alignment horizontal="center"/>
    </xf>
    <xf numFmtId="0" fontId="9" fillId="7" borderId="0" xfId="0" applyFont="1" applyFill="1"/>
    <xf numFmtId="0" fontId="9" fillId="7" borderId="0" xfId="0" applyFont="1" applyFill="1" applyAlignment="1">
      <alignment horizontal="center"/>
    </xf>
    <xf numFmtId="0" fontId="11" fillId="0" borderId="0" xfId="0" applyFont="1"/>
    <xf numFmtId="0" fontId="1" fillId="0" borderId="0" xfId="1" applyFill="1"/>
    <xf numFmtId="14" fontId="8" fillId="0" borderId="0" xfId="0" applyNumberFormat="1" applyFont="1" applyAlignment="1">
      <alignment horizontal="center"/>
    </xf>
    <xf numFmtId="0" fontId="8" fillId="0" borderId="0" xfId="0" applyFont="1" applyAlignment="1">
      <alignment horizontal="center"/>
    </xf>
    <xf numFmtId="0" fontId="12" fillId="0" borderId="0" xfId="0" applyFont="1"/>
    <xf numFmtId="49" fontId="8" fillId="0" borderId="0" xfId="0" applyNumberFormat="1" applyFont="1" applyAlignment="1">
      <alignment horizontal="center"/>
    </xf>
    <xf numFmtId="0" fontId="4" fillId="8" borderId="0" xfId="0" applyFont="1" applyFill="1"/>
    <xf numFmtId="0" fontId="2" fillId="2" borderId="2" xfId="0" applyFont="1" applyFill="1" applyBorder="1" applyAlignment="1">
      <alignment horizontal="center" wrapText="1"/>
    </xf>
    <xf numFmtId="0" fontId="2" fillId="2" borderId="2" xfId="0" applyFont="1" applyFill="1" applyBorder="1" applyAlignment="1">
      <alignment horizontal="center"/>
    </xf>
    <xf numFmtId="49" fontId="3" fillId="3" borderId="2" xfId="0" applyNumberFormat="1" applyFont="1" applyFill="1" applyBorder="1" applyAlignment="1">
      <alignment horizontal="center"/>
    </xf>
    <xf numFmtId="0" fontId="2" fillId="3"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center" wrapText="1"/>
    </xf>
    <xf numFmtId="0" fontId="2" fillId="2" borderId="2" xfId="0" applyFont="1" applyFill="1" applyBorder="1" applyAlignment="1">
      <alignment wrapText="1"/>
    </xf>
    <xf numFmtId="0" fontId="4" fillId="8" borderId="0" xfId="1" applyFont="1" applyFill="1"/>
    <xf numFmtId="0" fontId="0" fillId="0" borderId="1" xfId="0" applyBorder="1"/>
    <xf numFmtId="14" fontId="0" fillId="0" borderId="1" xfId="0" applyNumberFormat="1" applyBorder="1"/>
    <xf numFmtId="1" fontId="0" fillId="0" borderId="1" xfId="0" applyNumberFormat="1" applyBorder="1"/>
    <xf numFmtId="1" fontId="0" fillId="0" borderId="1" xfId="0" applyNumberFormat="1" applyBorder="1" applyAlignment="1">
      <alignment horizontal="center"/>
    </xf>
    <xf numFmtId="14" fontId="0" fillId="0" borderId="1" xfId="0" applyNumberFormat="1" applyBorder="1" applyProtection="1">
      <protection locked="0"/>
    </xf>
    <xf numFmtId="0" fontId="0" fillId="0" borderId="1" xfId="0" applyBorder="1" applyProtection="1">
      <protection locked="0"/>
    </xf>
    <xf numFmtId="0" fontId="13" fillId="9" borderId="1" xfId="0" applyFont="1" applyFill="1" applyBorder="1" applyAlignment="1">
      <alignment horizontal="center" wrapText="1"/>
    </xf>
    <xf numFmtId="8" fontId="8" fillId="0" borderId="0" xfId="0" applyNumberFormat="1" applyFont="1" applyAlignment="1">
      <alignment horizontal="center"/>
    </xf>
    <xf numFmtId="14" fontId="10" fillId="8" borderId="0" xfId="0" applyNumberFormat="1" applyFont="1" applyFill="1"/>
    <xf numFmtId="0" fontId="10" fillId="8" borderId="0" xfId="0" applyFont="1" applyFill="1"/>
    <xf numFmtId="14" fontId="14" fillId="8" borderId="0" xfId="0" applyNumberFormat="1" applyFont="1" applyFill="1"/>
    <xf numFmtId="0" fontId="14" fillId="8" borderId="0" xfId="0" applyFont="1" applyFill="1"/>
    <xf numFmtId="14" fontId="2" fillId="2" borderId="2" xfId="0" applyNumberFormat="1" applyFont="1" applyFill="1" applyBorder="1" applyAlignment="1">
      <alignment wrapText="1"/>
    </xf>
    <xf numFmtId="14" fontId="10" fillId="0" borderId="0" xfId="0" applyNumberFormat="1" applyFont="1"/>
    <xf numFmtId="0" fontId="10" fillId="0" borderId="0" xfId="0" applyFont="1" applyAlignment="1">
      <alignment horizontal="center"/>
    </xf>
    <xf numFmtId="14" fontId="10" fillId="0" borderId="0" xfId="0" applyNumberFormat="1" applyFont="1" applyAlignment="1">
      <alignment horizontal="center"/>
    </xf>
    <xf numFmtId="14" fontId="14" fillId="0" borderId="0" xfId="0" applyNumberFormat="1" applyFont="1"/>
    <xf numFmtId="14" fontId="14" fillId="0" borderId="0" xfId="0" applyNumberFormat="1" applyFont="1" applyAlignment="1">
      <alignment horizontal="center"/>
    </xf>
    <xf numFmtId="0" fontId="0" fillId="0" borderId="2" xfId="0" applyBorder="1" applyProtection="1">
      <protection locked="0"/>
    </xf>
    <xf numFmtId="0" fontId="13" fillId="9" borderId="3" xfId="0" applyFont="1" applyFill="1" applyBorder="1" applyAlignment="1">
      <alignment horizontal="center" wrapText="1"/>
    </xf>
    <xf numFmtId="0" fontId="15" fillId="0" borderId="0" xfId="0" applyFont="1"/>
    <xf numFmtId="0" fontId="15" fillId="10" borderId="0" xfId="0" applyFont="1" applyFill="1"/>
    <xf numFmtId="0" fontId="17" fillId="12" borderId="0" xfId="0" applyFont="1" applyFill="1" applyAlignment="1">
      <alignment horizontal="center"/>
    </xf>
    <xf numFmtId="14" fontId="0" fillId="0" borderId="2" xfId="0" applyNumberFormat="1" applyBorder="1"/>
    <xf numFmtId="1" fontId="0" fillId="0" borderId="2" xfId="0" applyNumberFormat="1" applyBorder="1"/>
    <xf numFmtId="0" fontId="0" fillId="0" borderId="3" xfId="0" applyBorder="1"/>
    <xf numFmtId="0" fontId="0" fillId="0" borderId="2" xfId="0" applyBorder="1"/>
    <xf numFmtId="14" fontId="17" fillId="15" borderId="8" xfId="0" applyNumberFormat="1" applyFont="1" applyFill="1" applyBorder="1" applyAlignment="1">
      <alignment horizontal="center"/>
    </xf>
    <xf numFmtId="0" fontId="17" fillId="15" borderId="9" xfId="0" applyFont="1" applyFill="1" applyBorder="1" applyAlignment="1">
      <alignment horizontal="center"/>
    </xf>
    <xf numFmtId="1" fontId="17" fillId="15" borderId="9" xfId="0" applyNumberFormat="1" applyFont="1" applyFill="1" applyBorder="1" applyAlignment="1">
      <alignment horizontal="center"/>
    </xf>
    <xf numFmtId="0" fontId="17" fillId="16" borderId="9" xfId="0" applyFont="1" applyFill="1" applyBorder="1" applyAlignment="1">
      <alignment horizontal="center"/>
    </xf>
    <xf numFmtId="14" fontId="17" fillId="17" borderId="9" xfId="0" applyNumberFormat="1" applyFont="1" applyFill="1" applyBorder="1" applyAlignment="1">
      <alignment horizontal="center"/>
    </xf>
    <xf numFmtId="0" fontId="17" fillId="12" borderId="9" xfId="0" applyFont="1" applyFill="1" applyBorder="1" applyAlignment="1">
      <alignment horizontal="center"/>
    </xf>
    <xf numFmtId="0" fontId="17" fillId="12" borderId="10" xfId="0" applyFont="1" applyFill="1" applyBorder="1" applyAlignment="1">
      <alignment horizontal="center"/>
    </xf>
    <xf numFmtId="0" fontId="17" fillId="14" borderId="9" xfId="0" applyFont="1" applyFill="1" applyBorder="1" applyAlignment="1" applyProtection="1">
      <alignment horizontal="center"/>
      <protection locked="0"/>
    </xf>
    <xf numFmtId="0" fontId="17" fillId="14" borderId="10" xfId="0" applyFont="1" applyFill="1" applyBorder="1" applyAlignment="1" applyProtection="1">
      <alignment horizontal="center"/>
      <protection locked="0"/>
    </xf>
    <xf numFmtId="0" fontId="17" fillId="14" borderId="11" xfId="0" applyFont="1" applyFill="1" applyBorder="1" applyAlignment="1" applyProtection="1">
      <alignment horizontal="center"/>
      <protection locked="0"/>
    </xf>
    <xf numFmtId="165" fontId="16" fillId="10" borderId="12" xfId="0" applyNumberFormat="1" applyFont="1" applyFill="1" applyBorder="1"/>
    <xf numFmtId="0" fontId="16" fillId="10" borderId="12" xfId="0" applyFont="1" applyFill="1" applyBorder="1"/>
    <xf numFmtId="0" fontId="22" fillId="10" borderId="12" xfId="0" applyFont="1" applyFill="1" applyBorder="1"/>
    <xf numFmtId="0" fontId="16" fillId="10" borderId="12" xfId="0" applyFont="1" applyFill="1" applyBorder="1" applyAlignment="1">
      <alignment horizontal="center"/>
    </xf>
    <xf numFmtId="0" fontId="16" fillId="19" borderId="12" xfId="0" applyFont="1" applyFill="1" applyBorder="1"/>
    <xf numFmtId="165" fontId="16" fillId="19" borderId="12" xfId="0" applyNumberFormat="1" applyFont="1" applyFill="1" applyBorder="1"/>
    <xf numFmtId="165" fontId="16" fillId="10" borderId="14" xfId="0" applyNumberFormat="1" applyFont="1" applyFill="1" applyBorder="1"/>
    <xf numFmtId="0" fontId="16" fillId="10" borderId="14" xfId="0" applyFont="1" applyFill="1" applyBorder="1"/>
    <xf numFmtId="1" fontId="16" fillId="10" borderId="14" xfId="0" applyNumberFormat="1" applyFont="1" applyFill="1" applyBorder="1"/>
    <xf numFmtId="0" fontId="22" fillId="10" borderId="14" xfId="0" applyFont="1" applyFill="1" applyBorder="1"/>
    <xf numFmtId="0" fontId="16" fillId="10" borderId="14" xfId="0" applyFont="1" applyFill="1" applyBorder="1" applyAlignment="1">
      <alignment horizontal="center"/>
    </xf>
    <xf numFmtId="14" fontId="16" fillId="10" borderId="14" xfId="0" applyNumberFormat="1" applyFont="1" applyFill="1" applyBorder="1"/>
    <xf numFmtId="165" fontId="16" fillId="10" borderId="15" xfId="0" applyNumberFormat="1" applyFont="1" applyFill="1" applyBorder="1"/>
    <xf numFmtId="0" fontId="16" fillId="10" borderId="15" xfId="0" applyFont="1" applyFill="1" applyBorder="1"/>
    <xf numFmtId="1" fontId="16" fillId="10" borderId="15" xfId="0" applyNumberFormat="1" applyFont="1" applyFill="1" applyBorder="1"/>
    <xf numFmtId="0" fontId="22" fillId="10" borderId="15" xfId="0" applyFont="1" applyFill="1" applyBorder="1"/>
    <xf numFmtId="0" fontId="16" fillId="10" borderId="15" xfId="0" applyFont="1" applyFill="1" applyBorder="1" applyAlignment="1">
      <alignment horizontal="center"/>
    </xf>
    <xf numFmtId="14" fontId="16" fillId="10" borderId="15" xfId="0" applyNumberFormat="1" applyFont="1" applyFill="1" applyBorder="1"/>
    <xf numFmtId="0" fontId="17" fillId="16" borderId="8" xfId="0" applyFont="1" applyFill="1" applyBorder="1" applyAlignment="1">
      <alignment horizontal="center"/>
    </xf>
    <xf numFmtId="0" fontId="16" fillId="10" borderId="13" xfId="0" applyFont="1" applyFill="1" applyBorder="1" applyAlignment="1">
      <alignment horizontal="center"/>
    </xf>
    <xf numFmtId="0" fontId="16" fillId="10" borderId="16" xfId="0" applyFont="1" applyFill="1" applyBorder="1" applyAlignment="1">
      <alignment horizontal="center"/>
    </xf>
    <xf numFmtId="1" fontId="17" fillId="15" borderId="10" xfId="0" applyNumberFormat="1" applyFont="1" applyFill="1" applyBorder="1" applyAlignment="1">
      <alignment horizontal="center"/>
    </xf>
    <xf numFmtId="0" fontId="17" fillId="16" borderId="19" xfId="0" applyFont="1" applyFill="1" applyBorder="1" applyAlignment="1">
      <alignment horizontal="center"/>
    </xf>
    <xf numFmtId="0" fontId="16" fillId="10" borderId="20" xfId="0" applyFont="1" applyFill="1" applyBorder="1"/>
    <xf numFmtId="0" fontId="16" fillId="10" borderId="21" xfId="0" applyFont="1" applyFill="1" applyBorder="1"/>
    <xf numFmtId="0" fontId="16" fillId="10" borderId="22" xfId="0" applyFont="1" applyFill="1" applyBorder="1"/>
    <xf numFmtId="0" fontId="17" fillId="16" borderId="10" xfId="0" applyFont="1" applyFill="1" applyBorder="1" applyAlignment="1">
      <alignment horizontal="center"/>
    </xf>
    <xf numFmtId="0" fontId="17" fillId="17" borderId="19" xfId="0" applyFont="1" applyFill="1" applyBorder="1" applyAlignment="1">
      <alignment horizontal="center"/>
    </xf>
    <xf numFmtId="0" fontId="16" fillId="10" borderId="20" xfId="0" applyFont="1" applyFill="1" applyBorder="1" applyAlignment="1">
      <alignment horizontal="center"/>
    </xf>
    <xf numFmtId="0" fontId="16" fillId="10" borderId="21" xfId="0" applyFont="1" applyFill="1" applyBorder="1" applyAlignment="1">
      <alignment horizontal="center"/>
    </xf>
    <xf numFmtId="0" fontId="16" fillId="10" borderId="22" xfId="0" applyFont="1" applyFill="1" applyBorder="1" applyAlignment="1">
      <alignment horizontal="center"/>
    </xf>
    <xf numFmtId="14" fontId="17" fillId="17" borderId="10" xfId="0" applyNumberFormat="1" applyFont="1" applyFill="1" applyBorder="1" applyAlignment="1">
      <alignment horizontal="center"/>
    </xf>
    <xf numFmtId="165" fontId="16" fillId="10" borderId="17" xfId="0" applyNumberFormat="1" applyFont="1" applyFill="1" applyBorder="1"/>
    <xf numFmtId="165" fontId="16" fillId="10" borderId="18" xfId="0" applyNumberFormat="1" applyFont="1" applyFill="1" applyBorder="1"/>
    <xf numFmtId="0" fontId="17" fillId="12" borderId="19" xfId="0" applyFont="1" applyFill="1" applyBorder="1" applyAlignment="1">
      <alignment horizontal="center"/>
    </xf>
    <xf numFmtId="0" fontId="20" fillId="10" borderId="23" xfId="0" applyFont="1" applyFill="1" applyBorder="1" applyAlignment="1">
      <alignment horizontal="center"/>
    </xf>
    <xf numFmtId="0" fontId="20" fillId="10" borderId="24" xfId="0" applyFont="1" applyFill="1" applyBorder="1" applyAlignment="1">
      <alignment horizontal="center"/>
    </xf>
    <xf numFmtId="0" fontId="17" fillId="11" borderId="25" xfId="0" applyFont="1" applyFill="1" applyBorder="1" applyAlignment="1" applyProtection="1">
      <alignment horizontal="center"/>
      <protection locked="0"/>
    </xf>
    <xf numFmtId="14" fontId="17" fillId="14" borderId="26" xfId="0" applyNumberFormat="1" applyFont="1" applyFill="1" applyBorder="1" applyAlignment="1" applyProtection="1">
      <alignment horizontal="center"/>
      <protection locked="0"/>
    </xf>
    <xf numFmtId="0" fontId="16" fillId="19" borderId="27" xfId="0" applyFont="1" applyFill="1" applyBorder="1"/>
    <xf numFmtId="0" fontId="17" fillId="18" borderId="28" xfId="0" applyFont="1" applyFill="1" applyBorder="1" applyAlignment="1">
      <alignment horizontal="center"/>
    </xf>
    <xf numFmtId="0" fontId="20" fillId="10" borderId="29" xfId="0" applyFont="1" applyFill="1" applyBorder="1" applyAlignment="1">
      <alignment horizontal="center"/>
    </xf>
    <xf numFmtId="0" fontId="20" fillId="10" borderId="30" xfId="0" applyFont="1" applyFill="1" applyBorder="1" applyAlignment="1">
      <alignment horizontal="center"/>
    </xf>
    <xf numFmtId="168" fontId="16" fillId="10" borderId="12" xfId="0" applyNumberFormat="1" applyFont="1" applyFill="1" applyBorder="1"/>
    <xf numFmtId="168" fontId="16" fillId="10" borderId="17" xfId="0" applyNumberFormat="1" applyFont="1" applyFill="1" applyBorder="1"/>
    <xf numFmtId="168" fontId="16" fillId="10" borderId="18" xfId="0" applyNumberFormat="1" applyFont="1" applyFill="1" applyBorder="1"/>
    <xf numFmtId="0" fontId="16" fillId="10" borderId="12" xfId="0" applyFont="1" applyFill="1" applyBorder="1" applyAlignment="1">
      <alignment wrapText="1"/>
    </xf>
    <xf numFmtId="0" fontId="16" fillId="10" borderId="14" xfId="0" applyFont="1" applyFill="1" applyBorder="1" applyAlignment="1">
      <alignment wrapText="1"/>
    </xf>
    <xf numFmtId="0" fontId="16" fillId="10" borderId="15" xfId="0" applyFont="1" applyFill="1" applyBorder="1" applyAlignment="1">
      <alignment wrapText="1"/>
    </xf>
    <xf numFmtId="0" fontId="16" fillId="10" borderId="20" xfId="0" applyFont="1" applyFill="1" applyBorder="1" applyAlignment="1">
      <alignment wrapText="1"/>
    </xf>
    <xf numFmtId="0" fontId="16" fillId="10" borderId="21" xfId="0" applyFont="1" applyFill="1" applyBorder="1" applyAlignment="1">
      <alignment wrapText="1"/>
    </xf>
    <xf numFmtId="0" fontId="16" fillId="10" borderId="22" xfId="0" applyFont="1" applyFill="1" applyBorder="1" applyAlignment="1">
      <alignment wrapText="1"/>
    </xf>
    <xf numFmtId="0" fontId="16" fillId="10" borderId="17" xfId="0" applyFont="1" applyFill="1" applyBorder="1" applyAlignment="1">
      <alignment wrapText="1"/>
    </xf>
    <xf numFmtId="0" fontId="16" fillId="10" borderId="18" xfId="0" applyFont="1" applyFill="1" applyBorder="1" applyAlignment="1">
      <alignment wrapText="1"/>
    </xf>
    <xf numFmtId="0" fontId="16" fillId="19" borderId="12" xfId="0" applyFont="1" applyFill="1" applyBorder="1" applyAlignment="1">
      <alignment wrapText="1"/>
    </xf>
    <xf numFmtId="0" fontId="17" fillId="14" borderId="0" xfId="0" applyFont="1" applyFill="1" applyAlignment="1">
      <alignment horizontal="center"/>
    </xf>
    <xf numFmtId="0" fontId="15" fillId="0" borderId="0" xfId="0" applyFont="1" applyAlignment="1">
      <alignment horizontal="center"/>
    </xf>
    <xf numFmtId="165" fontId="15" fillId="0" borderId="0" xfId="0" applyNumberFormat="1" applyFont="1" applyAlignment="1">
      <alignment horizontal="center"/>
    </xf>
    <xf numFmtId="49" fontId="15" fillId="0" borderId="0" xfId="0" applyNumberFormat="1" applyFont="1"/>
    <xf numFmtId="49" fontId="20" fillId="10" borderId="12" xfId="0" applyNumberFormat="1" applyFont="1" applyFill="1" applyBorder="1" applyAlignment="1">
      <alignment horizontal="center"/>
    </xf>
    <xf numFmtId="49" fontId="20" fillId="10" borderId="17" xfId="0" applyNumberFormat="1" applyFont="1" applyFill="1" applyBorder="1" applyAlignment="1">
      <alignment horizontal="center"/>
    </xf>
    <xf numFmtId="49" fontId="20" fillId="10" borderId="18" xfId="0" applyNumberFormat="1" applyFont="1" applyFill="1" applyBorder="1" applyAlignment="1">
      <alignment horizontal="center"/>
    </xf>
    <xf numFmtId="49" fontId="0" fillId="0" borderId="2" xfId="0" applyNumberFormat="1" applyBorder="1" applyAlignment="1">
      <alignment horizontal="center"/>
    </xf>
    <xf numFmtId="49" fontId="9" fillId="0" borderId="0" xfId="0" applyNumberFormat="1" applyFont="1" applyAlignment="1">
      <alignment horizontal="center" vertical="center"/>
    </xf>
    <xf numFmtId="49" fontId="9" fillId="7" borderId="0" xfId="0" applyNumberFormat="1" applyFont="1" applyFill="1" applyAlignment="1">
      <alignment horizontal="center"/>
    </xf>
    <xf numFmtId="14" fontId="4" fillId="8" borderId="0" xfId="0" applyNumberFormat="1" applyFont="1" applyFill="1" applyAlignment="1">
      <alignment horizontal="center"/>
    </xf>
    <xf numFmtId="0" fontId="4" fillId="8" borderId="0" xfId="0" quotePrefix="1" applyFont="1" applyFill="1"/>
    <xf numFmtId="0" fontId="11" fillId="8" borderId="0" xfId="0" applyFont="1" applyFill="1"/>
    <xf numFmtId="0" fontId="11" fillId="8" borderId="0" xfId="0" applyFont="1" applyFill="1" applyAlignment="1">
      <alignment horizontal="left"/>
    </xf>
    <xf numFmtId="49" fontId="11" fillId="8" borderId="0" xfId="0" applyNumberFormat="1" applyFont="1" applyFill="1" applyAlignment="1">
      <alignment horizontal="left"/>
    </xf>
    <xf numFmtId="0" fontId="11" fillId="8" borderId="0" xfId="1" applyFont="1" applyFill="1" applyAlignment="1">
      <alignment horizontal="left"/>
    </xf>
    <xf numFmtId="49" fontId="4" fillId="8" borderId="0" xfId="0" applyNumberFormat="1" applyFont="1" applyFill="1" applyAlignment="1">
      <alignment horizontal="center"/>
    </xf>
    <xf numFmtId="0" fontId="4" fillId="8" borderId="0" xfId="0" applyFont="1" applyFill="1" applyAlignment="1">
      <alignment horizontal="center"/>
    </xf>
    <xf numFmtId="8" fontId="4" fillId="8" borderId="0" xfId="0" applyNumberFormat="1" applyFont="1" applyFill="1" applyAlignment="1">
      <alignment horizontal="center"/>
    </xf>
    <xf numFmtId="164" fontId="4" fillId="8" borderId="0" xfId="0" applyNumberFormat="1" applyFont="1" applyFill="1" applyAlignment="1">
      <alignment horizontal="center"/>
    </xf>
    <xf numFmtId="0" fontId="4" fillId="8" borderId="0" xfId="0" applyNumberFormat="1" applyFont="1" applyFill="1"/>
    <xf numFmtId="0" fontId="15" fillId="10" borderId="0" xfId="0" applyFont="1" applyFill="1" applyAlignment="1">
      <alignment horizontal="center"/>
    </xf>
    <xf numFmtId="169" fontId="27" fillId="10" borderId="0" xfId="0" applyNumberFormat="1" applyFont="1" applyFill="1"/>
    <xf numFmtId="0" fontId="27" fillId="10" borderId="0" xfId="0" applyFont="1" applyFill="1" applyAlignment="1">
      <alignment horizontal="center"/>
    </xf>
    <xf numFmtId="0" fontId="28" fillId="10" borderId="0" xfId="0" applyFont="1" applyFill="1"/>
    <xf numFmtId="0" fontId="29" fillId="10" borderId="0" xfId="0" applyFont="1" applyFill="1"/>
    <xf numFmtId="0" fontId="15" fillId="0" borderId="0" xfId="0" applyFont="1" applyAlignment="1">
      <alignment wrapText="1"/>
    </xf>
    <xf numFmtId="0" fontId="15" fillId="0" borderId="0" xfId="0" quotePrefix="1" applyFont="1" applyAlignment="1">
      <alignment wrapText="1"/>
    </xf>
    <xf numFmtId="0" fontId="30" fillId="0" borderId="0" xfId="0" applyFont="1" applyAlignment="1">
      <alignment wrapText="1"/>
    </xf>
    <xf numFmtId="0" fontId="31" fillId="0" borderId="0" xfId="0" applyFont="1" applyAlignment="1">
      <alignment wrapText="1"/>
    </xf>
    <xf numFmtId="0" fontId="31" fillId="0" borderId="0" xfId="0" quotePrefix="1" applyFont="1" applyAlignment="1">
      <alignment wrapText="1"/>
    </xf>
    <xf numFmtId="0" fontId="23" fillId="15" borderId="0" xfId="0" applyFont="1" applyFill="1" applyAlignment="1">
      <alignment horizontal="center"/>
    </xf>
    <xf numFmtId="0" fontId="15" fillId="15" borderId="0" xfId="0" applyFont="1" applyFill="1"/>
    <xf numFmtId="0" fontId="18" fillId="10" borderId="31" xfId="0" applyFont="1" applyFill="1" applyBorder="1"/>
    <xf numFmtId="0" fontId="15" fillId="10" borderId="31" xfId="0" applyFont="1" applyFill="1" applyBorder="1"/>
    <xf numFmtId="0" fontId="26" fillId="18" borderId="0" xfId="0" applyFont="1" applyFill="1" applyAlignment="1">
      <alignment horizontal="center"/>
    </xf>
    <xf numFmtId="0" fontId="17" fillId="18" borderId="0" xfId="0" applyFont="1" applyFill="1"/>
    <xf numFmtId="0" fontId="17" fillId="18" borderId="0" xfId="0" applyFont="1" applyFill="1" applyAlignment="1">
      <alignment horizontal="center"/>
    </xf>
    <xf numFmtId="169" fontId="27" fillId="29" borderId="0" xfId="0" applyNumberFormat="1" applyFont="1" applyFill="1"/>
    <xf numFmtId="0" fontId="27" fillId="29" borderId="0" xfId="0" applyFont="1" applyFill="1" applyAlignment="1">
      <alignment horizontal="center"/>
    </xf>
    <xf numFmtId="0" fontId="15" fillId="29" borderId="0" xfId="0" applyFont="1" applyFill="1"/>
    <xf numFmtId="0" fontId="15" fillId="29" borderId="0" xfId="0" applyFont="1" applyFill="1" applyAlignment="1">
      <alignment horizontal="center"/>
    </xf>
    <xf numFmtId="0" fontId="32" fillId="23" borderId="32" xfId="0" applyFont="1" applyFill="1" applyBorder="1" applyAlignment="1">
      <alignment horizontal="center"/>
    </xf>
    <xf numFmtId="0" fontId="35" fillId="23" borderId="7" xfId="0" applyFont="1" applyFill="1" applyBorder="1" applyAlignment="1">
      <alignment horizontal="center"/>
    </xf>
    <xf numFmtId="0" fontId="25" fillId="23" borderId="5" xfId="0" applyFont="1" applyFill="1" applyBorder="1" applyAlignment="1">
      <alignment horizontal="center"/>
    </xf>
    <xf numFmtId="0" fontId="33" fillId="24" borderId="32" xfId="0" applyFont="1" applyFill="1" applyBorder="1" applyAlignment="1">
      <alignment horizontal="center"/>
    </xf>
    <xf numFmtId="0" fontId="35" fillId="24" borderId="7" xfId="0" applyFont="1" applyFill="1" applyBorder="1" applyAlignment="1">
      <alignment horizontal="center"/>
    </xf>
    <xf numFmtId="0" fontId="25" fillId="24" borderId="5" xfId="0" applyFont="1" applyFill="1" applyBorder="1" applyAlignment="1">
      <alignment horizontal="center"/>
    </xf>
    <xf numFmtId="0" fontId="24" fillId="21" borderId="32" xfId="0" applyFont="1" applyFill="1" applyBorder="1" applyAlignment="1">
      <alignment horizontal="center"/>
    </xf>
    <xf numFmtId="0" fontId="35" fillId="21" borderId="33" xfId="0" applyFont="1" applyFill="1" applyBorder="1" applyAlignment="1">
      <alignment horizontal="center"/>
    </xf>
    <xf numFmtId="0" fontId="25" fillId="21" borderId="4" xfId="0" applyFont="1" applyFill="1" applyBorder="1" applyAlignment="1">
      <alignment horizontal="center"/>
    </xf>
    <xf numFmtId="0" fontId="35" fillId="21" borderId="7" xfId="0" applyFont="1" applyFill="1" applyBorder="1" applyAlignment="1">
      <alignment horizontal="center"/>
    </xf>
    <xf numFmtId="0" fontId="25" fillId="21" borderId="5" xfId="0" applyFont="1" applyFill="1" applyBorder="1" applyAlignment="1">
      <alignment horizontal="center"/>
    </xf>
    <xf numFmtId="0" fontId="35" fillId="20" borderId="7" xfId="0" applyFont="1" applyFill="1" applyBorder="1" applyAlignment="1">
      <alignment horizontal="center"/>
    </xf>
    <xf numFmtId="0" fontId="25" fillId="20" borderId="5" xfId="0" applyFont="1" applyFill="1" applyBorder="1" applyAlignment="1">
      <alignment horizontal="center"/>
    </xf>
    <xf numFmtId="166" fontId="34" fillId="25" borderId="32" xfId="0" applyNumberFormat="1" applyFont="1" applyFill="1" applyBorder="1" applyAlignment="1">
      <alignment horizontal="center"/>
    </xf>
    <xf numFmtId="0" fontId="36" fillId="26" borderId="32" xfId="0" applyFont="1" applyFill="1" applyBorder="1" applyAlignment="1">
      <alignment horizontal="center"/>
    </xf>
    <xf numFmtId="0" fontId="25" fillId="26" borderId="5" xfId="0" applyFont="1" applyFill="1" applyBorder="1" applyAlignment="1">
      <alignment horizontal="center"/>
    </xf>
    <xf numFmtId="0" fontId="25" fillId="22" borderId="5" xfId="0" applyFont="1" applyFill="1" applyBorder="1" applyAlignment="1">
      <alignment horizontal="center"/>
    </xf>
    <xf numFmtId="0" fontId="37" fillId="27" borderId="32" xfId="0" applyFont="1" applyFill="1" applyBorder="1" applyAlignment="1">
      <alignment horizontal="center"/>
    </xf>
    <xf numFmtId="0" fontId="25" fillId="27" borderId="5" xfId="0" applyFont="1" applyFill="1" applyBorder="1" applyAlignment="1">
      <alignment horizontal="center"/>
    </xf>
    <xf numFmtId="0" fontId="38" fillId="28" borderId="32" xfId="0" applyFont="1" applyFill="1" applyBorder="1" applyAlignment="1">
      <alignment horizontal="center"/>
    </xf>
    <xf numFmtId="0" fontId="35" fillId="28" borderId="6" xfId="0" applyFont="1" applyFill="1" applyBorder="1" applyAlignment="1">
      <alignment horizontal="center"/>
    </xf>
    <xf numFmtId="0" fontId="25" fillId="28" borderId="4" xfId="0" applyFont="1" applyFill="1" applyBorder="1" applyAlignment="1">
      <alignment horizontal="center"/>
    </xf>
    <xf numFmtId="0" fontId="25" fillId="28" borderId="5" xfId="0" applyFont="1" applyFill="1" applyBorder="1" applyAlignment="1">
      <alignment horizontal="center"/>
    </xf>
    <xf numFmtId="49" fontId="39" fillId="13" borderId="32" xfId="0" applyNumberFormat="1" applyFont="1" applyFill="1" applyBorder="1" applyAlignment="1">
      <alignment horizontal="center"/>
    </xf>
    <xf numFmtId="0" fontId="35" fillId="25" borderId="7" xfId="0" applyFont="1" applyFill="1" applyBorder="1" applyAlignment="1">
      <alignment horizontal="center"/>
    </xf>
    <xf numFmtId="0" fontId="25" fillId="25" borderId="5" xfId="0" applyFont="1" applyFill="1" applyBorder="1" applyAlignment="1">
      <alignment horizontal="center"/>
    </xf>
    <xf numFmtId="0" fontId="25" fillId="13" borderId="5" xfId="0" applyFont="1" applyFill="1" applyBorder="1" applyAlignment="1">
      <alignment horizontal="center"/>
    </xf>
    <xf numFmtId="0" fontId="19" fillId="21" borderId="33" xfId="0" applyFont="1" applyFill="1" applyBorder="1" applyAlignment="1">
      <alignment horizontal="center"/>
    </xf>
    <xf numFmtId="0" fontId="35" fillId="26" borderId="32" xfId="0" applyFont="1" applyFill="1" applyBorder="1" applyAlignment="1">
      <alignment horizontal="center"/>
    </xf>
    <xf numFmtId="0" fontId="35" fillId="22" borderId="32" xfId="0" applyFont="1" applyFill="1" applyBorder="1" applyAlignment="1">
      <alignment horizontal="center"/>
    </xf>
    <xf numFmtId="0" fontId="35" fillId="27" borderId="32" xfId="0" applyFont="1" applyFill="1" applyBorder="1" applyAlignment="1">
      <alignment horizontal="center"/>
    </xf>
    <xf numFmtId="0" fontId="35" fillId="28" borderId="32" xfId="0" applyFont="1" applyFill="1" applyBorder="1" applyAlignment="1">
      <alignment horizontal="center"/>
    </xf>
    <xf numFmtId="0" fontId="35" fillId="13" borderId="32" xfId="0" applyFont="1" applyFill="1" applyBorder="1" applyAlignment="1">
      <alignment horizontal="center"/>
    </xf>
    <xf numFmtId="0" fontId="32" fillId="20" borderId="32" xfId="0" applyFont="1" applyFill="1" applyBorder="1" applyAlignment="1">
      <alignment horizontal="center"/>
    </xf>
    <xf numFmtId="0" fontId="40" fillId="22" borderId="32" xfId="0" applyFont="1" applyFill="1" applyBorder="1" applyAlignment="1">
      <alignment horizontal="center"/>
    </xf>
    <xf numFmtId="0" fontId="32" fillId="28" borderId="33" xfId="0" applyFont="1" applyFill="1" applyBorder="1" applyAlignment="1">
      <alignment horizontal="center"/>
    </xf>
  </cellXfs>
  <cellStyles count="2">
    <cellStyle name="Hyperlink" xfId="1" builtinId="8"/>
    <cellStyle name="Normal" xfId="0" builtinId="0"/>
  </cellStyles>
  <dxfs count="60">
    <dxf>
      <font>
        <b/>
        <i val="0"/>
        <strike val="0"/>
        <condense val="0"/>
        <extend val="0"/>
        <outline val="0"/>
        <shadow val="0"/>
        <u val="none"/>
        <vertAlign val="baseline"/>
        <sz val="11"/>
        <color rgb="FFFFFFFF"/>
        <name val="Aptos Narrow"/>
        <scheme val="minor"/>
      </font>
      <fill>
        <patternFill patternType="solid">
          <fgColor indexed="64"/>
          <bgColor rgb="FF37474F"/>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numFmt numFmtId="165" formatCode="mm/dd/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numFmt numFmtId="30" formatCode="@"/>
    </dxf>
    <dxf>
      <font>
        <color rgb="FF2E7D32"/>
      </font>
    </dxf>
    <dxf>
      <font>
        <color rgb="FFBF360C"/>
      </font>
      <fill>
        <patternFill patternType="solid">
          <fgColor indexed="64"/>
          <bgColor rgb="FFFFF3E0"/>
        </patternFill>
      </fill>
    </dxf>
    <dxf>
      <fill>
        <patternFill patternType="solid">
          <fgColor indexed="64"/>
          <bgColor rgb="FFFFF3F3"/>
        </patternFill>
      </fill>
    </dxf>
    <dxf>
      <font>
        <color rgb="FF9E9E9E"/>
      </font>
      <fill>
        <patternFill patternType="solid">
          <fgColor indexed="64"/>
          <bgColor rgb="FFE8F5E9"/>
        </patternFill>
      </fill>
    </dxf>
    <dxf>
      <fill>
        <patternFill>
          <bgColor theme="5" tint="0.59996337778862885"/>
        </patternFill>
      </fill>
    </dxf>
    <dxf>
      <font>
        <color rgb="FF9E9E9E"/>
      </font>
      <fill>
        <patternFill patternType="solid">
          <fgColor indexed="64"/>
          <bgColor rgb="FFECEFF1"/>
        </patternFill>
      </fill>
    </dxf>
    <dxf>
      <font>
        <color rgb="FF1B5E20"/>
      </font>
      <fill>
        <patternFill patternType="solid">
          <fgColor indexed="64"/>
          <bgColor rgb="FFC8E6C9"/>
        </patternFill>
      </fill>
    </dxf>
    <dxf>
      <font>
        <color rgb="FFF57F17"/>
      </font>
      <fill>
        <patternFill patternType="solid">
          <fgColor indexed="64"/>
          <bgColor rgb="FFFFF9C4"/>
        </patternFill>
      </fill>
    </dxf>
    <dxf>
      <font>
        <color rgb="FFE65100"/>
      </font>
      <fill>
        <patternFill patternType="solid">
          <fgColor indexed="64"/>
          <bgColor rgb="FFFFE0B2"/>
        </patternFill>
      </fill>
    </dxf>
    <dxf>
      <font>
        <color rgb="FFB71C1C"/>
      </font>
      <fill>
        <patternFill patternType="solid">
          <fgColor indexed="64"/>
          <bgColor rgb="FFFFCDD2"/>
        </patternFill>
      </fill>
    </dxf>
    <dxf>
      <font>
        <color rgb="FFF57F17"/>
      </font>
      <fill>
        <patternFill patternType="solid">
          <fgColor indexed="64"/>
          <bgColor rgb="FFFFF8E1"/>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62828"/>
      </font>
      <fill>
        <patternFill patternType="solid">
          <fgColor indexed="64"/>
          <bgColor rgb="FFFFEBEE"/>
        </patternFill>
      </fill>
    </dxf>
    <dxf>
      <fill>
        <patternFill>
          <bgColor theme="5" tint="0.59996337778862885"/>
        </patternFill>
      </fill>
    </dxf>
    <dxf>
      <fill>
        <patternFill>
          <bgColor theme="5" tint="0.59996337778862885"/>
        </patternFill>
      </fill>
    </dxf>
    <dxf>
      <fill>
        <patternFill patternType="solid">
          <fgColor indexed="64"/>
          <bgColor rgb="FFF8F9FA"/>
        </patternFill>
      </fill>
    </dxf>
    <dxf>
      <font>
        <color rgb="FFBDBDBD"/>
      </font>
      <fill>
        <patternFill patternType="solid">
          <fgColor indexed="64"/>
          <bgColor rgb="FFF5F5F5"/>
        </patternFill>
      </fill>
    </dxf>
    <dxf>
      <fill>
        <patternFill patternType="solid">
          <fgColor indexed="64"/>
          <bgColor rgb="FFFFF3E0"/>
        </patternFill>
      </fill>
    </dxf>
    <dxf>
      <fill>
        <patternFill patternType="solid">
          <fgColor indexed="64"/>
          <bgColor rgb="FFFFEBEE"/>
        </patternFill>
      </fill>
    </dxf>
    <dxf>
      <font>
        <color rgb="FF2E7D32"/>
      </font>
      <fill>
        <patternFill patternType="solid">
          <fgColor indexed="64"/>
          <bgColor rgb="FFE8F5E9"/>
        </patternFill>
      </fill>
    </dxf>
    <dxf>
      <font>
        <b val="0"/>
        <i val="0"/>
        <strike val="0"/>
        <condense val="0"/>
        <extend val="0"/>
        <outline val="0"/>
        <shadow val="0"/>
        <u val="none"/>
        <vertAlign val="baseline"/>
        <sz val="9"/>
        <color theme="1"/>
        <name val="Arial Nova Cond"/>
        <family val="2"/>
        <scheme val="none"/>
      </font>
      <numFmt numFmtId="0" formatCode="General"/>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Nova Cond"/>
        <family val="2"/>
        <scheme val="none"/>
      </font>
      <numFmt numFmtId="30" formatCode="@"/>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Arial Unicode MS"/>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font>
        <b val="0"/>
        <i val="0"/>
        <strike val="0"/>
        <condense val="0"/>
        <extend val="0"/>
        <outline val="0"/>
        <shadow val="0"/>
        <u val="none"/>
        <vertAlign val="baseline"/>
        <sz val="9"/>
        <color theme="1"/>
        <name val="Arial Nova Cond"/>
        <family val="2"/>
        <scheme val="none"/>
      </font>
      <numFmt numFmtId="19" formatCode="m/d/yy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9"/>
        <color theme="1"/>
        <name val="Arial Nova Cond"/>
        <family val="2"/>
        <scheme val="none"/>
      </font>
      <fill>
        <patternFill patternType="solid">
          <fgColor indexed="64"/>
          <bgColor theme="0" tint="-0.14999847407452621"/>
        </patternFill>
      </fill>
    </dxf>
    <dxf>
      <border outline="0">
        <bottom style="thin">
          <color indexed="64"/>
        </bottom>
      </border>
    </dxf>
    <dxf>
      <font>
        <b/>
        <i val="0"/>
        <strike val="0"/>
        <condense val="0"/>
        <extend val="0"/>
        <outline val="0"/>
        <shadow val="0"/>
        <u val="none"/>
        <vertAlign val="baseline"/>
        <sz val="9"/>
        <color rgb="FF000000"/>
        <name val="Arial Nova Cond"/>
        <family val="2"/>
        <scheme val="none"/>
      </font>
      <fill>
        <patternFill patternType="solid">
          <fgColor rgb="FF000000"/>
          <bgColor theme="5" tint="0.39997558519241921"/>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Summary!$K$1</c:f>
              <c:strCache>
                <c:ptCount val="1"/>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Summary!$K$2:$K$3</c:f>
            </c:numRef>
          </c:val>
          <c:extLst>
            <c:ext xmlns:c15="http://schemas.microsoft.com/office/drawing/2012/chart" uri="{02D57815-91ED-43cb-92C2-25804820EDAC}">
              <c15:filteredCategoryTitle>
                <c15:cat>
                  <c:multiLvlStrRef>
                    <c:extLst>
                      <c:ext uri="{02D57815-91ED-43cb-92C2-25804820EDAC}">
                        <c15:formulaRef>
                          <c15:sqref>Summary!$J$2:$J$3</c15:sqref>
                        </c15:formulaRef>
                      </c:ext>
                    </c:extLst>
                  </c:multiLvlStrRef>
                </c15:cat>
              </c15:filteredCategoryTitle>
            </c:ext>
            <c:ext xmlns:c16="http://schemas.microsoft.com/office/drawing/2014/chart" uri="{C3380CC4-5D6E-409C-BE32-E72D297353CC}">
              <c16:uniqueId val="{00000000-54E6-8140-9BBB-88C565A730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Outcomes (Contacts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Summary!$K$11</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Summary!$K$12:$K$17</c:f>
            </c:numRef>
          </c:val>
          <c:extLst>
            <c:ext xmlns:c15="http://schemas.microsoft.com/office/drawing/2012/chart" uri="{02D57815-91ED-43cb-92C2-25804820EDAC}">
              <c15:filteredCategoryTitle>
                <c15:cat>
                  <c:multiLvlStrRef>
                    <c:extLst>
                      <c:ext uri="{02D57815-91ED-43cb-92C2-25804820EDAC}">
                        <c15:formulaRef>
                          <c15:sqref>Summary!$J$12:$J$17</c15:sqref>
                        </c15:formulaRef>
                      </c:ext>
                    </c:extLst>
                  </c:multiLvlStrRef>
                </c15:cat>
              </c15:filteredCategoryTitle>
            </c:ext>
            <c:ext xmlns:c16="http://schemas.microsoft.com/office/drawing/2014/chart" uri="{C3380CC4-5D6E-409C-BE32-E72D297353CC}">
              <c16:uniqueId val="{00000000-D632-B24D-AC95-80E6A2C79CF0}"/>
            </c:ext>
          </c:extLst>
        </c:ser>
        <c:dLbls>
          <c:showLegendKey val="0"/>
          <c:showVal val="0"/>
          <c:showCatName val="0"/>
          <c:showSerName val="0"/>
          <c:showPercent val="0"/>
          <c:showBubbleSize val="0"/>
        </c:dLbls>
        <c:gapWidth val="182"/>
        <c:axId val="806602496"/>
        <c:axId val="806602944"/>
      </c:barChart>
      <c:catAx>
        <c:axId val="80660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02944"/>
        <c:crosses val="autoZero"/>
        <c:auto val="1"/>
        <c:lblAlgn val="ctr"/>
        <c:lblOffset val="100"/>
        <c:noMultiLvlLbl val="0"/>
      </c:catAx>
      <c:valAx>
        <c:axId val="80660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0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Priority Breakdown — Called vs Remaining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Summary!$K$5</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Summary!$K$6:$K$9</c:f>
            </c:numRef>
          </c:val>
          <c:extLst>
            <c:ext xmlns:c15="http://schemas.microsoft.com/office/drawing/2012/chart" uri="{02D57815-91ED-43cb-92C2-25804820EDAC}">
              <c15:filteredCategoryTitle>
                <c15:cat>
                  <c:multiLvlStrRef>
                    <c:extLst>
                      <c:ext uri="{02D57815-91ED-43cb-92C2-25804820EDAC}">
                        <c15:formulaRef>
                          <c15:sqref>Summary!$J$6:$J$9</c15:sqref>
                        </c15:formulaRef>
                      </c:ext>
                    </c:extLst>
                  </c:multiLvlStrRef>
                </c15:cat>
              </c15:filteredCategoryTitle>
            </c:ext>
            <c:ext xmlns:c16="http://schemas.microsoft.com/office/drawing/2014/chart" uri="{C3380CC4-5D6E-409C-BE32-E72D297353CC}">
              <c16:uniqueId val="{00000000-79AF-E644-9B3F-3F87AB0BA50E}"/>
            </c:ext>
          </c:extLst>
        </c:ser>
        <c:ser>
          <c:idx val="1"/>
          <c:order val="1"/>
          <c:tx>
            <c:strRef>
              <c:f>Summary!$L$5</c:f>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Summary!$L$6:$L$9</c:f>
            </c:numRef>
          </c:val>
          <c:extLst>
            <c:ext xmlns:c15="http://schemas.microsoft.com/office/drawing/2012/chart" uri="{02D57815-91ED-43cb-92C2-25804820EDAC}">
              <c15:filteredCategoryTitle>
                <c15:cat>
                  <c:multiLvlStrRef>
                    <c:extLst>
                      <c:ext uri="{02D57815-91ED-43cb-92C2-25804820EDAC}">
                        <c15:formulaRef>
                          <c15:sqref>Summary!$J$6:$J$9</c15:sqref>
                        </c15:formulaRef>
                      </c:ext>
                    </c:extLst>
                  </c:multiLvlStrRef>
                </c15:cat>
              </c15:filteredCategoryTitle>
            </c:ext>
            <c:ext xmlns:c16="http://schemas.microsoft.com/office/drawing/2014/chart" uri="{C3380CC4-5D6E-409C-BE32-E72D297353CC}">
              <c16:uniqueId val="{00000001-79AF-E644-9B3F-3F87AB0BA50E}"/>
            </c:ext>
          </c:extLst>
        </c:ser>
        <c:dLbls>
          <c:showLegendKey val="0"/>
          <c:showVal val="0"/>
          <c:showCatName val="0"/>
          <c:showSerName val="0"/>
          <c:showPercent val="0"/>
          <c:showBubbleSize val="0"/>
        </c:dLbls>
        <c:gapWidth val="150"/>
        <c:overlap val="100"/>
        <c:axId val="757948736"/>
        <c:axId val="757950976"/>
      </c:barChart>
      <c:catAx>
        <c:axId val="75794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50976"/>
        <c:crosses val="autoZero"/>
        <c:auto val="1"/>
        <c:lblAlgn val="ctr"/>
        <c:lblOffset val="100"/>
        <c:noMultiLvlLbl val="0"/>
      </c:catAx>
      <c:valAx>
        <c:axId val="75795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Call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Summary!$K$19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Summary!$K$20:$K$31</c:f>
            </c:numRef>
          </c:val>
          <c:smooth val="0"/>
          <c:extLst>
            <c:ext xmlns:c15="http://schemas.microsoft.com/office/drawing/2012/chart" uri="{02D57815-91ED-43cb-92C2-25804820EDAC}">
              <c15:filteredCategoryTitle>
                <c15:cat>
                  <c:multiLvlStrRef>
                    <c:extLst>
                      <c:ext uri="{02D57815-91ED-43cb-92C2-25804820EDAC}">
                        <c15:formulaRef>
                          <c15:sqref>Summary!$J$20:$J$31</c15:sqref>
                        </c15:formulaRef>
                      </c:ext>
                    </c:extLst>
                  </c:multiLvlStrRef>
                </c15:cat>
              </c15:filteredCategoryTitle>
            </c:ext>
            <c:ext xmlns:c16="http://schemas.microsoft.com/office/drawing/2014/chart" uri="{C3380CC4-5D6E-409C-BE32-E72D297353CC}">
              <c16:uniqueId val="{00000000-F40E-3849-85EF-66DBF6B8D834}"/>
            </c:ext>
          </c:extLst>
        </c:ser>
        <c:ser>
          <c:idx val="1"/>
          <c:order val="1"/>
          <c:tx>
            <c:strRef>
              <c:f>Summary!$L$19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Summary!$L$20:$L$31</c:f>
            </c:numRef>
          </c:val>
          <c:smooth val="0"/>
          <c:extLst>
            <c:ext xmlns:c15="http://schemas.microsoft.com/office/drawing/2012/chart" uri="{02D57815-91ED-43cb-92C2-25804820EDAC}">
              <c15:filteredCategoryTitle>
                <c15:cat>
                  <c:multiLvlStrRef>
                    <c:extLst>
                      <c:ext uri="{02D57815-91ED-43cb-92C2-25804820EDAC}">
                        <c15:formulaRef>
                          <c15:sqref>Summary!$J$20:$J$31</c15:sqref>
                        </c15:formulaRef>
                      </c:ext>
                    </c:extLst>
                  </c:multiLvlStrRef>
                </c15:cat>
              </c15:filteredCategoryTitle>
            </c:ext>
            <c:ext xmlns:c16="http://schemas.microsoft.com/office/drawing/2014/chart" uri="{C3380CC4-5D6E-409C-BE32-E72D297353CC}">
              <c16:uniqueId val="{00000001-F40E-3849-85EF-66DBF6B8D834}"/>
            </c:ext>
          </c:extLst>
        </c:ser>
        <c:ser>
          <c:idx val="2"/>
          <c:order val="2"/>
          <c:tx>
            <c:strRef>
              <c:f>Summary!$M$19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Summary!$M$20:$M$31</c:f>
            </c:numRef>
          </c:val>
          <c:smooth val="0"/>
          <c:extLst>
            <c:ext xmlns:c15="http://schemas.microsoft.com/office/drawing/2012/chart" uri="{02D57815-91ED-43cb-92C2-25804820EDAC}">
              <c15:filteredCategoryTitle>
                <c15:cat>
                  <c:multiLvlStrRef>
                    <c:extLst>
                      <c:ext uri="{02D57815-91ED-43cb-92C2-25804820EDAC}">
                        <c15:formulaRef>
                          <c15:sqref>Summary!$J$20:$J$31</c15:sqref>
                        </c15:formulaRef>
                      </c:ext>
                    </c:extLst>
                  </c:multiLvlStrRef>
                </c15:cat>
              </c15:filteredCategoryTitle>
            </c:ext>
            <c:ext xmlns:c16="http://schemas.microsoft.com/office/drawing/2014/chart" uri="{C3380CC4-5D6E-409C-BE32-E72D297353CC}">
              <c16:uniqueId val="{00000002-F40E-3849-85EF-66DBF6B8D834}"/>
            </c:ext>
          </c:extLst>
        </c:ser>
        <c:dLbls>
          <c:showLegendKey val="0"/>
          <c:showVal val="0"/>
          <c:showCatName val="0"/>
          <c:showSerName val="0"/>
          <c:showPercent val="0"/>
          <c:showBubbleSize val="0"/>
        </c:dLbls>
        <c:marker val="1"/>
        <c:smooth val="0"/>
        <c:axId val="812388736"/>
        <c:axId val="812386048"/>
      </c:lineChart>
      <c:catAx>
        <c:axId val="812388736"/>
        <c:scaling>
          <c:orientation val="minMax"/>
        </c:scaling>
        <c:delete val="0"/>
        <c:axPos val="b"/>
        <c:numFmt formatCode="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86048"/>
        <c:crosses val="autoZero"/>
        <c:auto val="1"/>
        <c:lblAlgn val="ctr"/>
        <c:lblOffset val="100"/>
        <c:noMultiLvlLbl val="0"/>
      </c:catAx>
      <c:valAx>
        <c:axId val="81238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8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Outcomes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Summary!$G$31</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Summary!$F$32:$F$38</c:f>
              <c:strCache>
                <c:ptCount val="7"/>
                <c:pt idx="0">
                  <c:v>General Education</c:v>
                </c:pt>
                <c:pt idx="1">
                  <c:v>Rate Change</c:v>
                </c:pt>
                <c:pt idx="2">
                  <c:v>Updated/New PA</c:v>
                </c:pt>
                <c:pt idx="3">
                  <c:v>Utility Assistance</c:v>
                </c:pt>
                <c:pt idx="4">
                  <c:v>E3/E4</c:v>
                </c:pt>
                <c:pt idx="5">
                  <c:v>Other</c:v>
                </c:pt>
                <c:pt idx="6">
                  <c:v>VM - No Answer</c:v>
                </c:pt>
              </c:strCache>
            </c:strRef>
          </c:cat>
          <c:val>
            <c:numRef>
              <c:f>Summary!$G$32:$G$38</c:f>
              <c:numCache>
                <c:formatCode>General</c:formatCode>
                <c:ptCount val="7"/>
                <c:pt idx="0">
                  <c:v>75</c:v>
                </c:pt>
                <c:pt idx="1">
                  <c:v>10</c:v>
                </c:pt>
                <c:pt idx="2">
                  <c:v>1</c:v>
                </c:pt>
                <c:pt idx="3">
                  <c:v>3</c:v>
                </c:pt>
                <c:pt idx="4">
                  <c:v>7</c:v>
                </c:pt>
                <c:pt idx="5">
                  <c:v>9</c:v>
                </c:pt>
                <c:pt idx="6">
                  <c:v>244</c:v>
                </c:pt>
              </c:numCache>
            </c:numRef>
          </c:val>
          <c:extLst>
            <c:ext xmlns:c16="http://schemas.microsoft.com/office/drawing/2014/chart" uri="{C3380CC4-5D6E-409C-BE32-E72D297353CC}">
              <c16:uniqueId val="{00000000-BBCB-4A55-962B-3B617E308E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Call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Summary!$C$14</c:f>
              <c:strCache>
                <c:ptCount val="1"/>
                <c:pt idx="0">
                  <c:v>Total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Summary!$B$15:$B$27</c:f>
              <c:numCache>
                <c:formatCode>mm/dd/yy</c:formatCode>
                <c:ptCount val="13"/>
                <c:pt idx="0">
                  <c:v>45997</c:v>
                </c:pt>
                <c:pt idx="1">
                  <c:v>46011</c:v>
                </c:pt>
                <c:pt idx="2">
                  <c:v>46018</c:v>
                </c:pt>
                <c:pt idx="3">
                  <c:v>46025</c:v>
                </c:pt>
                <c:pt idx="4">
                  <c:v>46032</c:v>
                </c:pt>
                <c:pt idx="5">
                  <c:v>46039</c:v>
                </c:pt>
                <c:pt idx="6">
                  <c:v>46046</c:v>
                </c:pt>
                <c:pt idx="7">
                  <c:v>46053</c:v>
                </c:pt>
                <c:pt idx="8">
                  <c:v>46060</c:v>
                </c:pt>
                <c:pt idx="9">
                  <c:v>46067</c:v>
                </c:pt>
                <c:pt idx="10">
                  <c:v>46074</c:v>
                </c:pt>
                <c:pt idx="11">
                  <c:v>46081</c:v>
                </c:pt>
              </c:numCache>
            </c:numRef>
          </c:cat>
          <c:val>
            <c:numRef>
              <c:f>Summary!$C$15:$C$27</c:f>
              <c:numCache>
                <c:formatCode>General</c:formatCode>
                <c:ptCount val="13"/>
                <c:pt idx="0">
                  <c:v>46</c:v>
                </c:pt>
                <c:pt idx="1">
                  <c:v>26</c:v>
                </c:pt>
                <c:pt idx="2">
                  <c:v>11</c:v>
                </c:pt>
                <c:pt idx="3">
                  <c:v>37</c:v>
                </c:pt>
                <c:pt idx="4">
                  <c:v>20</c:v>
                </c:pt>
                <c:pt idx="5">
                  <c:v>28</c:v>
                </c:pt>
                <c:pt idx="6">
                  <c:v>41</c:v>
                </c:pt>
                <c:pt idx="7">
                  <c:v>38</c:v>
                </c:pt>
                <c:pt idx="8">
                  <c:v>38</c:v>
                </c:pt>
                <c:pt idx="9">
                  <c:v>46</c:v>
                </c:pt>
                <c:pt idx="10">
                  <c:v>42</c:v>
                </c:pt>
                <c:pt idx="11">
                  <c:v>26</c:v>
                </c:pt>
                <c:pt idx="12">
                  <c:v>0</c:v>
                </c:pt>
              </c:numCache>
            </c:numRef>
          </c:val>
          <c:smooth val="0"/>
          <c:extLst>
            <c:ext xmlns:c16="http://schemas.microsoft.com/office/drawing/2014/chart" uri="{C3380CC4-5D6E-409C-BE32-E72D297353CC}">
              <c16:uniqueId val="{00000000-4FB6-4951-BDB7-E3DF15ACAEDF}"/>
            </c:ext>
          </c:extLst>
        </c:ser>
        <c:dLbls>
          <c:showLegendKey val="0"/>
          <c:showVal val="0"/>
          <c:showCatName val="0"/>
          <c:showSerName val="0"/>
          <c:showPercent val="0"/>
          <c:showBubbleSize val="0"/>
        </c:dLbls>
        <c:marker val="1"/>
        <c:smooth val="0"/>
        <c:axId val="1010543616"/>
        <c:axId val="1010534496"/>
      </c:lineChart>
      <c:dateAx>
        <c:axId val="1010543616"/>
        <c:scaling>
          <c:orientation val="minMax"/>
        </c:scaling>
        <c:delete val="0"/>
        <c:axPos val="b"/>
        <c:numFmt formatCode="mm/d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34496"/>
        <c:crosses val="autoZero"/>
        <c:auto val="1"/>
        <c:lblOffset val="100"/>
        <c:baseTimeUnit val="days"/>
      </c:dateAx>
      <c:valAx>
        <c:axId val="101053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4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 by Associate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
          <c:order val="0"/>
          <c:tx>
            <c:strRef>
              <c:f>Summary!$F$14</c:f>
              <c:strCache>
                <c:ptCount val="1"/>
                <c:pt idx="0">
                  <c:v>Michelle</c:v>
                </c:pt>
              </c:strCache>
            </c:strRef>
          </c:tx>
          <c:spPr>
            <a:solidFill>
              <a:schemeClr val="accent4"/>
            </a:solidFill>
            <a:ln>
              <a:noFill/>
            </a:ln>
            <a:effectLst/>
          </c:spPr>
          <c:invertIfNegative val="0"/>
          <c:cat>
            <c:numRef>
              <c:f>Summary!$B$15:$B$27</c:f>
              <c:numCache>
                <c:formatCode>mm/dd/yy</c:formatCode>
                <c:ptCount val="13"/>
                <c:pt idx="0">
                  <c:v>45997</c:v>
                </c:pt>
                <c:pt idx="1">
                  <c:v>46011</c:v>
                </c:pt>
                <c:pt idx="2">
                  <c:v>46018</c:v>
                </c:pt>
                <c:pt idx="3">
                  <c:v>46025</c:v>
                </c:pt>
                <c:pt idx="4">
                  <c:v>46032</c:v>
                </c:pt>
                <c:pt idx="5">
                  <c:v>46039</c:v>
                </c:pt>
                <c:pt idx="6">
                  <c:v>46046</c:v>
                </c:pt>
                <c:pt idx="7">
                  <c:v>46053</c:v>
                </c:pt>
                <c:pt idx="8">
                  <c:v>46060</c:v>
                </c:pt>
                <c:pt idx="9">
                  <c:v>46067</c:v>
                </c:pt>
                <c:pt idx="10">
                  <c:v>46074</c:v>
                </c:pt>
                <c:pt idx="11">
                  <c:v>46081</c:v>
                </c:pt>
              </c:numCache>
            </c:numRef>
          </c:cat>
          <c:val>
            <c:numRef>
              <c:f>Summary!$F$15:$F$27</c:f>
              <c:numCache>
                <c:formatCode>General</c:formatCode>
                <c:ptCount val="13"/>
                <c:pt idx="0">
                  <c:v>15</c:v>
                </c:pt>
                <c:pt idx="1">
                  <c:v>0</c:v>
                </c:pt>
                <c:pt idx="2">
                  <c:v>2</c:v>
                </c:pt>
                <c:pt idx="3">
                  <c:v>2</c:v>
                </c:pt>
                <c:pt idx="4">
                  <c:v>4</c:v>
                </c:pt>
                <c:pt idx="5">
                  <c:v>9</c:v>
                </c:pt>
                <c:pt idx="6">
                  <c:v>10</c:v>
                </c:pt>
                <c:pt idx="7">
                  <c:v>10</c:v>
                </c:pt>
                <c:pt idx="8">
                  <c:v>12</c:v>
                </c:pt>
                <c:pt idx="9">
                  <c:v>22</c:v>
                </c:pt>
                <c:pt idx="10">
                  <c:v>16</c:v>
                </c:pt>
                <c:pt idx="11">
                  <c:v>1</c:v>
                </c:pt>
                <c:pt idx="12">
                  <c:v>0</c:v>
                </c:pt>
              </c:numCache>
            </c:numRef>
          </c:val>
          <c:extLst>
            <c:ext xmlns:c16="http://schemas.microsoft.com/office/drawing/2014/chart" uri="{C3380CC4-5D6E-409C-BE32-E72D297353CC}">
              <c16:uniqueId val="{00000003-C299-4CB0-A62C-651F0B8C222E}"/>
            </c:ext>
          </c:extLst>
        </c:ser>
        <c:ser>
          <c:idx val="4"/>
          <c:order val="1"/>
          <c:tx>
            <c:strRef>
              <c:f>Summary!$G$14</c:f>
              <c:strCache>
                <c:ptCount val="1"/>
                <c:pt idx="0">
                  <c:v>Joaquin</c:v>
                </c:pt>
              </c:strCache>
            </c:strRef>
          </c:tx>
          <c:spPr>
            <a:solidFill>
              <a:schemeClr val="accent5"/>
            </a:solidFill>
            <a:ln>
              <a:noFill/>
            </a:ln>
            <a:effectLst/>
          </c:spPr>
          <c:invertIfNegative val="0"/>
          <c:cat>
            <c:numRef>
              <c:f>Summary!$B$15:$B$27</c:f>
              <c:numCache>
                <c:formatCode>mm/dd/yy</c:formatCode>
                <c:ptCount val="13"/>
                <c:pt idx="0">
                  <c:v>45997</c:v>
                </c:pt>
                <c:pt idx="1">
                  <c:v>46011</c:v>
                </c:pt>
                <c:pt idx="2">
                  <c:v>46018</c:v>
                </c:pt>
                <c:pt idx="3">
                  <c:v>46025</c:v>
                </c:pt>
                <c:pt idx="4">
                  <c:v>46032</c:v>
                </c:pt>
                <c:pt idx="5">
                  <c:v>46039</c:v>
                </c:pt>
                <c:pt idx="6">
                  <c:v>46046</c:v>
                </c:pt>
                <c:pt idx="7">
                  <c:v>46053</c:v>
                </c:pt>
                <c:pt idx="8">
                  <c:v>46060</c:v>
                </c:pt>
                <c:pt idx="9">
                  <c:v>46067</c:v>
                </c:pt>
                <c:pt idx="10">
                  <c:v>46074</c:v>
                </c:pt>
                <c:pt idx="11">
                  <c:v>46081</c:v>
                </c:pt>
              </c:numCache>
            </c:numRef>
          </c:cat>
          <c:val>
            <c:numRef>
              <c:f>Summary!$G$15:$G$27</c:f>
              <c:numCache>
                <c:formatCode>General</c:formatCode>
                <c:ptCount val="13"/>
                <c:pt idx="0">
                  <c:v>31</c:v>
                </c:pt>
                <c:pt idx="1">
                  <c:v>26</c:v>
                </c:pt>
                <c:pt idx="2">
                  <c:v>9</c:v>
                </c:pt>
                <c:pt idx="3">
                  <c:v>35</c:v>
                </c:pt>
                <c:pt idx="4">
                  <c:v>16</c:v>
                </c:pt>
                <c:pt idx="5">
                  <c:v>19</c:v>
                </c:pt>
                <c:pt idx="6">
                  <c:v>31</c:v>
                </c:pt>
                <c:pt idx="7">
                  <c:v>28</c:v>
                </c:pt>
                <c:pt idx="8">
                  <c:v>26</c:v>
                </c:pt>
                <c:pt idx="9">
                  <c:v>24</c:v>
                </c:pt>
                <c:pt idx="10">
                  <c:v>26</c:v>
                </c:pt>
                <c:pt idx="11">
                  <c:v>25</c:v>
                </c:pt>
                <c:pt idx="12">
                  <c:v>0</c:v>
                </c:pt>
              </c:numCache>
            </c:numRef>
          </c:val>
          <c:extLst>
            <c:ext xmlns:c16="http://schemas.microsoft.com/office/drawing/2014/chart" uri="{C3380CC4-5D6E-409C-BE32-E72D297353CC}">
              <c16:uniqueId val="{00000004-C299-4CB0-A62C-651F0B8C222E}"/>
            </c:ext>
          </c:extLst>
        </c:ser>
        <c:dLbls>
          <c:showLegendKey val="0"/>
          <c:showVal val="0"/>
          <c:showCatName val="0"/>
          <c:showSerName val="0"/>
          <c:showPercent val="0"/>
          <c:showBubbleSize val="0"/>
        </c:dLbls>
        <c:gapWidth val="150"/>
        <c:overlap val="100"/>
        <c:axId val="950121232"/>
        <c:axId val="950116432"/>
      </c:barChart>
      <c:dateAx>
        <c:axId val="950121232"/>
        <c:scaling>
          <c:orientation val="minMax"/>
        </c:scaling>
        <c:delete val="0"/>
        <c:axPos val="b"/>
        <c:numFmt formatCode="mm/d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16432"/>
        <c:crosses val="autoZero"/>
        <c:auto val="1"/>
        <c:lblOffset val="100"/>
        <c:baseTimeUnit val="days"/>
      </c:dateAx>
      <c:valAx>
        <c:axId val="95011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2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56</xdr:row>
      <xdr:rowOff>0</xdr:rowOff>
    </xdr:from>
    <xdr:to>
      <xdr:col>2</xdr:col>
      <xdr:colOff>254000</xdr:colOff>
      <xdr:row>70</xdr:row>
      <xdr:rowOff>76200</xdr:rowOff>
    </xdr:to>
    <xdr:graphicFrame macro="">
      <xdr:nvGraphicFramePr>
        <xdr:cNvPr id="3" name="Chart 2">
          <a:extLst>
            <a:ext uri="{FF2B5EF4-FFF2-40B4-BE49-F238E27FC236}">
              <a16:creationId xmlns:a16="http://schemas.microsoft.com/office/drawing/2014/main" id="{76671725-C79D-A7B2-1785-9C809173C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74</xdr:row>
      <xdr:rowOff>0</xdr:rowOff>
    </xdr:from>
    <xdr:to>
      <xdr:col>2</xdr:col>
      <xdr:colOff>254000</xdr:colOff>
      <xdr:row>88</xdr:row>
      <xdr:rowOff>76200</xdr:rowOff>
    </xdr:to>
    <xdr:graphicFrame macro="">
      <xdr:nvGraphicFramePr>
        <xdr:cNvPr id="5" name="Chart 4">
          <a:extLst>
            <a:ext uri="{FF2B5EF4-FFF2-40B4-BE49-F238E27FC236}">
              <a16:creationId xmlns:a16="http://schemas.microsoft.com/office/drawing/2014/main" id="{3F08F935-EE0C-C7F9-9C03-B3CE1B0EF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74</xdr:row>
      <xdr:rowOff>0</xdr:rowOff>
    </xdr:from>
    <xdr:to>
      <xdr:col>8</xdr:col>
      <xdr:colOff>25400</xdr:colOff>
      <xdr:row>88</xdr:row>
      <xdr:rowOff>76200</xdr:rowOff>
    </xdr:to>
    <xdr:graphicFrame macro="">
      <xdr:nvGraphicFramePr>
        <xdr:cNvPr id="6" name="Chart 5">
          <a:extLst>
            <a:ext uri="{FF2B5EF4-FFF2-40B4-BE49-F238E27FC236}">
              <a16:creationId xmlns:a16="http://schemas.microsoft.com/office/drawing/2014/main" id="{C1B6B59D-FB23-20BF-6600-58335B64D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56</xdr:row>
      <xdr:rowOff>0</xdr:rowOff>
    </xdr:from>
    <xdr:to>
      <xdr:col>8</xdr:col>
      <xdr:colOff>25400</xdr:colOff>
      <xdr:row>70</xdr:row>
      <xdr:rowOff>76200</xdr:rowOff>
    </xdr:to>
    <xdr:graphicFrame macro="">
      <xdr:nvGraphicFramePr>
        <xdr:cNvPr id="7" name="Chart 6">
          <a:extLst>
            <a:ext uri="{FF2B5EF4-FFF2-40B4-BE49-F238E27FC236}">
              <a16:creationId xmlns:a16="http://schemas.microsoft.com/office/drawing/2014/main" id="{7BBF0218-5432-B60F-D175-2F5BC6343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63500</xdr:colOff>
      <xdr:row>3</xdr:row>
      <xdr:rowOff>6350</xdr:rowOff>
    </xdr:from>
    <xdr:to>
      <xdr:col>15</xdr:col>
      <xdr:colOff>1050925</xdr:colOff>
      <xdr:row>9</xdr:row>
      <xdr:rowOff>460375</xdr:rowOff>
    </xdr:to>
    <xdr:graphicFrame macro="">
      <xdr:nvGraphicFramePr>
        <xdr:cNvPr id="2" name="Chart 1">
          <a:extLst>
            <a:ext uri="{FF2B5EF4-FFF2-40B4-BE49-F238E27FC236}">
              <a16:creationId xmlns:a16="http://schemas.microsoft.com/office/drawing/2014/main" id="{54A7BD26-4877-9A6F-B06D-DCA0472AB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63500</xdr:colOff>
      <xdr:row>11</xdr:row>
      <xdr:rowOff>38100</xdr:rowOff>
    </xdr:from>
    <xdr:to>
      <xdr:col>15</xdr:col>
      <xdr:colOff>1050925</xdr:colOff>
      <xdr:row>25</xdr:row>
      <xdr:rowOff>25400</xdr:rowOff>
    </xdr:to>
    <xdr:graphicFrame macro="">
      <xdr:nvGraphicFramePr>
        <xdr:cNvPr id="4" name="Chart 3">
          <a:extLst>
            <a:ext uri="{FF2B5EF4-FFF2-40B4-BE49-F238E27FC236}">
              <a16:creationId xmlns:a16="http://schemas.microsoft.com/office/drawing/2014/main" id="{4F396A60-797F-167E-D972-2BE3FCD0E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63500</xdr:colOff>
      <xdr:row>26</xdr:row>
      <xdr:rowOff>88900</xdr:rowOff>
    </xdr:from>
    <xdr:to>
      <xdr:col>15</xdr:col>
      <xdr:colOff>1050925</xdr:colOff>
      <xdr:row>40</xdr:row>
      <xdr:rowOff>47625</xdr:rowOff>
    </xdr:to>
    <xdr:graphicFrame macro="">
      <xdr:nvGraphicFramePr>
        <xdr:cNvPr id="8" name="Chart 7">
          <a:extLst>
            <a:ext uri="{FF2B5EF4-FFF2-40B4-BE49-F238E27FC236}">
              <a16:creationId xmlns:a16="http://schemas.microsoft.com/office/drawing/2014/main" id="{48E2A2E8-E428-141C-2BFE-5B9431AF9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70AA4-B24F-4C17-A956-79824B9DE7E1}" name="tblCallTracker" displayName="tblCallTracker" ref="A1:L1101" totalsRowShown="0" headerRowDxfId="0" dataDxfId="1">
  <autoFilter ref="A1:L1101" xr:uid="{C0370AA4-B24F-4C17-A956-79824B9DE7E1}"/>
  <tableColumns count="12">
    <tableColumn id="1" xr3:uid="{00AC7C7D-1530-46B9-8E5C-5F6F3E29A723}" name="AccountNumber" dataDxfId="13"/>
    <tableColumn id="2" xr3:uid="{D41E057F-3BC9-4522-A25B-A4A3AC52F35E}" name="Associate" dataDxfId="12"/>
    <tableColumn id="3" xr3:uid="{BD4339E5-2668-4DCE-A493-35A715E6CCE8}" name="DateCalled" dataDxfId="11"/>
    <tableColumn id="4" xr3:uid="{77699A6D-03CE-4320-BEF6-DF560306BAC6}" name="VM" dataDxfId="10"/>
    <tableColumn id="5" xr3:uid="{8368496B-7983-4973-9174-5C55497F8E43}" name="Outcome" dataDxfId="9"/>
    <tableColumn id="6" xr3:uid="{B5AA9271-CA83-4786-BF07-320F3C121B6E}" name="Notes" dataDxfId="8"/>
    <tableColumn id="7" xr3:uid="{97F10169-811D-481F-9A2A-FFF7DD3129C0}" name="Priority" dataDxfId="7"/>
    <tableColumn id="8" xr3:uid="{A2D3D94B-F0FE-440C-ADB8-0DD495FAF584}" name="CustomerName" dataDxfId="6"/>
    <tableColumn id="9" xr3:uid="{A364EA9A-03B0-4F79-A22E-0C4290FBA7DC}" name="City" dataDxfId="5"/>
    <tableColumn id="10" xr3:uid="{DC8B0B55-26AF-43C3-8E6B-BD93D6AD2008}" name="RatePlan" dataDxfId="4"/>
    <tableColumn id="11" xr3:uid="{B8CA624F-6E5D-4406-8EFF-6C9E384177CD}" name="MEPStatus" dataDxfId="3"/>
    <tableColumn id="12" xr3:uid="{C5CE013B-838A-4332-9903-4FEE636CC29D}" name="Issu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ECC22-5000-4B81-8AD9-7A0546146C56}" name="tblDocketedComments" displayName="tblDocketedComments" ref="A1:V1949" totalsRowShown="0" headerRowDxfId="59" dataDxfId="57" headerRowBorderDxfId="58" tableBorderDxfId="56">
  <autoFilter ref="A1:V1949" xr:uid="{553ECC22-5000-4B81-8AD9-7A0546146C56}">
    <filterColumn colId="1">
      <filters>
        <filter val="Hall"/>
      </filters>
    </filterColumn>
    <filterColumn colId="7">
      <customFilters>
        <customFilter operator="notEqual" val="*unable*"/>
      </customFilters>
    </filterColumn>
    <filterColumn colId="17">
      <filters blank="1"/>
    </filterColumn>
    <filterColumn colId="18">
      <filters blank="1"/>
    </filterColumn>
  </autoFilter>
  <tableColumns count="22">
    <tableColumn id="1" xr3:uid="{E4B9745C-4273-40E7-883A-9E596B402E74}" name="Date" dataDxfId="55"/>
    <tableColumn id="2" xr3:uid="{E95AB26C-A20E-401E-A50D-AD28831FDD6D}" name="Last Name" dataDxfId="54"/>
    <tableColumn id="3" xr3:uid="{2B0DC8A7-3C6B-4704-AA1A-FCEC82A05F6F}" name="First Name" dataDxfId="53"/>
    <tableColumn id="4" xr3:uid="{0AED137A-FEAB-44FF-BBB5-75C656A0C58C}" name="City" dataDxfId="52"/>
    <tableColumn id="5" xr3:uid="{0A255EA7-2F02-4036-AC79-92147DF412A5}" name="Zip code" dataDxfId="51"/>
    <tableColumn id="6" xr3:uid="{4465E407-E612-468D-8A5D-45EF1D685B0B}" name="Issue / Complaint" dataDxfId="50"/>
    <tableColumn id="7" xr3:uid="{86785CEF-DACE-4E84-A553-3F625DDFBA88}" name="Docketed Consumer Comments" dataDxfId="49"/>
    <tableColumn id="8" xr3:uid="{29884FE9-C9D9-4AC9-B77C-F6155ED83DD4}" name="Account #" dataDxfId="48"/>
    <tableColumn id="9" xr3:uid="{16DD30F1-9DD7-4A34-890F-E6A7FC8A7F55}" name="Rate Plan" dataDxfId="47"/>
    <tableColumn id="10" xr3:uid="{9F98B7C2-6EE6-409C-9460-281763628DEF}" name="E3?" dataDxfId="46"/>
    <tableColumn id="11" xr3:uid="{031E5A87-2562-4F54-ADE8-1A4092C917FC}" name="MCP?" dataDxfId="45"/>
    <tableColumn id="12" xr3:uid="{ECCB4753-5728-401B-98F5-1420A59F31D9}" name="Cust on MEP" dataDxfId="44"/>
    <tableColumn id="13" xr3:uid="{B1D89EB0-3E86-4B21-9834-AF8EAD79EE6A}" name="PA?" dataDxfId="43"/>
    <tableColumn id="14" xr3:uid="{844D0CEE-5708-4EDA-A10B-4A2306C6C9EB}" name="Payoff Balance" dataDxfId="42"/>
    <tableColumn id="15" xr3:uid="{24AB0749-49BF-4674-BB3F-C69CE98CB21F}" name="Team Reviewed" dataDxfId="41"/>
    <tableColumn id="16" xr3:uid="{30C7FE8B-5DF2-446D-8637-7F09233A8345}" name="Response Y(date)/N" dataDxfId="40"/>
    <tableColumn id="17" xr3:uid="{743F67D8-60FF-43A2-948E-DFA227732B8C}" name="Last date of Account review"/>
    <tableColumn id="18" xr3:uid="{DF85349F-1019-4882-B27E-89BC23EE4E80}" name="Notes" dataDxfId="39"/>
    <tableColumn id="19" xr3:uid="{8B1B90E2-EBC0-428E-8638-AF63AB1E69CA}" name="ACC Inquiry Sent to CA" dataDxfId="38"/>
    <tableColumn id="20" xr3:uid="{939C72A8-2207-43B3-8551-3EA069B26C66}" name="APS CA Referral" dataDxfId="37"/>
    <tableColumn id="21" xr3:uid="{B60A159D-8C37-4918-BC1D-247DC8A23F6E}" name="Comments" dataDxfId="36"/>
    <tableColumn id="22" xr3:uid="{B5C9691D-F0C1-4D7C-8CB5-08C931FABBFC}" name="Include_Row" dataDxfId="35">
      <calculatedColumnFormula>IF(
  OR(
    ISNUMBER(SEARCH("unable to locate acct", tblDocketedComments[[#This Row],[Docketed Consumer Comments]])),
    ISNUMBER(SEARCH("unknown", tblDocketedComments[[#This Row],[Docketed Consumer Comments]])),
    ISNUMBER(SEARCH("inactive", tblDocketedComments[[#This Row],[Docketed Consumer Comments]]))
  ),
  0,
  1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2CB5FD8-5E92-1F47-B6AD-7170CE57051A}">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docket.images.azcc.gov/000021571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2925-20AA-1245-9B79-8C0006DDEFA4}">
  <dimension ref="A1:L1303"/>
  <sheetViews>
    <sheetView topLeftCell="B2" workbookViewId="0">
      <pane xSplit="1" ySplit="1" topLeftCell="C3" activePane="bottomRight" state="frozen"/>
      <selection activeCell="B2" sqref="B2"/>
      <selection pane="topRight" activeCell="C2" sqref="C2"/>
      <selection pane="bottomLeft" activeCell="B3" sqref="B3"/>
      <selection pane="bottomRight"/>
    </sheetView>
  </sheetViews>
  <sheetFormatPr defaultColWidth="11.42578125" defaultRowHeight="15"/>
  <cols>
    <col min="1" max="1" width="19" customWidth="1"/>
    <col min="2" max="2" width="16.140625" customWidth="1"/>
    <col min="3" max="3" width="17.140625" customWidth="1"/>
    <col min="4" max="4" width="10.42578125" customWidth="1"/>
    <col min="5" max="5" width="21" customWidth="1"/>
    <col min="6" max="6" width="38.140625" customWidth="1"/>
    <col min="7" max="7" width="12.42578125" customWidth="1"/>
    <col min="8" max="8" width="30.42578125" customWidth="1"/>
    <col min="9" max="9" width="19" customWidth="1"/>
    <col min="10" max="10" width="21" customWidth="1"/>
    <col min="11" max="11" width="24.7109375" customWidth="1"/>
    <col min="12" max="12" width="57.140625" customWidth="1"/>
    <col min="13" max="13" width="21.7109375" customWidth="1"/>
  </cols>
  <sheetData>
    <row r="1" spans="1:12" ht="30" customHeight="1">
      <c r="A1" s="146" t="s">
        <v>6738</v>
      </c>
      <c r="B1" s="146" t="s">
        <v>4919</v>
      </c>
      <c r="C1" s="146" t="s">
        <v>6739</v>
      </c>
      <c r="D1" s="146" t="s">
        <v>6740</v>
      </c>
      <c r="E1" s="146" t="s">
        <v>4891</v>
      </c>
      <c r="F1" s="146" t="s">
        <v>17</v>
      </c>
      <c r="G1" s="76" t="s">
        <v>4917</v>
      </c>
      <c r="H1" s="76" t="s">
        <v>6741</v>
      </c>
      <c r="I1" s="76" t="s">
        <v>3</v>
      </c>
      <c r="J1" s="76" t="s">
        <v>6742</v>
      </c>
      <c r="K1" s="76" t="s">
        <v>6743</v>
      </c>
      <c r="L1" s="76" t="s">
        <v>6744</v>
      </c>
    </row>
    <row r="2" spans="1:12" ht="21.95" customHeight="1">
      <c r="A2" s="149" t="s">
        <v>665</v>
      </c>
      <c r="B2" s="147" t="s">
        <v>117</v>
      </c>
      <c r="C2" s="148">
        <v>46025</v>
      </c>
      <c r="D2" s="147" t="s">
        <v>4894</v>
      </c>
      <c r="E2" s="147"/>
      <c r="F2" s="74"/>
      <c r="G2" s="74" t="s">
        <v>4920</v>
      </c>
      <c r="H2" s="74" t="s">
        <v>4941</v>
      </c>
      <c r="I2" s="74" t="s">
        <v>169</v>
      </c>
      <c r="J2" s="74" t="s">
        <v>57</v>
      </c>
      <c r="K2" s="74" t="s">
        <v>6749</v>
      </c>
      <c r="L2" s="74" t="s">
        <v>664</v>
      </c>
    </row>
    <row r="3" spans="1:12" ht="21.95" customHeight="1">
      <c r="A3" s="149" t="s">
        <v>5999</v>
      </c>
      <c r="B3" s="147" t="s">
        <v>117</v>
      </c>
      <c r="C3" s="148">
        <v>46046</v>
      </c>
      <c r="D3" s="147" t="s">
        <v>4871</v>
      </c>
      <c r="E3" s="147" t="s">
        <v>4915</v>
      </c>
      <c r="F3" s="74"/>
      <c r="G3" s="74" t="s">
        <v>4920</v>
      </c>
      <c r="H3" s="74" t="s">
        <v>4942</v>
      </c>
      <c r="I3" s="74" t="s">
        <v>63</v>
      </c>
      <c r="J3" s="74" t="s">
        <v>36</v>
      </c>
      <c r="K3" s="74" t="s">
        <v>6749</v>
      </c>
      <c r="L3" s="74" t="s">
        <v>310</v>
      </c>
    </row>
    <row r="4" spans="1:12" ht="21.95" customHeight="1">
      <c r="A4" s="149" t="s">
        <v>6000</v>
      </c>
      <c r="B4" s="147" t="s">
        <v>4893</v>
      </c>
      <c r="C4" s="148">
        <v>46046</v>
      </c>
      <c r="D4" s="147" t="s">
        <v>4894</v>
      </c>
      <c r="E4" s="147"/>
      <c r="F4" s="74" t="s">
        <v>6780</v>
      </c>
      <c r="G4" s="74" t="s">
        <v>4920</v>
      </c>
      <c r="H4" s="74" t="s">
        <v>4943</v>
      </c>
      <c r="I4" s="74" t="s">
        <v>63</v>
      </c>
      <c r="J4" s="74" t="s">
        <v>196</v>
      </c>
      <c r="K4" s="74" t="s">
        <v>6749</v>
      </c>
      <c r="L4" s="74" t="s">
        <v>1876</v>
      </c>
    </row>
    <row r="5" spans="1:12" ht="21.95" customHeight="1">
      <c r="A5" s="149" t="s">
        <v>6001</v>
      </c>
      <c r="B5" s="147" t="s">
        <v>4893</v>
      </c>
      <c r="C5" s="148">
        <v>46046</v>
      </c>
      <c r="D5" s="147" t="s">
        <v>4871</v>
      </c>
      <c r="E5" s="147" t="s">
        <v>4904</v>
      </c>
      <c r="F5" s="74" t="s">
        <v>6782</v>
      </c>
      <c r="G5" s="74" t="s">
        <v>4920</v>
      </c>
      <c r="H5" s="74" t="s">
        <v>4944</v>
      </c>
      <c r="I5" s="74" t="s">
        <v>112</v>
      </c>
      <c r="J5" s="74" t="s">
        <v>196</v>
      </c>
      <c r="K5" s="74" t="s">
        <v>6749</v>
      </c>
      <c r="L5" s="74" t="s">
        <v>310</v>
      </c>
    </row>
    <row r="6" spans="1:12" ht="21.95" customHeight="1">
      <c r="A6" s="149" t="s">
        <v>6002</v>
      </c>
      <c r="B6" s="147" t="s">
        <v>4893</v>
      </c>
      <c r="C6" s="148">
        <v>46039</v>
      </c>
      <c r="D6" s="147" t="s">
        <v>4894</v>
      </c>
      <c r="E6" s="147"/>
      <c r="F6" s="74"/>
      <c r="G6" s="74" t="s">
        <v>4920</v>
      </c>
      <c r="H6" s="74" t="s">
        <v>4945</v>
      </c>
      <c r="I6" s="74" t="s">
        <v>112</v>
      </c>
      <c r="J6" s="74" t="s">
        <v>196</v>
      </c>
      <c r="K6" s="74" t="s">
        <v>6749</v>
      </c>
      <c r="L6" s="74" t="s">
        <v>2169</v>
      </c>
    </row>
    <row r="7" spans="1:12" ht="21.95" customHeight="1">
      <c r="A7" s="149" t="s">
        <v>2313</v>
      </c>
      <c r="B7" s="147" t="s">
        <v>4893</v>
      </c>
      <c r="C7" s="148">
        <v>46025</v>
      </c>
      <c r="D7" s="147" t="s">
        <v>4894</v>
      </c>
      <c r="E7" s="147"/>
      <c r="F7" s="74" t="s">
        <v>5995</v>
      </c>
      <c r="G7" s="74" t="s">
        <v>4920</v>
      </c>
      <c r="H7" s="74" t="s">
        <v>4946</v>
      </c>
      <c r="I7" s="74" t="s">
        <v>63</v>
      </c>
      <c r="J7" s="74" t="s">
        <v>196</v>
      </c>
      <c r="K7" s="74" t="s">
        <v>6749</v>
      </c>
      <c r="L7" s="74" t="s">
        <v>310</v>
      </c>
    </row>
    <row r="8" spans="1:12" ht="21.95" customHeight="1">
      <c r="A8" s="149" t="s">
        <v>2454</v>
      </c>
      <c r="B8" s="147" t="s">
        <v>4893</v>
      </c>
      <c r="C8" s="148">
        <v>46025</v>
      </c>
      <c r="D8" s="147"/>
      <c r="E8" s="147"/>
      <c r="F8" s="74" t="s">
        <v>5995</v>
      </c>
      <c r="G8" s="74" t="s">
        <v>4920</v>
      </c>
      <c r="H8" s="74" t="s">
        <v>4947</v>
      </c>
      <c r="I8" s="74" t="s">
        <v>1514</v>
      </c>
      <c r="J8" s="74" t="s">
        <v>126</v>
      </c>
      <c r="K8" s="74" t="s">
        <v>6749</v>
      </c>
      <c r="L8" s="74" t="s">
        <v>31</v>
      </c>
    </row>
    <row r="9" spans="1:12" ht="21.95" customHeight="1">
      <c r="A9" s="149" t="s">
        <v>2574</v>
      </c>
      <c r="B9" s="147" t="s">
        <v>4893</v>
      </c>
      <c r="C9" s="148">
        <v>46025</v>
      </c>
      <c r="D9" s="147" t="s">
        <v>4871</v>
      </c>
      <c r="E9" s="147"/>
      <c r="F9" s="74" t="s">
        <v>5991</v>
      </c>
      <c r="G9" s="74" t="s">
        <v>4920</v>
      </c>
      <c r="H9" s="74" t="s">
        <v>4948</v>
      </c>
      <c r="I9" s="74" t="s">
        <v>616</v>
      </c>
      <c r="J9" s="74" t="s">
        <v>250</v>
      </c>
      <c r="K9" s="74" t="s">
        <v>6749</v>
      </c>
      <c r="L9" s="74" t="s">
        <v>2573</v>
      </c>
    </row>
    <row r="10" spans="1:12" ht="21.95" customHeight="1">
      <c r="A10" s="149" t="s">
        <v>6003</v>
      </c>
      <c r="B10" s="147" t="s">
        <v>4893</v>
      </c>
      <c r="C10" s="148">
        <v>45997</v>
      </c>
      <c r="D10" s="147" t="s">
        <v>4894</v>
      </c>
      <c r="E10" s="147"/>
      <c r="F10" s="74" t="s">
        <v>6823</v>
      </c>
      <c r="G10" s="74" t="s">
        <v>4920</v>
      </c>
      <c r="H10" s="74" t="s">
        <v>4949</v>
      </c>
      <c r="I10" s="74" t="s">
        <v>63</v>
      </c>
      <c r="J10" s="74" t="s">
        <v>196</v>
      </c>
      <c r="K10" s="74" t="s">
        <v>6749</v>
      </c>
      <c r="L10" s="74" t="s">
        <v>2653</v>
      </c>
    </row>
    <row r="11" spans="1:12" ht="21.95" customHeight="1">
      <c r="A11" s="149" t="s">
        <v>2811</v>
      </c>
      <c r="B11" s="147" t="s">
        <v>4893</v>
      </c>
      <c r="C11" s="148">
        <v>46039</v>
      </c>
      <c r="D11" s="147" t="s">
        <v>4894</v>
      </c>
      <c r="E11" s="147"/>
      <c r="F11" s="74"/>
      <c r="G11" s="74" t="s">
        <v>4920</v>
      </c>
      <c r="H11" s="74" t="s">
        <v>4950</v>
      </c>
      <c r="I11" s="74" t="s">
        <v>174</v>
      </c>
      <c r="J11" s="74" t="s">
        <v>46</v>
      </c>
      <c r="K11" s="74" t="s">
        <v>6749</v>
      </c>
      <c r="L11" s="74" t="s">
        <v>2810</v>
      </c>
    </row>
    <row r="12" spans="1:12" ht="21.95" customHeight="1">
      <c r="A12" s="149" t="s">
        <v>3026</v>
      </c>
      <c r="B12" s="147" t="s">
        <v>4893</v>
      </c>
      <c r="C12" s="148">
        <v>46032</v>
      </c>
      <c r="D12" s="147"/>
      <c r="E12" s="147" t="s">
        <v>4905</v>
      </c>
      <c r="F12" s="74" t="s">
        <v>6808</v>
      </c>
      <c r="G12" s="74" t="s">
        <v>4920</v>
      </c>
      <c r="H12" s="74" t="s">
        <v>4951</v>
      </c>
      <c r="I12" s="74" t="s">
        <v>125</v>
      </c>
      <c r="J12" s="74" t="s">
        <v>196</v>
      </c>
      <c r="K12" s="74" t="s">
        <v>6749</v>
      </c>
      <c r="L12" s="74" t="s">
        <v>3002</v>
      </c>
    </row>
    <row r="13" spans="1:12" ht="21.95" customHeight="1">
      <c r="A13" s="149" t="s">
        <v>3052</v>
      </c>
      <c r="B13" s="147" t="s">
        <v>4893</v>
      </c>
      <c r="C13" s="148">
        <v>46032</v>
      </c>
      <c r="D13" s="147" t="s">
        <v>4894</v>
      </c>
      <c r="E13" s="147"/>
      <c r="F13" s="74" t="s">
        <v>6834</v>
      </c>
      <c r="G13" s="74" t="s">
        <v>4920</v>
      </c>
      <c r="H13" s="74" t="s">
        <v>4952</v>
      </c>
      <c r="I13" s="74" t="s">
        <v>63</v>
      </c>
      <c r="J13" s="74" t="s">
        <v>196</v>
      </c>
      <c r="K13" s="74" t="s">
        <v>6749</v>
      </c>
      <c r="L13" s="74" t="s">
        <v>3002</v>
      </c>
    </row>
    <row r="14" spans="1:12" ht="21.95" customHeight="1">
      <c r="A14" s="149" t="s">
        <v>3177</v>
      </c>
      <c r="B14" s="147" t="s">
        <v>4893</v>
      </c>
      <c r="C14" s="148">
        <v>46032</v>
      </c>
      <c r="D14" s="147" t="s">
        <v>4894</v>
      </c>
      <c r="E14" s="147"/>
      <c r="F14" s="74" t="s">
        <v>5987</v>
      </c>
      <c r="G14" s="74" t="s">
        <v>4920</v>
      </c>
      <c r="H14" s="74" t="s">
        <v>4953</v>
      </c>
      <c r="I14" s="74" t="s">
        <v>63</v>
      </c>
      <c r="J14" s="74" t="s">
        <v>126</v>
      </c>
      <c r="K14" s="74" t="s">
        <v>6749</v>
      </c>
      <c r="L14" s="74" t="s">
        <v>2856</v>
      </c>
    </row>
    <row r="15" spans="1:12" ht="21.95" customHeight="1">
      <c r="A15" s="149" t="s">
        <v>3183</v>
      </c>
      <c r="B15" s="147" t="s">
        <v>4893</v>
      </c>
      <c r="C15" s="148">
        <v>46032</v>
      </c>
      <c r="D15" s="147" t="s">
        <v>4894</v>
      </c>
      <c r="E15" s="147"/>
      <c r="F15" s="74" t="s">
        <v>5987</v>
      </c>
      <c r="G15" s="74" t="s">
        <v>4920</v>
      </c>
      <c r="H15" s="74" t="s">
        <v>4954</v>
      </c>
      <c r="I15" s="74" t="s">
        <v>63</v>
      </c>
      <c r="J15" s="74" t="s">
        <v>36</v>
      </c>
      <c r="K15" s="74" t="s">
        <v>6749</v>
      </c>
      <c r="L15" s="74" t="s">
        <v>3002</v>
      </c>
    </row>
    <row r="16" spans="1:12" ht="21.95" customHeight="1">
      <c r="A16" s="149" t="s">
        <v>3268</v>
      </c>
      <c r="B16" s="147" t="s">
        <v>4893</v>
      </c>
      <c r="C16" s="148">
        <v>46032</v>
      </c>
      <c r="D16" s="147" t="s">
        <v>4894</v>
      </c>
      <c r="E16" s="147"/>
      <c r="F16" s="74" t="s">
        <v>6790</v>
      </c>
      <c r="G16" s="74" t="s">
        <v>4920</v>
      </c>
      <c r="H16" s="74" t="s">
        <v>4955</v>
      </c>
      <c r="I16" s="74" t="s">
        <v>43</v>
      </c>
      <c r="J16" s="74" t="s">
        <v>196</v>
      </c>
      <c r="K16" s="74" t="s">
        <v>6749</v>
      </c>
      <c r="L16" s="74" t="s">
        <v>3002</v>
      </c>
    </row>
    <row r="17" spans="1:12" ht="21.95" customHeight="1">
      <c r="A17" s="149" t="s">
        <v>3294</v>
      </c>
      <c r="B17" s="147" t="s">
        <v>4893</v>
      </c>
      <c r="C17" s="148">
        <v>46032</v>
      </c>
      <c r="D17" s="147"/>
      <c r="E17" s="147" t="s">
        <v>4900</v>
      </c>
      <c r="F17" s="74" t="s">
        <v>6804</v>
      </c>
      <c r="G17" s="74" t="s">
        <v>4920</v>
      </c>
      <c r="H17" s="74" t="s">
        <v>4956</v>
      </c>
      <c r="I17" s="74" t="s">
        <v>63</v>
      </c>
      <c r="J17" s="74" t="s">
        <v>196</v>
      </c>
      <c r="K17" s="74" t="s">
        <v>6749</v>
      </c>
      <c r="L17" s="74" t="s">
        <v>3292</v>
      </c>
    </row>
    <row r="18" spans="1:12" ht="21.95" customHeight="1">
      <c r="A18" s="149" t="s">
        <v>6004</v>
      </c>
      <c r="B18" s="147" t="s">
        <v>4893</v>
      </c>
      <c r="C18" s="148">
        <v>46018</v>
      </c>
      <c r="D18" s="147" t="s">
        <v>4871</v>
      </c>
      <c r="E18" s="147" t="s">
        <v>4904</v>
      </c>
      <c r="F18" s="74"/>
      <c r="G18" s="74" t="s">
        <v>4920</v>
      </c>
      <c r="H18" s="74" t="s">
        <v>4957</v>
      </c>
      <c r="I18" s="74" t="s">
        <v>174</v>
      </c>
      <c r="J18" s="74" t="s">
        <v>196</v>
      </c>
      <c r="K18" s="74" t="s">
        <v>6749</v>
      </c>
      <c r="L18" s="74" t="s">
        <v>3335</v>
      </c>
    </row>
    <row r="19" spans="1:12" ht="21.95" customHeight="1">
      <c r="A19" s="149" t="s">
        <v>3644</v>
      </c>
      <c r="B19" s="147"/>
      <c r="C19" s="148"/>
      <c r="D19" s="147"/>
      <c r="E19" s="147"/>
      <c r="F19" s="74"/>
      <c r="G19" s="74" t="s">
        <v>6745</v>
      </c>
      <c r="H19" s="74" t="s">
        <v>4958</v>
      </c>
      <c r="I19" s="74" t="s">
        <v>616</v>
      </c>
      <c r="J19" s="74" t="s">
        <v>538</v>
      </c>
      <c r="K19" s="74" t="s">
        <v>6749</v>
      </c>
      <c r="L19" s="74" t="s">
        <v>3335</v>
      </c>
    </row>
    <row r="20" spans="1:12" ht="21.95" customHeight="1">
      <c r="A20" s="149" t="s">
        <v>6005</v>
      </c>
      <c r="B20" s="147"/>
      <c r="C20" s="148"/>
      <c r="D20" s="147"/>
      <c r="E20" s="147"/>
      <c r="F20" s="74"/>
      <c r="G20" s="74" t="s">
        <v>6745</v>
      </c>
      <c r="H20" s="74" t="s">
        <v>4959</v>
      </c>
      <c r="I20" s="74" t="s">
        <v>169</v>
      </c>
      <c r="J20" s="74" t="s">
        <v>3779</v>
      </c>
      <c r="K20" s="74" t="s">
        <v>6749</v>
      </c>
      <c r="L20" s="74" t="s">
        <v>3778</v>
      </c>
    </row>
    <row r="21" spans="1:12" ht="21.95" customHeight="1">
      <c r="A21" s="149" t="s">
        <v>6006</v>
      </c>
      <c r="B21" s="147"/>
      <c r="C21" s="148"/>
      <c r="D21" s="147"/>
      <c r="E21" s="147"/>
      <c r="F21" s="74"/>
      <c r="G21" s="74" t="s">
        <v>6745</v>
      </c>
      <c r="H21" s="74" t="s">
        <v>4960</v>
      </c>
      <c r="I21" s="74" t="s">
        <v>24</v>
      </c>
      <c r="J21" s="74" t="s">
        <v>126</v>
      </c>
      <c r="K21" s="74" t="s">
        <v>6749</v>
      </c>
      <c r="L21" s="74" t="s">
        <v>3828</v>
      </c>
    </row>
    <row r="22" spans="1:12" ht="21.95" customHeight="1">
      <c r="A22" s="149" t="s">
        <v>4233</v>
      </c>
      <c r="B22" s="147"/>
      <c r="C22" s="148"/>
      <c r="D22" s="147"/>
      <c r="E22" s="147"/>
      <c r="F22" s="74"/>
      <c r="G22" s="74" t="s">
        <v>6745</v>
      </c>
      <c r="H22" s="74" t="s">
        <v>4961</v>
      </c>
      <c r="I22" s="74" t="s">
        <v>63</v>
      </c>
      <c r="J22" s="74" t="s">
        <v>36</v>
      </c>
      <c r="K22" s="74" t="s">
        <v>6749</v>
      </c>
      <c r="L22" s="74" t="s">
        <v>4232</v>
      </c>
    </row>
    <row r="23" spans="1:12" ht="21.95" customHeight="1">
      <c r="A23" s="149" t="s">
        <v>4242</v>
      </c>
      <c r="B23" s="147"/>
      <c r="C23" s="148"/>
      <c r="D23" s="147"/>
      <c r="E23" s="147"/>
      <c r="F23" s="74"/>
      <c r="G23" s="74" t="s">
        <v>6745</v>
      </c>
      <c r="H23" s="74" t="s">
        <v>4962</v>
      </c>
      <c r="I23" s="74" t="s">
        <v>112</v>
      </c>
      <c r="J23" s="74" t="s">
        <v>36</v>
      </c>
      <c r="K23" s="74" t="s">
        <v>6749</v>
      </c>
      <c r="L23" s="74" t="s">
        <v>4241</v>
      </c>
    </row>
    <row r="24" spans="1:12" ht="21.95" customHeight="1">
      <c r="A24" s="149" t="s">
        <v>4282</v>
      </c>
      <c r="B24" s="147"/>
      <c r="C24" s="148"/>
      <c r="D24" s="147"/>
      <c r="E24" s="147"/>
      <c r="F24" s="74"/>
      <c r="G24" s="74" t="s">
        <v>6745</v>
      </c>
      <c r="H24" s="74" t="s">
        <v>4963</v>
      </c>
      <c r="I24" s="74" t="s">
        <v>501</v>
      </c>
      <c r="J24" s="74" t="s">
        <v>196</v>
      </c>
      <c r="K24" s="74" t="s">
        <v>6749</v>
      </c>
      <c r="L24" s="74" t="s">
        <v>4281</v>
      </c>
    </row>
    <row r="25" spans="1:12" ht="21.95" customHeight="1">
      <c r="A25" s="149" t="s">
        <v>4479</v>
      </c>
      <c r="B25" s="147"/>
      <c r="C25" s="148"/>
      <c r="D25" s="147"/>
      <c r="E25" s="147"/>
      <c r="F25" s="74"/>
      <c r="G25" s="74" t="s">
        <v>6745</v>
      </c>
      <c r="H25" s="74" t="s">
        <v>4964</v>
      </c>
      <c r="I25" s="74" t="s">
        <v>520</v>
      </c>
      <c r="J25" s="74">
        <v>0</v>
      </c>
      <c r="K25" s="74" t="s">
        <v>6749</v>
      </c>
      <c r="L25" s="74" t="s">
        <v>4478</v>
      </c>
    </row>
    <row r="26" spans="1:12" ht="21.95" customHeight="1">
      <c r="A26" s="149" t="s">
        <v>4563</v>
      </c>
      <c r="B26" s="147"/>
      <c r="C26" s="148"/>
      <c r="D26" s="147"/>
      <c r="E26" s="147"/>
      <c r="F26" s="74"/>
      <c r="G26" s="74" t="s">
        <v>6745</v>
      </c>
      <c r="H26" s="74" t="s">
        <v>4965</v>
      </c>
      <c r="I26" s="74" t="s">
        <v>616</v>
      </c>
      <c r="J26" s="74" t="s">
        <v>196</v>
      </c>
      <c r="K26" s="74" t="s">
        <v>6749</v>
      </c>
      <c r="L26" s="74" t="s">
        <v>4562</v>
      </c>
    </row>
    <row r="27" spans="1:12" ht="21.95" customHeight="1">
      <c r="A27" s="149" t="s">
        <v>6007</v>
      </c>
      <c r="B27" s="147"/>
      <c r="C27" s="148"/>
      <c r="D27" s="147"/>
      <c r="E27" s="147"/>
      <c r="F27" s="74"/>
      <c r="G27" s="74" t="s">
        <v>6745</v>
      </c>
      <c r="H27" s="74" t="s">
        <v>4966</v>
      </c>
      <c r="I27" s="74" t="s">
        <v>63</v>
      </c>
      <c r="J27" s="74" t="s">
        <v>196</v>
      </c>
      <c r="K27" s="74" t="s">
        <v>6749</v>
      </c>
      <c r="L27" s="74" t="s">
        <v>4675</v>
      </c>
    </row>
    <row r="28" spans="1:12" ht="21.95" customHeight="1">
      <c r="A28" s="149" t="s">
        <v>6008</v>
      </c>
      <c r="B28" s="147"/>
      <c r="C28" s="148"/>
      <c r="D28" s="147"/>
      <c r="E28" s="147"/>
      <c r="F28" s="74"/>
      <c r="G28" s="74" t="s">
        <v>6745</v>
      </c>
      <c r="H28" s="74" t="s">
        <v>4967</v>
      </c>
      <c r="I28" s="74" t="s">
        <v>446</v>
      </c>
      <c r="J28" s="74" t="s">
        <v>196</v>
      </c>
      <c r="K28" s="74" t="s">
        <v>6749</v>
      </c>
      <c r="L28" s="74" t="s">
        <v>4705</v>
      </c>
    </row>
    <row r="29" spans="1:12" ht="21.95" customHeight="1">
      <c r="A29" s="149" t="s">
        <v>6009</v>
      </c>
      <c r="B29" s="147" t="s">
        <v>117</v>
      </c>
      <c r="C29" s="148">
        <v>46067</v>
      </c>
      <c r="D29" s="147" t="s">
        <v>4894</v>
      </c>
      <c r="E29" s="147"/>
      <c r="F29" s="74"/>
      <c r="G29" s="74" t="s">
        <v>4920</v>
      </c>
      <c r="H29" s="74" t="s">
        <v>4969</v>
      </c>
      <c r="I29" s="74" t="s">
        <v>30</v>
      </c>
      <c r="J29" s="74" t="s">
        <v>73</v>
      </c>
      <c r="K29" s="74" t="s">
        <v>6749</v>
      </c>
      <c r="L29" s="74" t="s">
        <v>31</v>
      </c>
    </row>
    <row r="30" spans="1:12" ht="21.95" customHeight="1">
      <c r="A30" s="149" t="s">
        <v>6010</v>
      </c>
      <c r="B30" s="147" t="s">
        <v>117</v>
      </c>
      <c r="C30" s="148">
        <v>46060</v>
      </c>
      <c r="D30" s="147" t="s">
        <v>4894</v>
      </c>
      <c r="E30" s="147"/>
      <c r="F30" s="74" t="s">
        <v>4896</v>
      </c>
      <c r="G30" s="74" t="s">
        <v>4920</v>
      </c>
      <c r="H30" s="74" t="s">
        <v>4970</v>
      </c>
      <c r="I30" s="74" t="s">
        <v>63</v>
      </c>
      <c r="J30" s="74" t="s">
        <v>196</v>
      </c>
      <c r="K30" s="74" t="s">
        <v>6749</v>
      </c>
      <c r="L30" s="74" t="s">
        <v>31</v>
      </c>
    </row>
    <row r="31" spans="1:12" ht="21.95" customHeight="1">
      <c r="A31" s="149" t="s">
        <v>355</v>
      </c>
      <c r="B31" s="147" t="s">
        <v>117</v>
      </c>
      <c r="C31" s="148">
        <v>46032</v>
      </c>
      <c r="D31" s="147" t="s">
        <v>4871</v>
      </c>
      <c r="E31" s="147" t="s">
        <v>4905</v>
      </c>
      <c r="F31" s="74" t="s">
        <v>4896</v>
      </c>
      <c r="G31" s="74" t="s">
        <v>4920</v>
      </c>
      <c r="H31" s="74" t="s">
        <v>4971</v>
      </c>
      <c r="I31" s="74" t="s">
        <v>112</v>
      </c>
      <c r="J31" s="74" t="s">
        <v>196</v>
      </c>
      <c r="K31" s="74" t="s">
        <v>6749</v>
      </c>
      <c r="L31" s="74" t="s">
        <v>310</v>
      </c>
    </row>
    <row r="32" spans="1:12" ht="21.95" customHeight="1">
      <c r="A32" s="149" t="s">
        <v>398</v>
      </c>
      <c r="B32" s="147" t="s">
        <v>117</v>
      </c>
      <c r="C32" s="148">
        <v>46053</v>
      </c>
      <c r="D32" s="147" t="s">
        <v>4871</v>
      </c>
      <c r="E32" s="147" t="s">
        <v>4904</v>
      </c>
      <c r="F32" s="74"/>
      <c r="G32" s="74" t="s">
        <v>4920</v>
      </c>
      <c r="H32" s="74" t="s">
        <v>4972</v>
      </c>
      <c r="I32" s="74" t="s">
        <v>63</v>
      </c>
      <c r="J32" s="74" t="s">
        <v>36</v>
      </c>
      <c r="K32" s="74" t="s">
        <v>6749</v>
      </c>
      <c r="L32" s="74" t="s">
        <v>31</v>
      </c>
    </row>
    <row r="33" spans="1:12" ht="21.95" customHeight="1">
      <c r="A33" s="149" t="s">
        <v>6011</v>
      </c>
      <c r="B33" s="147" t="s">
        <v>117</v>
      </c>
      <c r="C33" s="148">
        <v>46053</v>
      </c>
      <c r="D33" s="147" t="s">
        <v>4894</v>
      </c>
      <c r="E33" s="147"/>
      <c r="F33" s="74"/>
      <c r="G33" s="74" t="s">
        <v>4920</v>
      </c>
      <c r="H33" s="74" t="s">
        <v>4973</v>
      </c>
      <c r="I33" s="74" t="s">
        <v>63</v>
      </c>
      <c r="J33" s="74" t="s">
        <v>196</v>
      </c>
      <c r="K33" s="74" t="s">
        <v>6749</v>
      </c>
      <c r="L33" s="74" t="s">
        <v>310</v>
      </c>
    </row>
    <row r="34" spans="1:12" ht="21.95" customHeight="1">
      <c r="A34" s="149" t="s">
        <v>442</v>
      </c>
      <c r="B34" s="147" t="s">
        <v>4893</v>
      </c>
      <c r="C34" s="148">
        <v>46018</v>
      </c>
      <c r="D34" s="147" t="s">
        <v>4894</v>
      </c>
      <c r="E34" s="147"/>
      <c r="F34" s="74"/>
      <c r="G34" s="74" t="s">
        <v>4920</v>
      </c>
      <c r="H34" s="74" t="s">
        <v>4974</v>
      </c>
      <c r="I34" s="74" t="s">
        <v>63</v>
      </c>
      <c r="J34" s="74" t="s">
        <v>196</v>
      </c>
      <c r="K34" s="74" t="s">
        <v>6749</v>
      </c>
      <c r="L34" s="74" t="s">
        <v>310</v>
      </c>
    </row>
    <row r="35" spans="1:12" ht="21.95" customHeight="1">
      <c r="A35" s="149" t="s">
        <v>605</v>
      </c>
      <c r="B35" s="147" t="s">
        <v>117</v>
      </c>
      <c r="C35" s="148">
        <v>46053</v>
      </c>
      <c r="D35" s="147" t="s">
        <v>4894</v>
      </c>
      <c r="E35" s="147"/>
      <c r="F35" s="74"/>
      <c r="G35" s="74" t="s">
        <v>4920</v>
      </c>
      <c r="H35" s="74" t="s">
        <v>4975</v>
      </c>
      <c r="I35" s="74" t="s">
        <v>63</v>
      </c>
      <c r="J35" s="74" t="s">
        <v>57</v>
      </c>
      <c r="K35" s="74" t="s">
        <v>6749</v>
      </c>
      <c r="L35" s="74" t="s">
        <v>604</v>
      </c>
    </row>
    <row r="36" spans="1:12" ht="21.95" customHeight="1">
      <c r="A36" s="149" t="s">
        <v>609</v>
      </c>
      <c r="B36" s="147" t="s">
        <v>117</v>
      </c>
      <c r="C36" s="148">
        <v>46053</v>
      </c>
      <c r="D36" s="147" t="s">
        <v>4894</v>
      </c>
      <c r="E36" s="147"/>
      <c r="F36" s="74" t="s">
        <v>6752</v>
      </c>
      <c r="G36" s="74" t="s">
        <v>4920</v>
      </c>
      <c r="H36" s="74" t="s">
        <v>4976</v>
      </c>
      <c r="I36" s="74" t="s">
        <v>501</v>
      </c>
      <c r="J36" s="74" t="s">
        <v>126</v>
      </c>
      <c r="K36" s="74" t="s">
        <v>6749</v>
      </c>
      <c r="L36" s="74" t="s">
        <v>31</v>
      </c>
    </row>
    <row r="37" spans="1:12" ht="21.95" customHeight="1">
      <c r="A37" s="149" t="s">
        <v>617</v>
      </c>
      <c r="B37" s="147" t="s">
        <v>4893</v>
      </c>
      <c r="C37" s="148">
        <v>46018</v>
      </c>
      <c r="D37" s="147" t="s">
        <v>4871</v>
      </c>
      <c r="E37" s="147"/>
      <c r="F37" s="74"/>
      <c r="G37" s="74" t="s">
        <v>4920</v>
      </c>
      <c r="H37" s="74" t="s">
        <v>4977</v>
      </c>
      <c r="I37" s="74" t="s">
        <v>616</v>
      </c>
      <c r="J37" s="74" t="s">
        <v>196</v>
      </c>
      <c r="K37" s="74" t="s">
        <v>6749</v>
      </c>
      <c r="L37" s="74" t="s">
        <v>310</v>
      </c>
    </row>
    <row r="38" spans="1:12" ht="21.95" customHeight="1">
      <c r="A38" s="149" t="s">
        <v>637</v>
      </c>
      <c r="B38" s="147" t="s">
        <v>117</v>
      </c>
      <c r="C38" s="148">
        <v>46032</v>
      </c>
      <c r="D38" s="147" t="s">
        <v>4871</v>
      </c>
      <c r="E38" s="147" t="s">
        <v>4904</v>
      </c>
      <c r="F38" s="74" t="s">
        <v>4896</v>
      </c>
      <c r="G38" s="74" t="s">
        <v>4920</v>
      </c>
      <c r="H38" s="74" t="s">
        <v>4978</v>
      </c>
      <c r="I38" s="74" t="s">
        <v>202</v>
      </c>
      <c r="J38" s="74" t="s">
        <v>196</v>
      </c>
      <c r="K38" s="74" t="s">
        <v>6749</v>
      </c>
      <c r="L38" s="74" t="s">
        <v>310</v>
      </c>
    </row>
    <row r="39" spans="1:12" ht="21.95" customHeight="1">
      <c r="A39" s="149" t="s">
        <v>691</v>
      </c>
      <c r="B39" s="147" t="s">
        <v>117</v>
      </c>
      <c r="C39" s="148">
        <v>46039</v>
      </c>
      <c r="D39" s="147" t="s">
        <v>4894</v>
      </c>
      <c r="E39" s="147"/>
      <c r="F39" s="74" t="s">
        <v>4896</v>
      </c>
      <c r="G39" s="74" t="s">
        <v>4920</v>
      </c>
      <c r="H39" s="74" t="s">
        <v>4979</v>
      </c>
      <c r="I39" s="74" t="s">
        <v>202</v>
      </c>
      <c r="J39" s="74" t="s">
        <v>196</v>
      </c>
      <c r="K39" s="74" t="s">
        <v>6749</v>
      </c>
      <c r="L39" s="74" t="s">
        <v>310</v>
      </c>
    </row>
    <row r="40" spans="1:12" ht="21.95" customHeight="1">
      <c r="A40" s="149" t="s">
        <v>761</v>
      </c>
      <c r="B40" s="147" t="s">
        <v>117</v>
      </c>
      <c r="C40" s="148">
        <v>46074</v>
      </c>
      <c r="D40" s="147" t="s">
        <v>4871</v>
      </c>
      <c r="E40" s="147" t="s">
        <v>4904</v>
      </c>
      <c r="F40" s="74"/>
      <c r="G40" s="74" t="s">
        <v>4920</v>
      </c>
      <c r="H40" s="74" t="s">
        <v>4980</v>
      </c>
      <c r="I40" s="74" t="s">
        <v>63</v>
      </c>
      <c r="J40" s="74" t="s">
        <v>196</v>
      </c>
      <c r="K40" s="74" t="s">
        <v>6749</v>
      </c>
      <c r="L40" s="74" t="s">
        <v>310</v>
      </c>
    </row>
    <row r="41" spans="1:12" ht="21.95" customHeight="1">
      <c r="A41" s="149" t="s">
        <v>6012</v>
      </c>
      <c r="B41" s="147" t="s">
        <v>117</v>
      </c>
      <c r="C41" s="148">
        <v>46032</v>
      </c>
      <c r="D41" s="147" t="s">
        <v>4894</v>
      </c>
      <c r="E41" s="147"/>
      <c r="F41" s="74" t="s">
        <v>4896</v>
      </c>
      <c r="G41" s="74" t="s">
        <v>4920</v>
      </c>
      <c r="H41" s="74" t="s">
        <v>4981</v>
      </c>
      <c r="I41" s="74" t="s">
        <v>169</v>
      </c>
      <c r="J41" s="74" t="s">
        <v>196</v>
      </c>
      <c r="K41" s="74" t="s">
        <v>6749</v>
      </c>
      <c r="L41" s="74" t="s">
        <v>835</v>
      </c>
    </row>
    <row r="42" spans="1:12" ht="21.95" customHeight="1">
      <c r="A42" s="149" t="s">
        <v>6013</v>
      </c>
      <c r="B42" s="147" t="s">
        <v>117</v>
      </c>
      <c r="C42" s="148">
        <v>46018</v>
      </c>
      <c r="D42" s="147" t="s">
        <v>4871</v>
      </c>
      <c r="E42" s="147"/>
      <c r="F42" s="74"/>
      <c r="G42" s="74" t="s">
        <v>4920</v>
      </c>
      <c r="H42" s="74" t="s">
        <v>4982</v>
      </c>
      <c r="I42" s="74" t="s">
        <v>169</v>
      </c>
      <c r="J42" s="74" t="s">
        <v>196</v>
      </c>
      <c r="K42" s="74" t="s">
        <v>6749</v>
      </c>
      <c r="L42" s="74" t="s">
        <v>846</v>
      </c>
    </row>
    <row r="43" spans="1:12" ht="21.95" customHeight="1">
      <c r="A43" s="149" t="s">
        <v>6014</v>
      </c>
      <c r="B43" s="147" t="s">
        <v>117</v>
      </c>
      <c r="C43" s="148">
        <v>46025</v>
      </c>
      <c r="D43" s="147" t="s">
        <v>4894</v>
      </c>
      <c r="E43" s="147"/>
      <c r="F43" s="74"/>
      <c r="G43" s="74" t="s">
        <v>4920</v>
      </c>
      <c r="H43" s="74" t="s">
        <v>4983</v>
      </c>
      <c r="I43" s="74" t="s">
        <v>202</v>
      </c>
      <c r="J43" s="74" t="s">
        <v>36</v>
      </c>
      <c r="K43" s="74" t="s">
        <v>6749</v>
      </c>
      <c r="L43" s="74" t="s">
        <v>310</v>
      </c>
    </row>
    <row r="44" spans="1:12" ht="21.95" customHeight="1">
      <c r="A44" s="149" t="s">
        <v>1249</v>
      </c>
      <c r="B44" s="147" t="s">
        <v>4893</v>
      </c>
      <c r="C44" s="148">
        <v>46053</v>
      </c>
      <c r="D44" s="147" t="s">
        <v>4871</v>
      </c>
      <c r="E44" s="147" t="s">
        <v>4904</v>
      </c>
      <c r="F44" s="74" t="s">
        <v>4896</v>
      </c>
      <c r="G44" s="74" t="s">
        <v>4920</v>
      </c>
      <c r="H44" s="74" t="s">
        <v>4984</v>
      </c>
      <c r="I44" s="74" t="s">
        <v>63</v>
      </c>
      <c r="J44" s="74" t="s">
        <v>250</v>
      </c>
      <c r="K44" s="74" t="s">
        <v>6749</v>
      </c>
      <c r="L44" s="74" t="s">
        <v>31</v>
      </c>
    </row>
    <row r="45" spans="1:12" ht="21.95" customHeight="1">
      <c r="A45" s="149" t="s">
        <v>1258</v>
      </c>
      <c r="B45" s="147" t="s">
        <v>4893</v>
      </c>
      <c r="C45" s="148">
        <v>46053</v>
      </c>
      <c r="D45" s="147" t="s">
        <v>4871</v>
      </c>
      <c r="E45" s="147" t="s">
        <v>4904</v>
      </c>
      <c r="F45" s="74" t="s">
        <v>6762</v>
      </c>
      <c r="G45" s="74" t="s">
        <v>4920</v>
      </c>
      <c r="H45" s="74" t="s">
        <v>4985</v>
      </c>
      <c r="I45" s="74" t="s">
        <v>202</v>
      </c>
      <c r="J45" s="74" t="s">
        <v>968</v>
      </c>
      <c r="K45" s="74" t="s">
        <v>6749</v>
      </c>
      <c r="L45" s="74" t="s">
        <v>31</v>
      </c>
    </row>
    <row r="46" spans="1:12" ht="21.95" customHeight="1">
      <c r="A46" s="149" t="s">
        <v>1272</v>
      </c>
      <c r="B46" s="147" t="s">
        <v>4893</v>
      </c>
      <c r="C46" s="148">
        <v>46060</v>
      </c>
      <c r="D46" s="147" t="s">
        <v>4871</v>
      </c>
      <c r="E46" s="147"/>
      <c r="F46" s="74" t="s">
        <v>4896</v>
      </c>
      <c r="G46" s="74" t="s">
        <v>4920</v>
      </c>
      <c r="H46" s="74" t="s">
        <v>4986</v>
      </c>
      <c r="I46" s="74" t="s">
        <v>202</v>
      </c>
      <c r="J46" s="74" t="s">
        <v>968</v>
      </c>
      <c r="K46" s="74" t="s">
        <v>6749</v>
      </c>
      <c r="L46" s="74" t="s">
        <v>310</v>
      </c>
    </row>
    <row r="47" spans="1:12" ht="21.95" customHeight="1">
      <c r="A47" s="149" t="s">
        <v>1278</v>
      </c>
      <c r="B47" s="147" t="s">
        <v>117</v>
      </c>
      <c r="C47" s="148">
        <v>46039</v>
      </c>
      <c r="D47" s="147" t="s">
        <v>4894</v>
      </c>
      <c r="E47" s="147"/>
      <c r="F47" s="74"/>
      <c r="G47" s="74" t="s">
        <v>4920</v>
      </c>
      <c r="H47" s="74" t="s">
        <v>4987</v>
      </c>
      <c r="I47" s="74" t="s">
        <v>63</v>
      </c>
      <c r="J47" s="74" t="s">
        <v>196</v>
      </c>
      <c r="K47" s="74" t="s">
        <v>6749</v>
      </c>
      <c r="L47" s="74" t="s">
        <v>310</v>
      </c>
    </row>
    <row r="48" spans="1:12" ht="21.95" customHeight="1">
      <c r="A48" s="149" t="s">
        <v>1291</v>
      </c>
      <c r="B48" s="147" t="s">
        <v>117</v>
      </c>
      <c r="C48" s="148">
        <v>46039</v>
      </c>
      <c r="D48" s="147" t="s">
        <v>4894</v>
      </c>
      <c r="E48" s="147"/>
      <c r="F48" s="74"/>
      <c r="G48" s="74" t="s">
        <v>4920</v>
      </c>
      <c r="H48" s="74" t="s">
        <v>4988</v>
      </c>
      <c r="I48" s="74" t="s">
        <v>63</v>
      </c>
      <c r="J48" s="74" t="s">
        <v>196</v>
      </c>
      <c r="K48" s="74" t="s">
        <v>6749</v>
      </c>
      <c r="L48" s="74" t="s">
        <v>310</v>
      </c>
    </row>
    <row r="49" spans="1:12" ht="21.95" customHeight="1">
      <c r="A49" s="149" t="s">
        <v>1300</v>
      </c>
      <c r="B49" s="147" t="s">
        <v>117</v>
      </c>
      <c r="C49" s="148">
        <v>46039</v>
      </c>
      <c r="D49" s="147" t="s">
        <v>4894</v>
      </c>
      <c r="E49" s="147"/>
      <c r="F49" s="74"/>
      <c r="G49" s="74" t="s">
        <v>4920</v>
      </c>
      <c r="H49" s="74" t="s">
        <v>4989</v>
      </c>
      <c r="I49" s="74" t="s">
        <v>169</v>
      </c>
      <c r="J49" s="74" t="s">
        <v>126</v>
      </c>
      <c r="K49" s="74" t="s">
        <v>6749</v>
      </c>
      <c r="L49" s="74" t="s">
        <v>31</v>
      </c>
    </row>
    <row r="50" spans="1:12" ht="21.95" customHeight="1">
      <c r="A50" s="149" t="s">
        <v>1306</v>
      </c>
      <c r="B50" s="147" t="s">
        <v>117</v>
      </c>
      <c r="C50" s="148">
        <v>46039</v>
      </c>
      <c r="D50" s="147" t="s">
        <v>4894</v>
      </c>
      <c r="E50" s="147"/>
      <c r="F50" s="74"/>
      <c r="G50" s="74" t="s">
        <v>4920</v>
      </c>
      <c r="H50" s="74" t="s">
        <v>4990</v>
      </c>
      <c r="I50" s="74" t="s">
        <v>169</v>
      </c>
      <c r="J50" s="74" t="s">
        <v>57</v>
      </c>
      <c r="K50" s="74" t="s">
        <v>6749</v>
      </c>
      <c r="L50" s="74" t="s">
        <v>310</v>
      </c>
    </row>
    <row r="51" spans="1:12" ht="21.95" customHeight="1">
      <c r="A51" s="149" t="s">
        <v>1340</v>
      </c>
      <c r="B51" s="147" t="s">
        <v>4893</v>
      </c>
      <c r="C51" s="148">
        <v>46060</v>
      </c>
      <c r="D51" s="147" t="s">
        <v>4894</v>
      </c>
      <c r="E51" s="147"/>
      <c r="F51" s="74"/>
      <c r="G51" s="74" t="s">
        <v>4920</v>
      </c>
      <c r="H51" s="74" t="s">
        <v>4991</v>
      </c>
      <c r="I51" s="74" t="s">
        <v>520</v>
      </c>
      <c r="J51" s="74" t="s">
        <v>126</v>
      </c>
      <c r="K51" s="74" t="s">
        <v>6749</v>
      </c>
      <c r="L51" s="74" t="s">
        <v>31</v>
      </c>
    </row>
    <row r="52" spans="1:12" ht="21.95" customHeight="1">
      <c r="A52" s="149" t="s">
        <v>1347</v>
      </c>
      <c r="B52" s="147" t="s">
        <v>117</v>
      </c>
      <c r="C52" s="148">
        <v>46039</v>
      </c>
      <c r="D52" s="147" t="s">
        <v>4871</v>
      </c>
      <c r="E52" s="147" t="s">
        <v>4904</v>
      </c>
      <c r="F52" s="74"/>
      <c r="G52" s="74" t="s">
        <v>4920</v>
      </c>
      <c r="H52" s="74" t="s">
        <v>4992</v>
      </c>
      <c r="I52" s="74" t="s">
        <v>202</v>
      </c>
      <c r="J52" s="74" t="s">
        <v>196</v>
      </c>
      <c r="K52" s="74" t="s">
        <v>6749</v>
      </c>
      <c r="L52" s="74" t="s">
        <v>310</v>
      </c>
    </row>
    <row r="53" spans="1:12" ht="21.95" customHeight="1">
      <c r="A53" s="149" t="s">
        <v>1355</v>
      </c>
      <c r="B53" s="147" t="s">
        <v>117</v>
      </c>
      <c r="C53" s="148">
        <v>46060</v>
      </c>
      <c r="D53" s="147" t="s">
        <v>4894</v>
      </c>
      <c r="E53" s="147"/>
      <c r="F53" s="74"/>
      <c r="G53" s="74" t="s">
        <v>4920</v>
      </c>
      <c r="H53" s="74" t="s">
        <v>4993</v>
      </c>
      <c r="I53" s="74" t="s">
        <v>240</v>
      </c>
      <c r="J53" s="74" t="s">
        <v>57</v>
      </c>
      <c r="K53" s="74" t="s">
        <v>6749</v>
      </c>
      <c r="L53" s="74" t="s">
        <v>31</v>
      </c>
    </row>
    <row r="54" spans="1:12" ht="21.95" customHeight="1">
      <c r="A54" s="149" t="s">
        <v>1369</v>
      </c>
      <c r="B54" s="147" t="s">
        <v>117</v>
      </c>
      <c r="C54" s="148">
        <v>46046</v>
      </c>
      <c r="D54" s="147" t="s">
        <v>4894</v>
      </c>
      <c r="E54" s="147"/>
      <c r="F54" s="74"/>
      <c r="G54" s="74" t="s">
        <v>4920</v>
      </c>
      <c r="H54" s="74" t="s">
        <v>4994</v>
      </c>
      <c r="I54" s="74" t="s">
        <v>63</v>
      </c>
      <c r="J54" s="74" t="s">
        <v>196</v>
      </c>
      <c r="K54" s="74" t="s">
        <v>6749</v>
      </c>
      <c r="L54" s="74" t="s">
        <v>310</v>
      </c>
    </row>
    <row r="55" spans="1:12" ht="21.95" customHeight="1">
      <c r="A55" s="149" t="s">
        <v>1374</v>
      </c>
      <c r="B55" s="147" t="s">
        <v>117</v>
      </c>
      <c r="C55" s="148">
        <v>46046</v>
      </c>
      <c r="D55" s="147" t="s">
        <v>4894</v>
      </c>
      <c r="E55" s="147"/>
      <c r="F55" s="74"/>
      <c r="G55" s="74" t="s">
        <v>4920</v>
      </c>
      <c r="H55" s="74" t="s">
        <v>4995</v>
      </c>
      <c r="I55" s="74" t="s">
        <v>169</v>
      </c>
      <c r="J55" s="74" t="s">
        <v>196</v>
      </c>
      <c r="K55" s="74" t="s">
        <v>6749</v>
      </c>
      <c r="L55" s="74" t="s">
        <v>1373</v>
      </c>
    </row>
    <row r="56" spans="1:12" ht="21.95" customHeight="1">
      <c r="A56" s="149" t="s">
        <v>1381</v>
      </c>
      <c r="B56" s="147" t="s">
        <v>117</v>
      </c>
      <c r="C56" s="148">
        <v>46046</v>
      </c>
      <c r="D56" s="147" t="s">
        <v>4894</v>
      </c>
      <c r="E56" s="147"/>
      <c r="F56" s="74"/>
      <c r="G56" s="74" t="s">
        <v>4920</v>
      </c>
      <c r="H56" s="74" t="s">
        <v>4996</v>
      </c>
      <c r="I56" s="74" t="s">
        <v>202</v>
      </c>
      <c r="J56" s="74" t="s">
        <v>196</v>
      </c>
      <c r="K56" s="74" t="s">
        <v>6749</v>
      </c>
      <c r="L56" s="74" t="s">
        <v>310</v>
      </c>
    </row>
    <row r="57" spans="1:12" ht="21.95" customHeight="1">
      <c r="A57" s="149" t="s">
        <v>1387</v>
      </c>
      <c r="B57" s="147" t="s">
        <v>117</v>
      </c>
      <c r="C57" s="148">
        <v>46046</v>
      </c>
      <c r="D57" s="147" t="s">
        <v>4871</v>
      </c>
      <c r="E57" s="147"/>
      <c r="F57" s="74"/>
      <c r="G57" s="74" t="s">
        <v>4920</v>
      </c>
      <c r="H57" s="74" t="s">
        <v>4997</v>
      </c>
      <c r="I57" s="74" t="s">
        <v>169</v>
      </c>
      <c r="J57" s="74" t="s">
        <v>196</v>
      </c>
      <c r="K57" s="74" t="s">
        <v>6749</v>
      </c>
      <c r="L57" s="74" t="s">
        <v>31</v>
      </c>
    </row>
    <row r="58" spans="1:12" ht="21.95" customHeight="1">
      <c r="A58" s="149" t="s">
        <v>6015</v>
      </c>
      <c r="B58" s="147" t="s">
        <v>117</v>
      </c>
      <c r="C58" s="148">
        <v>46046</v>
      </c>
      <c r="D58" s="147" t="s">
        <v>4871</v>
      </c>
      <c r="E58" s="147" t="s">
        <v>4900</v>
      </c>
      <c r="F58" s="74"/>
      <c r="G58" s="74" t="s">
        <v>4920</v>
      </c>
      <c r="H58" s="74" t="s">
        <v>4998</v>
      </c>
      <c r="I58" s="74" t="s">
        <v>63</v>
      </c>
      <c r="J58" s="74" t="s">
        <v>196</v>
      </c>
      <c r="K58" s="74" t="s">
        <v>6749</v>
      </c>
      <c r="L58" s="74" t="s">
        <v>31</v>
      </c>
    </row>
    <row r="59" spans="1:12" ht="21.95" customHeight="1">
      <c r="A59" s="149" t="s">
        <v>6016</v>
      </c>
      <c r="B59" s="147" t="s">
        <v>117</v>
      </c>
      <c r="C59" s="148">
        <v>46046</v>
      </c>
      <c r="D59" s="147" t="s">
        <v>4871</v>
      </c>
      <c r="E59" s="147"/>
      <c r="F59" s="74" t="s">
        <v>6763</v>
      </c>
      <c r="G59" s="74" t="s">
        <v>4920</v>
      </c>
      <c r="H59" s="74" t="s">
        <v>4999</v>
      </c>
      <c r="I59" s="74" t="s">
        <v>169</v>
      </c>
      <c r="J59" s="74" t="s">
        <v>57</v>
      </c>
      <c r="K59" s="74" t="s">
        <v>6749</v>
      </c>
      <c r="L59" s="74" t="s">
        <v>31</v>
      </c>
    </row>
    <row r="60" spans="1:12" ht="21.95" customHeight="1">
      <c r="A60" s="149" t="s">
        <v>6017</v>
      </c>
      <c r="B60" s="147" t="s">
        <v>117</v>
      </c>
      <c r="C60" s="148">
        <v>46046</v>
      </c>
      <c r="D60" s="147" t="s">
        <v>4894</v>
      </c>
      <c r="E60" s="147"/>
      <c r="F60" s="74"/>
      <c r="G60" s="74" t="s">
        <v>4920</v>
      </c>
      <c r="H60" s="74" t="s">
        <v>5000</v>
      </c>
      <c r="I60" s="74" t="s">
        <v>24</v>
      </c>
      <c r="J60" s="74" t="s">
        <v>57</v>
      </c>
      <c r="K60" s="74" t="s">
        <v>6749</v>
      </c>
      <c r="L60" s="74" t="s">
        <v>1517</v>
      </c>
    </row>
    <row r="61" spans="1:12" ht="21.95" customHeight="1">
      <c r="A61" s="149" t="s">
        <v>6018</v>
      </c>
      <c r="B61" s="147" t="s">
        <v>4893</v>
      </c>
      <c r="C61" s="148">
        <v>46060</v>
      </c>
      <c r="D61" s="147" t="s">
        <v>4894</v>
      </c>
      <c r="E61" s="147"/>
      <c r="F61" s="74" t="s">
        <v>6764</v>
      </c>
      <c r="G61" s="74" t="s">
        <v>4920</v>
      </c>
      <c r="H61" s="74" t="s">
        <v>5001</v>
      </c>
      <c r="I61" s="74" t="s">
        <v>125</v>
      </c>
      <c r="J61" s="74" t="s">
        <v>196</v>
      </c>
      <c r="K61" s="74" t="s">
        <v>6749</v>
      </c>
      <c r="L61" s="74" t="s">
        <v>31</v>
      </c>
    </row>
    <row r="62" spans="1:12" ht="21.95" customHeight="1">
      <c r="A62" s="149" t="s">
        <v>6019</v>
      </c>
      <c r="B62" s="147" t="s">
        <v>117</v>
      </c>
      <c r="C62" s="148">
        <v>46060</v>
      </c>
      <c r="D62" s="147" t="s">
        <v>4894</v>
      </c>
      <c r="E62" s="147"/>
      <c r="F62" s="74"/>
      <c r="G62" s="74" t="s">
        <v>4920</v>
      </c>
      <c r="H62" s="74" t="s">
        <v>5002</v>
      </c>
      <c r="I62" s="74" t="s">
        <v>63</v>
      </c>
      <c r="J62" s="74" t="s">
        <v>196</v>
      </c>
      <c r="K62" s="74" t="s">
        <v>6749</v>
      </c>
      <c r="L62" s="74" t="s">
        <v>310</v>
      </c>
    </row>
    <row r="63" spans="1:12" ht="21.95" customHeight="1">
      <c r="A63" s="149" t="s">
        <v>6020</v>
      </c>
      <c r="B63" s="147" t="s">
        <v>117</v>
      </c>
      <c r="C63" s="148">
        <v>46046</v>
      </c>
      <c r="D63" s="147" t="s">
        <v>4871</v>
      </c>
      <c r="E63" s="147"/>
      <c r="F63" s="74" t="s">
        <v>6772</v>
      </c>
      <c r="G63" s="74" t="s">
        <v>4920</v>
      </c>
      <c r="H63" s="74" t="s">
        <v>5003</v>
      </c>
      <c r="I63" s="74" t="s">
        <v>125</v>
      </c>
      <c r="J63" s="74" t="s">
        <v>196</v>
      </c>
      <c r="K63" s="74" t="s">
        <v>6749</v>
      </c>
      <c r="L63" s="74" t="s">
        <v>310</v>
      </c>
    </row>
    <row r="64" spans="1:12" ht="21.95" customHeight="1">
      <c r="A64" s="149" t="s">
        <v>1559</v>
      </c>
      <c r="B64" s="147" t="s">
        <v>117</v>
      </c>
      <c r="C64" s="148">
        <v>46060</v>
      </c>
      <c r="D64" s="147" t="s">
        <v>4871</v>
      </c>
      <c r="E64" s="147"/>
      <c r="F64" s="74" t="s">
        <v>6765</v>
      </c>
      <c r="G64" s="74" t="s">
        <v>4920</v>
      </c>
      <c r="H64" s="74" t="s">
        <v>5004</v>
      </c>
      <c r="I64" s="74" t="s">
        <v>632</v>
      </c>
      <c r="J64" s="74" t="s">
        <v>196</v>
      </c>
      <c r="K64" s="74" t="s">
        <v>6749</v>
      </c>
      <c r="L64" s="74" t="s">
        <v>310</v>
      </c>
    </row>
    <row r="65" spans="1:12" ht="21.95" customHeight="1">
      <c r="A65" s="149" t="s">
        <v>6021</v>
      </c>
      <c r="B65" s="147" t="s">
        <v>117</v>
      </c>
      <c r="C65" s="148">
        <v>46046</v>
      </c>
      <c r="D65" s="147" t="s">
        <v>4894</v>
      </c>
      <c r="E65" s="147"/>
      <c r="F65" s="74"/>
      <c r="G65" s="74" t="s">
        <v>4920</v>
      </c>
      <c r="H65" s="74" t="s">
        <v>5005</v>
      </c>
      <c r="I65" s="74" t="s">
        <v>63</v>
      </c>
      <c r="J65" s="74" t="s">
        <v>196</v>
      </c>
      <c r="K65" s="74" t="s">
        <v>6749</v>
      </c>
      <c r="L65" s="74" t="s">
        <v>310</v>
      </c>
    </row>
    <row r="66" spans="1:12" ht="21.95" customHeight="1">
      <c r="A66" s="149" t="s">
        <v>6022</v>
      </c>
      <c r="B66" s="147" t="s">
        <v>117</v>
      </c>
      <c r="C66" s="148">
        <v>46060</v>
      </c>
      <c r="D66" s="147" t="s">
        <v>4894</v>
      </c>
      <c r="E66" s="147"/>
      <c r="F66" s="74"/>
      <c r="G66" s="74" t="s">
        <v>4920</v>
      </c>
      <c r="H66" s="74" t="s">
        <v>5006</v>
      </c>
      <c r="I66" s="74" t="s">
        <v>112</v>
      </c>
      <c r="J66" s="74" t="s">
        <v>196</v>
      </c>
      <c r="K66" s="74" t="s">
        <v>6749</v>
      </c>
      <c r="L66" s="74" t="s">
        <v>310</v>
      </c>
    </row>
    <row r="67" spans="1:12" ht="21.95" customHeight="1">
      <c r="A67" s="149" t="s">
        <v>1586</v>
      </c>
      <c r="B67" s="147" t="s">
        <v>117</v>
      </c>
      <c r="C67" s="148">
        <v>46053</v>
      </c>
      <c r="D67" s="147" t="s">
        <v>4894</v>
      </c>
      <c r="E67" s="147"/>
      <c r="F67" s="74"/>
      <c r="G67" s="74" t="s">
        <v>4920</v>
      </c>
      <c r="H67" s="74" t="s">
        <v>5007</v>
      </c>
      <c r="I67" s="74" t="s">
        <v>369</v>
      </c>
      <c r="J67" s="74" t="s">
        <v>36</v>
      </c>
      <c r="K67" s="74" t="s">
        <v>6749</v>
      </c>
      <c r="L67" s="74" t="s">
        <v>310</v>
      </c>
    </row>
    <row r="68" spans="1:12" ht="21.95" customHeight="1">
      <c r="A68" s="149" t="s">
        <v>6023</v>
      </c>
      <c r="B68" s="147" t="s">
        <v>117</v>
      </c>
      <c r="C68" s="148">
        <v>46053</v>
      </c>
      <c r="D68" s="147" t="s">
        <v>4894</v>
      </c>
      <c r="E68" s="147"/>
      <c r="F68" s="74"/>
      <c r="G68" s="74" t="s">
        <v>4920</v>
      </c>
      <c r="H68" s="74" t="s">
        <v>5008</v>
      </c>
      <c r="I68" s="74" t="s">
        <v>63</v>
      </c>
      <c r="J68" s="74" t="s">
        <v>196</v>
      </c>
      <c r="K68" s="74" t="s">
        <v>6749</v>
      </c>
      <c r="L68" s="74" t="s">
        <v>310</v>
      </c>
    </row>
    <row r="69" spans="1:12" ht="21.95" customHeight="1">
      <c r="A69" s="149" t="s">
        <v>6024</v>
      </c>
      <c r="B69" s="147" t="s">
        <v>117</v>
      </c>
      <c r="C69" s="148">
        <v>46053</v>
      </c>
      <c r="D69" s="147" t="s">
        <v>4894</v>
      </c>
      <c r="E69" s="147"/>
      <c r="F69" s="74"/>
      <c r="G69" s="74" t="s">
        <v>4920</v>
      </c>
      <c r="H69" s="74" t="s">
        <v>5009</v>
      </c>
      <c r="I69" s="74" t="s">
        <v>264</v>
      </c>
      <c r="J69" s="74" t="s">
        <v>196</v>
      </c>
      <c r="K69" s="74" t="s">
        <v>6749</v>
      </c>
      <c r="L69" s="74" t="s">
        <v>31</v>
      </c>
    </row>
    <row r="70" spans="1:12" ht="21.95" customHeight="1">
      <c r="A70" s="149" t="s">
        <v>6025</v>
      </c>
      <c r="B70" s="147" t="s">
        <v>117</v>
      </c>
      <c r="C70" s="148">
        <v>46053</v>
      </c>
      <c r="D70" s="147" t="s">
        <v>4894</v>
      </c>
      <c r="E70" s="147"/>
      <c r="F70" s="74"/>
      <c r="G70" s="74" t="s">
        <v>4920</v>
      </c>
      <c r="H70" s="74" t="s">
        <v>5010</v>
      </c>
      <c r="I70" s="74" t="s">
        <v>63</v>
      </c>
      <c r="J70" s="74" t="s">
        <v>196</v>
      </c>
      <c r="K70" s="74" t="s">
        <v>6749</v>
      </c>
      <c r="L70" s="74" t="s">
        <v>310</v>
      </c>
    </row>
    <row r="71" spans="1:12" ht="21.95" customHeight="1">
      <c r="A71" s="149" t="s">
        <v>6026</v>
      </c>
      <c r="B71" s="147" t="s">
        <v>117</v>
      </c>
      <c r="C71" s="148">
        <v>46053</v>
      </c>
      <c r="D71" s="147" t="s">
        <v>4894</v>
      </c>
      <c r="E71" s="147"/>
      <c r="F71" s="74"/>
      <c r="G71" s="74" t="s">
        <v>4920</v>
      </c>
      <c r="H71" s="74" t="s">
        <v>5011</v>
      </c>
      <c r="I71" s="74" t="s">
        <v>24</v>
      </c>
      <c r="J71" s="74" t="s">
        <v>196</v>
      </c>
      <c r="K71" s="74" t="s">
        <v>6749</v>
      </c>
      <c r="L71" s="74" t="s">
        <v>310</v>
      </c>
    </row>
    <row r="72" spans="1:12" ht="21.95" customHeight="1">
      <c r="A72" s="149" t="s">
        <v>6027</v>
      </c>
      <c r="B72" s="147" t="s">
        <v>4893</v>
      </c>
      <c r="C72" s="148">
        <v>46053</v>
      </c>
      <c r="D72" s="147" t="s">
        <v>4871</v>
      </c>
      <c r="E72" s="147"/>
      <c r="F72" s="74" t="s">
        <v>6774</v>
      </c>
      <c r="G72" s="74" t="s">
        <v>4920</v>
      </c>
      <c r="H72" s="74" t="s">
        <v>5012</v>
      </c>
      <c r="I72" s="74" t="s">
        <v>616</v>
      </c>
      <c r="J72" s="74" t="s">
        <v>57</v>
      </c>
      <c r="K72" s="74" t="s">
        <v>6749</v>
      </c>
      <c r="L72" s="74" t="s">
        <v>1413</v>
      </c>
    </row>
    <row r="73" spans="1:12" ht="21.95" customHeight="1">
      <c r="A73" s="149" t="s">
        <v>6028</v>
      </c>
      <c r="B73" s="147" t="s">
        <v>4893</v>
      </c>
      <c r="C73" s="148">
        <v>46053</v>
      </c>
      <c r="D73" s="147" t="s">
        <v>4894</v>
      </c>
      <c r="E73" s="147"/>
      <c r="F73" s="74" t="s">
        <v>6764</v>
      </c>
      <c r="G73" s="74" t="s">
        <v>4920</v>
      </c>
      <c r="H73" s="74" t="s">
        <v>5013</v>
      </c>
      <c r="I73" s="74" t="s">
        <v>632</v>
      </c>
      <c r="J73" s="74" t="s">
        <v>126</v>
      </c>
      <c r="K73" s="74" t="s">
        <v>6749</v>
      </c>
      <c r="L73" s="74" t="s">
        <v>310</v>
      </c>
    </row>
    <row r="74" spans="1:12" ht="21.95" customHeight="1">
      <c r="A74" s="149" t="s">
        <v>6029</v>
      </c>
      <c r="B74" s="147" t="s">
        <v>4893</v>
      </c>
      <c r="C74" s="148">
        <v>46053</v>
      </c>
      <c r="D74" s="147" t="s">
        <v>4871</v>
      </c>
      <c r="E74" s="147" t="s">
        <v>4904</v>
      </c>
      <c r="F74" s="74" t="s">
        <v>6775</v>
      </c>
      <c r="G74" s="74" t="s">
        <v>4920</v>
      </c>
      <c r="H74" s="74" t="s">
        <v>5014</v>
      </c>
      <c r="I74" s="74" t="s">
        <v>632</v>
      </c>
      <c r="J74" s="74" t="s">
        <v>196</v>
      </c>
      <c r="K74" s="74" t="s">
        <v>6749</v>
      </c>
      <c r="L74" s="74" t="s">
        <v>31</v>
      </c>
    </row>
    <row r="75" spans="1:12" ht="21.95" customHeight="1">
      <c r="A75" s="149" t="s">
        <v>6030</v>
      </c>
      <c r="B75" s="147" t="s">
        <v>4893</v>
      </c>
      <c r="C75" s="148">
        <v>46053</v>
      </c>
      <c r="D75" s="147" t="s">
        <v>4871</v>
      </c>
      <c r="E75" s="147" t="s">
        <v>4904</v>
      </c>
      <c r="F75" s="74"/>
      <c r="G75" s="74" t="s">
        <v>4920</v>
      </c>
      <c r="H75" s="74" t="s">
        <v>5015</v>
      </c>
      <c r="I75" s="74" t="s">
        <v>501</v>
      </c>
      <c r="J75" s="74" t="s">
        <v>196</v>
      </c>
      <c r="K75" s="74" t="s">
        <v>6749</v>
      </c>
      <c r="L75" s="74" t="s">
        <v>31</v>
      </c>
    </row>
    <row r="76" spans="1:12" ht="21.95" customHeight="1">
      <c r="A76" s="149" t="s">
        <v>6031</v>
      </c>
      <c r="B76" s="147" t="s">
        <v>4893</v>
      </c>
      <c r="C76" s="148">
        <v>46060</v>
      </c>
      <c r="D76" s="147"/>
      <c r="E76" s="147"/>
      <c r="F76" s="74" t="s">
        <v>6764</v>
      </c>
      <c r="G76" s="74" t="s">
        <v>4920</v>
      </c>
      <c r="H76" s="74" t="s">
        <v>5016</v>
      </c>
      <c r="I76" s="74" t="s">
        <v>63</v>
      </c>
      <c r="J76" s="74" t="s">
        <v>36</v>
      </c>
      <c r="K76" s="74" t="s">
        <v>6749</v>
      </c>
      <c r="L76" s="74" t="s">
        <v>1691</v>
      </c>
    </row>
    <row r="77" spans="1:12" ht="21.95" customHeight="1">
      <c r="A77" s="149" t="s">
        <v>6032</v>
      </c>
      <c r="B77" s="147" t="s">
        <v>4893</v>
      </c>
      <c r="C77" s="148">
        <v>46053</v>
      </c>
      <c r="D77" s="147" t="s">
        <v>4894</v>
      </c>
      <c r="E77" s="147"/>
      <c r="F77" s="74" t="s">
        <v>6764</v>
      </c>
      <c r="G77" s="74" t="s">
        <v>4920</v>
      </c>
      <c r="H77" s="74" t="s">
        <v>5017</v>
      </c>
      <c r="I77" s="74" t="s">
        <v>63</v>
      </c>
      <c r="J77" s="74" t="s">
        <v>196</v>
      </c>
      <c r="K77" s="74" t="s">
        <v>6749</v>
      </c>
      <c r="L77" s="74" t="s">
        <v>310</v>
      </c>
    </row>
    <row r="78" spans="1:12" ht="21.95" customHeight="1">
      <c r="A78" s="149" t="s">
        <v>6033</v>
      </c>
      <c r="B78" s="147" t="s">
        <v>4893</v>
      </c>
      <c r="C78" s="148">
        <v>46053</v>
      </c>
      <c r="D78" s="147" t="s">
        <v>4894</v>
      </c>
      <c r="E78" s="147"/>
      <c r="F78" s="74" t="s">
        <v>6764</v>
      </c>
      <c r="G78" s="74" t="s">
        <v>4920</v>
      </c>
      <c r="H78" s="74" t="s">
        <v>5018</v>
      </c>
      <c r="I78" s="74" t="s">
        <v>63</v>
      </c>
      <c r="J78" s="74" t="s">
        <v>36</v>
      </c>
      <c r="K78" s="74" t="s">
        <v>6749</v>
      </c>
      <c r="L78" s="74" t="s">
        <v>31</v>
      </c>
    </row>
    <row r="79" spans="1:12" ht="21.95" customHeight="1">
      <c r="A79" s="149" t="s">
        <v>1724</v>
      </c>
      <c r="B79" s="147" t="s">
        <v>4893</v>
      </c>
      <c r="C79" s="148">
        <v>46053</v>
      </c>
      <c r="D79" s="147" t="s">
        <v>4871</v>
      </c>
      <c r="E79" s="147" t="s">
        <v>4900</v>
      </c>
      <c r="F79" s="74" t="s">
        <v>6776</v>
      </c>
      <c r="G79" s="74" t="s">
        <v>4920</v>
      </c>
      <c r="H79" s="74" t="s">
        <v>5019</v>
      </c>
      <c r="I79" s="74" t="s">
        <v>63</v>
      </c>
      <c r="J79" s="74" t="s">
        <v>196</v>
      </c>
      <c r="K79" s="74" t="s">
        <v>6749</v>
      </c>
      <c r="L79" s="74" t="s">
        <v>1723</v>
      </c>
    </row>
    <row r="80" spans="1:12" ht="21.95" customHeight="1">
      <c r="A80" s="149" t="s">
        <v>6034</v>
      </c>
      <c r="B80" s="147" t="s">
        <v>4893</v>
      </c>
      <c r="C80" s="148">
        <v>46053</v>
      </c>
      <c r="D80" s="147" t="s">
        <v>4894</v>
      </c>
      <c r="E80" s="147"/>
      <c r="F80" s="74" t="s">
        <v>6764</v>
      </c>
      <c r="G80" s="74" t="s">
        <v>4920</v>
      </c>
      <c r="H80" s="74" t="s">
        <v>5020</v>
      </c>
      <c r="I80" s="74" t="s">
        <v>112</v>
      </c>
      <c r="J80" s="74" t="s">
        <v>196</v>
      </c>
      <c r="K80" s="74" t="s">
        <v>6749</v>
      </c>
      <c r="L80" s="74" t="s">
        <v>1732</v>
      </c>
    </row>
    <row r="81" spans="1:12" ht="21.95" customHeight="1">
      <c r="A81" s="149" t="s">
        <v>6035</v>
      </c>
      <c r="B81" s="147" t="s">
        <v>4893</v>
      </c>
      <c r="C81" s="148">
        <v>46046</v>
      </c>
      <c r="D81" s="147" t="s">
        <v>4871</v>
      </c>
      <c r="E81" s="147"/>
      <c r="F81" s="74" t="s">
        <v>6777</v>
      </c>
      <c r="G81" s="74" t="s">
        <v>4920</v>
      </c>
      <c r="H81" s="74" t="s">
        <v>5021</v>
      </c>
      <c r="I81" s="74" t="s">
        <v>125</v>
      </c>
      <c r="J81" s="74" t="s">
        <v>196</v>
      </c>
      <c r="K81" s="74" t="s">
        <v>6749</v>
      </c>
      <c r="L81" s="74" t="s">
        <v>310</v>
      </c>
    </row>
    <row r="82" spans="1:12" ht="21.95" customHeight="1">
      <c r="A82" s="149" t="s">
        <v>6036</v>
      </c>
      <c r="B82" s="147" t="s">
        <v>4893</v>
      </c>
      <c r="C82" s="148">
        <v>46060</v>
      </c>
      <c r="D82" s="147" t="s">
        <v>4871</v>
      </c>
      <c r="E82" s="147" t="s">
        <v>4903</v>
      </c>
      <c r="F82" s="74" t="s">
        <v>6766</v>
      </c>
      <c r="G82" s="74" t="s">
        <v>4920</v>
      </c>
      <c r="H82" s="74" t="s">
        <v>5022</v>
      </c>
      <c r="I82" s="74" t="s">
        <v>202</v>
      </c>
      <c r="J82" s="74" t="s">
        <v>196</v>
      </c>
      <c r="K82" s="74" t="s">
        <v>6749</v>
      </c>
      <c r="L82" s="74" t="s">
        <v>31</v>
      </c>
    </row>
    <row r="83" spans="1:12" ht="21.95" customHeight="1">
      <c r="A83" s="149" t="s">
        <v>6037</v>
      </c>
      <c r="B83" s="147" t="s">
        <v>4893</v>
      </c>
      <c r="C83" s="148">
        <v>46046</v>
      </c>
      <c r="D83" s="147" t="s">
        <v>4871</v>
      </c>
      <c r="E83" s="147" t="s">
        <v>4900</v>
      </c>
      <c r="F83" s="74" t="s">
        <v>6778</v>
      </c>
      <c r="G83" s="74" t="s">
        <v>4920</v>
      </c>
      <c r="H83" s="74" t="s">
        <v>5023</v>
      </c>
      <c r="I83" s="74" t="s">
        <v>63</v>
      </c>
      <c r="J83" s="74" t="s">
        <v>196</v>
      </c>
      <c r="K83" s="74" t="s">
        <v>6749</v>
      </c>
      <c r="L83" s="74" t="s">
        <v>1748</v>
      </c>
    </row>
    <row r="84" spans="1:12" ht="21.95" customHeight="1">
      <c r="A84" s="149" t="s">
        <v>6038</v>
      </c>
      <c r="B84" s="147" t="s">
        <v>4893</v>
      </c>
      <c r="C84" s="148">
        <v>46046</v>
      </c>
      <c r="D84" s="147" t="s">
        <v>4894</v>
      </c>
      <c r="E84" s="147"/>
      <c r="F84" s="74"/>
      <c r="G84" s="74" t="s">
        <v>4920</v>
      </c>
      <c r="H84" s="74" t="s">
        <v>5024</v>
      </c>
      <c r="I84" s="74" t="s">
        <v>632</v>
      </c>
      <c r="J84" s="74" t="s">
        <v>196</v>
      </c>
      <c r="K84" s="74" t="s">
        <v>6749</v>
      </c>
      <c r="L84" s="74" t="s">
        <v>310</v>
      </c>
    </row>
    <row r="85" spans="1:12" ht="21.95" customHeight="1">
      <c r="A85" s="149" t="s">
        <v>6039</v>
      </c>
      <c r="B85" s="147" t="s">
        <v>4893</v>
      </c>
      <c r="C85" s="148">
        <v>46046</v>
      </c>
      <c r="D85" s="147" t="s">
        <v>4871</v>
      </c>
      <c r="E85" s="147"/>
      <c r="F85" s="74" t="s">
        <v>6777</v>
      </c>
      <c r="G85" s="74" t="s">
        <v>4920</v>
      </c>
      <c r="H85" s="74" t="s">
        <v>5025</v>
      </c>
      <c r="I85" s="74" t="s">
        <v>202</v>
      </c>
      <c r="J85" s="74" t="s">
        <v>196</v>
      </c>
      <c r="K85" s="74" t="s">
        <v>6749</v>
      </c>
      <c r="L85" s="74" t="s">
        <v>310</v>
      </c>
    </row>
    <row r="86" spans="1:12" ht="21.95" customHeight="1">
      <c r="A86" s="149" t="s">
        <v>6040</v>
      </c>
      <c r="B86" s="147" t="s">
        <v>4893</v>
      </c>
      <c r="C86" s="148">
        <v>46046</v>
      </c>
      <c r="D86" s="147" t="s">
        <v>4894</v>
      </c>
      <c r="E86" s="147"/>
      <c r="F86" s="74" t="s">
        <v>6764</v>
      </c>
      <c r="G86" s="74" t="s">
        <v>4920</v>
      </c>
      <c r="H86" s="74" t="s">
        <v>5026</v>
      </c>
      <c r="I86" s="74" t="s">
        <v>63</v>
      </c>
      <c r="J86" s="74" t="s">
        <v>36</v>
      </c>
      <c r="K86" s="74" t="s">
        <v>6749</v>
      </c>
      <c r="L86" s="74" t="s">
        <v>31</v>
      </c>
    </row>
    <row r="87" spans="1:12" ht="21.95" customHeight="1">
      <c r="A87" s="149" t="s">
        <v>6041</v>
      </c>
      <c r="B87" s="147" t="s">
        <v>4893</v>
      </c>
      <c r="C87" s="148">
        <v>46046</v>
      </c>
      <c r="D87" s="147" t="s">
        <v>4894</v>
      </c>
      <c r="E87" s="147"/>
      <c r="F87" s="74" t="s">
        <v>6764</v>
      </c>
      <c r="G87" s="74" t="s">
        <v>4920</v>
      </c>
      <c r="H87" s="74" t="s">
        <v>5027</v>
      </c>
      <c r="I87" s="74" t="s">
        <v>536</v>
      </c>
      <c r="J87" s="74" t="s">
        <v>196</v>
      </c>
      <c r="K87" s="74" t="s">
        <v>6749</v>
      </c>
      <c r="L87" s="74" t="s">
        <v>1778</v>
      </c>
    </row>
    <row r="88" spans="1:12" ht="21.95" customHeight="1">
      <c r="A88" s="149" t="s">
        <v>6042</v>
      </c>
      <c r="B88" s="147" t="s">
        <v>4893</v>
      </c>
      <c r="C88" s="148">
        <v>46046</v>
      </c>
      <c r="D88" s="147" t="s">
        <v>4894</v>
      </c>
      <c r="E88" s="147"/>
      <c r="F88" s="74" t="s">
        <v>6764</v>
      </c>
      <c r="G88" s="74" t="s">
        <v>4920</v>
      </c>
      <c r="H88" s="74" t="s">
        <v>5028</v>
      </c>
      <c r="I88" s="74" t="s">
        <v>63</v>
      </c>
      <c r="J88" s="74" t="s">
        <v>57</v>
      </c>
      <c r="K88" s="74" t="s">
        <v>6749</v>
      </c>
      <c r="L88" s="74" t="s">
        <v>31</v>
      </c>
    </row>
    <row r="89" spans="1:12" ht="21.95" customHeight="1">
      <c r="A89" s="149" t="s">
        <v>6043</v>
      </c>
      <c r="B89" s="147" t="s">
        <v>4893</v>
      </c>
      <c r="C89" s="148">
        <v>46060</v>
      </c>
      <c r="D89" s="147" t="s">
        <v>4894</v>
      </c>
      <c r="E89" s="147"/>
      <c r="F89" s="74" t="s">
        <v>6764</v>
      </c>
      <c r="G89" s="74" t="s">
        <v>4920</v>
      </c>
      <c r="H89" s="74" t="s">
        <v>5029</v>
      </c>
      <c r="I89" s="74" t="s">
        <v>125</v>
      </c>
      <c r="J89" s="74" t="s">
        <v>126</v>
      </c>
      <c r="K89" s="74" t="s">
        <v>6749</v>
      </c>
      <c r="L89" s="74" t="s">
        <v>1811</v>
      </c>
    </row>
    <row r="90" spans="1:12" ht="21.95" customHeight="1">
      <c r="A90" s="149" t="s">
        <v>6044</v>
      </c>
      <c r="B90" s="147" t="s">
        <v>4893</v>
      </c>
      <c r="C90" s="148">
        <v>46060</v>
      </c>
      <c r="D90" s="147" t="s">
        <v>4871</v>
      </c>
      <c r="E90" s="147"/>
      <c r="F90" s="74" t="s">
        <v>6779</v>
      </c>
      <c r="G90" s="74" t="s">
        <v>4920</v>
      </c>
      <c r="H90" s="74" t="s">
        <v>5030</v>
      </c>
      <c r="I90" s="74" t="s">
        <v>112</v>
      </c>
      <c r="J90" s="74" t="s">
        <v>196</v>
      </c>
      <c r="K90" s="74" t="s">
        <v>6749</v>
      </c>
      <c r="L90" s="74" t="s">
        <v>1820</v>
      </c>
    </row>
    <row r="91" spans="1:12" ht="21.95" customHeight="1">
      <c r="A91" s="149" t="s">
        <v>6045</v>
      </c>
      <c r="B91" s="147" t="s">
        <v>4893</v>
      </c>
      <c r="C91" s="148">
        <v>46046</v>
      </c>
      <c r="D91" s="147" t="s">
        <v>4894</v>
      </c>
      <c r="E91" s="147"/>
      <c r="F91" s="74" t="s">
        <v>6764</v>
      </c>
      <c r="G91" s="74" t="s">
        <v>4920</v>
      </c>
      <c r="H91" s="74" t="s">
        <v>5031</v>
      </c>
      <c r="I91" s="74" t="s">
        <v>202</v>
      </c>
      <c r="J91" s="74" t="s">
        <v>57</v>
      </c>
      <c r="K91" s="74" t="s">
        <v>6749</v>
      </c>
      <c r="L91" s="74" t="s">
        <v>1828</v>
      </c>
    </row>
    <row r="92" spans="1:12" ht="21.95" customHeight="1">
      <c r="A92" s="149" t="s">
        <v>6046</v>
      </c>
      <c r="B92" s="147" t="s">
        <v>4893</v>
      </c>
      <c r="C92" s="148">
        <v>46046</v>
      </c>
      <c r="D92" s="147" t="s">
        <v>4894</v>
      </c>
      <c r="E92" s="147"/>
      <c r="F92" s="74" t="s">
        <v>6764</v>
      </c>
      <c r="G92" s="74" t="s">
        <v>4920</v>
      </c>
      <c r="H92" s="74" t="s">
        <v>5032</v>
      </c>
      <c r="I92" s="74" t="s">
        <v>24</v>
      </c>
      <c r="J92" s="74" t="s">
        <v>196</v>
      </c>
      <c r="K92" s="74" t="s">
        <v>6749</v>
      </c>
      <c r="L92" s="74" t="s">
        <v>310</v>
      </c>
    </row>
    <row r="93" spans="1:12" ht="21.95" customHeight="1">
      <c r="A93" s="149" t="s">
        <v>6047</v>
      </c>
      <c r="B93" s="147" t="s">
        <v>4893</v>
      </c>
      <c r="C93" s="148">
        <v>46060</v>
      </c>
      <c r="D93" s="147" t="s">
        <v>4894</v>
      </c>
      <c r="E93" s="147"/>
      <c r="F93" s="74" t="s">
        <v>6764</v>
      </c>
      <c r="G93" s="74" t="s">
        <v>4920</v>
      </c>
      <c r="H93" s="74" t="s">
        <v>5033</v>
      </c>
      <c r="I93" s="74" t="s">
        <v>63</v>
      </c>
      <c r="J93" s="74" t="s">
        <v>57</v>
      </c>
      <c r="K93" s="74" t="s">
        <v>6749</v>
      </c>
      <c r="L93" s="74" t="s">
        <v>310</v>
      </c>
    </row>
    <row r="94" spans="1:12" ht="21.95" customHeight="1">
      <c r="A94" s="149" t="s">
        <v>6048</v>
      </c>
      <c r="B94" s="147" t="s">
        <v>4893</v>
      </c>
      <c r="C94" s="148">
        <v>46046</v>
      </c>
      <c r="D94" s="147" t="s">
        <v>4894</v>
      </c>
      <c r="E94" s="147"/>
      <c r="F94" s="74" t="s">
        <v>6764</v>
      </c>
      <c r="G94" s="74" t="s">
        <v>4920</v>
      </c>
      <c r="H94" s="74" t="s">
        <v>5034</v>
      </c>
      <c r="I94" s="74" t="s">
        <v>63</v>
      </c>
      <c r="J94" s="74" t="s">
        <v>196</v>
      </c>
      <c r="K94" s="74" t="s">
        <v>6749</v>
      </c>
      <c r="L94" s="74" t="s">
        <v>310</v>
      </c>
    </row>
    <row r="95" spans="1:12" ht="21.95" customHeight="1">
      <c r="A95" s="149" t="s">
        <v>6049</v>
      </c>
      <c r="B95" s="147" t="s">
        <v>4893</v>
      </c>
      <c r="C95" s="148">
        <v>46046</v>
      </c>
      <c r="D95" s="147" t="s">
        <v>4894</v>
      </c>
      <c r="E95" s="147"/>
      <c r="F95" s="74" t="s">
        <v>6764</v>
      </c>
      <c r="G95" s="74" t="s">
        <v>4920</v>
      </c>
      <c r="H95" s="74" t="s">
        <v>5035</v>
      </c>
      <c r="I95" s="74" t="s">
        <v>68</v>
      </c>
      <c r="J95" s="74" t="s">
        <v>196</v>
      </c>
      <c r="K95" s="74" t="s">
        <v>6749</v>
      </c>
      <c r="L95" s="74" t="s">
        <v>310</v>
      </c>
    </row>
    <row r="96" spans="1:12" ht="21.95" customHeight="1">
      <c r="A96" s="149" t="s">
        <v>6050</v>
      </c>
      <c r="B96" s="147" t="s">
        <v>4893</v>
      </c>
      <c r="C96" s="148">
        <v>46060</v>
      </c>
      <c r="D96" s="147" t="s">
        <v>4871</v>
      </c>
      <c r="E96" s="147" t="s">
        <v>4904</v>
      </c>
      <c r="F96" s="74"/>
      <c r="G96" s="74" t="s">
        <v>4920</v>
      </c>
      <c r="H96" s="74" t="s">
        <v>5036</v>
      </c>
      <c r="I96" s="74" t="s">
        <v>125</v>
      </c>
      <c r="J96" s="74" t="s">
        <v>36</v>
      </c>
      <c r="K96" s="74" t="s">
        <v>6749</v>
      </c>
      <c r="L96" s="74" t="s">
        <v>1880</v>
      </c>
    </row>
    <row r="97" spans="1:12" ht="21.95" customHeight="1">
      <c r="A97" s="149" t="s">
        <v>6051</v>
      </c>
      <c r="B97" s="147" t="s">
        <v>4893</v>
      </c>
      <c r="C97" s="148">
        <v>46046</v>
      </c>
      <c r="D97" s="147" t="s">
        <v>4894</v>
      </c>
      <c r="E97" s="147"/>
      <c r="F97" s="74" t="s">
        <v>6764</v>
      </c>
      <c r="G97" s="74" t="s">
        <v>4920</v>
      </c>
      <c r="H97" s="74" t="s">
        <v>5037</v>
      </c>
      <c r="I97" s="74" t="s">
        <v>63</v>
      </c>
      <c r="J97" s="74" t="s">
        <v>126</v>
      </c>
      <c r="K97" s="74" t="s">
        <v>6749</v>
      </c>
      <c r="L97" s="74" t="s">
        <v>31</v>
      </c>
    </row>
    <row r="98" spans="1:12" ht="21.95" customHeight="1">
      <c r="A98" s="149" t="s">
        <v>6052</v>
      </c>
      <c r="B98" s="147" t="s">
        <v>4893</v>
      </c>
      <c r="C98" s="148">
        <v>46046</v>
      </c>
      <c r="D98" s="147" t="s">
        <v>4871</v>
      </c>
      <c r="E98" s="147" t="s">
        <v>4903</v>
      </c>
      <c r="F98" s="74" t="s">
        <v>6781</v>
      </c>
      <c r="G98" s="74" t="s">
        <v>4920</v>
      </c>
      <c r="H98" s="74" t="s">
        <v>5038</v>
      </c>
      <c r="I98" s="74" t="s">
        <v>202</v>
      </c>
      <c r="J98" s="74" t="s">
        <v>46</v>
      </c>
      <c r="K98" s="74" t="s">
        <v>6749</v>
      </c>
      <c r="L98" s="74" t="s">
        <v>310</v>
      </c>
    </row>
    <row r="99" spans="1:12" ht="21.95" customHeight="1">
      <c r="A99" s="149" t="s">
        <v>6053</v>
      </c>
      <c r="B99" s="147" t="s">
        <v>4893</v>
      </c>
      <c r="C99" s="148">
        <v>46060</v>
      </c>
      <c r="D99" s="147" t="s">
        <v>4871</v>
      </c>
      <c r="E99" s="147"/>
      <c r="F99" s="74" t="s">
        <v>6783</v>
      </c>
      <c r="G99" s="74" t="s">
        <v>4920</v>
      </c>
      <c r="H99" s="74" t="s">
        <v>5039</v>
      </c>
      <c r="I99" s="74" t="s">
        <v>63</v>
      </c>
      <c r="J99" s="74" t="s">
        <v>57</v>
      </c>
      <c r="K99" s="74" t="s">
        <v>6749</v>
      </c>
      <c r="L99" s="74" t="s">
        <v>31</v>
      </c>
    </row>
    <row r="100" spans="1:12" ht="21.95" customHeight="1">
      <c r="A100" s="149" t="s">
        <v>6054</v>
      </c>
      <c r="B100" s="147" t="s">
        <v>4893</v>
      </c>
      <c r="C100" s="148">
        <v>46046</v>
      </c>
      <c r="D100" s="147" t="s">
        <v>4894</v>
      </c>
      <c r="E100" s="147"/>
      <c r="F100" s="74" t="s">
        <v>6764</v>
      </c>
      <c r="G100" s="74" t="s">
        <v>4920</v>
      </c>
      <c r="H100" s="74" t="s">
        <v>5040</v>
      </c>
      <c r="I100" s="74" t="s">
        <v>125</v>
      </c>
      <c r="J100" s="74" t="s">
        <v>57</v>
      </c>
      <c r="K100" s="74" t="s">
        <v>6749</v>
      </c>
      <c r="L100" s="74" t="s">
        <v>310</v>
      </c>
    </row>
    <row r="101" spans="1:12" ht="21.95" customHeight="1">
      <c r="A101" s="149" t="s">
        <v>6055</v>
      </c>
      <c r="B101" s="147" t="s">
        <v>4893</v>
      </c>
      <c r="C101" s="148">
        <v>46060</v>
      </c>
      <c r="D101" s="147" t="s">
        <v>4894</v>
      </c>
      <c r="E101" s="147"/>
      <c r="F101" s="74" t="s">
        <v>5987</v>
      </c>
      <c r="G101" s="74" t="s">
        <v>4920</v>
      </c>
      <c r="H101" s="74" t="s">
        <v>5041</v>
      </c>
      <c r="I101" s="74" t="s">
        <v>501</v>
      </c>
      <c r="J101" s="74" t="s">
        <v>126</v>
      </c>
      <c r="K101" s="74" t="s">
        <v>6749</v>
      </c>
      <c r="L101" s="74" t="s">
        <v>1948</v>
      </c>
    </row>
    <row r="102" spans="1:12" ht="21.95" customHeight="1">
      <c r="A102" s="149" t="s">
        <v>6056</v>
      </c>
      <c r="B102" s="147" t="s">
        <v>4893</v>
      </c>
      <c r="C102" s="148">
        <v>46060</v>
      </c>
      <c r="D102" s="147" t="s">
        <v>4894</v>
      </c>
      <c r="E102" s="147"/>
      <c r="F102" s="74" t="s">
        <v>5987</v>
      </c>
      <c r="G102" s="74" t="s">
        <v>4920</v>
      </c>
      <c r="H102" s="74" t="s">
        <v>5042</v>
      </c>
      <c r="I102" s="74" t="s">
        <v>136</v>
      </c>
      <c r="J102" s="74" t="s">
        <v>196</v>
      </c>
      <c r="K102" s="74" t="s">
        <v>6749</v>
      </c>
      <c r="L102" s="74" t="s">
        <v>1973</v>
      </c>
    </row>
    <row r="103" spans="1:12" ht="21.95" customHeight="1">
      <c r="A103" s="149" t="s">
        <v>6057</v>
      </c>
      <c r="B103" s="147" t="s">
        <v>4893</v>
      </c>
      <c r="C103" s="148">
        <v>46046</v>
      </c>
      <c r="D103" s="147" t="s">
        <v>4894</v>
      </c>
      <c r="E103" s="147"/>
      <c r="F103" s="74"/>
      <c r="G103" s="74" t="s">
        <v>4920</v>
      </c>
      <c r="H103" s="74" t="s">
        <v>5043</v>
      </c>
      <c r="I103" s="74" t="s">
        <v>632</v>
      </c>
      <c r="J103" s="74" t="s">
        <v>126</v>
      </c>
      <c r="K103" s="74" t="s">
        <v>6749</v>
      </c>
      <c r="L103" s="74" t="s">
        <v>310</v>
      </c>
    </row>
    <row r="104" spans="1:12" ht="21.95" customHeight="1">
      <c r="A104" s="149" t="s">
        <v>6058</v>
      </c>
      <c r="B104" s="147" t="s">
        <v>4893</v>
      </c>
      <c r="C104" s="148">
        <v>46060</v>
      </c>
      <c r="D104" s="147" t="s">
        <v>4871</v>
      </c>
      <c r="E104" s="147" t="s">
        <v>4904</v>
      </c>
      <c r="F104" s="74" t="s">
        <v>6769</v>
      </c>
      <c r="G104" s="74" t="s">
        <v>4920</v>
      </c>
      <c r="H104" s="74" t="s">
        <v>5044</v>
      </c>
      <c r="I104" s="74" t="s">
        <v>63</v>
      </c>
      <c r="J104" s="74" t="s">
        <v>196</v>
      </c>
      <c r="K104" s="74" t="s">
        <v>6749</v>
      </c>
      <c r="L104" s="74" t="s">
        <v>31</v>
      </c>
    </row>
    <row r="105" spans="1:12" ht="21.95" customHeight="1">
      <c r="A105" s="149" t="s">
        <v>6059</v>
      </c>
      <c r="B105" s="147" t="s">
        <v>4893</v>
      </c>
      <c r="C105" s="148">
        <v>46046</v>
      </c>
      <c r="D105" s="147" t="s">
        <v>4871</v>
      </c>
      <c r="E105" s="147" t="s">
        <v>4904</v>
      </c>
      <c r="F105" s="74" t="s">
        <v>6782</v>
      </c>
      <c r="G105" s="74" t="s">
        <v>4920</v>
      </c>
      <c r="H105" s="74" t="s">
        <v>5045</v>
      </c>
      <c r="I105" s="74" t="s">
        <v>63</v>
      </c>
      <c r="J105" s="74" t="s">
        <v>196</v>
      </c>
      <c r="K105" s="74" t="s">
        <v>6749</v>
      </c>
      <c r="L105" s="74" t="s">
        <v>310</v>
      </c>
    </row>
    <row r="106" spans="1:12" ht="21.95" customHeight="1">
      <c r="A106" s="149" t="s">
        <v>6060</v>
      </c>
      <c r="B106" s="147" t="s">
        <v>4893</v>
      </c>
      <c r="C106" s="148">
        <v>46046</v>
      </c>
      <c r="D106" s="147" t="s">
        <v>4894</v>
      </c>
      <c r="E106" s="147"/>
      <c r="F106" s="74"/>
      <c r="G106" s="74" t="s">
        <v>4920</v>
      </c>
      <c r="H106" s="74" t="s">
        <v>5046</v>
      </c>
      <c r="I106" s="74" t="s">
        <v>125</v>
      </c>
      <c r="J106" s="74" t="s">
        <v>196</v>
      </c>
      <c r="K106" s="74" t="s">
        <v>6749</v>
      </c>
      <c r="L106" s="74" t="s">
        <v>31</v>
      </c>
    </row>
    <row r="107" spans="1:12" ht="21.95" customHeight="1">
      <c r="A107" s="149" t="s">
        <v>2467</v>
      </c>
      <c r="B107" s="147" t="s">
        <v>4893</v>
      </c>
      <c r="C107" s="148">
        <v>46060</v>
      </c>
      <c r="D107" s="147" t="s">
        <v>4894</v>
      </c>
      <c r="E107" s="147"/>
      <c r="F107" s="74" t="s">
        <v>5987</v>
      </c>
      <c r="G107" s="74" t="s">
        <v>4920</v>
      </c>
      <c r="H107" s="74" t="s">
        <v>5047</v>
      </c>
      <c r="I107" s="74" t="s">
        <v>30</v>
      </c>
      <c r="J107" s="74" t="s">
        <v>126</v>
      </c>
      <c r="K107" s="74" t="s">
        <v>6749</v>
      </c>
      <c r="L107" s="74" t="s">
        <v>2045</v>
      </c>
    </row>
    <row r="108" spans="1:12" ht="21.95" customHeight="1">
      <c r="A108" s="149" t="s">
        <v>6061</v>
      </c>
      <c r="B108" s="147" t="s">
        <v>4893</v>
      </c>
      <c r="C108" s="148">
        <v>46046</v>
      </c>
      <c r="D108" s="147" t="s">
        <v>4871</v>
      </c>
      <c r="E108" s="147" t="s">
        <v>4904</v>
      </c>
      <c r="F108" s="74" t="s">
        <v>6773</v>
      </c>
      <c r="G108" s="74" t="s">
        <v>4920</v>
      </c>
      <c r="H108" s="74" t="s">
        <v>5048</v>
      </c>
      <c r="I108" s="74" t="s">
        <v>125</v>
      </c>
      <c r="J108" s="74" t="s">
        <v>36</v>
      </c>
      <c r="K108" s="74" t="s">
        <v>6749</v>
      </c>
      <c r="L108" s="74" t="s">
        <v>2057</v>
      </c>
    </row>
    <row r="109" spans="1:12" ht="21.95" customHeight="1">
      <c r="A109" s="149" t="s">
        <v>6062</v>
      </c>
      <c r="B109" s="147" t="s">
        <v>4893</v>
      </c>
      <c r="C109" s="148">
        <v>46046</v>
      </c>
      <c r="D109" s="147" t="s">
        <v>4871</v>
      </c>
      <c r="E109" s="147" t="s">
        <v>4900</v>
      </c>
      <c r="F109" s="74" t="s">
        <v>6784</v>
      </c>
      <c r="G109" s="74" t="s">
        <v>4920</v>
      </c>
      <c r="H109" s="74" t="s">
        <v>5049</v>
      </c>
      <c r="I109" s="74" t="s">
        <v>202</v>
      </c>
      <c r="J109" s="74" t="s">
        <v>46</v>
      </c>
      <c r="K109" s="74" t="s">
        <v>6749</v>
      </c>
      <c r="L109" s="74" t="s">
        <v>310</v>
      </c>
    </row>
    <row r="110" spans="1:12" ht="21.95" customHeight="1">
      <c r="A110" s="149" t="s">
        <v>6063</v>
      </c>
      <c r="B110" s="147" t="s">
        <v>4893</v>
      </c>
      <c r="C110" s="148">
        <v>46046</v>
      </c>
      <c r="D110" s="147" t="s">
        <v>4894</v>
      </c>
      <c r="E110" s="147" t="s">
        <v>4904</v>
      </c>
      <c r="F110" s="74"/>
      <c r="G110" s="74" t="s">
        <v>4920</v>
      </c>
      <c r="H110" s="74" t="s">
        <v>5050</v>
      </c>
      <c r="I110" s="74" t="s">
        <v>63</v>
      </c>
      <c r="J110" s="74" t="s">
        <v>57</v>
      </c>
      <c r="K110" s="74" t="s">
        <v>6749</v>
      </c>
      <c r="L110" s="74" t="s">
        <v>310</v>
      </c>
    </row>
    <row r="111" spans="1:12" ht="21.95" customHeight="1">
      <c r="A111" s="149" t="s">
        <v>6064</v>
      </c>
      <c r="B111" s="147" t="s">
        <v>4893</v>
      </c>
      <c r="C111" s="148">
        <v>46046</v>
      </c>
      <c r="D111" s="147" t="s">
        <v>4894</v>
      </c>
      <c r="E111" s="147" t="s">
        <v>4904</v>
      </c>
      <c r="F111" s="74"/>
      <c r="G111" s="74" t="s">
        <v>4920</v>
      </c>
      <c r="H111" s="74" t="s">
        <v>5051</v>
      </c>
      <c r="I111" s="74" t="s">
        <v>632</v>
      </c>
      <c r="J111" s="74" t="s">
        <v>196</v>
      </c>
      <c r="K111" s="74" t="s">
        <v>6749</v>
      </c>
      <c r="L111" s="74" t="s">
        <v>31</v>
      </c>
    </row>
    <row r="112" spans="1:12" ht="21.95" customHeight="1">
      <c r="A112" s="149" t="s">
        <v>6065</v>
      </c>
      <c r="B112" s="147" t="s">
        <v>4893</v>
      </c>
      <c r="C112" s="148">
        <v>46046</v>
      </c>
      <c r="D112" s="147" t="s">
        <v>4871</v>
      </c>
      <c r="E112" s="147" t="s">
        <v>4904</v>
      </c>
      <c r="F112" s="74" t="s">
        <v>6785</v>
      </c>
      <c r="G112" s="74" t="s">
        <v>4920</v>
      </c>
      <c r="H112" s="74" t="s">
        <v>5052</v>
      </c>
      <c r="I112" s="74" t="s">
        <v>63</v>
      </c>
      <c r="J112" s="74" t="s">
        <v>57</v>
      </c>
      <c r="K112" s="74" t="s">
        <v>6749</v>
      </c>
      <c r="L112" s="74" t="s">
        <v>2074</v>
      </c>
    </row>
    <row r="113" spans="1:12" ht="21.95" customHeight="1">
      <c r="A113" s="149" t="s">
        <v>6066</v>
      </c>
      <c r="B113" s="147" t="s">
        <v>4893</v>
      </c>
      <c r="C113" s="148">
        <v>46046</v>
      </c>
      <c r="D113" s="147" t="s">
        <v>4871</v>
      </c>
      <c r="E113" s="147"/>
      <c r="F113" s="74" t="s">
        <v>6777</v>
      </c>
      <c r="G113" s="74" t="s">
        <v>4920</v>
      </c>
      <c r="H113" s="74" t="s">
        <v>5053</v>
      </c>
      <c r="I113" s="74" t="s">
        <v>68</v>
      </c>
      <c r="J113" s="74" t="s">
        <v>196</v>
      </c>
      <c r="K113" s="74" t="s">
        <v>6749</v>
      </c>
      <c r="L113" s="74" t="s">
        <v>310</v>
      </c>
    </row>
    <row r="114" spans="1:12" ht="21.95" customHeight="1">
      <c r="A114" s="149" t="s">
        <v>6067</v>
      </c>
      <c r="B114" s="147" t="s">
        <v>4893</v>
      </c>
      <c r="C114" s="148">
        <v>46046</v>
      </c>
      <c r="D114" s="147" t="s">
        <v>4871</v>
      </c>
      <c r="E114" s="147" t="s">
        <v>4904</v>
      </c>
      <c r="F114" s="74"/>
      <c r="G114" s="74" t="s">
        <v>4920</v>
      </c>
      <c r="H114" s="74" t="s">
        <v>5054</v>
      </c>
      <c r="I114" s="74" t="s">
        <v>63</v>
      </c>
      <c r="J114" s="74" t="s">
        <v>126</v>
      </c>
      <c r="K114" s="74" t="s">
        <v>6749</v>
      </c>
      <c r="L114" s="74" t="s">
        <v>310</v>
      </c>
    </row>
    <row r="115" spans="1:12" ht="21.95" customHeight="1">
      <c r="A115" s="149" t="s">
        <v>6068</v>
      </c>
      <c r="B115" s="147" t="s">
        <v>4893</v>
      </c>
      <c r="C115" s="148">
        <v>46046</v>
      </c>
      <c r="D115" s="147" t="s">
        <v>4894</v>
      </c>
      <c r="E115" s="147" t="s">
        <v>4904</v>
      </c>
      <c r="F115" s="74"/>
      <c r="G115" s="74" t="s">
        <v>4920</v>
      </c>
      <c r="H115" s="74" t="s">
        <v>5055</v>
      </c>
      <c r="I115" s="74" t="s">
        <v>63</v>
      </c>
      <c r="J115" s="74" t="s">
        <v>196</v>
      </c>
      <c r="K115" s="74" t="s">
        <v>6749</v>
      </c>
      <c r="L115" s="74" t="s">
        <v>310</v>
      </c>
    </row>
    <row r="116" spans="1:12" ht="21.95" customHeight="1">
      <c r="A116" s="149" t="s">
        <v>6069</v>
      </c>
      <c r="B116" s="147" t="s">
        <v>4893</v>
      </c>
      <c r="C116" s="148">
        <v>46046</v>
      </c>
      <c r="D116" s="147" t="s">
        <v>4894</v>
      </c>
      <c r="E116" s="147" t="s">
        <v>4915</v>
      </c>
      <c r="F116" s="74"/>
      <c r="G116" s="74" t="s">
        <v>4920</v>
      </c>
      <c r="H116" s="74" t="s">
        <v>5056</v>
      </c>
      <c r="I116" s="74" t="s">
        <v>202</v>
      </c>
      <c r="J116" s="74" t="s">
        <v>46</v>
      </c>
      <c r="K116" s="74" t="s">
        <v>6749</v>
      </c>
      <c r="L116" s="74" t="s">
        <v>2101</v>
      </c>
    </row>
    <row r="117" spans="1:12" ht="21.95" customHeight="1">
      <c r="A117" s="149" t="s">
        <v>6070</v>
      </c>
      <c r="B117" s="147" t="s">
        <v>4893</v>
      </c>
      <c r="C117" s="148">
        <v>46060</v>
      </c>
      <c r="D117" s="147" t="s">
        <v>4871</v>
      </c>
      <c r="E117" s="147" t="s">
        <v>4904</v>
      </c>
      <c r="F117" s="74"/>
      <c r="G117" s="74" t="s">
        <v>4920</v>
      </c>
      <c r="H117" s="74" t="s">
        <v>5057</v>
      </c>
      <c r="I117" s="74" t="s">
        <v>125</v>
      </c>
      <c r="J117" s="74" t="s">
        <v>73</v>
      </c>
      <c r="K117" s="74" t="s">
        <v>6749</v>
      </c>
      <c r="L117" s="74" t="s">
        <v>310</v>
      </c>
    </row>
    <row r="118" spans="1:12" ht="21.95" customHeight="1">
      <c r="A118" s="149" t="s">
        <v>6071</v>
      </c>
      <c r="B118" s="147" t="s">
        <v>4893</v>
      </c>
      <c r="C118" s="148">
        <v>46039</v>
      </c>
      <c r="D118" s="147" t="s">
        <v>4894</v>
      </c>
      <c r="E118" s="147"/>
      <c r="F118" s="74"/>
      <c r="G118" s="74" t="s">
        <v>4920</v>
      </c>
      <c r="H118" s="74" t="s">
        <v>5058</v>
      </c>
      <c r="I118" s="74" t="s">
        <v>202</v>
      </c>
      <c r="J118" s="74" t="s">
        <v>57</v>
      </c>
      <c r="K118" s="74" t="s">
        <v>6749</v>
      </c>
      <c r="L118" s="74" t="s">
        <v>310</v>
      </c>
    </row>
    <row r="119" spans="1:12" ht="21.95" customHeight="1">
      <c r="A119" s="149" t="s">
        <v>2128</v>
      </c>
      <c r="B119" s="147" t="s">
        <v>4893</v>
      </c>
      <c r="C119" s="148">
        <v>46060</v>
      </c>
      <c r="D119" s="147" t="s">
        <v>4894</v>
      </c>
      <c r="E119" s="147"/>
      <c r="F119" s="74" t="s">
        <v>5995</v>
      </c>
      <c r="G119" s="74" t="s">
        <v>4920</v>
      </c>
      <c r="H119" s="74" t="s">
        <v>5059</v>
      </c>
      <c r="I119" s="74" t="s">
        <v>63</v>
      </c>
      <c r="J119" s="74" t="s">
        <v>36</v>
      </c>
      <c r="K119" s="74" t="s">
        <v>6749</v>
      </c>
      <c r="L119" s="74" t="s">
        <v>310</v>
      </c>
    </row>
    <row r="120" spans="1:12" ht="21.95" customHeight="1">
      <c r="A120" s="149" t="s">
        <v>6072</v>
      </c>
      <c r="B120" s="147" t="s">
        <v>4893</v>
      </c>
      <c r="C120" s="148">
        <v>46039</v>
      </c>
      <c r="D120" s="147" t="s">
        <v>4871</v>
      </c>
      <c r="E120" s="147" t="s">
        <v>4904</v>
      </c>
      <c r="F120" s="74" t="s">
        <v>6762</v>
      </c>
      <c r="G120" s="74" t="s">
        <v>4920</v>
      </c>
      <c r="H120" s="74" t="s">
        <v>5060</v>
      </c>
      <c r="I120" s="74" t="s">
        <v>202</v>
      </c>
      <c r="J120" s="74" t="s">
        <v>196</v>
      </c>
      <c r="K120" s="74" t="s">
        <v>6749</v>
      </c>
      <c r="L120" s="74" t="s">
        <v>310</v>
      </c>
    </row>
    <row r="121" spans="1:12" ht="21.95" customHeight="1">
      <c r="A121" s="149" t="s">
        <v>6073</v>
      </c>
      <c r="B121" s="147" t="s">
        <v>4893</v>
      </c>
      <c r="C121" s="148">
        <v>46039</v>
      </c>
      <c r="D121" s="147" t="s">
        <v>4894</v>
      </c>
      <c r="E121" s="147"/>
      <c r="F121" s="74"/>
      <c r="G121" s="74" t="s">
        <v>4920</v>
      </c>
      <c r="H121" s="74" t="s">
        <v>5061</v>
      </c>
      <c r="I121" s="74" t="s">
        <v>43</v>
      </c>
      <c r="J121" s="74" t="s">
        <v>196</v>
      </c>
      <c r="K121" s="74" t="s">
        <v>6749</v>
      </c>
      <c r="L121" s="74" t="s">
        <v>310</v>
      </c>
    </row>
    <row r="122" spans="1:12" ht="21.95" customHeight="1">
      <c r="A122" s="149" t="s">
        <v>6074</v>
      </c>
      <c r="B122" s="147" t="s">
        <v>4893</v>
      </c>
      <c r="C122" s="148">
        <v>46025</v>
      </c>
      <c r="D122" s="147" t="s">
        <v>4871</v>
      </c>
      <c r="E122" s="147"/>
      <c r="F122" s="74" t="s">
        <v>6786</v>
      </c>
      <c r="G122" s="74" t="s">
        <v>4920</v>
      </c>
      <c r="H122" s="74" t="s">
        <v>5062</v>
      </c>
      <c r="I122" s="74" t="s">
        <v>695</v>
      </c>
      <c r="J122" s="74" t="s">
        <v>196</v>
      </c>
      <c r="K122" s="74" t="s">
        <v>6749</v>
      </c>
      <c r="L122" s="74" t="s">
        <v>2179</v>
      </c>
    </row>
    <row r="123" spans="1:12" ht="21.95" customHeight="1">
      <c r="A123" s="149" t="s">
        <v>6075</v>
      </c>
      <c r="B123" s="147" t="s">
        <v>4893</v>
      </c>
      <c r="C123" s="148">
        <v>46025</v>
      </c>
      <c r="D123" s="147" t="s">
        <v>4871</v>
      </c>
      <c r="E123" s="147"/>
      <c r="F123" s="74" t="s">
        <v>5995</v>
      </c>
      <c r="G123" s="74" t="s">
        <v>4920</v>
      </c>
      <c r="H123" s="74" t="s">
        <v>5063</v>
      </c>
      <c r="I123" s="74" t="s">
        <v>63</v>
      </c>
      <c r="J123" s="74" t="s">
        <v>57</v>
      </c>
      <c r="K123" s="74" t="s">
        <v>6749</v>
      </c>
      <c r="L123" s="74" t="s">
        <v>310</v>
      </c>
    </row>
    <row r="124" spans="1:12" ht="21.95" customHeight="1">
      <c r="A124" s="149" t="s">
        <v>6076</v>
      </c>
      <c r="B124" s="147" t="s">
        <v>4893</v>
      </c>
      <c r="C124" s="148">
        <v>46025</v>
      </c>
      <c r="D124" s="147" t="s">
        <v>4894</v>
      </c>
      <c r="E124" s="147"/>
      <c r="F124" s="74"/>
      <c r="G124" s="74" t="s">
        <v>4920</v>
      </c>
      <c r="H124" s="74" t="s">
        <v>5064</v>
      </c>
      <c r="I124" s="74" t="s">
        <v>112</v>
      </c>
      <c r="J124" s="74" t="s">
        <v>196</v>
      </c>
      <c r="K124" s="74" t="s">
        <v>6749</v>
      </c>
      <c r="L124" s="74" t="s">
        <v>2186</v>
      </c>
    </row>
    <row r="125" spans="1:12" ht="21.95" customHeight="1">
      <c r="A125" s="149" t="s">
        <v>6077</v>
      </c>
      <c r="B125" s="147" t="s">
        <v>4893</v>
      </c>
      <c r="C125" s="148">
        <v>46025</v>
      </c>
      <c r="D125" s="147" t="s">
        <v>4871</v>
      </c>
      <c r="E125" s="147" t="s">
        <v>4904</v>
      </c>
      <c r="F125" s="74" t="s">
        <v>6787</v>
      </c>
      <c r="G125" s="74" t="s">
        <v>4920</v>
      </c>
      <c r="H125" s="74" t="s">
        <v>5065</v>
      </c>
      <c r="I125" s="74" t="s">
        <v>63</v>
      </c>
      <c r="J125" s="74" t="s">
        <v>126</v>
      </c>
      <c r="K125" s="74" t="s">
        <v>6749</v>
      </c>
      <c r="L125" s="74" t="s">
        <v>310</v>
      </c>
    </row>
    <row r="126" spans="1:12" ht="21.95" customHeight="1">
      <c r="A126" s="149" t="s">
        <v>6078</v>
      </c>
      <c r="B126" s="147" t="s">
        <v>4893</v>
      </c>
      <c r="C126" s="148">
        <v>46025</v>
      </c>
      <c r="D126" s="147"/>
      <c r="E126" s="147" t="s">
        <v>4904</v>
      </c>
      <c r="F126" s="74" t="s">
        <v>6788</v>
      </c>
      <c r="G126" s="74" t="s">
        <v>4920</v>
      </c>
      <c r="H126" s="74" t="s">
        <v>5066</v>
      </c>
      <c r="I126" s="74" t="s">
        <v>112</v>
      </c>
      <c r="J126" s="74" t="s">
        <v>73</v>
      </c>
      <c r="K126" s="74" t="s">
        <v>6749</v>
      </c>
      <c r="L126" s="74" t="s">
        <v>2043</v>
      </c>
    </row>
    <row r="127" spans="1:12" ht="21.95" customHeight="1">
      <c r="A127" s="149" t="s">
        <v>6079</v>
      </c>
      <c r="B127" s="147" t="s">
        <v>4893</v>
      </c>
      <c r="C127" s="148">
        <v>46025</v>
      </c>
      <c r="D127" s="147" t="s">
        <v>4894</v>
      </c>
      <c r="E127" s="147"/>
      <c r="F127" s="74" t="s">
        <v>5995</v>
      </c>
      <c r="G127" s="74" t="s">
        <v>4920</v>
      </c>
      <c r="H127" s="74" t="s">
        <v>5067</v>
      </c>
      <c r="I127" s="74" t="s">
        <v>129</v>
      </c>
      <c r="J127" s="74" t="s">
        <v>57</v>
      </c>
      <c r="K127" s="74" t="s">
        <v>6749</v>
      </c>
      <c r="L127" s="74" t="s">
        <v>310</v>
      </c>
    </row>
    <row r="128" spans="1:12" ht="21.95" customHeight="1">
      <c r="A128" s="149" t="s">
        <v>6080</v>
      </c>
      <c r="B128" s="147" t="s">
        <v>4893</v>
      </c>
      <c r="C128" s="148">
        <v>46025</v>
      </c>
      <c r="D128" s="147" t="s">
        <v>4894</v>
      </c>
      <c r="E128" s="147"/>
      <c r="F128" s="74" t="s">
        <v>5995</v>
      </c>
      <c r="G128" s="74" t="s">
        <v>4920</v>
      </c>
      <c r="H128" s="74" t="s">
        <v>5068</v>
      </c>
      <c r="I128" s="74" t="s">
        <v>853</v>
      </c>
      <c r="J128" s="74" t="s">
        <v>196</v>
      </c>
      <c r="K128" s="74" t="s">
        <v>6749</v>
      </c>
      <c r="L128" s="74" t="s">
        <v>2233</v>
      </c>
    </row>
    <row r="129" spans="1:12" ht="21.95" customHeight="1">
      <c r="A129" s="149" t="s">
        <v>6081</v>
      </c>
      <c r="B129" s="147" t="s">
        <v>4893</v>
      </c>
      <c r="C129" s="148">
        <v>46025</v>
      </c>
      <c r="D129" s="147" t="s">
        <v>4894</v>
      </c>
      <c r="E129" s="147"/>
      <c r="F129" s="74" t="s">
        <v>5995</v>
      </c>
      <c r="G129" s="74" t="s">
        <v>4920</v>
      </c>
      <c r="H129" s="74" t="s">
        <v>5069</v>
      </c>
      <c r="I129" s="74" t="s">
        <v>2237</v>
      </c>
      <c r="J129" s="74" t="s">
        <v>36</v>
      </c>
      <c r="K129" s="74" t="s">
        <v>6749</v>
      </c>
      <c r="L129" s="74" t="s">
        <v>31</v>
      </c>
    </row>
    <row r="130" spans="1:12" ht="21.95" customHeight="1">
      <c r="A130" s="149" t="s">
        <v>6082</v>
      </c>
      <c r="B130" s="147" t="s">
        <v>4893</v>
      </c>
      <c r="C130" s="148">
        <v>46025</v>
      </c>
      <c r="D130" s="147" t="s">
        <v>4894</v>
      </c>
      <c r="E130" s="147"/>
      <c r="F130" s="74" t="s">
        <v>5995</v>
      </c>
      <c r="G130" s="74" t="s">
        <v>4920</v>
      </c>
      <c r="H130" s="74" t="s">
        <v>5070</v>
      </c>
      <c r="I130" s="74" t="s">
        <v>202</v>
      </c>
      <c r="J130" s="74" t="s">
        <v>57</v>
      </c>
      <c r="K130" s="74" t="s">
        <v>6749</v>
      </c>
      <c r="L130" s="74" t="s">
        <v>310</v>
      </c>
    </row>
    <row r="131" spans="1:12" ht="21.95" customHeight="1">
      <c r="A131" s="149" t="s">
        <v>6083</v>
      </c>
      <c r="B131" s="147" t="s">
        <v>4893</v>
      </c>
      <c r="C131" s="148">
        <v>46060</v>
      </c>
      <c r="D131" s="147" t="s">
        <v>4894</v>
      </c>
      <c r="E131" s="147"/>
      <c r="F131" s="74" t="s">
        <v>5995</v>
      </c>
      <c r="G131" s="74" t="s">
        <v>4920</v>
      </c>
      <c r="H131" s="74" t="s">
        <v>5071</v>
      </c>
      <c r="I131" s="74" t="s">
        <v>520</v>
      </c>
      <c r="J131" s="74" t="s">
        <v>1507</v>
      </c>
      <c r="K131" s="74" t="s">
        <v>6749</v>
      </c>
      <c r="L131" s="74" t="s">
        <v>1040</v>
      </c>
    </row>
    <row r="132" spans="1:12" ht="21.95" customHeight="1">
      <c r="A132" s="149" t="s">
        <v>6084</v>
      </c>
      <c r="B132" s="147" t="s">
        <v>4893</v>
      </c>
      <c r="C132" s="148">
        <v>46025</v>
      </c>
      <c r="D132" s="147" t="s">
        <v>4894</v>
      </c>
      <c r="E132" s="147"/>
      <c r="F132" s="74" t="s">
        <v>5995</v>
      </c>
      <c r="G132" s="74" t="s">
        <v>4920</v>
      </c>
      <c r="H132" s="74" t="s">
        <v>5072</v>
      </c>
      <c r="I132" s="74" t="s">
        <v>112</v>
      </c>
      <c r="J132" s="74" t="s">
        <v>196</v>
      </c>
      <c r="K132" s="74" t="s">
        <v>6749</v>
      </c>
      <c r="L132" s="74" t="s">
        <v>310</v>
      </c>
    </row>
    <row r="133" spans="1:12" ht="21.95" customHeight="1">
      <c r="A133" s="149" t="s">
        <v>6085</v>
      </c>
      <c r="B133" s="147" t="s">
        <v>4893</v>
      </c>
      <c r="C133" s="148">
        <v>46025</v>
      </c>
      <c r="D133" s="147" t="s">
        <v>4894</v>
      </c>
      <c r="E133" s="147"/>
      <c r="F133" s="74" t="s">
        <v>5995</v>
      </c>
      <c r="G133" s="74" t="s">
        <v>4920</v>
      </c>
      <c r="H133" s="74" t="s">
        <v>5073</v>
      </c>
      <c r="I133" s="74" t="s">
        <v>63</v>
      </c>
      <c r="J133" s="74" t="s">
        <v>126</v>
      </c>
      <c r="K133" s="74" t="s">
        <v>6749</v>
      </c>
      <c r="L133" s="74" t="s">
        <v>310</v>
      </c>
    </row>
    <row r="134" spans="1:12" ht="21.95" customHeight="1">
      <c r="A134" s="149" t="s">
        <v>6086</v>
      </c>
      <c r="B134" s="147"/>
      <c r="C134" s="148"/>
      <c r="D134" s="147"/>
      <c r="E134" s="147"/>
      <c r="F134" s="74"/>
      <c r="G134" s="74" t="s">
        <v>6746</v>
      </c>
      <c r="H134" s="74" t="s">
        <v>5074</v>
      </c>
      <c r="I134" s="74" t="s">
        <v>63</v>
      </c>
      <c r="J134" s="74" t="s">
        <v>36</v>
      </c>
      <c r="K134" s="74" t="s">
        <v>6749</v>
      </c>
      <c r="L134" s="74" t="s">
        <v>2274</v>
      </c>
    </row>
    <row r="135" spans="1:12" ht="21.95" customHeight="1">
      <c r="A135" s="149" t="s">
        <v>6087</v>
      </c>
      <c r="B135" s="147" t="s">
        <v>4893</v>
      </c>
      <c r="C135" s="148">
        <v>46025</v>
      </c>
      <c r="D135" s="147" t="s">
        <v>4894</v>
      </c>
      <c r="E135" s="147"/>
      <c r="F135" s="74" t="s">
        <v>5995</v>
      </c>
      <c r="G135" s="74" t="s">
        <v>4920</v>
      </c>
      <c r="H135" s="74" t="s">
        <v>5075</v>
      </c>
      <c r="I135" s="74" t="s">
        <v>63</v>
      </c>
      <c r="J135" s="74" t="s">
        <v>196</v>
      </c>
      <c r="K135" s="74" t="s">
        <v>6749</v>
      </c>
      <c r="L135" s="74" t="s">
        <v>310</v>
      </c>
    </row>
    <row r="136" spans="1:12" ht="21.95" customHeight="1">
      <c r="A136" s="149" t="s">
        <v>6088</v>
      </c>
      <c r="B136" s="147" t="s">
        <v>4893</v>
      </c>
      <c r="C136" s="148">
        <v>46025</v>
      </c>
      <c r="D136" s="147" t="s">
        <v>4894</v>
      </c>
      <c r="E136" s="147"/>
      <c r="F136" s="74" t="s">
        <v>6768</v>
      </c>
      <c r="G136" s="74" t="s">
        <v>4920</v>
      </c>
      <c r="H136" s="74" t="s">
        <v>5076</v>
      </c>
      <c r="I136" s="74" t="s">
        <v>24</v>
      </c>
      <c r="J136" s="74" t="s">
        <v>196</v>
      </c>
      <c r="K136" s="74" t="s">
        <v>6749</v>
      </c>
      <c r="L136" s="74" t="s">
        <v>310</v>
      </c>
    </row>
    <row r="137" spans="1:12" ht="21.95" customHeight="1">
      <c r="A137" s="149" t="s">
        <v>6089</v>
      </c>
      <c r="B137" s="147" t="s">
        <v>4893</v>
      </c>
      <c r="C137" s="148">
        <v>46025</v>
      </c>
      <c r="D137" s="147" t="s">
        <v>4894</v>
      </c>
      <c r="E137" s="147"/>
      <c r="F137" s="74" t="s">
        <v>5995</v>
      </c>
      <c r="G137" s="74" t="s">
        <v>4920</v>
      </c>
      <c r="H137" s="74" t="s">
        <v>5077</v>
      </c>
      <c r="I137" s="74" t="s">
        <v>24</v>
      </c>
      <c r="J137" s="74" t="s">
        <v>196</v>
      </c>
      <c r="K137" s="74" t="s">
        <v>6749</v>
      </c>
      <c r="L137" s="74" t="s">
        <v>2282</v>
      </c>
    </row>
    <row r="138" spans="1:12" ht="21.95" customHeight="1">
      <c r="A138" s="149" t="s">
        <v>2299</v>
      </c>
      <c r="B138" s="147" t="s">
        <v>4893</v>
      </c>
      <c r="C138" s="148">
        <v>46025</v>
      </c>
      <c r="D138" s="147" t="s">
        <v>4894</v>
      </c>
      <c r="E138" s="147"/>
      <c r="F138" s="74" t="s">
        <v>5995</v>
      </c>
      <c r="G138" s="74" t="s">
        <v>4920</v>
      </c>
      <c r="H138" s="74" t="s">
        <v>5078</v>
      </c>
      <c r="I138" s="74" t="s">
        <v>93</v>
      </c>
      <c r="J138" s="74" t="s">
        <v>250</v>
      </c>
      <c r="K138" s="74" t="s">
        <v>6749</v>
      </c>
      <c r="L138" s="74" t="s">
        <v>31</v>
      </c>
    </row>
    <row r="139" spans="1:12" ht="21.95" customHeight="1">
      <c r="A139" s="149" t="s">
        <v>2317</v>
      </c>
      <c r="B139" s="147" t="s">
        <v>4893</v>
      </c>
      <c r="C139" s="148">
        <v>46025</v>
      </c>
      <c r="D139" s="147" t="s">
        <v>4894</v>
      </c>
      <c r="E139" s="147"/>
      <c r="F139" s="74" t="s">
        <v>6790</v>
      </c>
      <c r="G139" s="74" t="s">
        <v>4920</v>
      </c>
      <c r="H139" s="74" t="s">
        <v>5079</v>
      </c>
      <c r="I139" s="74" t="s">
        <v>89</v>
      </c>
      <c r="J139" s="74" t="s">
        <v>57</v>
      </c>
      <c r="K139" s="74" t="s">
        <v>6749</v>
      </c>
      <c r="L139" s="74" t="s">
        <v>1732</v>
      </c>
    </row>
    <row r="140" spans="1:12" ht="21.95" customHeight="1">
      <c r="A140" s="149" t="s">
        <v>2332</v>
      </c>
      <c r="B140" s="147" t="s">
        <v>4893</v>
      </c>
      <c r="C140" s="148">
        <v>46060</v>
      </c>
      <c r="D140" s="147" t="s">
        <v>4894</v>
      </c>
      <c r="E140" s="147"/>
      <c r="F140" s="74" t="s">
        <v>6791</v>
      </c>
      <c r="G140" s="74" t="s">
        <v>4920</v>
      </c>
      <c r="H140" s="74" t="s">
        <v>5080</v>
      </c>
      <c r="I140" s="74" t="s">
        <v>63</v>
      </c>
      <c r="J140" s="74" t="s">
        <v>1507</v>
      </c>
      <c r="K140" s="74" t="s">
        <v>6749</v>
      </c>
      <c r="L140" s="74" t="s">
        <v>310</v>
      </c>
    </row>
    <row r="141" spans="1:12" ht="21.95" customHeight="1">
      <c r="A141" s="149" t="s">
        <v>2348</v>
      </c>
      <c r="B141" s="147" t="s">
        <v>4893</v>
      </c>
      <c r="C141" s="148">
        <v>46025</v>
      </c>
      <c r="D141" s="147" t="s">
        <v>4894</v>
      </c>
      <c r="E141" s="147"/>
      <c r="F141" s="74" t="s">
        <v>5995</v>
      </c>
      <c r="G141" s="74" t="s">
        <v>4920</v>
      </c>
      <c r="H141" s="74" t="s">
        <v>5081</v>
      </c>
      <c r="I141" s="74" t="s">
        <v>1537</v>
      </c>
      <c r="J141" s="74" t="s">
        <v>196</v>
      </c>
      <c r="K141" s="74" t="s">
        <v>6749</v>
      </c>
      <c r="L141" s="74" t="s">
        <v>31</v>
      </c>
    </row>
    <row r="142" spans="1:12" ht="21.95" customHeight="1">
      <c r="A142" s="149" t="s">
        <v>2395</v>
      </c>
      <c r="B142" s="147" t="s">
        <v>4893</v>
      </c>
      <c r="C142" s="148">
        <v>46025</v>
      </c>
      <c r="D142" s="147"/>
      <c r="E142" s="147"/>
      <c r="F142" s="74" t="s">
        <v>6808</v>
      </c>
      <c r="G142" s="74" t="s">
        <v>4920</v>
      </c>
      <c r="H142" s="74" t="s">
        <v>5082</v>
      </c>
      <c r="I142" s="74" t="s">
        <v>85</v>
      </c>
      <c r="J142" s="74" t="s">
        <v>196</v>
      </c>
      <c r="K142" s="74" t="s">
        <v>6749</v>
      </c>
      <c r="L142" s="74" t="s">
        <v>31</v>
      </c>
    </row>
    <row r="143" spans="1:12" ht="21.95" customHeight="1">
      <c r="A143" s="149" t="s">
        <v>2415</v>
      </c>
      <c r="B143" s="147" t="s">
        <v>4893</v>
      </c>
      <c r="C143" s="148">
        <v>46025</v>
      </c>
      <c r="D143" s="147" t="s">
        <v>4894</v>
      </c>
      <c r="E143" s="147"/>
      <c r="F143" s="74" t="s">
        <v>5995</v>
      </c>
      <c r="G143" s="74" t="s">
        <v>4920</v>
      </c>
      <c r="H143" s="74" t="s">
        <v>5083</v>
      </c>
      <c r="I143" s="74" t="s">
        <v>112</v>
      </c>
      <c r="J143" s="74" t="s">
        <v>57</v>
      </c>
      <c r="K143" s="74" t="s">
        <v>6749</v>
      </c>
      <c r="L143" s="74" t="s">
        <v>31</v>
      </c>
    </row>
    <row r="144" spans="1:12" ht="21.95" customHeight="1">
      <c r="A144" s="149" t="s">
        <v>2441</v>
      </c>
      <c r="B144" s="147" t="s">
        <v>4893</v>
      </c>
      <c r="C144" s="148">
        <v>46025</v>
      </c>
      <c r="D144" s="147" t="s">
        <v>4871</v>
      </c>
      <c r="E144" s="147" t="s">
        <v>4904</v>
      </c>
      <c r="F144" s="74" t="s">
        <v>6815</v>
      </c>
      <c r="G144" s="74" t="s">
        <v>4920</v>
      </c>
      <c r="H144" s="74" t="s">
        <v>5084</v>
      </c>
      <c r="I144" s="74" t="s">
        <v>24</v>
      </c>
      <c r="J144" s="74" t="s">
        <v>196</v>
      </c>
      <c r="K144" s="74" t="s">
        <v>6749</v>
      </c>
      <c r="L144" s="74" t="s">
        <v>310</v>
      </c>
    </row>
    <row r="145" spans="1:12" ht="21.95" customHeight="1">
      <c r="A145" s="149" t="s">
        <v>2450</v>
      </c>
      <c r="B145" s="147" t="s">
        <v>4893</v>
      </c>
      <c r="C145" s="148">
        <v>45997</v>
      </c>
      <c r="D145" s="147"/>
      <c r="E145" s="147"/>
      <c r="F145" s="74" t="s">
        <v>6816</v>
      </c>
      <c r="G145" s="74" t="s">
        <v>4920</v>
      </c>
      <c r="H145" s="74" t="s">
        <v>5085</v>
      </c>
      <c r="I145" s="74" t="s">
        <v>63</v>
      </c>
      <c r="J145" s="74" t="s">
        <v>196</v>
      </c>
      <c r="K145" s="74" t="s">
        <v>6749</v>
      </c>
      <c r="L145" s="74" t="s">
        <v>31</v>
      </c>
    </row>
    <row r="146" spans="1:12" ht="21.95" customHeight="1">
      <c r="A146" s="149" t="s">
        <v>2467</v>
      </c>
      <c r="B146" s="147"/>
      <c r="C146" s="148"/>
      <c r="D146" s="147"/>
      <c r="E146" s="147"/>
      <c r="F146" s="74"/>
      <c r="G146" s="74" t="s">
        <v>6746</v>
      </c>
      <c r="H146" s="74" t="s">
        <v>5047</v>
      </c>
      <c r="I146" s="74" t="s">
        <v>63</v>
      </c>
      <c r="J146" s="74" t="s">
        <v>126</v>
      </c>
      <c r="K146" s="74" t="s">
        <v>6749</v>
      </c>
      <c r="L146" s="74" t="s">
        <v>31</v>
      </c>
    </row>
    <row r="147" spans="1:12" ht="21.95" customHeight="1">
      <c r="A147" s="149" t="s">
        <v>2476</v>
      </c>
      <c r="B147" s="147" t="s">
        <v>4893</v>
      </c>
      <c r="C147" s="148">
        <v>46025</v>
      </c>
      <c r="D147" s="147" t="s">
        <v>4894</v>
      </c>
      <c r="E147" s="147"/>
      <c r="F147" s="74" t="s">
        <v>5995</v>
      </c>
      <c r="G147" s="74" t="s">
        <v>4920</v>
      </c>
      <c r="H147" s="74" t="s">
        <v>5086</v>
      </c>
      <c r="I147" s="74" t="s">
        <v>63</v>
      </c>
      <c r="J147" s="74" t="s">
        <v>196</v>
      </c>
      <c r="K147" s="74" t="s">
        <v>6749</v>
      </c>
      <c r="L147" s="74" t="s">
        <v>31</v>
      </c>
    </row>
    <row r="148" spans="1:12" ht="21.95" customHeight="1">
      <c r="A148" s="149" t="s">
        <v>2491</v>
      </c>
      <c r="B148" s="147" t="s">
        <v>4893</v>
      </c>
      <c r="C148" s="148">
        <v>45997</v>
      </c>
      <c r="D148" s="147" t="s">
        <v>4894</v>
      </c>
      <c r="E148" s="147"/>
      <c r="F148" s="74" t="s">
        <v>6802</v>
      </c>
      <c r="G148" s="74" t="s">
        <v>4920</v>
      </c>
      <c r="H148" s="74" t="s">
        <v>5087</v>
      </c>
      <c r="I148" s="74" t="s">
        <v>202</v>
      </c>
      <c r="J148" s="74" t="s">
        <v>46</v>
      </c>
      <c r="K148" s="74" t="s">
        <v>6749</v>
      </c>
      <c r="L148" s="74" t="s">
        <v>310</v>
      </c>
    </row>
    <row r="149" spans="1:12" ht="21.95" customHeight="1">
      <c r="A149" s="149" t="s">
        <v>2504</v>
      </c>
      <c r="B149" s="147" t="s">
        <v>4893</v>
      </c>
      <c r="C149" s="148">
        <v>46025</v>
      </c>
      <c r="D149" s="147" t="s">
        <v>4894</v>
      </c>
      <c r="E149" s="147"/>
      <c r="F149" s="74" t="s">
        <v>5995</v>
      </c>
      <c r="G149" s="74" t="s">
        <v>4920</v>
      </c>
      <c r="H149" s="74" t="s">
        <v>5088</v>
      </c>
      <c r="I149" s="74" t="s">
        <v>63</v>
      </c>
      <c r="J149" s="74" t="s">
        <v>196</v>
      </c>
      <c r="K149" s="74" t="s">
        <v>6749</v>
      </c>
      <c r="L149" s="74" t="s">
        <v>738</v>
      </c>
    </row>
    <row r="150" spans="1:12" ht="21.95" customHeight="1">
      <c r="A150" s="149" t="s">
        <v>2508</v>
      </c>
      <c r="B150" s="147" t="s">
        <v>4893</v>
      </c>
      <c r="C150" s="148">
        <v>46025</v>
      </c>
      <c r="D150" s="147" t="s">
        <v>4894</v>
      </c>
      <c r="E150" s="147"/>
      <c r="F150" s="74"/>
      <c r="G150" s="74" t="s">
        <v>4920</v>
      </c>
      <c r="H150" s="74" t="s">
        <v>5089</v>
      </c>
      <c r="I150" s="74" t="s">
        <v>520</v>
      </c>
      <c r="J150" s="74" t="s">
        <v>196</v>
      </c>
      <c r="K150" s="74" t="s">
        <v>6749</v>
      </c>
      <c r="L150" s="74" t="s">
        <v>310</v>
      </c>
    </row>
    <row r="151" spans="1:12" ht="21.95" customHeight="1">
      <c r="A151" s="149" t="s">
        <v>2525</v>
      </c>
      <c r="B151" s="147" t="s">
        <v>4893</v>
      </c>
      <c r="C151" s="148">
        <v>46025</v>
      </c>
      <c r="D151" s="147" t="s">
        <v>4894</v>
      </c>
      <c r="E151" s="147"/>
      <c r="F151" s="74" t="s">
        <v>5995</v>
      </c>
      <c r="G151" s="74" t="s">
        <v>4920</v>
      </c>
      <c r="H151" s="74" t="s">
        <v>5090</v>
      </c>
      <c r="I151" s="74" t="s">
        <v>112</v>
      </c>
      <c r="J151" s="74" t="s">
        <v>46</v>
      </c>
      <c r="K151" s="74" t="s">
        <v>6749</v>
      </c>
      <c r="L151" s="74" t="s">
        <v>657</v>
      </c>
    </row>
    <row r="152" spans="1:12" ht="21.95" customHeight="1">
      <c r="A152" s="149" t="s">
        <v>2531</v>
      </c>
      <c r="B152" s="147" t="s">
        <v>4893</v>
      </c>
      <c r="C152" s="148">
        <v>46025</v>
      </c>
      <c r="D152" s="147" t="s">
        <v>4894</v>
      </c>
      <c r="E152" s="147"/>
      <c r="F152" s="74" t="s">
        <v>5995</v>
      </c>
      <c r="G152" s="74" t="s">
        <v>4920</v>
      </c>
      <c r="H152" s="74" t="s">
        <v>5091</v>
      </c>
      <c r="I152" s="74" t="s">
        <v>63</v>
      </c>
      <c r="J152" s="74" t="s">
        <v>126</v>
      </c>
      <c r="K152" s="74" t="s">
        <v>6749</v>
      </c>
      <c r="L152" s="74" t="s">
        <v>31</v>
      </c>
    </row>
    <row r="153" spans="1:12" ht="21.95" customHeight="1">
      <c r="A153" s="149" t="s">
        <v>2535</v>
      </c>
      <c r="B153" s="147" t="s">
        <v>4893</v>
      </c>
      <c r="C153" s="148">
        <v>46025</v>
      </c>
      <c r="D153" s="147" t="s">
        <v>4894</v>
      </c>
      <c r="E153" s="147"/>
      <c r="F153" s="74" t="s">
        <v>5995</v>
      </c>
      <c r="G153" s="74" t="s">
        <v>4920</v>
      </c>
      <c r="H153" s="74" t="s">
        <v>5092</v>
      </c>
      <c r="I153" s="74" t="s">
        <v>695</v>
      </c>
      <c r="J153" s="74" t="s">
        <v>57</v>
      </c>
      <c r="K153" s="74" t="s">
        <v>6749</v>
      </c>
      <c r="L153" s="74" t="s">
        <v>31</v>
      </c>
    </row>
    <row r="154" spans="1:12" ht="21.95" customHeight="1">
      <c r="A154" s="149" t="s">
        <v>2539</v>
      </c>
      <c r="B154" s="147" t="s">
        <v>4893</v>
      </c>
      <c r="C154" s="148">
        <v>46025</v>
      </c>
      <c r="D154" s="147" t="s">
        <v>4894</v>
      </c>
      <c r="E154" s="147"/>
      <c r="F154" s="74" t="s">
        <v>6805</v>
      </c>
      <c r="G154" s="74" t="s">
        <v>4920</v>
      </c>
      <c r="H154" s="74" t="s">
        <v>5093</v>
      </c>
      <c r="I154" s="74" t="s">
        <v>125</v>
      </c>
      <c r="J154" s="74" t="s">
        <v>57</v>
      </c>
      <c r="K154" s="74" t="s">
        <v>6749</v>
      </c>
      <c r="L154" s="74" t="s">
        <v>310</v>
      </c>
    </row>
    <row r="155" spans="1:12" ht="21.95" customHeight="1">
      <c r="A155" s="149" t="s">
        <v>2549</v>
      </c>
      <c r="B155" s="147" t="s">
        <v>4893</v>
      </c>
      <c r="C155" s="148">
        <v>46025</v>
      </c>
      <c r="D155" s="147"/>
      <c r="E155" s="147" t="s">
        <v>4904</v>
      </c>
      <c r="F155" s="74" t="s">
        <v>6818</v>
      </c>
      <c r="G155" s="74" t="s">
        <v>4920</v>
      </c>
      <c r="H155" s="74" t="s">
        <v>5094</v>
      </c>
      <c r="I155" s="74" t="s">
        <v>63</v>
      </c>
      <c r="J155" s="74" t="s">
        <v>57</v>
      </c>
      <c r="K155" s="74" t="s">
        <v>6749</v>
      </c>
      <c r="L155" s="74" t="s">
        <v>2548</v>
      </c>
    </row>
    <row r="156" spans="1:12" ht="21.95" customHeight="1">
      <c r="A156" s="149" t="s">
        <v>2566</v>
      </c>
      <c r="B156" s="147" t="s">
        <v>4893</v>
      </c>
      <c r="C156" s="148">
        <v>46025</v>
      </c>
      <c r="D156" s="147" t="s">
        <v>4894</v>
      </c>
      <c r="E156" s="147"/>
      <c r="F156" s="74" t="s">
        <v>6819</v>
      </c>
      <c r="G156" s="74" t="s">
        <v>4920</v>
      </c>
      <c r="H156" s="74" t="s">
        <v>5095</v>
      </c>
      <c r="I156" s="74" t="s">
        <v>369</v>
      </c>
      <c r="J156" s="74" t="s">
        <v>2567</v>
      </c>
      <c r="K156" s="74" t="s">
        <v>6749</v>
      </c>
      <c r="L156" s="74" t="s">
        <v>310</v>
      </c>
    </row>
    <row r="157" spans="1:12" ht="21.95" customHeight="1">
      <c r="A157" s="149" t="s">
        <v>2583</v>
      </c>
      <c r="B157" s="147" t="s">
        <v>4893</v>
      </c>
      <c r="C157" s="148">
        <v>45997</v>
      </c>
      <c r="D157" s="147" t="s">
        <v>4894</v>
      </c>
      <c r="E157" s="147"/>
      <c r="F157" s="74" t="s">
        <v>6802</v>
      </c>
      <c r="G157" s="74" t="s">
        <v>4920</v>
      </c>
      <c r="H157" s="74" t="s">
        <v>5096</v>
      </c>
      <c r="I157" s="74" t="s">
        <v>125</v>
      </c>
      <c r="J157" s="74" t="s">
        <v>196</v>
      </c>
      <c r="K157" s="74" t="s">
        <v>6749</v>
      </c>
      <c r="L157" s="74" t="s">
        <v>2582</v>
      </c>
    </row>
    <row r="158" spans="1:12" ht="21.95" customHeight="1">
      <c r="A158" s="149" t="s">
        <v>6090</v>
      </c>
      <c r="B158" s="147" t="s">
        <v>4893</v>
      </c>
      <c r="C158" s="148">
        <v>46053</v>
      </c>
      <c r="D158" s="147" t="s">
        <v>4871</v>
      </c>
      <c r="E158" s="147" t="s">
        <v>4900</v>
      </c>
      <c r="F158" s="74" t="s">
        <v>6820</v>
      </c>
      <c r="G158" s="74" t="s">
        <v>4920</v>
      </c>
      <c r="H158" s="74" t="s">
        <v>5097</v>
      </c>
      <c r="I158" s="74" t="s">
        <v>63</v>
      </c>
      <c r="J158" s="74" t="s">
        <v>196</v>
      </c>
      <c r="K158" s="74" t="s">
        <v>6749</v>
      </c>
      <c r="L158" s="74" t="s">
        <v>2586</v>
      </c>
    </row>
    <row r="159" spans="1:12" ht="21.95" customHeight="1">
      <c r="A159" s="149" t="s">
        <v>6091</v>
      </c>
      <c r="B159" s="147" t="s">
        <v>4893</v>
      </c>
      <c r="C159" s="148">
        <v>46053</v>
      </c>
      <c r="D159" s="147" t="s">
        <v>4894</v>
      </c>
      <c r="E159" s="147"/>
      <c r="F159" s="74" t="s">
        <v>6764</v>
      </c>
      <c r="G159" s="74" t="s">
        <v>4920</v>
      </c>
      <c r="H159" s="74" t="s">
        <v>5098</v>
      </c>
      <c r="I159" s="74" t="s">
        <v>369</v>
      </c>
      <c r="J159" s="74" t="s">
        <v>196</v>
      </c>
      <c r="K159" s="74" t="s">
        <v>6749</v>
      </c>
      <c r="L159" s="74" t="s">
        <v>2597</v>
      </c>
    </row>
    <row r="160" spans="1:12" ht="21.95" customHeight="1">
      <c r="A160" s="149" t="s">
        <v>6092</v>
      </c>
      <c r="B160" s="147" t="s">
        <v>4893</v>
      </c>
      <c r="C160" s="148">
        <v>46046</v>
      </c>
      <c r="D160" s="147" t="s">
        <v>4871</v>
      </c>
      <c r="E160" s="147" t="s">
        <v>4904</v>
      </c>
      <c r="F160" s="74" t="s">
        <v>6822</v>
      </c>
      <c r="G160" s="74" t="s">
        <v>4920</v>
      </c>
      <c r="H160" s="74" t="s">
        <v>5099</v>
      </c>
      <c r="I160" s="74" t="s">
        <v>240</v>
      </c>
      <c r="J160" s="74" t="s">
        <v>196</v>
      </c>
      <c r="K160" s="74" t="s">
        <v>6749</v>
      </c>
      <c r="L160" s="74" t="s">
        <v>310</v>
      </c>
    </row>
    <row r="161" spans="1:12" ht="21.95" customHeight="1">
      <c r="A161" s="149" t="s">
        <v>6093</v>
      </c>
      <c r="B161" s="147" t="s">
        <v>4893</v>
      </c>
      <c r="C161" s="148">
        <v>46053</v>
      </c>
      <c r="D161" s="147" t="s">
        <v>4894</v>
      </c>
      <c r="E161" s="147"/>
      <c r="F161" s="74" t="s">
        <v>6764</v>
      </c>
      <c r="G161" s="74" t="s">
        <v>4920</v>
      </c>
      <c r="H161" s="74" t="s">
        <v>5100</v>
      </c>
      <c r="I161" s="74" t="s">
        <v>174</v>
      </c>
      <c r="J161" s="74" t="s">
        <v>196</v>
      </c>
      <c r="K161" s="74" t="s">
        <v>6749</v>
      </c>
      <c r="L161" s="74" t="s">
        <v>2659</v>
      </c>
    </row>
    <row r="162" spans="1:12" ht="21.95" customHeight="1">
      <c r="A162" s="149" t="s">
        <v>2687</v>
      </c>
      <c r="B162" s="147" t="s">
        <v>4893</v>
      </c>
      <c r="C162" s="148">
        <v>45997</v>
      </c>
      <c r="D162" s="147" t="s">
        <v>4894</v>
      </c>
      <c r="E162" s="147"/>
      <c r="F162" s="74" t="s">
        <v>6806</v>
      </c>
      <c r="G162" s="74" t="s">
        <v>4920</v>
      </c>
      <c r="H162" s="74" t="s">
        <v>5101</v>
      </c>
      <c r="I162" s="74" t="s">
        <v>24</v>
      </c>
      <c r="J162" s="74" t="s">
        <v>46</v>
      </c>
      <c r="K162" s="74" t="s">
        <v>6749</v>
      </c>
      <c r="L162" s="74" t="s">
        <v>2686</v>
      </c>
    </row>
    <row r="163" spans="1:12" ht="21.95" customHeight="1">
      <c r="A163" s="149" t="s">
        <v>2732</v>
      </c>
      <c r="B163" s="147" t="s">
        <v>4893</v>
      </c>
      <c r="C163" s="148">
        <v>45997</v>
      </c>
      <c r="D163" s="147" t="s">
        <v>4894</v>
      </c>
      <c r="E163" s="147"/>
      <c r="F163" s="74" t="s">
        <v>6825</v>
      </c>
      <c r="G163" s="74" t="s">
        <v>4920</v>
      </c>
      <c r="H163" s="74" t="s">
        <v>5102</v>
      </c>
      <c r="I163" s="74" t="s">
        <v>169</v>
      </c>
      <c r="J163" s="74" t="s">
        <v>126</v>
      </c>
      <c r="K163" s="74" t="s">
        <v>6749</v>
      </c>
      <c r="L163" s="74" t="s">
        <v>2678</v>
      </c>
    </row>
    <row r="164" spans="1:12" ht="21.95" customHeight="1">
      <c r="A164" s="149" t="s">
        <v>2769</v>
      </c>
      <c r="B164" s="147" t="s">
        <v>4893</v>
      </c>
      <c r="C164" s="148">
        <v>46053</v>
      </c>
      <c r="D164" s="147" t="s">
        <v>4894</v>
      </c>
      <c r="E164" s="147"/>
      <c r="F164" s="74" t="s">
        <v>6764</v>
      </c>
      <c r="G164" s="74" t="s">
        <v>4920</v>
      </c>
      <c r="H164" s="74" t="s">
        <v>5103</v>
      </c>
      <c r="I164" s="74" t="s">
        <v>632</v>
      </c>
      <c r="J164" s="74" t="s">
        <v>36</v>
      </c>
      <c r="K164" s="74" t="s">
        <v>6749</v>
      </c>
      <c r="L164" s="74" t="s">
        <v>2768</v>
      </c>
    </row>
    <row r="165" spans="1:12" ht="21.95" customHeight="1">
      <c r="A165" s="149" t="s">
        <v>2779</v>
      </c>
      <c r="B165" s="147" t="s">
        <v>4893</v>
      </c>
      <c r="C165" s="148">
        <v>46053</v>
      </c>
      <c r="D165" s="147" t="s">
        <v>4871</v>
      </c>
      <c r="E165" s="147" t="s">
        <v>4904</v>
      </c>
      <c r="F165" s="74"/>
      <c r="G165" s="74" t="s">
        <v>4920</v>
      </c>
      <c r="H165" s="74" t="s">
        <v>5104</v>
      </c>
      <c r="I165" s="74" t="s">
        <v>63</v>
      </c>
      <c r="J165" s="74" t="s">
        <v>36</v>
      </c>
      <c r="K165" s="74" t="s">
        <v>6749</v>
      </c>
      <c r="L165" s="74" t="s">
        <v>2778</v>
      </c>
    </row>
    <row r="166" spans="1:12" ht="21.95" customHeight="1">
      <c r="A166" s="149" t="s">
        <v>6094</v>
      </c>
      <c r="B166" s="147" t="s">
        <v>4893</v>
      </c>
      <c r="C166" s="148">
        <v>46039</v>
      </c>
      <c r="D166" s="147" t="s">
        <v>4871</v>
      </c>
      <c r="E166" s="147"/>
      <c r="F166" s="74" t="s">
        <v>6829</v>
      </c>
      <c r="G166" s="74" t="s">
        <v>4920</v>
      </c>
      <c r="H166" s="74" t="s">
        <v>5105</v>
      </c>
      <c r="I166" s="74" t="s">
        <v>63</v>
      </c>
      <c r="J166" s="74" t="s">
        <v>36</v>
      </c>
      <c r="K166" s="74" t="s">
        <v>6749</v>
      </c>
      <c r="L166" s="74" t="s">
        <v>2789</v>
      </c>
    </row>
    <row r="167" spans="1:12" ht="21.95" customHeight="1">
      <c r="A167" s="149" t="s">
        <v>2804</v>
      </c>
      <c r="B167" s="147" t="s">
        <v>4893</v>
      </c>
      <c r="C167" s="148">
        <v>46039</v>
      </c>
      <c r="D167" s="147" t="s">
        <v>4871</v>
      </c>
      <c r="E167" s="147" t="s">
        <v>4904</v>
      </c>
      <c r="F167" s="74" t="s">
        <v>6830</v>
      </c>
      <c r="G167" s="74" t="s">
        <v>4920</v>
      </c>
      <c r="H167" s="74" t="s">
        <v>5106</v>
      </c>
      <c r="I167" s="74" t="s">
        <v>202</v>
      </c>
      <c r="J167" s="74" t="s">
        <v>196</v>
      </c>
      <c r="K167" s="74" t="s">
        <v>6749</v>
      </c>
      <c r="L167" s="74" t="s">
        <v>2803</v>
      </c>
    </row>
    <row r="168" spans="1:12" ht="21.95" customHeight="1">
      <c r="A168" s="149" t="s">
        <v>2807</v>
      </c>
      <c r="B168" s="147" t="s">
        <v>4893</v>
      </c>
      <c r="C168" s="148">
        <v>46039</v>
      </c>
      <c r="D168" s="147" t="s">
        <v>4871</v>
      </c>
      <c r="E168" s="147" t="s">
        <v>4903</v>
      </c>
      <c r="F168" s="74" t="s">
        <v>6831</v>
      </c>
      <c r="G168" s="74" t="s">
        <v>4920</v>
      </c>
      <c r="H168" s="74" t="s">
        <v>5107</v>
      </c>
      <c r="I168" s="74" t="s">
        <v>125</v>
      </c>
      <c r="J168" s="74" t="s">
        <v>196</v>
      </c>
      <c r="K168" s="74" t="s">
        <v>6749</v>
      </c>
      <c r="L168" s="74" t="s">
        <v>310</v>
      </c>
    </row>
    <row r="169" spans="1:12" ht="21.95" customHeight="1">
      <c r="A169" s="149" t="s">
        <v>6095</v>
      </c>
      <c r="B169" s="147" t="s">
        <v>4893</v>
      </c>
      <c r="C169" s="148">
        <v>46053</v>
      </c>
      <c r="D169" s="147" t="s">
        <v>4894</v>
      </c>
      <c r="E169" s="147"/>
      <c r="F169" s="74" t="s">
        <v>6764</v>
      </c>
      <c r="G169" s="74" t="s">
        <v>4920</v>
      </c>
      <c r="H169" s="74" t="s">
        <v>5108</v>
      </c>
      <c r="I169" s="74" t="s">
        <v>174</v>
      </c>
      <c r="J169" s="74" t="s">
        <v>196</v>
      </c>
      <c r="K169" s="74" t="s">
        <v>6749</v>
      </c>
      <c r="L169" s="74" t="s">
        <v>2841</v>
      </c>
    </row>
    <row r="170" spans="1:12" ht="21.95" customHeight="1">
      <c r="A170" s="149" t="s">
        <v>6096</v>
      </c>
      <c r="B170" s="147" t="s">
        <v>4893</v>
      </c>
      <c r="C170" s="148">
        <v>46053</v>
      </c>
      <c r="D170" s="147" t="s">
        <v>4894</v>
      </c>
      <c r="E170" s="147"/>
      <c r="F170" s="74" t="s">
        <v>6764</v>
      </c>
      <c r="G170" s="74" t="s">
        <v>4920</v>
      </c>
      <c r="H170" s="74" t="s">
        <v>5109</v>
      </c>
      <c r="I170" s="74" t="s">
        <v>1819</v>
      </c>
      <c r="J170" s="74" t="s">
        <v>73</v>
      </c>
      <c r="K170" s="74" t="s">
        <v>6749</v>
      </c>
      <c r="L170" s="74" t="s">
        <v>2901</v>
      </c>
    </row>
    <row r="171" spans="1:12" ht="21.95" customHeight="1">
      <c r="A171" s="149" t="s">
        <v>6097</v>
      </c>
      <c r="B171" s="147" t="s">
        <v>4893</v>
      </c>
      <c r="C171" s="148">
        <v>46053</v>
      </c>
      <c r="D171" s="147" t="s">
        <v>4894</v>
      </c>
      <c r="E171" s="147"/>
      <c r="F171" s="74" t="s">
        <v>6764</v>
      </c>
      <c r="G171" s="74" t="s">
        <v>4920</v>
      </c>
      <c r="H171" s="74" t="s">
        <v>5110</v>
      </c>
      <c r="I171" s="74" t="s">
        <v>202</v>
      </c>
      <c r="J171" s="74" t="s">
        <v>196</v>
      </c>
      <c r="K171" s="74" t="s">
        <v>6749</v>
      </c>
      <c r="L171" s="74" t="s">
        <v>310</v>
      </c>
    </row>
    <row r="172" spans="1:12" ht="21.95" customHeight="1">
      <c r="A172" s="149" t="s">
        <v>6098</v>
      </c>
      <c r="B172" s="147" t="s">
        <v>4893</v>
      </c>
      <c r="C172" s="148">
        <v>46053</v>
      </c>
      <c r="D172" s="147" t="s">
        <v>4871</v>
      </c>
      <c r="E172" s="147" t="s">
        <v>4904</v>
      </c>
      <c r="F172" s="74"/>
      <c r="G172" s="74" t="s">
        <v>4920</v>
      </c>
      <c r="H172" s="74" t="s">
        <v>5111</v>
      </c>
      <c r="I172" s="74" t="s">
        <v>169</v>
      </c>
      <c r="J172" s="74" t="s">
        <v>46</v>
      </c>
      <c r="K172" s="74" t="s">
        <v>6749</v>
      </c>
      <c r="L172" s="74" t="s">
        <v>2909</v>
      </c>
    </row>
    <row r="173" spans="1:12" ht="21.95" customHeight="1">
      <c r="A173" s="149" t="s">
        <v>6099</v>
      </c>
      <c r="B173" s="147" t="s">
        <v>4893</v>
      </c>
      <c r="C173" s="148">
        <v>46053</v>
      </c>
      <c r="D173" s="147" t="s">
        <v>4871</v>
      </c>
      <c r="E173" s="147" t="s">
        <v>4904</v>
      </c>
      <c r="F173" s="74" t="s">
        <v>4896</v>
      </c>
      <c r="G173" s="74" t="s">
        <v>4920</v>
      </c>
      <c r="H173" s="74" t="s">
        <v>5112</v>
      </c>
      <c r="I173" s="74" t="s">
        <v>174</v>
      </c>
      <c r="J173" s="74" t="s">
        <v>968</v>
      </c>
      <c r="K173" s="74" t="s">
        <v>6749</v>
      </c>
      <c r="L173" s="74" t="s">
        <v>2913</v>
      </c>
    </row>
    <row r="174" spans="1:12" ht="21.95" customHeight="1">
      <c r="A174" s="149" t="s">
        <v>6100</v>
      </c>
      <c r="B174" s="147" t="s">
        <v>4893</v>
      </c>
      <c r="C174" s="148">
        <v>46053</v>
      </c>
      <c r="D174" s="147" t="s">
        <v>4871</v>
      </c>
      <c r="E174" s="147" t="s">
        <v>4904</v>
      </c>
      <c r="F174" s="74"/>
      <c r="G174" s="74" t="s">
        <v>4920</v>
      </c>
      <c r="H174" s="74" t="s">
        <v>5113</v>
      </c>
      <c r="I174" s="74" t="s">
        <v>63</v>
      </c>
      <c r="J174" s="74" t="s">
        <v>968</v>
      </c>
      <c r="K174" s="74" t="s">
        <v>6749</v>
      </c>
      <c r="L174" s="74" t="s">
        <v>2927</v>
      </c>
    </row>
    <row r="175" spans="1:12" ht="21.95" customHeight="1">
      <c r="A175" s="149" t="s">
        <v>6101</v>
      </c>
      <c r="B175" s="147" t="s">
        <v>4893</v>
      </c>
      <c r="C175" s="148">
        <v>46053</v>
      </c>
      <c r="D175" s="147" t="s">
        <v>4894</v>
      </c>
      <c r="E175" s="147"/>
      <c r="F175" s="74" t="s">
        <v>6764</v>
      </c>
      <c r="G175" s="74" t="s">
        <v>4920</v>
      </c>
      <c r="H175" s="74" t="s">
        <v>5114</v>
      </c>
      <c r="I175" s="74" t="s">
        <v>261</v>
      </c>
      <c r="J175" s="74" t="s">
        <v>196</v>
      </c>
      <c r="K175" s="74" t="s">
        <v>6749</v>
      </c>
      <c r="L175" s="74" t="s">
        <v>2941</v>
      </c>
    </row>
    <row r="176" spans="1:12" ht="21.95" customHeight="1">
      <c r="A176" s="149" t="s">
        <v>6102</v>
      </c>
      <c r="B176" s="147" t="s">
        <v>4893</v>
      </c>
      <c r="C176" s="148">
        <v>46053</v>
      </c>
      <c r="D176" s="147" t="s">
        <v>4894</v>
      </c>
      <c r="E176" s="147"/>
      <c r="F176" s="74" t="s">
        <v>6764</v>
      </c>
      <c r="G176" s="74" t="s">
        <v>4920</v>
      </c>
      <c r="H176" s="74" t="s">
        <v>5115</v>
      </c>
      <c r="I176" s="74" t="s">
        <v>30</v>
      </c>
      <c r="J176" s="74" t="s">
        <v>57</v>
      </c>
      <c r="K176" s="74" t="s">
        <v>6749</v>
      </c>
      <c r="L176" s="74" t="s">
        <v>2962</v>
      </c>
    </row>
    <row r="177" spans="1:12" ht="21.95" customHeight="1">
      <c r="A177" s="149" t="s">
        <v>3016</v>
      </c>
      <c r="B177" s="147" t="s">
        <v>4893</v>
      </c>
      <c r="C177" s="148">
        <v>46032</v>
      </c>
      <c r="D177" s="147" t="s">
        <v>4894</v>
      </c>
      <c r="E177" s="147"/>
      <c r="F177" s="74" t="s">
        <v>5989</v>
      </c>
      <c r="G177" s="74" t="s">
        <v>4920</v>
      </c>
      <c r="H177" s="74" t="s">
        <v>5116</v>
      </c>
      <c r="I177" s="74" t="s">
        <v>93</v>
      </c>
      <c r="J177" s="74" t="s">
        <v>57</v>
      </c>
      <c r="K177" s="74" t="s">
        <v>6749</v>
      </c>
      <c r="L177" s="74" t="s">
        <v>3002</v>
      </c>
    </row>
    <row r="178" spans="1:12" ht="21.95" customHeight="1">
      <c r="A178" s="149" t="s">
        <v>3020</v>
      </c>
      <c r="B178" s="147" t="s">
        <v>4893</v>
      </c>
      <c r="C178" s="148">
        <v>46053</v>
      </c>
      <c r="D178" s="147" t="s">
        <v>4871</v>
      </c>
      <c r="E178" s="147" t="s">
        <v>4904</v>
      </c>
      <c r="F178" s="74"/>
      <c r="G178" s="74" t="s">
        <v>4920</v>
      </c>
      <c r="H178" s="74" t="s">
        <v>5117</v>
      </c>
      <c r="I178" s="74" t="s">
        <v>68</v>
      </c>
      <c r="J178" s="74" t="s">
        <v>46</v>
      </c>
      <c r="K178" s="74" t="s">
        <v>6749</v>
      </c>
      <c r="L178" s="74" t="s">
        <v>3002</v>
      </c>
    </row>
    <row r="179" spans="1:12" ht="21.95" customHeight="1">
      <c r="A179" s="149" t="s">
        <v>3047</v>
      </c>
      <c r="B179" s="147" t="s">
        <v>4893</v>
      </c>
      <c r="C179" s="148">
        <v>46032</v>
      </c>
      <c r="D179" s="147" t="s">
        <v>4894</v>
      </c>
      <c r="E179" s="147"/>
      <c r="F179" s="74" t="s">
        <v>6834</v>
      </c>
      <c r="G179" s="74" t="s">
        <v>4920</v>
      </c>
      <c r="H179" s="74" t="s">
        <v>5118</v>
      </c>
      <c r="I179" s="74" t="s">
        <v>1929</v>
      </c>
      <c r="J179" s="74" t="s">
        <v>196</v>
      </c>
      <c r="K179" s="74" t="s">
        <v>6749</v>
      </c>
      <c r="L179" s="74" t="s">
        <v>3045</v>
      </c>
    </row>
    <row r="180" spans="1:12" ht="21.95" customHeight="1">
      <c r="A180" s="149" t="s">
        <v>3056</v>
      </c>
      <c r="B180" s="147" t="s">
        <v>4893</v>
      </c>
      <c r="C180" s="148">
        <v>46032</v>
      </c>
      <c r="D180" s="147"/>
      <c r="E180" s="147" t="s">
        <v>4904</v>
      </c>
      <c r="F180" s="74" t="s">
        <v>5989</v>
      </c>
      <c r="G180" s="74" t="s">
        <v>4920</v>
      </c>
      <c r="H180" s="74" t="s">
        <v>5119</v>
      </c>
      <c r="I180" s="74" t="s">
        <v>63</v>
      </c>
      <c r="J180" s="74" t="s">
        <v>57</v>
      </c>
      <c r="K180" s="74" t="s">
        <v>6749</v>
      </c>
      <c r="L180" s="74" t="s">
        <v>3002</v>
      </c>
    </row>
    <row r="181" spans="1:12" ht="21.95" customHeight="1">
      <c r="A181" s="149" t="s">
        <v>3098</v>
      </c>
      <c r="B181" s="147" t="s">
        <v>4893</v>
      </c>
      <c r="C181" s="148">
        <v>46039</v>
      </c>
      <c r="D181" s="147" t="s">
        <v>4894</v>
      </c>
      <c r="E181" s="147"/>
      <c r="F181" s="74" t="s">
        <v>4896</v>
      </c>
      <c r="G181" s="74" t="s">
        <v>4920</v>
      </c>
      <c r="H181" s="74" t="s">
        <v>5120</v>
      </c>
      <c r="I181" s="74" t="s">
        <v>616</v>
      </c>
      <c r="J181" s="74" t="s">
        <v>46</v>
      </c>
      <c r="K181" s="74" t="s">
        <v>6749</v>
      </c>
      <c r="L181" s="74" t="s">
        <v>3097</v>
      </c>
    </row>
    <row r="182" spans="1:12" ht="21.95" customHeight="1">
      <c r="A182" s="149" t="s">
        <v>3108</v>
      </c>
      <c r="B182" s="147" t="s">
        <v>4893</v>
      </c>
      <c r="C182" s="148">
        <v>45997</v>
      </c>
      <c r="D182" s="147" t="s">
        <v>4894</v>
      </c>
      <c r="E182" s="147"/>
      <c r="F182" s="74" t="s">
        <v>6794</v>
      </c>
      <c r="G182" s="74" t="s">
        <v>4920</v>
      </c>
      <c r="H182" s="74" t="s">
        <v>5121</v>
      </c>
      <c r="I182" s="74" t="s">
        <v>501</v>
      </c>
      <c r="J182" s="74" t="s">
        <v>126</v>
      </c>
      <c r="K182" s="74" t="s">
        <v>6749</v>
      </c>
      <c r="L182" s="74" t="s">
        <v>3107</v>
      </c>
    </row>
    <row r="183" spans="1:12" ht="21.95" customHeight="1">
      <c r="A183" s="149" t="s">
        <v>3128</v>
      </c>
      <c r="B183" s="147"/>
      <c r="C183" s="148"/>
      <c r="D183" s="147"/>
      <c r="E183" s="147"/>
      <c r="F183" s="74"/>
      <c r="G183" s="74" t="s">
        <v>6746</v>
      </c>
      <c r="H183" s="74" t="s">
        <v>5122</v>
      </c>
      <c r="I183" s="74" t="s">
        <v>2460</v>
      </c>
      <c r="J183" s="74" t="s">
        <v>126</v>
      </c>
      <c r="K183" s="74" t="s">
        <v>6749</v>
      </c>
      <c r="L183" s="74" t="s">
        <v>3126</v>
      </c>
    </row>
    <row r="184" spans="1:12" ht="21.95" customHeight="1">
      <c r="A184" s="149" t="s">
        <v>3144</v>
      </c>
      <c r="B184" s="147" t="s">
        <v>4893</v>
      </c>
      <c r="C184" s="148">
        <v>46039</v>
      </c>
      <c r="D184" s="147" t="s">
        <v>4894</v>
      </c>
      <c r="E184" s="147"/>
      <c r="F184" s="74" t="s">
        <v>6794</v>
      </c>
      <c r="G184" s="74" t="s">
        <v>4920</v>
      </c>
      <c r="H184" s="74" t="s">
        <v>5123</v>
      </c>
      <c r="I184" s="74" t="s">
        <v>63</v>
      </c>
      <c r="J184" s="74" t="s">
        <v>73</v>
      </c>
      <c r="K184" s="74" t="s">
        <v>6749</v>
      </c>
      <c r="L184" s="74" t="s">
        <v>3143</v>
      </c>
    </row>
    <row r="185" spans="1:12" ht="21.95" customHeight="1">
      <c r="A185" s="149" t="s">
        <v>3195</v>
      </c>
      <c r="B185" s="147" t="s">
        <v>4893</v>
      </c>
      <c r="C185" s="148">
        <v>46032</v>
      </c>
      <c r="D185" s="147" t="s">
        <v>4894</v>
      </c>
      <c r="E185" s="147"/>
      <c r="F185" s="74" t="s">
        <v>6791</v>
      </c>
      <c r="G185" s="74" t="s">
        <v>4920</v>
      </c>
      <c r="H185" s="74" t="s">
        <v>5124</v>
      </c>
      <c r="I185" s="74" t="s">
        <v>112</v>
      </c>
      <c r="J185" s="74" t="s">
        <v>196</v>
      </c>
      <c r="K185" s="74" t="s">
        <v>6749</v>
      </c>
      <c r="L185" s="74" t="s">
        <v>3002</v>
      </c>
    </row>
    <row r="186" spans="1:12" ht="21.95" customHeight="1">
      <c r="A186" s="149" t="s">
        <v>3228</v>
      </c>
      <c r="B186" s="147" t="s">
        <v>4893</v>
      </c>
      <c r="C186" s="148">
        <v>46053</v>
      </c>
      <c r="D186" s="147" t="s">
        <v>4871</v>
      </c>
      <c r="E186" s="147" t="s">
        <v>4904</v>
      </c>
      <c r="F186" s="74" t="s">
        <v>6800</v>
      </c>
      <c r="G186" s="74" t="s">
        <v>4920</v>
      </c>
      <c r="H186" s="74" t="s">
        <v>5125</v>
      </c>
      <c r="I186" s="74" t="s">
        <v>63</v>
      </c>
      <c r="J186" s="74" t="s">
        <v>126</v>
      </c>
      <c r="K186" s="74" t="s">
        <v>6749</v>
      </c>
      <c r="L186" s="74" t="s">
        <v>3226</v>
      </c>
    </row>
    <row r="187" spans="1:12" ht="21.95" customHeight="1">
      <c r="A187" s="149" t="s">
        <v>3282</v>
      </c>
      <c r="B187" s="147" t="s">
        <v>4893</v>
      </c>
      <c r="C187" s="148">
        <v>46032</v>
      </c>
      <c r="D187" s="147" t="s">
        <v>4894</v>
      </c>
      <c r="E187" s="147"/>
      <c r="F187" s="74" t="s">
        <v>6809</v>
      </c>
      <c r="G187" s="74" t="s">
        <v>4920</v>
      </c>
      <c r="H187" s="74" t="s">
        <v>5126</v>
      </c>
      <c r="I187" s="74" t="s">
        <v>501</v>
      </c>
      <c r="J187" s="74" t="s">
        <v>1507</v>
      </c>
      <c r="K187" s="74" t="s">
        <v>6749</v>
      </c>
      <c r="L187" s="74" t="s">
        <v>3226</v>
      </c>
    </row>
    <row r="188" spans="1:12" ht="21.95" customHeight="1">
      <c r="A188" s="149" t="s">
        <v>3288</v>
      </c>
      <c r="B188" s="147" t="s">
        <v>4893</v>
      </c>
      <c r="C188" s="148">
        <v>46032</v>
      </c>
      <c r="D188" s="147" t="s">
        <v>4894</v>
      </c>
      <c r="E188" s="147"/>
      <c r="F188" s="74" t="s">
        <v>6790</v>
      </c>
      <c r="G188" s="74" t="s">
        <v>4920</v>
      </c>
      <c r="H188" s="74" t="s">
        <v>5127</v>
      </c>
      <c r="I188" s="74" t="s">
        <v>125</v>
      </c>
      <c r="J188" s="74" t="s">
        <v>196</v>
      </c>
      <c r="K188" s="74" t="s">
        <v>6749</v>
      </c>
      <c r="L188" s="74" t="s">
        <v>3286</v>
      </c>
    </row>
    <row r="189" spans="1:12" ht="21.95" customHeight="1">
      <c r="A189" s="149" t="s">
        <v>6103</v>
      </c>
      <c r="B189" s="147" t="s">
        <v>4893</v>
      </c>
      <c r="C189" s="148">
        <v>46039</v>
      </c>
      <c r="D189" s="147" t="s">
        <v>4894</v>
      </c>
      <c r="E189" s="147"/>
      <c r="F189" s="74"/>
      <c r="G189" s="74" t="s">
        <v>4920</v>
      </c>
      <c r="H189" s="74" t="s">
        <v>5128</v>
      </c>
      <c r="I189" s="74" t="s">
        <v>125</v>
      </c>
      <c r="J189" s="74" t="s">
        <v>36</v>
      </c>
      <c r="K189" s="74" t="s">
        <v>6749</v>
      </c>
      <c r="L189" s="74" t="s">
        <v>3346</v>
      </c>
    </row>
    <row r="190" spans="1:12" ht="21.95" customHeight="1">
      <c r="A190" s="149" t="s">
        <v>6104</v>
      </c>
      <c r="B190" s="147" t="s">
        <v>4893</v>
      </c>
      <c r="C190" s="148">
        <v>46053</v>
      </c>
      <c r="D190" s="147" t="s">
        <v>4894</v>
      </c>
      <c r="E190" s="147"/>
      <c r="F190" s="74" t="s">
        <v>6764</v>
      </c>
      <c r="G190" s="74" t="s">
        <v>4920</v>
      </c>
      <c r="H190" s="74" t="s">
        <v>5129</v>
      </c>
      <c r="I190" s="74" t="s">
        <v>426</v>
      </c>
      <c r="J190" s="74" t="s">
        <v>126</v>
      </c>
      <c r="K190" s="74" t="s">
        <v>6749</v>
      </c>
      <c r="L190" s="74" t="s">
        <v>3359</v>
      </c>
    </row>
    <row r="191" spans="1:12" ht="21.95" customHeight="1">
      <c r="A191" s="149" t="s">
        <v>6105</v>
      </c>
      <c r="B191" s="147" t="s">
        <v>4893</v>
      </c>
      <c r="C191" s="148">
        <v>45997</v>
      </c>
      <c r="D191" s="147" t="s">
        <v>4871</v>
      </c>
      <c r="E191" s="147" t="s">
        <v>4904</v>
      </c>
      <c r="F191" s="74" t="s">
        <v>6839</v>
      </c>
      <c r="G191" s="74" t="s">
        <v>4920</v>
      </c>
      <c r="H191" s="74" t="s">
        <v>5130</v>
      </c>
      <c r="I191" s="74" t="s">
        <v>1173</v>
      </c>
      <c r="J191" s="74" t="s">
        <v>196</v>
      </c>
      <c r="K191" s="74" t="s">
        <v>6749</v>
      </c>
      <c r="L191" s="74" t="s">
        <v>3369</v>
      </c>
    </row>
    <row r="192" spans="1:12" ht="21.95" customHeight="1">
      <c r="A192" s="149" t="s">
        <v>6106</v>
      </c>
      <c r="B192" s="147" t="s">
        <v>4893</v>
      </c>
      <c r="C192" s="148">
        <v>45997</v>
      </c>
      <c r="D192" s="147" t="s">
        <v>4871</v>
      </c>
      <c r="E192" s="147" t="s">
        <v>4900</v>
      </c>
      <c r="F192" s="74" t="s">
        <v>5988</v>
      </c>
      <c r="G192" s="74" t="s">
        <v>4920</v>
      </c>
      <c r="H192" s="74" t="s">
        <v>5131</v>
      </c>
      <c r="I192" s="74" t="s">
        <v>112</v>
      </c>
      <c r="J192" s="74" t="s">
        <v>57</v>
      </c>
      <c r="K192" s="74" t="s">
        <v>6749</v>
      </c>
      <c r="L192" s="74" t="s">
        <v>3226</v>
      </c>
    </row>
    <row r="193" spans="1:12" ht="21.95" customHeight="1">
      <c r="A193" s="149" t="s">
        <v>6107</v>
      </c>
      <c r="B193" s="147" t="s">
        <v>4893</v>
      </c>
      <c r="C193" s="148">
        <v>46018</v>
      </c>
      <c r="D193" s="147" t="s">
        <v>4871</v>
      </c>
      <c r="E193" s="147" t="s">
        <v>4905</v>
      </c>
      <c r="F193" s="74" t="s">
        <v>6841</v>
      </c>
      <c r="G193" s="74" t="s">
        <v>4920</v>
      </c>
      <c r="H193" s="74" t="s">
        <v>5132</v>
      </c>
      <c r="I193" s="74" t="s">
        <v>426</v>
      </c>
      <c r="J193" s="74" t="s">
        <v>196</v>
      </c>
      <c r="K193" s="74" t="s">
        <v>6749</v>
      </c>
      <c r="L193" s="74" t="s">
        <v>3408</v>
      </c>
    </row>
    <row r="194" spans="1:12" ht="21.95" customHeight="1">
      <c r="A194" s="149" t="s">
        <v>6108</v>
      </c>
      <c r="B194" s="147" t="s">
        <v>4893</v>
      </c>
      <c r="C194" s="148">
        <v>46053</v>
      </c>
      <c r="D194" s="147" t="s">
        <v>4871</v>
      </c>
      <c r="E194" s="147" t="s">
        <v>4904</v>
      </c>
      <c r="F194" s="74" t="s">
        <v>6842</v>
      </c>
      <c r="G194" s="74" t="s">
        <v>4920</v>
      </c>
      <c r="H194" s="74" t="s">
        <v>5133</v>
      </c>
      <c r="I194" s="74" t="s">
        <v>3417</v>
      </c>
      <c r="J194" s="74" t="s">
        <v>36</v>
      </c>
      <c r="K194" s="74" t="s">
        <v>6749</v>
      </c>
      <c r="L194" s="74" t="s">
        <v>3226</v>
      </c>
    </row>
    <row r="195" spans="1:12" ht="21.95" customHeight="1">
      <c r="A195" s="149" t="s">
        <v>3448</v>
      </c>
      <c r="B195" s="147" t="s">
        <v>4893</v>
      </c>
      <c r="C195" s="148">
        <v>46018</v>
      </c>
      <c r="D195" s="147" t="s">
        <v>4871</v>
      </c>
      <c r="E195" s="147" t="s">
        <v>4900</v>
      </c>
      <c r="F195" s="74" t="s">
        <v>6843</v>
      </c>
      <c r="G195" s="74" t="s">
        <v>4920</v>
      </c>
      <c r="H195" s="74" t="s">
        <v>5134</v>
      </c>
      <c r="I195" s="74" t="s">
        <v>63</v>
      </c>
      <c r="J195" s="74" t="s">
        <v>126</v>
      </c>
      <c r="K195" s="74" t="s">
        <v>6749</v>
      </c>
      <c r="L195" s="74" t="s">
        <v>3447</v>
      </c>
    </row>
    <row r="196" spans="1:12" ht="21.95" customHeight="1">
      <c r="A196" s="149" t="s">
        <v>6109</v>
      </c>
      <c r="B196" s="147" t="s">
        <v>4893</v>
      </c>
      <c r="C196" s="148">
        <v>46039</v>
      </c>
      <c r="D196" s="147" t="s">
        <v>4894</v>
      </c>
      <c r="E196" s="147"/>
      <c r="F196" s="74" t="s">
        <v>5989</v>
      </c>
      <c r="G196" s="74" t="s">
        <v>4920</v>
      </c>
      <c r="H196" s="74" t="s">
        <v>5135</v>
      </c>
      <c r="I196" s="74" t="s">
        <v>63</v>
      </c>
      <c r="J196" s="74" t="s">
        <v>3472</v>
      </c>
      <c r="K196" s="74" t="s">
        <v>6749</v>
      </c>
      <c r="L196" s="74" t="s">
        <v>3471</v>
      </c>
    </row>
    <row r="197" spans="1:12" ht="21.95" customHeight="1">
      <c r="A197" s="149" t="s">
        <v>3487</v>
      </c>
      <c r="B197" s="147" t="s">
        <v>4893</v>
      </c>
      <c r="C197" s="148">
        <v>46018</v>
      </c>
      <c r="D197" s="147" t="s">
        <v>4871</v>
      </c>
      <c r="E197" s="147" t="s">
        <v>4904</v>
      </c>
      <c r="F197" s="74" t="s">
        <v>6797</v>
      </c>
      <c r="G197" s="74" t="s">
        <v>4920</v>
      </c>
      <c r="H197" s="74" t="s">
        <v>5136</v>
      </c>
      <c r="I197" s="74" t="s">
        <v>63</v>
      </c>
      <c r="J197" s="74" t="s">
        <v>73</v>
      </c>
      <c r="K197" s="74" t="s">
        <v>6749</v>
      </c>
      <c r="L197" s="74" t="s">
        <v>3486</v>
      </c>
    </row>
    <row r="198" spans="1:12" ht="21.95" customHeight="1">
      <c r="A198" s="149" t="s">
        <v>3531</v>
      </c>
      <c r="B198" s="147" t="s">
        <v>4893</v>
      </c>
      <c r="C198" s="148">
        <v>46018</v>
      </c>
      <c r="D198" s="147" t="s">
        <v>4894</v>
      </c>
      <c r="E198" s="147" t="s">
        <v>4904</v>
      </c>
      <c r="F198" s="74" t="s">
        <v>6844</v>
      </c>
      <c r="G198" s="74" t="s">
        <v>4920</v>
      </c>
      <c r="H198" s="74" t="s">
        <v>5137</v>
      </c>
      <c r="I198" s="74" t="s">
        <v>63</v>
      </c>
      <c r="J198" s="74" t="s">
        <v>57</v>
      </c>
      <c r="K198" s="74" t="s">
        <v>6749</v>
      </c>
      <c r="L198" s="74" t="s">
        <v>3529</v>
      </c>
    </row>
    <row r="199" spans="1:12" ht="21.95" customHeight="1">
      <c r="A199" s="149" t="s">
        <v>3567</v>
      </c>
      <c r="B199" s="147" t="s">
        <v>4893</v>
      </c>
      <c r="C199" s="148">
        <v>46018</v>
      </c>
      <c r="D199" s="147" t="s">
        <v>4871</v>
      </c>
      <c r="E199" s="147" t="s">
        <v>4904</v>
      </c>
      <c r="F199" s="74" t="s">
        <v>6845</v>
      </c>
      <c r="G199" s="74" t="s">
        <v>4920</v>
      </c>
      <c r="H199" s="74" t="s">
        <v>5138</v>
      </c>
      <c r="I199" s="74" t="s">
        <v>63</v>
      </c>
      <c r="J199" s="74" t="s">
        <v>196</v>
      </c>
      <c r="K199" s="74" t="s">
        <v>6749</v>
      </c>
      <c r="L199" s="74" t="s">
        <v>3335</v>
      </c>
    </row>
    <row r="200" spans="1:12" ht="21.95" customHeight="1">
      <c r="A200" s="149" t="s">
        <v>3582</v>
      </c>
      <c r="B200" s="147" t="s">
        <v>4893</v>
      </c>
      <c r="C200" s="148">
        <v>46018</v>
      </c>
      <c r="D200" s="147" t="s">
        <v>4894</v>
      </c>
      <c r="E200" s="147"/>
      <c r="F200" s="74" t="s">
        <v>5987</v>
      </c>
      <c r="G200" s="74" t="s">
        <v>4920</v>
      </c>
      <c r="H200" s="74" t="s">
        <v>5139</v>
      </c>
      <c r="I200" s="74" t="s">
        <v>174</v>
      </c>
      <c r="J200" s="74" t="s">
        <v>196</v>
      </c>
      <c r="K200" s="74" t="s">
        <v>6749</v>
      </c>
      <c r="L200" s="74" t="s">
        <v>3335</v>
      </c>
    </row>
    <row r="201" spans="1:12" ht="21.95" customHeight="1">
      <c r="A201" s="149" t="s">
        <v>3649</v>
      </c>
      <c r="B201" s="147"/>
      <c r="C201" s="148"/>
      <c r="D201" s="147"/>
      <c r="E201" s="147"/>
      <c r="F201" s="74"/>
      <c r="G201" s="74" t="s">
        <v>6746</v>
      </c>
      <c r="H201" s="74" t="s">
        <v>5140</v>
      </c>
      <c r="I201" s="74" t="s">
        <v>3648</v>
      </c>
      <c r="J201" s="74" t="s">
        <v>126</v>
      </c>
      <c r="K201" s="74" t="s">
        <v>6749</v>
      </c>
      <c r="L201" s="74" t="s">
        <v>3335</v>
      </c>
    </row>
    <row r="202" spans="1:12" ht="21.95" customHeight="1">
      <c r="A202" s="149" t="s">
        <v>3660</v>
      </c>
      <c r="B202" s="147"/>
      <c r="C202" s="148"/>
      <c r="D202" s="147"/>
      <c r="E202" s="147"/>
      <c r="F202" s="74"/>
      <c r="G202" s="74" t="s">
        <v>6746</v>
      </c>
      <c r="H202" s="74" t="s">
        <v>5141</v>
      </c>
      <c r="I202" s="74" t="s">
        <v>63</v>
      </c>
      <c r="J202" s="74" t="s">
        <v>57</v>
      </c>
      <c r="K202" s="74" t="s">
        <v>6749</v>
      </c>
      <c r="L202" s="74" t="s">
        <v>3335</v>
      </c>
    </row>
    <row r="203" spans="1:12" ht="21.95" customHeight="1">
      <c r="A203" s="149" t="s">
        <v>3671</v>
      </c>
      <c r="B203" s="147"/>
      <c r="C203" s="148"/>
      <c r="D203" s="147"/>
      <c r="E203" s="147"/>
      <c r="F203" s="74"/>
      <c r="G203" s="74" t="s">
        <v>6746</v>
      </c>
      <c r="H203" s="74" t="s">
        <v>5142</v>
      </c>
      <c r="I203" s="74" t="s">
        <v>63</v>
      </c>
      <c r="J203" s="74" t="s">
        <v>3472</v>
      </c>
      <c r="K203" s="74" t="s">
        <v>6749</v>
      </c>
      <c r="L203" s="74" t="s">
        <v>3335</v>
      </c>
    </row>
    <row r="204" spans="1:12" ht="21.95" customHeight="1">
      <c r="A204" s="149" t="s">
        <v>6110</v>
      </c>
      <c r="B204" s="147"/>
      <c r="C204" s="148"/>
      <c r="D204" s="147"/>
      <c r="E204" s="147"/>
      <c r="F204" s="74"/>
      <c r="G204" s="74" t="s">
        <v>6746</v>
      </c>
      <c r="H204" s="74" t="s">
        <v>5143</v>
      </c>
      <c r="I204" s="74" t="s">
        <v>112</v>
      </c>
      <c r="J204" s="74" t="s">
        <v>126</v>
      </c>
      <c r="K204" s="74" t="s">
        <v>6749</v>
      </c>
      <c r="L204" s="74" t="s">
        <v>3733</v>
      </c>
    </row>
    <row r="205" spans="1:12" ht="21.95" customHeight="1">
      <c r="A205" s="149" t="s">
        <v>6111</v>
      </c>
      <c r="B205" s="147"/>
      <c r="C205" s="148"/>
      <c r="D205" s="147"/>
      <c r="E205" s="147"/>
      <c r="F205" s="74"/>
      <c r="G205" s="74" t="s">
        <v>6746</v>
      </c>
      <c r="H205" s="74" t="s">
        <v>5144</v>
      </c>
      <c r="I205" s="74" t="s">
        <v>112</v>
      </c>
      <c r="J205" s="74" t="s">
        <v>196</v>
      </c>
      <c r="K205" s="74" t="s">
        <v>6749</v>
      </c>
      <c r="L205" s="74" t="s">
        <v>3742</v>
      </c>
    </row>
    <row r="206" spans="1:12" ht="21.95" customHeight="1">
      <c r="A206" s="149" t="s">
        <v>6112</v>
      </c>
      <c r="B206" s="147"/>
      <c r="C206" s="148"/>
      <c r="D206" s="147"/>
      <c r="E206" s="147"/>
      <c r="F206" s="74"/>
      <c r="G206" s="74" t="s">
        <v>6746</v>
      </c>
      <c r="H206" s="74" t="s">
        <v>5145</v>
      </c>
      <c r="I206" s="74" t="s">
        <v>63</v>
      </c>
      <c r="J206" s="74" t="s">
        <v>196</v>
      </c>
      <c r="K206" s="74" t="s">
        <v>6749</v>
      </c>
      <c r="L206" s="74" t="s">
        <v>3745</v>
      </c>
    </row>
    <row r="207" spans="1:12" ht="21.95" customHeight="1">
      <c r="A207" s="149" t="s">
        <v>6113</v>
      </c>
      <c r="B207" s="147"/>
      <c r="C207" s="148"/>
      <c r="D207" s="147"/>
      <c r="E207" s="147"/>
      <c r="F207" s="74"/>
      <c r="G207" s="74" t="s">
        <v>6746</v>
      </c>
      <c r="H207" s="74" t="s">
        <v>5146</v>
      </c>
      <c r="I207" s="74" t="s">
        <v>63</v>
      </c>
      <c r="J207" s="74" t="s">
        <v>57</v>
      </c>
      <c r="K207" s="74" t="s">
        <v>6749</v>
      </c>
      <c r="L207" s="74" t="s">
        <v>3765</v>
      </c>
    </row>
    <row r="208" spans="1:12" ht="21.95" customHeight="1">
      <c r="A208" s="149" t="s">
        <v>6114</v>
      </c>
      <c r="B208" s="147"/>
      <c r="C208" s="148"/>
      <c r="D208" s="147"/>
      <c r="E208" s="147"/>
      <c r="F208" s="74"/>
      <c r="G208" s="74" t="s">
        <v>6746</v>
      </c>
      <c r="H208" s="74" t="s">
        <v>5147</v>
      </c>
      <c r="I208" s="74" t="s">
        <v>169</v>
      </c>
      <c r="J208" s="74" t="s">
        <v>196</v>
      </c>
      <c r="K208" s="74" t="s">
        <v>6749</v>
      </c>
      <c r="L208" s="74" t="s">
        <v>3816</v>
      </c>
    </row>
    <row r="209" spans="1:12" ht="21.95" customHeight="1">
      <c r="A209" s="149" t="s">
        <v>6115</v>
      </c>
      <c r="B209" s="147"/>
      <c r="C209" s="148"/>
      <c r="D209" s="147"/>
      <c r="E209" s="147"/>
      <c r="F209" s="74"/>
      <c r="G209" s="74" t="s">
        <v>6746</v>
      </c>
      <c r="H209" s="74" t="s">
        <v>5148</v>
      </c>
      <c r="I209" s="74" t="s">
        <v>63</v>
      </c>
      <c r="J209" s="74" t="s">
        <v>57</v>
      </c>
      <c r="K209" s="74" t="s">
        <v>6749</v>
      </c>
      <c r="L209" s="74" t="s">
        <v>3825</v>
      </c>
    </row>
    <row r="210" spans="1:12" ht="21.95" customHeight="1">
      <c r="A210" s="149" t="s">
        <v>6116</v>
      </c>
      <c r="B210" s="147"/>
      <c r="C210" s="148"/>
      <c r="D210" s="147"/>
      <c r="E210" s="147"/>
      <c r="F210" s="74"/>
      <c r="G210" s="74" t="s">
        <v>6746</v>
      </c>
      <c r="H210" s="74" t="s">
        <v>5149</v>
      </c>
      <c r="I210" s="74" t="s">
        <v>63</v>
      </c>
      <c r="J210" s="74" t="s">
        <v>126</v>
      </c>
      <c r="K210" s="74" t="s">
        <v>6749</v>
      </c>
      <c r="L210" s="74" t="s">
        <v>3842</v>
      </c>
    </row>
    <row r="211" spans="1:12" ht="21.95" customHeight="1">
      <c r="A211" s="149" t="s">
        <v>6117</v>
      </c>
      <c r="B211" s="147"/>
      <c r="C211" s="148"/>
      <c r="D211" s="147"/>
      <c r="E211" s="147"/>
      <c r="F211" s="74"/>
      <c r="G211" s="74" t="s">
        <v>6746</v>
      </c>
      <c r="H211" s="74" t="s">
        <v>5150</v>
      </c>
      <c r="I211" s="74" t="s">
        <v>632</v>
      </c>
      <c r="J211" s="74" t="s">
        <v>57</v>
      </c>
      <c r="K211" s="74" t="s">
        <v>6749</v>
      </c>
      <c r="L211" s="74" t="s">
        <v>3861</v>
      </c>
    </row>
    <row r="212" spans="1:12" ht="21.95" customHeight="1">
      <c r="A212" s="149" t="s">
        <v>6118</v>
      </c>
      <c r="B212" s="147"/>
      <c r="C212" s="148"/>
      <c r="D212" s="147"/>
      <c r="E212" s="147"/>
      <c r="F212" s="74"/>
      <c r="G212" s="74" t="s">
        <v>6746</v>
      </c>
      <c r="H212" s="74" t="s">
        <v>5151</v>
      </c>
      <c r="I212" s="74" t="s">
        <v>3632</v>
      </c>
      <c r="J212" s="74" t="s">
        <v>196</v>
      </c>
      <c r="K212" s="74" t="s">
        <v>6749</v>
      </c>
      <c r="L212" s="74" t="s">
        <v>3778</v>
      </c>
    </row>
    <row r="213" spans="1:12" ht="21.95" customHeight="1">
      <c r="A213" s="149" t="s">
        <v>6119</v>
      </c>
      <c r="B213" s="147"/>
      <c r="C213" s="148"/>
      <c r="D213" s="147"/>
      <c r="E213" s="147"/>
      <c r="F213" s="74"/>
      <c r="G213" s="74" t="s">
        <v>6746</v>
      </c>
      <c r="H213" s="74" t="s">
        <v>5152</v>
      </c>
      <c r="I213" s="74" t="s">
        <v>112</v>
      </c>
      <c r="J213" s="74" t="s">
        <v>196</v>
      </c>
      <c r="K213" s="74" t="s">
        <v>6749</v>
      </c>
      <c r="L213" s="74" t="s">
        <v>3878</v>
      </c>
    </row>
    <row r="214" spans="1:12" ht="21.95" customHeight="1">
      <c r="A214" s="149" t="s">
        <v>6120</v>
      </c>
      <c r="B214" s="147"/>
      <c r="C214" s="148"/>
      <c r="D214" s="147"/>
      <c r="E214" s="147"/>
      <c r="F214" s="74"/>
      <c r="G214" s="74" t="s">
        <v>6746</v>
      </c>
      <c r="H214" s="74" t="s">
        <v>5153</v>
      </c>
      <c r="I214" s="74" t="s">
        <v>93</v>
      </c>
      <c r="J214" s="74" t="s">
        <v>196</v>
      </c>
      <c r="K214" s="74" t="s">
        <v>6749</v>
      </c>
      <c r="L214" s="74" t="s">
        <v>3884</v>
      </c>
    </row>
    <row r="215" spans="1:12" ht="21.95" customHeight="1">
      <c r="A215" s="149" t="s">
        <v>6121</v>
      </c>
      <c r="B215" s="147"/>
      <c r="C215" s="148"/>
      <c r="D215" s="147"/>
      <c r="E215" s="147"/>
      <c r="F215" s="74"/>
      <c r="G215" s="74" t="s">
        <v>6746</v>
      </c>
      <c r="H215" s="74" t="s">
        <v>5154</v>
      </c>
      <c r="I215" s="74" t="s">
        <v>24</v>
      </c>
      <c r="J215" s="74" t="s">
        <v>126</v>
      </c>
      <c r="K215" s="74" t="s">
        <v>6749</v>
      </c>
      <c r="L215" s="74" t="s">
        <v>3886</v>
      </c>
    </row>
    <row r="216" spans="1:12" ht="21.95" customHeight="1">
      <c r="A216" s="149" t="s">
        <v>6122</v>
      </c>
      <c r="B216" s="147"/>
      <c r="C216" s="148"/>
      <c r="D216" s="147"/>
      <c r="E216" s="147"/>
      <c r="F216" s="74"/>
      <c r="G216" s="74" t="s">
        <v>6746</v>
      </c>
      <c r="H216" s="74" t="s">
        <v>5155</v>
      </c>
      <c r="I216" s="74" t="s">
        <v>125</v>
      </c>
      <c r="J216" s="74" t="s">
        <v>196</v>
      </c>
      <c r="K216" s="74" t="s">
        <v>6749</v>
      </c>
      <c r="L216" s="74" t="s">
        <v>3895</v>
      </c>
    </row>
    <row r="217" spans="1:12" ht="21.95" customHeight="1">
      <c r="A217" s="149" t="s">
        <v>6123</v>
      </c>
      <c r="B217" s="147"/>
      <c r="C217" s="148"/>
      <c r="D217" s="147"/>
      <c r="E217" s="147"/>
      <c r="F217" s="74"/>
      <c r="G217" s="74" t="s">
        <v>6746</v>
      </c>
      <c r="H217" s="74" t="s">
        <v>5156</v>
      </c>
      <c r="I217" s="74" t="s">
        <v>63</v>
      </c>
      <c r="J217" s="74" t="s">
        <v>196</v>
      </c>
      <c r="K217" s="74" t="s">
        <v>6749</v>
      </c>
      <c r="L217" s="74" t="s">
        <v>3899</v>
      </c>
    </row>
    <row r="218" spans="1:12" ht="21.95" customHeight="1">
      <c r="A218" s="149" t="s">
        <v>6124</v>
      </c>
      <c r="B218" s="147"/>
      <c r="C218" s="148"/>
      <c r="D218" s="147"/>
      <c r="E218" s="147"/>
      <c r="F218" s="74"/>
      <c r="G218" s="74" t="s">
        <v>6746</v>
      </c>
      <c r="H218" s="74" t="s">
        <v>5157</v>
      </c>
      <c r="I218" s="74" t="s">
        <v>125</v>
      </c>
      <c r="J218" s="74" t="s">
        <v>36</v>
      </c>
      <c r="K218" s="74" t="s">
        <v>6749</v>
      </c>
      <c r="L218" s="74" t="s">
        <v>3904</v>
      </c>
    </row>
    <row r="219" spans="1:12" ht="21.95" customHeight="1">
      <c r="A219" s="149" t="s">
        <v>6125</v>
      </c>
      <c r="B219" s="147"/>
      <c r="C219" s="148"/>
      <c r="D219" s="147"/>
      <c r="E219" s="147"/>
      <c r="F219" s="74"/>
      <c r="G219" s="74" t="s">
        <v>6746</v>
      </c>
      <c r="H219" s="74" t="s">
        <v>5158</v>
      </c>
      <c r="I219" s="74" t="s">
        <v>63</v>
      </c>
      <c r="J219" s="74" t="s">
        <v>36</v>
      </c>
      <c r="K219" s="74" t="s">
        <v>6749</v>
      </c>
      <c r="L219" s="74" t="s">
        <v>3911</v>
      </c>
    </row>
    <row r="220" spans="1:12" ht="21.95" customHeight="1">
      <c r="A220" s="149" t="s">
        <v>6126</v>
      </c>
      <c r="B220" s="147"/>
      <c r="C220" s="148"/>
      <c r="D220" s="147"/>
      <c r="E220" s="147"/>
      <c r="F220" s="74"/>
      <c r="G220" s="74" t="s">
        <v>6746</v>
      </c>
      <c r="H220" s="74" t="s">
        <v>5159</v>
      </c>
      <c r="I220" s="74" t="s">
        <v>93</v>
      </c>
      <c r="J220" s="74" t="s">
        <v>196</v>
      </c>
      <c r="K220" s="74" t="s">
        <v>6749</v>
      </c>
      <c r="L220" s="74" t="s">
        <v>3928</v>
      </c>
    </row>
    <row r="221" spans="1:12" ht="21.95" customHeight="1">
      <c r="A221" s="149" t="s">
        <v>6127</v>
      </c>
      <c r="B221" s="147"/>
      <c r="C221" s="148"/>
      <c r="D221" s="147"/>
      <c r="E221" s="147"/>
      <c r="F221" s="74"/>
      <c r="G221" s="74" t="s">
        <v>6746</v>
      </c>
      <c r="H221" s="74" t="s">
        <v>5160</v>
      </c>
      <c r="I221" s="74" t="s">
        <v>1819</v>
      </c>
      <c r="J221" s="74" t="s">
        <v>126</v>
      </c>
      <c r="K221" s="74" t="s">
        <v>6749</v>
      </c>
      <c r="L221" s="74" t="s">
        <v>3937</v>
      </c>
    </row>
    <row r="222" spans="1:12" ht="21.95" customHeight="1">
      <c r="A222" s="149" t="s">
        <v>6128</v>
      </c>
      <c r="B222" s="147"/>
      <c r="C222" s="148"/>
      <c r="D222" s="147"/>
      <c r="E222" s="147"/>
      <c r="F222" s="74"/>
      <c r="G222" s="74" t="s">
        <v>6746</v>
      </c>
      <c r="H222" s="74" t="s">
        <v>5161</v>
      </c>
      <c r="I222" s="74" t="s">
        <v>63</v>
      </c>
      <c r="J222" s="74" t="s">
        <v>196</v>
      </c>
      <c r="K222" s="74" t="s">
        <v>6749</v>
      </c>
      <c r="L222" s="74" t="s">
        <v>3944</v>
      </c>
    </row>
    <row r="223" spans="1:12" ht="21.95" customHeight="1">
      <c r="A223" s="149" t="s">
        <v>6129</v>
      </c>
      <c r="B223" s="147"/>
      <c r="C223" s="148"/>
      <c r="D223" s="147"/>
      <c r="E223" s="147"/>
      <c r="F223" s="74"/>
      <c r="G223" s="74" t="s">
        <v>6746</v>
      </c>
      <c r="H223" s="74" t="s">
        <v>5162</v>
      </c>
      <c r="I223" s="74" t="s">
        <v>734</v>
      </c>
      <c r="J223" s="74" t="s">
        <v>126</v>
      </c>
      <c r="K223" s="74" t="s">
        <v>6749</v>
      </c>
      <c r="L223" s="74" t="s">
        <v>3974</v>
      </c>
    </row>
    <row r="224" spans="1:12" ht="21.95" customHeight="1">
      <c r="A224" s="149" t="s">
        <v>6130</v>
      </c>
      <c r="B224" s="147"/>
      <c r="C224" s="148"/>
      <c r="D224" s="147"/>
      <c r="E224" s="147"/>
      <c r="F224" s="74"/>
      <c r="G224" s="74" t="s">
        <v>6746</v>
      </c>
      <c r="H224" s="74" t="s">
        <v>5163</v>
      </c>
      <c r="I224" s="74" t="s">
        <v>63</v>
      </c>
      <c r="J224" s="74" t="s">
        <v>196</v>
      </c>
      <c r="K224" s="74" t="s">
        <v>6749</v>
      </c>
      <c r="L224" s="74" t="s">
        <v>3992</v>
      </c>
    </row>
    <row r="225" spans="1:12" ht="21.95" customHeight="1">
      <c r="A225" s="149" t="s">
        <v>6131</v>
      </c>
      <c r="B225" s="147"/>
      <c r="C225" s="148"/>
      <c r="D225" s="147"/>
      <c r="E225" s="147"/>
      <c r="F225" s="74"/>
      <c r="G225" s="74" t="s">
        <v>6746</v>
      </c>
      <c r="H225" s="74" t="s">
        <v>5164</v>
      </c>
      <c r="I225" s="74" t="s">
        <v>261</v>
      </c>
      <c r="J225" s="74" t="s">
        <v>57</v>
      </c>
      <c r="K225" s="74" t="s">
        <v>6749</v>
      </c>
      <c r="L225" s="74" t="s">
        <v>3997</v>
      </c>
    </row>
    <row r="226" spans="1:12" ht="21.95" customHeight="1">
      <c r="A226" s="149" t="s">
        <v>4010</v>
      </c>
      <c r="B226" s="147"/>
      <c r="C226" s="148"/>
      <c r="D226" s="147"/>
      <c r="E226" s="147"/>
      <c r="F226" s="74"/>
      <c r="G226" s="74" t="s">
        <v>6746</v>
      </c>
      <c r="H226" s="74" t="s">
        <v>5165</v>
      </c>
      <c r="I226" s="74" t="s">
        <v>202</v>
      </c>
      <c r="J226" s="74" t="s">
        <v>196</v>
      </c>
      <c r="K226" s="74" t="s">
        <v>6749</v>
      </c>
      <c r="L226" s="74" t="s">
        <v>4008</v>
      </c>
    </row>
    <row r="227" spans="1:12" ht="21.95" customHeight="1">
      <c r="A227" s="149" t="s">
        <v>4015</v>
      </c>
      <c r="B227" s="147"/>
      <c r="C227" s="148"/>
      <c r="D227" s="147"/>
      <c r="E227" s="147"/>
      <c r="F227" s="74"/>
      <c r="G227" s="74" t="s">
        <v>6746</v>
      </c>
      <c r="H227" s="74" t="s">
        <v>5166</v>
      </c>
      <c r="I227" s="74" t="s">
        <v>616</v>
      </c>
      <c r="J227" s="74" t="s">
        <v>196</v>
      </c>
      <c r="K227" s="74" t="s">
        <v>6749</v>
      </c>
      <c r="L227" s="74" t="s">
        <v>3335</v>
      </c>
    </row>
    <row r="228" spans="1:12" ht="21.95" customHeight="1">
      <c r="A228" s="149" t="s">
        <v>4026</v>
      </c>
      <c r="B228" s="147"/>
      <c r="C228" s="148"/>
      <c r="D228" s="147"/>
      <c r="E228" s="147"/>
      <c r="F228" s="74"/>
      <c r="G228" s="74" t="s">
        <v>6746</v>
      </c>
      <c r="H228" s="74" t="s">
        <v>5167</v>
      </c>
      <c r="I228" s="74" t="s">
        <v>1173</v>
      </c>
      <c r="J228" s="74" t="s">
        <v>196</v>
      </c>
      <c r="K228" s="74" t="s">
        <v>6749</v>
      </c>
      <c r="L228" s="74" t="s">
        <v>4025</v>
      </c>
    </row>
    <row r="229" spans="1:12" ht="21.95" customHeight="1">
      <c r="A229" s="149" t="s">
        <v>4036</v>
      </c>
      <c r="B229" s="147"/>
      <c r="C229" s="148"/>
      <c r="D229" s="147"/>
      <c r="E229" s="147"/>
      <c r="F229" s="74"/>
      <c r="G229" s="74" t="s">
        <v>6746</v>
      </c>
      <c r="H229" s="74" t="s">
        <v>5168</v>
      </c>
      <c r="I229" s="74" t="s">
        <v>261</v>
      </c>
      <c r="J229" s="74" t="s">
        <v>250</v>
      </c>
      <c r="K229" s="74" t="s">
        <v>6749</v>
      </c>
      <c r="L229" s="74" t="s">
        <v>4035</v>
      </c>
    </row>
    <row r="230" spans="1:12" ht="21.95" customHeight="1">
      <c r="A230" s="149" t="s">
        <v>4040</v>
      </c>
      <c r="B230" s="147"/>
      <c r="C230" s="148"/>
      <c r="D230" s="147"/>
      <c r="E230" s="147"/>
      <c r="F230" s="74"/>
      <c r="G230" s="74" t="s">
        <v>6746</v>
      </c>
      <c r="H230" s="74" t="s">
        <v>5169</v>
      </c>
      <c r="I230" s="74" t="s">
        <v>63</v>
      </c>
      <c r="J230" s="74" t="s">
        <v>4041</v>
      </c>
      <c r="K230" s="74" t="s">
        <v>6749</v>
      </c>
      <c r="L230" s="74" t="s">
        <v>4039</v>
      </c>
    </row>
    <row r="231" spans="1:12" ht="21.95" customHeight="1">
      <c r="A231" s="149" t="s">
        <v>6132</v>
      </c>
      <c r="B231" s="147"/>
      <c r="C231" s="148"/>
      <c r="D231" s="147"/>
      <c r="E231" s="147"/>
      <c r="F231" s="74"/>
      <c r="G231" s="74" t="s">
        <v>6746</v>
      </c>
      <c r="H231" s="74" t="s">
        <v>5170</v>
      </c>
      <c r="I231" s="74" t="s">
        <v>63</v>
      </c>
      <c r="J231" s="74" t="s">
        <v>126</v>
      </c>
      <c r="K231" s="74" t="s">
        <v>6749</v>
      </c>
      <c r="L231" s="74" t="s">
        <v>4063</v>
      </c>
    </row>
    <row r="232" spans="1:12" ht="21.95" customHeight="1">
      <c r="A232" s="149" t="s">
        <v>4156</v>
      </c>
      <c r="B232" s="147"/>
      <c r="C232" s="148"/>
      <c r="D232" s="147"/>
      <c r="E232" s="147"/>
      <c r="F232" s="74"/>
      <c r="G232" s="74" t="s">
        <v>6746</v>
      </c>
      <c r="H232" s="74" t="s">
        <v>5171</v>
      </c>
      <c r="I232" s="74" t="s">
        <v>695</v>
      </c>
      <c r="J232" s="74" t="s">
        <v>57</v>
      </c>
      <c r="K232" s="74" t="s">
        <v>6749</v>
      </c>
      <c r="L232" s="74" t="s">
        <v>4155</v>
      </c>
    </row>
    <row r="233" spans="1:12" ht="21.95" customHeight="1">
      <c r="A233" s="149" t="s">
        <v>4171</v>
      </c>
      <c r="B233" s="147"/>
      <c r="C233" s="148"/>
      <c r="D233" s="147"/>
      <c r="E233" s="147"/>
      <c r="F233" s="74"/>
      <c r="G233" s="74" t="s">
        <v>6746</v>
      </c>
      <c r="H233" s="74" t="s">
        <v>5172</v>
      </c>
      <c r="I233" s="74" t="s">
        <v>93</v>
      </c>
      <c r="J233" s="74" t="s">
        <v>126</v>
      </c>
      <c r="K233" s="74" t="s">
        <v>6749</v>
      </c>
      <c r="L233" s="74" t="s">
        <v>4170</v>
      </c>
    </row>
    <row r="234" spans="1:12" ht="21.95" customHeight="1">
      <c r="A234" s="149" t="s">
        <v>4186</v>
      </c>
      <c r="B234" s="147"/>
      <c r="C234" s="148"/>
      <c r="D234" s="147"/>
      <c r="E234" s="147"/>
      <c r="F234" s="74"/>
      <c r="G234" s="74" t="s">
        <v>6746</v>
      </c>
      <c r="H234" s="74" t="s">
        <v>5173</v>
      </c>
      <c r="I234" s="74" t="s">
        <v>93</v>
      </c>
      <c r="J234" s="74" t="s">
        <v>46</v>
      </c>
      <c r="K234" s="74" t="s">
        <v>6749</v>
      </c>
      <c r="L234" s="74" t="s">
        <v>4185</v>
      </c>
    </row>
    <row r="235" spans="1:12" ht="21.95" customHeight="1">
      <c r="A235" s="149" t="s">
        <v>4214</v>
      </c>
      <c r="B235" s="147"/>
      <c r="C235" s="148"/>
      <c r="D235" s="147"/>
      <c r="E235" s="147"/>
      <c r="F235" s="74"/>
      <c r="G235" s="74" t="s">
        <v>6746</v>
      </c>
      <c r="H235" s="74" t="s">
        <v>5174</v>
      </c>
      <c r="I235" s="74" t="s">
        <v>1819</v>
      </c>
      <c r="J235" s="74" t="s">
        <v>36</v>
      </c>
      <c r="K235" s="74" t="s">
        <v>6749</v>
      </c>
      <c r="L235" s="74" t="s">
        <v>4213</v>
      </c>
    </row>
    <row r="236" spans="1:12" ht="21.95" customHeight="1">
      <c r="A236" s="149" t="s">
        <v>4244</v>
      </c>
      <c r="B236" s="147"/>
      <c r="C236" s="148"/>
      <c r="D236" s="147"/>
      <c r="E236" s="147"/>
      <c r="F236" s="74"/>
      <c r="G236" s="74" t="s">
        <v>6746</v>
      </c>
      <c r="H236" s="74" t="s">
        <v>5175</v>
      </c>
      <c r="I236" s="74" t="s">
        <v>63</v>
      </c>
      <c r="J236" s="74" t="s">
        <v>36</v>
      </c>
      <c r="K236" s="74" t="s">
        <v>6749</v>
      </c>
      <c r="L236" s="74" t="s">
        <v>4243</v>
      </c>
    </row>
    <row r="237" spans="1:12" ht="21.95" customHeight="1">
      <c r="A237" s="149" t="s">
        <v>4315</v>
      </c>
      <c r="B237" s="147"/>
      <c r="C237" s="148"/>
      <c r="D237" s="147"/>
      <c r="E237" s="147"/>
      <c r="F237" s="74"/>
      <c r="G237" s="74" t="s">
        <v>6746</v>
      </c>
      <c r="H237" s="74" t="s">
        <v>5176</v>
      </c>
      <c r="I237" s="74" t="s">
        <v>125</v>
      </c>
      <c r="J237" s="74" t="s">
        <v>196</v>
      </c>
      <c r="K237" s="74" t="s">
        <v>6749</v>
      </c>
      <c r="L237" s="74" t="s">
        <v>4314</v>
      </c>
    </row>
    <row r="238" spans="1:12" ht="21.95" customHeight="1">
      <c r="A238" s="149" t="s">
        <v>4327</v>
      </c>
      <c r="B238" s="147"/>
      <c r="C238" s="148"/>
      <c r="D238" s="147"/>
      <c r="E238" s="147"/>
      <c r="F238" s="74"/>
      <c r="G238" s="74" t="s">
        <v>6746</v>
      </c>
      <c r="H238" s="74" t="s">
        <v>5177</v>
      </c>
      <c r="I238" s="74" t="s">
        <v>2002</v>
      </c>
      <c r="J238" s="74" t="s">
        <v>196</v>
      </c>
      <c r="K238" s="74" t="s">
        <v>6749</v>
      </c>
      <c r="L238" s="74" t="s">
        <v>4326</v>
      </c>
    </row>
    <row r="239" spans="1:12" ht="21.95" customHeight="1">
      <c r="A239" s="149" t="s">
        <v>4333</v>
      </c>
      <c r="B239" s="147"/>
      <c r="C239" s="148"/>
      <c r="D239" s="147"/>
      <c r="E239" s="147"/>
      <c r="F239" s="74"/>
      <c r="G239" s="74" t="s">
        <v>6746</v>
      </c>
      <c r="H239" s="74" t="s">
        <v>5178</v>
      </c>
      <c r="I239" s="74" t="s">
        <v>264</v>
      </c>
      <c r="J239" s="74" t="s">
        <v>196</v>
      </c>
      <c r="K239" s="74" t="s">
        <v>6749</v>
      </c>
      <c r="L239" s="74" t="s">
        <v>4332</v>
      </c>
    </row>
    <row r="240" spans="1:12" ht="21.95" customHeight="1">
      <c r="A240" s="149" t="s">
        <v>4379</v>
      </c>
      <c r="B240" s="147"/>
      <c r="C240" s="148"/>
      <c r="D240" s="147"/>
      <c r="E240" s="147"/>
      <c r="F240" s="74"/>
      <c r="G240" s="74" t="s">
        <v>6746</v>
      </c>
      <c r="H240" s="74" t="s">
        <v>5179</v>
      </c>
      <c r="I240" s="74" t="s">
        <v>3648</v>
      </c>
      <c r="J240" s="74" t="s">
        <v>73</v>
      </c>
      <c r="K240" s="74" t="s">
        <v>6749</v>
      </c>
      <c r="L240" s="74" t="s">
        <v>4378</v>
      </c>
    </row>
    <row r="241" spans="1:12" ht="21.95" customHeight="1">
      <c r="A241" s="149" t="s">
        <v>4485</v>
      </c>
      <c r="B241" s="147"/>
      <c r="C241" s="148"/>
      <c r="D241" s="147"/>
      <c r="E241" s="147"/>
      <c r="F241" s="74"/>
      <c r="G241" s="74" t="s">
        <v>6746</v>
      </c>
      <c r="H241" s="74" t="s">
        <v>5180</v>
      </c>
      <c r="I241" s="74" t="s">
        <v>63</v>
      </c>
      <c r="J241" s="74" t="s">
        <v>126</v>
      </c>
      <c r="K241" s="74" t="s">
        <v>6749</v>
      </c>
      <c r="L241" s="74" t="s">
        <v>4484</v>
      </c>
    </row>
    <row r="242" spans="1:12" ht="21.95" customHeight="1">
      <c r="A242" s="149" t="s">
        <v>4499</v>
      </c>
      <c r="B242" s="147"/>
      <c r="C242" s="148"/>
      <c r="D242" s="147"/>
      <c r="E242" s="147"/>
      <c r="F242" s="74"/>
      <c r="G242" s="74" t="s">
        <v>6746</v>
      </c>
      <c r="H242" s="74" t="s">
        <v>5181</v>
      </c>
      <c r="I242" s="74" t="s">
        <v>4497</v>
      </c>
      <c r="J242" s="74" t="s">
        <v>36</v>
      </c>
      <c r="K242" s="74" t="s">
        <v>6749</v>
      </c>
      <c r="L242" s="74" t="s">
        <v>4498</v>
      </c>
    </row>
    <row r="243" spans="1:12" ht="21.95" customHeight="1">
      <c r="A243" s="149" t="s">
        <v>4512</v>
      </c>
      <c r="B243" s="147"/>
      <c r="C243" s="148"/>
      <c r="D243" s="147"/>
      <c r="E243" s="147"/>
      <c r="F243" s="74"/>
      <c r="G243" s="74" t="s">
        <v>6746</v>
      </c>
      <c r="H243" s="74" t="s">
        <v>5182</v>
      </c>
      <c r="I243" s="74" t="s">
        <v>63</v>
      </c>
      <c r="J243" s="74" t="s">
        <v>57</v>
      </c>
      <c r="K243" s="74" t="s">
        <v>6749</v>
      </c>
      <c r="L243" s="74" t="s">
        <v>4511</v>
      </c>
    </row>
    <row r="244" spans="1:12" ht="21.95" customHeight="1">
      <c r="A244" s="149" t="s">
        <v>4603</v>
      </c>
      <c r="B244" s="147"/>
      <c r="C244" s="148"/>
      <c r="D244" s="147"/>
      <c r="E244" s="147"/>
      <c r="F244" s="74"/>
      <c r="G244" s="74" t="s">
        <v>6746</v>
      </c>
      <c r="H244" s="74" t="s">
        <v>5183</v>
      </c>
      <c r="I244" s="74" t="s">
        <v>410</v>
      </c>
      <c r="J244" s="74" t="s">
        <v>57</v>
      </c>
      <c r="K244" s="74" t="s">
        <v>6749</v>
      </c>
      <c r="L244" s="74" t="s">
        <v>4602</v>
      </c>
    </row>
    <row r="245" spans="1:12" ht="21.95" customHeight="1">
      <c r="A245" s="149" t="s">
        <v>6133</v>
      </c>
      <c r="B245" s="147"/>
      <c r="C245" s="148"/>
      <c r="D245" s="147"/>
      <c r="E245" s="147"/>
      <c r="F245" s="74"/>
      <c r="G245" s="74" t="s">
        <v>6746</v>
      </c>
      <c r="H245" s="74" t="s">
        <v>5184</v>
      </c>
      <c r="I245" s="74" t="s">
        <v>169</v>
      </c>
      <c r="J245" s="74" t="s">
        <v>46</v>
      </c>
      <c r="K245" s="74" t="s">
        <v>6749</v>
      </c>
      <c r="L245" s="74" t="s">
        <v>4642</v>
      </c>
    </row>
    <row r="246" spans="1:12" ht="21.95" customHeight="1">
      <c r="A246" s="149" t="s">
        <v>6134</v>
      </c>
      <c r="B246" s="147"/>
      <c r="C246" s="148"/>
      <c r="D246" s="147"/>
      <c r="E246" s="147"/>
      <c r="F246" s="74"/>
      <c r="G246" s="74" t="s">
        <v>6746</v>
      </c>
      <c r="H246" s="74" t="s">
        <v>5185</v>
      </c>
      <c r="I246" s="74" t="s">
        <v>63</v>
      </c>
      <c r="J246" s="74" t="s">
        <v>196</v>
      </c>
      <c r="K246" s="74" t="s">
        <v>6749</v>
      </c>
      <c r="L246" s="74" t="s">
        <v>4664</v>
      </c>
    </row>
    <row r="247" spans="1:12" ht="21.95" customHeight="1">
      <c r="A247" s="149" t="s">
        <v>6135</v>
      </c>
      <c r="B247" s="147"/>
      <c r="C247" s="148"/>
      <c r="D247" s="147"/>
      <c r="E247" s="147"/>
      <c r="F247" s="74"/>
      <c r="G247" s="74" t="s">
        <v>6746</v>
      </c>
      <c r="H247" s="74" t="s">
        <v>5186</v>
      </c>
      <c r="I247" s="74" t="s">
        <v>4141</v>
      </c>
      <c r="J247" s="74" t="s">
        <v>46</v>
      </c>
      <c r="K247" s="74" t="s">
        <v>6749</v>
      </c>
      <c r="L247" s="74" t="s">
        <v>4693</v>
      </c>
    </row>
    <row r="248" spans="1:12" ht="21.95" customHeight="1">
      <c r="A248" s="149" t="s">
        <v>6136</v>
      </c>
      <c r="B248" s="147"/>
      <c r="C248" s="148"/>
      <c r="D248" s="147"/>
      <c r="E248" s="147"/>
      <c r="F248" s="74"/>
      <c r="G248" s="74" t="s">
        <v>6746</v>
      </c>
      <c r="H248" s="74" t="s">
        <v>5187</v>
      </c>
      <c r="I248" s="74" t="s">
        <v>30</v>
      </c>
      <c r="J248" s="74" t="s">
        <v>46</v>
      </c>
      <c r="K248" s="74" t="s">
        <v>6749</v>
      </c>
      <c r="L248" s="74" t="s">
        <v>4731</v>
      </c>
    </row>
    <row r="249" spans="1:12" ht="21.95" customHeight="1">
      <c r="A249" s="149" t="s">
        <v>6137</v>
      </c>
      <c r="B249" s="147"/>
      <c r="C249" s="148"/>
      <c r="D249" s="147"/>
      <c r="E249" s="147"/>
      <c r="F249" s="74"/>
      <c r="G249" s="74" t="s">
        <v>6746</v>
      </c>
      <c r="H249" s="74" t="s">
        <v>5188</v>
      </c>
      <c r="I249" s="74" t="s">
        <v>63</v>
      </c>
      <c r="J249" s="74" t="s">
        <v>46</v>
      </c>
      <c r="K249" s="74" t="s">
        <v>6749</v>
      </c>
      <c r="L249" s="74" t="s">
        <v>4734</v>
      </c>
    </row>
    <row r="250" spans="1:12" ht="21.95" customHeight="1">
      <c r="A250" s="149" t="s">
        <v>6138</v>
      </c>
      <c r="B250" s="147"/>
      <c r="C250" s="148"/>
      <c r="D250" s="147"/>
      <c r="E250" s="147"/>
      <c r="F250" s="74"/>
      <c r="G250" s="74" t="s">
        <v>6746</v>
      </c>
      <c r="H250" s="74" t="s">
        <v>5189</v>
      </c>
      <c r="I250" s="74" t="s">
        <v>63</v>
      </c>
      <c r="J250" s="74" t="s">
        <v>46</v>
      </c>
      <c r="K250" s="74" t="s">
        <v>6749</v>
      </c>
      <c r="L250" s="74" t="s">
        <v>4760</v>
      </c>
    </row>
    <row r="251" spans="1:12" ht="21.95" customHeight="1">
      <c r="A251" s="149" t="s">
        <v>6139</v>
      </c>
      <c r="B251" s="147"/>
      <c r="C251" s="148"/>
      <c r="D251" s="147"/>
      <c r="E251" s="147"/>
      <c r="F251" s="74"/>
      <c r="G251" s="74" t="s">
        <v>6746</v>
      </c>
      <c r="H251" s="74" t="s">
        <v>5190</v>
      </c>
      <c r="I251" s="74" t="s">
        <v>501</v>
      </c>
      <c r="J251" s="74" t="s">
        <v>73</v>
      </c>
      <c r="K251" s="74" t="s">
        <v>6749</v>
      </c>
      <c r="L251" s="74" t="s">
        <v>4766</v>
      </c>
    </row>
    <row r="252" spans="1:12" ht="21.95" customHeight="1">
      <c r="A252" s="149" t="s">
        <v>6140</v>
      </c>
      <c r="B252" s="147"/>
      <c r="C252" s="148"/>
      <c r="D252" s="147"/>
      <c r="E252" s="147"/>
      <c r="F252" s="74"/>
      <c r="G252" s="74" t="s">
        <v>6746</v>
      </c>
      <c r="H252" s="74" t="s">
        <v>5191</v>
      </c>
      <c r="I252" s="74" t="s">
        <v>501</v>
      </c>
      <c r="J252" s="74" t="s">
        <v>126</v>
      </c>
      <c r="K252" s="74" t="s">
        <v>6749</v>
      </c>
      <c r="L252" s="74" t="s">
        <v>4783</v>
      </c>
    </row>
    <row r="253" spans="1:12" ht="21.95" customHeight="1">
      <c r="A253" s="149" t="s">
        <v>6141</v>
      </c>
      <c r="B253" s="147"/>
      <c r="C253" s="148"/>
      <c r="D253" s="147"/>
      <c r="E253" s="147"/>
      <c r="F253" s="74"/>
      <c r="G253" s="74" t="s">
        <v>6746</v>
      </c>
      <c r="H253" s="74" t="s">
        <v>5192</v>
      </c>
      <c r="I253" s="74" t="s">
        <v>501</v>
      </c>
      <c r="J253" s="74" t="s">
        <v>57</v>
      </c>
      <c r="K253" s="74" t="s">
        <v>6749</v>
      </c>
      <c r="L253" s="74" t="s">
        <v>4787</v>
      </c>
    </row>
    <row r="254" spans="1:12" ht="21.95" customHeight="1">
      <c r="A254" s="149" t="s">
        <v>6142</v>
      </c>
      <c r="B254" s="147"/>
      <c r="C254" s="148"/>
      <c r="D254" s="147"/>
      <c r="E254" s="147"/>
      <c r="F254" s="74"/>
      <c r="G254" s="74" t="s">
        <v>6746</v>
      </c>
      <c r="H254" s="74" t="s">
        <v>5193</v>
      </c>
      <c r="I254" s="74" t="s">
        <v>807</v>
      </c>
      <c r="J254" s="74" t="s">
        <v>250</v>
      </c>
      <c r="K254" s="74" t="s">
        <v>6749</v>
      </c>
      <c r="L254" s="74" t="s">
        <v>4818</v>
      </c>
    </row>
    <row r="255" spans="1:12" ht="21.95" customHeight="1">
      <c r="A255" s="149" t="s">
        <v>6143</v>
      </c>
      <c r="B255" s="147"/>
      <c r="C255" s="148"/>
      <c r="D255" s="147"/>
      <c r="E255" s="147"/>
      <c r="F255" s="74"/>
      <c r="G255" s="74" t="s">
        <v>6746</v>
      </c>
      <c r="H255" s="74" t="s">
        <v>5194</v>
      </c>
      <c r="I255" s="74" t="s">
        <v>129</v>
      </c>
      <c r="J255" s="74" t="s">
        <v>4816</v>
      </c>
      <c r="K255" s="74" t="s">
        <v>6749</v>
      </c>
      <c r="L255" s="74" t="s">
        <v>4828</v>
      </c>
    </row>
    <row r="256" spans="1:12" ht="21.95" customHeight="1">
      <c r="A256" s="149" t="s">
        <v>6144</v>
      </c>
      <c r="B256" s="147"/>
      <c r="C256" s="148"/>
      <c r="D256" s="147"/>
      <c r="E256" s="147"/>
      <c r="F256" s="74"/>
      <c r="G256" s="74" t="s">
        <v>6746</v>
      </c>
      <c r="H256" s="74" t="s">
        <v>5195</v>
      </c>
      <c r="I256" s="74" t="s">
        <v>501</v>
      </c>
      <c r="J256" s="74" t="s">
        <v>46</v>
      </c>
      <c r="K256" s="74" t="s">
        <v>6749</v>
      </c>
      <c r="L256" s="74" t="s">
        <v>4847</v>
      </c>
    </row>
    <row r="257" spans="1:12" ht="21.95" customHeight="1">
      <c r="A257" s="149" t="s">
        <v>6145</v>
      </c>
      <c r="B257" s="147"/>
      <c r="C257" s="148"/>
      <c r="D257" s="147"/>
      <c r="E257" s="147"/>
      <c r="F257" s="74"/>
      <c r="G257" s="74" t="s">
        <v>6746</v>
      </c>
      <c r="H257" s="74" t="s">
        <v>5196</v>
      </c>
      <c r="I257" s="74" t="s">
        <v>501</v>
      </c>
      <c r="J257" s="74" t="s">
        <v>126</v>
      </c>
      <c r="K257" s="74" t="s">
        <v>6749</v>
      </c>
      <c r="L257" s="74" t="s">
        <v>4851</v>
      </c>
    </row>
    <row r="258" spans="1:12" ht="21.95" customHeight="1">
      <c r="A258" s="149" t="s">
        <v>6146</v>
      </c>
      <c r="B258" s="147"/>
      <c r="C258" s="148"/>
      <c r="D258" s="147"/>
      <c r="E258" s="147"/>
      <c r="F258" s="74"/>
      <c r="G258" s="74" t="s">
        <v>6746</v>
      </c>
      <c r="H258" s="74" t="s">
        <v>5197</v>
      </c>
      <c r="I258" s="74" t="s">
        <v>695</v>
      </c>
      <c r="J258" s="74" t="s">
        <v>46</v>
      </c>
      <c r="K258" s="74" t="s">
        <v>6749</v>
      </c>
      <c r="L258" s="74" t="s">
        <v>4853</v>
      </c>
    </row>
    <row r="259" spans="1:12" ht="21.95" customHeight="1">
      <c r="A259" s="149" t="s">
        <v>386</v>
      </c>
      <c r="B259" s="147" t="s">
        <v>117</v>
      </c>
      <c r="C259" s="148">
        <v>46032</v>
      </c>
      <c r="D259" s="147" t="s">
        <v>4894</v>
      </c>
      <c r="E259" s="147"/>
      <c r="F259" s="74" t="s">
        <v>4896</v>
      </c>
      <c r="G259" s="74" t="s">
        <v>4920</v>
      </c>
      <c r="H259" s="74" t="s">
        <v>5198</v>
      </c>
      <c r="I259" s="74" t="s">
        <v>169</v>
      </c>
      <c r="J259" s="74" t="s">
        <v>243</v>
      </c>
      <c r="K259" s="74" t="s">
        <v>387</v>
      </c>
      <c r="L259" s="74" t="s">
        <v>31</v>
      </c>
    </row>
    <row r="260" spans="1:12" ht="21.95" customHeight="1">
      <c r="A260" s="149" t="s">
        <v>436</v>
      </c>
      <c r="B260" s="147" t="s">
        <v>117</v>
      </c>
      <c r="C260" s="148">
        <v>45997</v>
      </c>
      <c r="D260" s="147" t="s">
        <v>4894</v>
      </c>
      <c r="E260" s="147"/>
      <c r="F260" s="74" t="s">
        <v>4896</v>
      </c>
      <c r="G260" s="74" t="s">
        <v>4920</v>
      </c>
      <c r="H260" s="74" t="s">
        <v>5199</v>
      </c>
      <c r="I260" s="74" t="s">
        <v>169</v>
      </c>
      <c r="J260" s="74" t="s">
        <v>416</v>
      </c>
      <c r="K260" s="74" t="s">
        <v>387</v>
      </c>
      <c r="L260" s="74" t="s">
        <v>31</v>
      </c>
    </row>
    <row r="261" spans="1:12" ht="21.95" customHeight="1">
      <c r="A261" s="149" t="s">
        <v>6147</v>
      </c>
      <c r="B261" s="147" t="s">
        <v>117</v>
      </c>
      <c r="C261" s="148">
        <v>46074</v>
      </c>
      <c r="D261" s="147" t="s">
        <v>4871</v>
      </c>
      <c r="E261" s="147" t="s">
        <v>4904</v>
      </c>
      <c r="F261" s="74" t="s">
        <v>6761</v>
      </c>
      <c r="G261" s="74" t="s">
        <v>4920</v>
      </c>
      <c r="H261" s="74" t="s">
        <v>5200</v>
      </c>
      <c r="I261" s="74" t="s">
        <v>24</v>
      </c>
      <c r="J261" s="74" t="s">
        <v>73</v>
      </c>
      <c r="K261" s="74" t="s">
        <v>6750</v>
      </c>
      <c r="L261" s="74" t="s">
        <v>310</v>
      </c>
    </row>
    <row r="262" spans="1:12" ht="21.95" customHeight="1">
      <c r="A262" s="149" t="s">
        <v>653</v>
      </c>
      <c r="B262" s="147" t="s">
        <v>117</v>
      </c>
      <c r="C262" s="148">
        <v>46018</v>
      </c>
      <c r="D262" s="147" t="s">
        <v>4894</v>
      </c>
      <c r="E262" s="147"/>
      <c r="F262" s="74"/>
      <c r="G262" s="74" t="s">
        <v>4920</v>
      </c>
      <c r="H262" s="74" t="s">
        <v>5201</v>
      </c>
      <c r="I262" s="74" t="s">
        <v>30</v>
      </c>
      <c r="J262" s="74" t="s">
        <v>126</v>
      </c>
      <c r="K262" s="74" t="s">
        <v>6750</v>
      </c>
      <c r="L262" s="74" t="s">
        <v>310</v>
      </c>
    </row>
    <row r="263" spans="1:12" ht="21.95" customHeight="1">
      <c r="A263" s="149" t="s">
        <v>1202</v>
      </c>
      <c r="B263" s="147" t="s">
        <v>117</v>
      </c>
      <c r="C263" s="148">
        <v>46039</v>
      </c>
      <c r="D263" s="147" t="s">
        <v>4894</v>
      </c>
      <c r="E263" s="147"/>
      <c r="F263" s="74"/>
      <c r="G263" s="74" t="s">
        <v>4920</v>
      </c>
      <c r="H263" s="74" t="s">
        <v>5202</v>
      </c>
      <c r="I263" s="74" t="s">
        <v>112</v>
      </c>
      <c r="J263" s="74" t="s">
        <v>538</v>
      </c>
      <c r="K263" s="74" t="s">
        <v>387</v>
      </c>
      <c r="L263" s="74" t="s">
        <v>31</v>
      </c>
    </row>
    <row r="264" spans="1:12" ht="21.95" customHeight="1">
      <c r="A264" s="149" t="s">
        <v>1204</v>
      </c>
      <c r="B264" s="147" t="s">
        <v>117</v>
      </c>
      <c r="C264" s="148">
        <v>46039</v>
      </c>
      <c r="D264" s="147" t="s">
        <v>4894</v>
      </c>
      <c r="E264" s="147"/>
      <c r="F264" s="74"/>
      <c r="G264" s="74" t="s">
        <v>4920</v>
      </c>
      <c r="H264" s="74" t="s">
        <v>5203</v>
      </c>
      <c r="I264" s="74" t="s">
        <v>169</v>
      </c>
      <c r="J264" s="74" t="s">
        <v>538</v>
      </c>
      <c r="K264" s="74" t="s">
        <v>387</v>
      </c>
      <c r="L264" s="74" t="s">
        <v>31</v>
      </c>
    </row>
    <row r="265" spans="1:12" ht="21.95" customHeight="1">
      <c r="A265" s="149" t="s">
        <v>1219</v>
      </c>
      <c r="B265" s="147" t="s">
        <v>117</v>
      </c>
      <c r="C265" s="148">
        <v>46039</v>
      </c>
      <c r="D265" s="147" t="s">
        <v>4871</v>
      </c>
      <c r="E265" s="147" t="s">
        <v>4903</v>
      </c>
      <c r="F265" s="74"/>
      <c r="G265" s="74" t="s">
        <v>4920</v>
      </c>
      <c r="H265" s="74" t="s">
        <v>5204</v>
      </c>
      <c r="I265" s="74" t="s">
        <v>520</v>
      </c>
      <c r="J265" s="74" t="s">
        <v>36</v>
      </c>
      <c r="K265" s="74" t="s">
        <v>6750</v>
      </c>
      <c r="L265" s="74" t="s">
        <v>31</v>
      </c>
    </row>
    <row r="266" spans="1:12" ht="21.95" customHeight="1">
      <c r="A266" s="149" t="s">
        <v>6148</v>
      </c>
      <c r="B266" s="147" t="s">
        <v>117</v>
      </c>
      <c r="C266" s="148">
        <v>46053</v>
      </c>
      <c r="D266" s="147" t="s">
        <v>4871</v>
      </c>
      <c r="E266" s="147"/>
      <c r="F266" s="74" t="s">
        <v>6767</v>
      </c>
      <c r="G266" s="74" t="s">
        <v>4920</v>
      </c>
      <c r="H266" s="74" t="s">
        <v>5205</v>
      </c>
      <c r="I266" s="74" t="s">
        <v>63</v>
      </c>
      <c r="J266" s="74" t="s">
        <v>36</v>
      </c>
      <c r="K266" s="74" t="s">
        <v>6750</v>
      </c>
      <c r="L266" s="74" t="s">
        <v>1591</v>
      </c>
    </row>
    <row r="267" spans="1:12" ht="21.95" customHeight="1">
      <c r="A267" s="149" t="s">
        <v>6149</v>
      </c>
      <c r="B267" s="147" t="s">
        <v>117</v>
      </c>
      <c r="C267" s="148">
        <v>45997</v>
      </c>
      <c r="D267" s="147" t="s">
        <v>4894</v>
      </c>
      <c r="E267" s="147"/>
      <c r="F267" s="74" t="s">
        <v>4896</v>
      </c>
      <c r="G267" s="74" t="s">
        <v>4920</v>
      </c>
      <c r="H267" s="74" t="s">
        <v>5206</v>
      </c>
      <c r="I267" s="74" t="s">
        <v>112</v>
      </c>
      <c r="J267" s="74" t="s">
        <v>196</v>
      </c>
      <c r="K267" s="74" t="s">
        <v>6750</v>
      </c>
      <c r="L267" s="74" t="s">
        <v>310</v>
      </c>
    </row>
    <row r="268" spans="1:12" ht="21.95" customHeight="1">
      <c r="A268" s="149" t="s">
        <v>6150</v>
      </c>
      <c r="B268" s="147" t="s">
        <v>4893</v>
      </c>
      <c r="C268" s="148">
        <v>46053</v>
      </c>
      <c r="D268" s="147" t="s">
        <v>4894</v>
      </c>
      <c r="E268" s="147"/>
      <c r="F268" s="74" t="s">
        <v>6764</v>
      </c>
      <c r="G268" s="74" t="s">
        <v>4920</v>
      </c>
      <c r="H268" s="74" t="s">
        <v>5207</v>
      </c>
      <c r="I268" s="74" t="s">
        <v>63</v>
      </c>
      <c r="J268" s="74" t="s">
        <v>126</v>
      </c>
      <c r="K268" s="74" t="s">
        <v>6750</v>
      </c>
      <c r="L268" s="74" t="s">
        <v>1708</v>
      </c>
    </row>
    <row r="269" spans="1:12" ht="21.95" customHeight="1">
      <c r="A269" s="149" t="s">
        <v>6151</v>
      </c>
      <c r="B269" s="147" t="s">
        <v>4893</v>
      </c>
      <c r="C269" s="148">
        <v>46046</v>
      </c>
      <c r="D269" s="147" t="s">
        <v>4894</v>
      </c>
      <c r="E269" s="147"/>
      <c r="F269" s="74" t="s">
        <v>6764</v>
      </c>
      <c r="G269" s="74" t="s">
        <v>4920</v>
      </c>
      <c r="H269" s="74" t="s">
        <v>5208</v>
      </c>
      <c r="I269" s="74" t="s">
        <v>632</v>
      </c>
      <c r="J269" s="74" t="s">
        <v>196</v>
      </c>
      <c r="K269" s="74" t="s">
        <v>6750</v>
      </c>
      <c r="L269" s="74" t="s">
        <v>310</v>
      </c>
    </row>
    <row r="270" spans="1:12" ht="21.95" customHeight="1">
      <c r="A270" s="149" t="s">
        <v>6152</v>
      </c>
      <c r="B270" s="147" t="s">
        <v>4893</v>
      </c>
      <c r="C270" s="148">
        <v>46046</v>
      </c>
      <c r="D270" s="147" t="s">
        <v>4871</v>
      </c>
      <c r="E270" s="147" t="s">
        <v>4904</v>
      </c>
      <c r="F270" s="74"/>
      <c r="G270" s="74" t="s">
        <v>4920</v>
      </c>
      <c r="H270" s="74" t="s">
        <v>5209</v>
      </c>
      <c r="I270" s="74" t="s">
        <v>616</v>
      </c>
      <c r="J270" s="74" t="s">
        <v>46</v>
      </c>
      <c r="K270" s="74" t="s">
        <v>6750</v>
      </c>
      <c r="L270" s="74" t="s">
        <v>31</v>
      </c>
    </row>
    <row r="271" spans="1:12" ht="21.95" customHeight="1">
      <c r="A271" s="149" t="s">
        <v>6153</v>
      </c>
      <c r="B271" s="147" t="s">
        <v>4893</v>
      </c>
      <c r="C271" s="148">
        <v>46039</v>
      </c>
      <c r="D271" s="147" t="s">
        <v>4894</v>
      </c>
      <c r="E271" s="147"/>
      <c r="F271" s="74"/>
      <c r="G271" s="74" t="s">
        <v>4920</v>
      </c>
      <c r="H271" s="74" t="s">
        <v>5210</v>
      </c>
      <c r="I271" s="74" t="s">
        <v>656</v>
      </c>
      <c r="J271" s="74" t="s">
        <v>36</v>
      </c>
      <c r="K271" s="74" t="s">
        <v>6750</v>
      </c>
      <c r="L271" s="74" t="s">
        <v>2173</v>
      </c>
    </row>
    <row r="272" spans="1:12" ht="21.95" customHeight="1">
      <c r="A272" s="149" t="s">
        <v>6154</v>
      </c>
      <c r="B272" s="147" t="s">
        <v>4893</v>
      </c>
      <c r="C272" s="148">
        <v>46025</v>
      </c>
      <c r="D272" s="147" t="s">
        <v>4871</v>
      </c>
      <c r="E272" s="147"/>
      <c r="F272" s="74" t="s">
        <v>6789</v>
      </c>
      <c r="G272" s="74" t="s">
        <v>4920</v>
      </c>
      <c r="H272" s="74" t="s">
        <v>5211</v>
      </c>
      <c r="I272" s="74" t="s">
        <v>1098</v>
      </c>
      <c r="J272" s="74" t="s">
        <v>36</v>
      </c>
      <c r="K272" s="74" t="s">
        <v>6750</v>
      </c>
      <c r="L272" s="74" t="s">
        <v>2203</v>
      </c>
    </row>
    <row r="273" spans="1:12" ht="21.95" customHeight="1">
      <c r="A273" s="149" t="s">
        <v>2363</v>
      </c>
      <c r="B273" s="147" t="s">
        <v>4893</v>
      </c>
      <c r="C273" s="148">
        <v>46025</v>
      </c>
      <c r="D273" s="147" t="s">
        <v>4894</v>
      </c>
      <c r="E273" s="147"/>
      <c r="F273" s="74" t="s">
        <v>5995</v>
      </c>
      <c r="G273" s="74" t="s">
        <v>4920</v>
      </c>
      <c r="H273" s="74" t="s">
        <v>5212</v>
      </c>
      <c r="I273" s="74" t="s">
        <v>63</v>
      </c>
      <c r="J273" s="74" t="s">
        <v>46</v>
      </c>
      <c r="K273" s="74" t="s">
        <v>6750</v>
      </c>
      <c r="L273" s="74" t="s">
        <v>31</v>
      </c>
    </row>
    <row r="274" spans="1:12" ht="21.95" customHeight="1">
      <c r="A274" s="149" t="s">
        <v>2381</v>
      </c>
      <c r="B274" s="147" t="s">
        <v>4893</v>
      </c>
      <c r="C274" s="148">
        <v>46025</v>
      </c>
      <c r="D274" s="147" t="s">
        <v>4894</v>
      </c>
      <c r="E274" s="147"/>
      <c r="F274" s="74" t="s">
        <v>5995</v>
      </c>
      <c r="G274" s="74" t="s">
        <v>4920</v>
      </c>
      <c r="H274" s="74" t="s">
        <v>5213</v>
      </c>
      <c r="I274" s="74" t="s">
        <v>2207</v>
      </c>
      <c r="J274" s="74" t="s">
        <v>250</v>
      </c>
      <c r="K274" s="74" t="s">
        <v>6750</v>
      </c>
      <c r="L274" s="74" t="s">
        <v>310</v>
      </c>
    </row>
    <row r="275" spans="1:12" ht="21.95" customHeight="1">
      <c r="A275" s="149" t="s">
        <v>6155</v>
      </c>
      <c r="B275" s="147" t="s">
        <v>4893</v>
      </c>
      <c r="C275" s="148">
        <v>45997</v>
      </c>
      <c r="D275" s="147" t="s">
        <v>4894</v>
      </c>
      <c r="E275" s="147"/>
      <c r="F275" s="74" t="s">
        <v>6803</v>
      </c>
      <c r="G275" s="74" t="s">
        <v>4920</v>
      </c>
      <c r="H275" s="74" t="s">
        <v>5214</v>
      </c>
      <c r="I275" s="74" t="s">
        <v>2614</v>
      </c>
      <c r="J275" s="74" t="s">
        <v>46</v>
      </c>
      <c r="K275" s="74" t="s">
        <v>6750</v>
      </c>
      <c r="L275" s="74" t="s">
        <v>2615</v>
      </c>
    </row>
    <row r="276" spans="1:12" ht="21.95" customHeight="1">
      <c r="A276" s="149" t="s">
        <v>6156</v>
      </c>
      <c r="B276" s="147" t="s">
        <v>4893</v>
      </c>
      <c r="C276" s="148">
        <v>46081</v>
      </c>
      <c r="D276" s="147" t="s">
        <v>4894</v>
      </c>
      <c r="E276" s="147"/>
      <c r="F276" s="74" t="s">
        <v>5995</v>
      </c>
      <c r="G276" s="74" t="s">
        <v>4920</v>
      </c>
      <c r="H276" s="74" t="s">
        <v>5215</v>
      </c>
      <c r="I276" s="74" t="s">
        <v>63</v>
      </c>
      <c r="J276" s="74" t="s">
        <v>36</v>
      </c>
      <c r="K276" s="74" t="s">
        <v>6750</v>
      </c>
      <c r="L276" s="74" t="s">
        <v>2623</v>
      </c>
    </row>
    <row r="277" spans="1:12" ht="21.95" customHeight="1">
      <c r="A277" s="149" t="s">
        <v>2673</v>
      </c>
      <c r="B277" s="147" t="s">
        <v>4893</v>
      </c>
      <c r="C277" s="148">
        <v>46060</v>
      </c>
      <c r="D277" s="147" t="s">
        <v>4894</v>
      </c>
      <c r="E277" s="147"/>
      <c r="F277" s="74" t="s">
        <v>6824</v>
      </c>
      <c r="G277" s="74" t="s">
        <v>4920</v>
      </c>
      <c r="H277" s="74" t="s">
        <v>5216</v>
      </c>
      <c r="I277" s="74" t="s">
        <v>63</v>
      </c>
      <c r="J277" s="74" t="s">
        <v>243</v>
      </c>
      <c r="K277" s="74" t="s">
        <v>387</v>
      </c>
      <c r="L277" s="74" t="s">
        <v>2672</v>
      </c>
    </row>
    <row r="278" spans="1:12" ht="21.95" customHeight="1">
      <c r="A278" s="149" t="s">
        <v>2730</v>
      </c>
      <c r="B278" s="147" t="s">
        <v>4893</v>
      </c>
      <c r="C278" s="148">
        <v>45997</v>
      </c>
      <c r="D278" s="147"/>
      <c r="E278" s="147"/>
      <c r="F278" s="74" t="s">
        <v>6807</v>
      </c>
      <c r="G278" s="74" t="s">
        <v>4920</v>
      </c>
      <c r="H278" s="74" t="s">
        <v>5217</v>
      </c>
      <c r="I278" s="74" t="s">
        <v>169</v>
      </c>
      <c r="J278" s="74" t="s">
        <v>36</v>
      </c>
      <c r="K278" s="74" t="s">
        <v>6750</v>
      </c>
      <c r="L278" s="74" t="s">
        <v>2729</v>
      </c>
    </row>
    <row r="279" spans="1:12" ht="21.95" customHeight="1">
      <c r="A279" s="149" t="s">
        <v>2776</v>
      </c>
      <c r="B279" s="147" t="s">
        <v>4893</v>
      </c>
      <c r="C279" s="148">
        <v>46039</v>
      </c>
      <c r="D279" s="147" t="s">
        <v>4871</v>
      </c>
      <c r="E279" s="147" t="s">
        <v>4904</v>
      </c>
      <c r="F279" s="74" t="s">
        <v>6828</v>
      </c>
      <c r="G279" s="74" t="s">
        <v>4920</v>
      </c>
      <c r="H279" s="74" t="s">
        <v>5218</v>
      </c>
      <c r="I279" s="74" t="s">
        <v>129</v>
      </c>
      <c r="J279" s="74" t="s">
        <v>36</v>
      </c>
      <c r="K279" s="74" t="s">
        <v>6750</v>
      </c>
      <c r="L279" s="74" t="s">
        <v>2775</v>
      </c>
    </row>
    <row r="280" spans="1:12" ht="21.95" customHeight="1">
      <c r="A280" s="149" t="s">
        <v>6157</v>
      </c>
      <c r="B280" s="147" t="s">
        <v>4893</v>
      </c>
      <c r="C280" s="148">
        <v>46039</v>
      </c>
      <c r="D280" s="147" t="s">
        <v>4871</v>
      </c>
      <c r="E280" s="147"/>
      <c r="F280" s="74" t="s">
        <v>6832</v>
      </c>
      <c r="G280" s="74" t="s">
        <v>4920</v>
      </c>
      <c r="H280" s="74" t="s">
        <v>5219</v>
      </c>
      <c r="I280" s="74" t="s">
        <v>112</v>
      </c>
      <c r="J280" s="74" t="s">
        <v>250</v>
      </c>
      <c r="K280" s="74" t="s">
        <v>6750</v>
      </c>
      <c r="L280" s="74" t="s">
        <v>2820</v>
      </c>
    </row>
    <row r="281" spans="1:12" ht="21.95" customHeight="1">
      <c r="A281" s="149" t="s">
        <v>6158</v>
      </c>
      <c r="B281" s="147" t="s">
        <v>4893</v>
      </c>
      <c r="C281" s="148">
        <v>46039</v>
      </c>
      <c r="D281" s="147" t="s">
        <v>4871</v>
      </c>
      <c r="E281" s="147" t="s">
        <v>4903</v>
      </c>
      <c r="F281" s="74" t="s">
        <v>6808</v>
      </c>
      <c r="G281" s="74" t="s">
        <v>4920</v>
      </c>
      <c r="H281" s="74" t="s">
        <v>5220</v>
      </c>
      <c r="I281" s="74" t="s">
        <v>174</v>
      </c>
      <c r="J281" s="74" t="s">
        <v>36</v>
      </c>
      <c r="K281" s="74" t="s">
        <v>6750</v>
      </c>
      <c r="L281" s="74" t="s">
        <v>2823</v>
      </c>
    </row>
    <row r="282" spans="1:12" ht="21.95" customHeight="1">
      <c r="A282" s="149" t="s">
        <v>6159</v>
      </c>
      <c r="B282" s="147" t="s">
        <v>4893</v>
      </c>
      <c r="C282" s="148">
        <v>46039</v>
      </c>
      <c r="D282" s="147" t="s">
        <v>4894</v>
      </c>
      <c r="E282" s="147"/>
      <c r="F282" s="74" t="s">
        <v>6801</v>
      </c>
      <c r="G282" s="74" t="s">
        <v>4920</v>
      </c>
      <c r="H282" s="74" t="s">
        <v>5221</v>
      </c>
      <c r="I282" s="74" t="s">
        <v>174</v>
      </c>
      <c r="J282" s="74" t="s">
        <v>36</v>
      </c>
      <c r="K282" s="74" t="s">
        <v>6750</v>
      </c>
      <c r="L282" s="74" t="s">
        <v>2829</v>
      </c>
    </row>
    <row r="283" spans="1:12" ht="21.95" customHeight="1">
      <c r="A283" s="149" t="s">
        <v>6160</v>
      </c>
      <c r="B283" s="147" t="s">
        <v>4893</v>
      </c>
      <c r="C283" s="148">
        <v>46039</v>
      </c>
      <c r="D283" s="147" t="s">
        <v>4894</v>
      </c>
      <c r="E283" s="147"/>
      <c r="F283" s="74" t="s">
        <v>6833</v>
      </c>
      <c r="G283" s="74" t="s">
        <v>4920</v>
      </c>
      <c r="H283" s="74" t="s">
        <v>5222</v>
      </c>
      <c r="I283" s="74" t="s">
        <v>24</v>
      </c>
      <c r="J283" s="74" t="s">
        <v>538</v>
      </c>
      <c r="K283" s="74" t="s">
        <v>387</v>
      </c>
      <c r="L283" s="74" t="s">
        <v>2886</v>
      </c>
    </row>
    <row r="284" spans="1:12" ht="21.95" customHeight="1">
      <c r="A284" s="149" t="s">
        <v>6161</v>
      </c>
      <c r="B284" s="147" t="s">
        <v>4893</v>
      </c>
      <c r="C284" s="148">
        <v>46032</v>
      </c>
      <c r="D284" s="147" t="s">
        <v>4894</v>
      </c>
      <c r="E284" s="147"/>
      <c r="F284" s="74" t="s">
        <v>4896</v>
      </c>
      <c r="G284" s="74" t="s">
        <v>4920</v>
      </c>
      <c r="H284" s="74" t="s">
        <v>5223</v>
      </c>
      <c r="I284" s="74" t="s">
        <v>30</v>
      </c>
      <c r="J284" s="74" t="s">
        <v>538</v>
      </c>
      <c r="K284" s="74" t="s">
        <v>387</v>
      </c>
      <c r="L284" s="74" t="s">
        <v>2922</v>
      </c>
    </row>
    <row r="285" spans="1:12" ht="21.95" customHeight="1">
      <c r="A285" s="149" t="s">
        <v>3014</v>
      </c>
      <c r="B285" s="147" t="s">
        <v>4893</v>
      </c>
      <c r="C285" s="148">
        <v>45997</v>
      </c>
      <c r="D285" s="147" t="s">
        <v>4894</v>
      </c>
      <c r="E285" s="147"/>
      <c r="F285" s="74" t="s">
        <v>4896</v>
      </c>
      <c r="G285" s="74" t="s">
        <v>4920</v>
      </c>
      <c r="H285" s="74" t="s">
        <v>5224</v>
      </c>
      <c r="I285" s="74" t="s">
        <v>63</v>
      </c>
      <c r="J285" s="74" t="s">
        <v>416</v>
      </c>
      <c r="K285" s="74" t="s">
        <v>387</v>
      </c>
      <c r="L285" s="74" t="s">
        <v>3002</v>
      </c>
    </row>
    <row r="286" spans="1:12" ht="21.95" customHeight="1">
      <c r="A286" s="149" t="s">
        <v>3168</v>
      </c>
      <c r="B286" s="147" t="s">
        <v>4893</v>
      </c>
      <c r="C286" s="148">
        <v>46032</v>
      </c>
      <c r="D286" s="147"/>
      <c r="E286" s="147" t="s">
        <v>4904</v>
      </c>
      <c r="F286" s="74" t="s">
        <v>6836</v>
      </c>
      <c r="G286" s="74" t="s">
        <v>4920</v>
      </c>
      <c r="H286" s="74" t="s">
        <v>5225</v>
      </c>
      <c r="I286" s="74" t="s">
        <v>174</v>
      </c>
      <c r="J286" s="74" t="s">
        <v>46</v>
      </c>
      <c r="K286" s="74" t="s">
        <v>6750</v>
      </c>
      <c r="L286" s="74" t="s">
        <v>3166</v>
      </c>
    </row>
    <row r="287" spans="1:12" ht="21.95" customHeight="1">
      <c r="A287" s="149" t="s">
        <v>3230</v>
      </c>
      <c r="B287" s="147" t="s">
        <v>4893</v>
      </c>
      <c r="C287" s="148">
        <v>46039</v>
      </c>
      <c r="D287" s="147" t="s">
        <v>4894</v>
      </c>
      <c r="E287" s="147"/>
      <c r="F287" s="74"/>
      <c r="G287" s="74" t="s">
        <v>4920</v>
      </c>
      <c r="H287" s="74" t="s">
        <v>5226</v>
      </c>
      <c r="I287" s="74" t="s">
        <v>63</v>
      </c>
      <c r="J287" s="74" t="s">
        <v>126</v>
      </c>
      <c r="K287" s="74" t="s">
        <v>6750</v>
      </c>
      <c r="L287" s="74" t="s">
        <v>3002</v>
      </c>
    </row>
    <row r="288" spans="1:12" ht="21.95" customHeight="1">
      <c r="A288" s="149" t="s">
        <v>3302</v>
      </c>
      <c r="B288" s="147" t="s">
        <v>4893</v>
      </c>
      <c r="C288" s="148">
        <v>46032</v>
      </c>
      <c r="D288" s="147"/>
      <c r="E288" s="147" t="s">
        <v>4915</v>
      </c>
      <c r="F288" s="74" t="s">
        <v>6837</v>
      </c>
      <c r="G288" s="74" t="s">
        <v>4920</v>
      </c>
      <c r="H288" s="74" t="s">
        <v>5227</v>
      </c>
      <c r="I288" s="74" t="s">
        <v>174</v>
      </c>
      <c r="J288" s="74" t="s">
        <v>36</v>
      </c>
      <c r="K288" s="74" t="s">
        <v>6750</v>
      </c>
      <c r="L288" s="74" t="s">
        <v>3301</v>
      </c>
    </row>
    <row r="289" spans="1:12" ht="21.95" customHeight="1">
      <c r="A289" s="149" t="s">
        <v>3311</v>
      </c>
      <c r="B289" s="147" t="s">
        <v>4893</v>
      </c>
      <c r="C289" s="148">
        <v>45997</v>
      </c>
      <c r="D289" s="147" t="s">
        <v>4894</v>
      </c>
      <c r="E289" s="147"/>
      <c r="F289" s="74"/>
      <c r="G289" s="74" t="s">
        <v>4920</v>
      </c>
      <c r="H289" s="74" t="s">
        <v>5228</v>
      </c>
      <c r="I289" s="74" t="s">
        <v>3308</v>
      </c>
      <c r="J289" s="74" t="s">
        <v>36</v>
      </c>
      <c r="K289" s="74" t="s">
        <v>6750</v>
      </c>
      <c r="L289" s="74" t="s">
        <v>3309</v>
      </c>
    </row>
    <row r="290" spans="1:12" ht="21.95" customHeight="1">
      <c r="A290" s="149" t="s">
        <v>3326</v>
      </c>
      <c r="B290" s="147" t="s">
        <v>4893</v>
      </c>
      <c r="C290" s="148">
        <v>46032</v>
      </c>
      <c r="D290" s="147" t="s">
        <v>4894</v>
      </c>
      <c r="E290" s="147"/>
      <c r="F290" s="74" t="s">
        <v>6838</v>
      </c>
      <c r="G290" s="74" t="s">
        <v>4920</v>
      </c>
      <c r="H290" s="74" t="s">
        <v>5229</v>
      </c>
      <c r="I290" s="74" t="s">
        <v>63</v>
      </c>
      <c r="J290" s="74" t="s">
        <v>196</v>
      </c>
      <c r="K290" s="74" t="s">
        <v>6750</v>
      </c>
      <c r="L290" s="74" t="s">
        <v>3325</v>
      </c>
    </row>
    <row r="291" spans="1:12" ht="21.95" customHeight="1">
      <c r="A291" s="149" t="s">
        <v>6162</v>
      </c>
      <c r="B291" s="147" t="s">
        <v>4893</v>
      </c>
      <c r="C291" s="148">
        <v>46060</v>
      </c>
      <c r="D291" s="147" t="s">
        <v>4871</v>
      </c>
      <c r="E291" s="147" t="s">
        <v>4904</v>
      </c>
      <c r="F291" s="74" t="s">
        <v>6840</v>
      </c>
      <c r="G291" s="74" t="s">
        <v>4920</v>
      </c>
      <c r="H291" s="74" t="s">
        <v>5230</v>
      </c>
      <c r="I291" s="74" t="s">
        <v>426</v>
      </c>
      <c r="J291" s="74" t="s">
        <v>3406</v>
      </c>
      <c r="K291" s="74" t="s">
        <v>387</v>
      </c>
      <c r="L291" s="74" t="s">
        <v>3405</v>
      </c>
    </row>
    <row r="292" spans="1:12" ht="21.95" customHeight="1">
      <c r="A292" s="149" t="s">
        <v>3627</v>
      </c>
      <c r="B292" s="147"/>
      <c r="C292" s="148"/>
      <c r="D292" s="147"/>
      <c r="E292" s="147"/>
      <c r="F292" s="74"/>
      <c r="G292" s="74" t="s">
        <v>6747</v>
      </c>
      <c r="H292" s="74" t="s">
        <v>5231</v>
      </c>
      <c r="I292" s="74" t="s">
        <v>536</v>
      </c>
      <c r="J292" s="74" t="s">
        <v>36</v>
      </c>
      <c r="K292" s="74" t="s">
        <v>6750</v>
      </c>
      <c r="L292" s="74" t="s">
        <v>3335</v>
      </c>
    </row>
    <row r="293" spans="1:12" ht="21.95" customHeight="1">
      <c r="A293" s="149" t="s">
        <v>6163</v>
      </c>
      <c r="B293" s="147"/>
      <c r="C293" s="148"/>
      <c r="D293" s="147"/>
      <c r="E293" s="147"/>
      <c r="F293" s="74"/>
      <c r="G293" s="74" t="s">
        <v>6747</v>
      </c>
      <c r="H293" s="74" t="s">
        <v>5232</v>
      </c>
      <c r="I293" s="74" t="s">
        <v>202</v>
      </c>
      <c r="J293" s="74" t="s">
        <v>36</v>
      </c>
      <c r="K293" s="74" t="s">
        <v>6750</v>
      </c>
      <c r="L293" s="74" t="s">
        <v>3738</v>
      </c>
    </row>
    <row r="294" spans="1:12" ht="21.95" customHeight="1">
      <c r="A294" s="149" t="s">
        <v>4057</v>
      </c>
      <c r="B294" s="147"/>
      <c r="C294" s="148"/>
      <c r="D294" s="147"/>
      <c r="E294" s="147"/>
      <c r="F294" s="74"/>
      <c r="G294" s="74" t="s">
        <v>6747</v>
      </c>
      <c r="H294" s="74" t="s">
        <v>5233</v>
      </c>
      <c r="I294" s="74" t="s">
        <v>63</v>
      </c>
      <c r="J294" s="74" t="s">
        <v>36</v>
      </c>
      <c r="K294" s="74" t="s">
        <v>6750</v>
      </c>
      <c r="L294" s="74" t="s">
        <v>4056</v>
      </c>
    </row>
    <row r="295" spans="1:12" ht="21.95" customHeight="1">
      <c r="A295" s="149" t="s">
        <v>4074</v>
      </c>
      <c r="B295" s="147"/>
      <c r="C295" s="148"/>
      <c r="D295" s="147"/>
      <c r="E295" s="147"/>
      <c r="F295" s="74"/>
      <c r="G295" s="74" t="s">
        <v>6747</v>
      </c>
      <c r="H295" s="74" t="s">
        <v>5234</v>
      </c>
      <c r="I295" s="74" t="s">
        <v>695</v>
      </c>
      <c r="J295" s="74" t="s">
        <v>46</v>
      </c>
      <c r="K295" s="74" t="s">
        <v>6750</v>
      </c>
      <c r="L295" s="74" t="s">
        <v>4073</v>
      </c>
    </row>
    <row r="296" spans="1:12" ht="21.95" customHeight="1">
      <c r="A296" s="149" t="s">
        <v>4090</v>
      </c>
      <c r="B296" s="147"/>
      <c r="C296" s="148"/>
      <c r="D296" s="147"/>
      <c r="E296" s="147"/>
      <c r="F296" s="74"/>
      <c r="G296" s="74" t="s">
        <v>6747</v>
      </c>
      <c r="H296" s="74" t="s">
        <v>5235</v>
      </c>
      <c r="I296" s="74" t="s">
        <v>410</v>
      </c>
      <c r="J296" s="74" t="s">
        <v>36</v>
      </c>
      <c r="K296" s="74" t="s">
        <v>6750</v>
      </c>
      <c r="L296" s="74" t="s">
        <v>4089</v>
      </c>
    </row>
    <row r="297" spans="1:12" ht="21.95" customHeight="1">
      <c r="A297" s="149" t="s">
        <v>4093</v>
      </c>
      <c r="B297" s="147"/>
      <c r="C297" s="148"/>
      <c r="D297" s="147"/>
      <c r="E297" s="147"/>
      <c r="F297" s="74"/>
      <c r="G297" s="74" t="s">
        <v>6747</v>
      </c>
      <c r="H297" s="74" t="s">
        <v>5236</v>
      </c>
      <c r="I297" s="74" t="s">
        <v>63</v>
      </c>
      <c r="J297" s="74" t="s">
        <v>73</v>
      </c>
      <c r="K297" s="74" t="s">
        <v>6750</v>
      </c>
      <c r="L297" s="74" t="s">
        <v>4092</v>
      </c>
    </row>
    <row r="298" spans="1:12" ht="21.95" customHeight="1">
      <c r="A298" s="149" t="s">
        <v>4118</v>
      </c>
      <c r="B298" s="147"/>
      <c r="C298" s="148"/>
      <c r="D298" s="147"/>
      <c r="E298" s="147"/>
      <c r="F298" s="74"/>
      <c r="G298" s="74" t="s">
        <v>6747</v>
      </c>
      <c r="H298" s="74" t="s">
        <v>5237</v>
      </c>
      <c r="I298" s="74" t="s">
        <v>63</v>
      </c>
      <c r="J298" s="74" t="s">
        <v>538</v>
      </c>
      <c r="K298" s="74" t="s">
        <v>387</v>
      </c>
      <c r="L298" s="74" t="s">
        <v>4117</v>
      </c>
    </row>
    <row r="299" spans="1:12" ht="21.95" customHeight="1">
      <c r="A299" s="149" t="s">
        <v>4137</v>
      </c>
      <c r="B299" s="147"/>
      <c r="C299" s="148"/>
      <c r="D299" s="147"/>
      <c r="E299" s="147"/>
      <c r="F299" s="74"/>
      <c r="G299" s="74" t="s">
        <v>6747</v>
      </c>
      <c r="H299" s="74" t="s">
        <v>5238</v>
      </c>
      <c r="I299" s="74" t="s">
        <v>63</v>
      </c>
      <c r="J299" s="74" t="s">
        <v>73</v>
      </c>
      <c r="K299" s="74" t="s">
        <v>6750</v>
      </c>
      <c r="L299" s="74" t="s">
        <v>4136</v>
      </c>
    </row>
    <row r="300" spans="1:12" ht="21.95" customHeight="1">
      <c r="A300" s="149" t="s">
        <v>4167</v>
      </c>
      <c r="B300" s="147"/>
      <c r="C300" s="148"/>
      <c r="D300" s="147"/>
      <c r="E300" s="147"/>
      <c r="F300" s="74"/>
      <c r="G300" s="74" t="s">
        <v>6747</v>
      </c>
      <c r="H300" s="74" t="s">
        <v>5239</v>
      </c>
      <c r="I300" s="74" t="s">
        <v>4165</v>
      </c>
      <c r="J300" s="74" t="s">
        <v>46</v>
      </c>
      <c r="K300" s="74" t="s">
        <v>6750</v>
      </c>
      <c r="L300" s="74" t="s">
        <v>4166</v>
      </c>
    </row>
    <row r="301" spans="1:12" ht="21.95" customHeight="1">
      <c r="A301" s="149" t="s">
        <v>4180</v>
      </c>
      <c r="B301" s="147"/>
      <c r="C301" s="148"/>
      <c r="D301" s="147"/>
      <c r="E301" s="147"/>
      <c r="F301" s="74"/>
      <c r="G301" s="74" t="s">
        <v>6747</v>
      </c>
      <c r="H301" s="74" t="s">
        <v>5240</v>
      </c>
      <c r="I301" s="74" t="s">
        <v>63</v>
      </c>
      <c r="J301" s="74" t="s">
        <v>36</v>
      </c>
      <c r="K301" s="74" t="s">
        <v>6750</v>
      </c>
      <c r="L301" s="74" t="s">
        <v>4179</v>
      </c>
    </row>
    <row r="302" spans="1:12" ht="21.95" customHeight="1">
      <c r="A302" s="149" t="s">
        <v>4248</v>
      </c>
      <c r="B302" s="147"/>
      <c r="C302" s="148"/>
      <c r="D302" s="147"/>
      <c r="E302" s="147"/>
      <c r="F302" s="74"/>
      <c r="G302" s="74" t="s">
        <v>6747</v>
      </c>
      <c r="H302" s="74" t="s">
        <v>5241</v>
      </c>
      <c r="I302" s="74" t="s">
        <v>112</v>
      </c>
      <c r="J302" s="74" t="s">
        <v>36</v>
      </c>
      <c r="K302" s="74" t="s">
        <v>6750</v>
      </c>
      <c r="L302" s="74" t="s">
        <v>4247</v>
      </c>
    </row>
    <row r="303" spans="1:12" ht="21.95" customHeight="1">
      <c r="A303" s="149" t="s">
        <v>4275</v>
      </c>
      <c r="B303" s="147"/>
      <c r="C303" s="148"/>
      <c r="D303" s="147"/>
      <c r="E303" s="147"/>
      <c r="F303" s="74"/>
      <c r="G303" s="74" t="s">
        <v>6747</v>
      </c>
      <c r="H303" s="74" t="s">
        <v>5242</v>
      </c>
      <c r="I303" s="74" t="s">
        <v>63</v>
      </c>
      <c r="J303" s="74" t="s">
        <v>196</v>
      </c>
      <c r="K303" s="74" t="s">
        <v>6750</v>
      </c>
      <c r="L303" s="74" t="s">
        <v>4274</v>
      </c>
    </row>
    <row r="304" spans="1:12" ht="21.95" customHeight="1">
      <c r="A304" s="149" t="s">
        <v>4360</v>
      </c>
      <c r="B304" s="147"/>
      <c r="C304" s="148"/>
      <c r="D304" s="147"/>
      <c r="E304" s="147"/>
      <c r="F304" s="74"/>
      <c r="G304" s="74" t="s">
        <v>6747</v>
      </c>
      <c r="H304" s="74" t="s">
        <v>5243</v>
      </c>
      <c r="I304" s="74" t="s">
        <v>264</v>
      </c>
      <c r="J304" s="74" t="s">
        <v>36</v>
      </c>
      <c r="K304" s="74" t="s">
        <v>6750</v>
      </c>
      <c r="L304" s="74" t="s">
        <v>4359</v>
      </c>
    </row>
    <row r="305" spans="1:12" ht="21.95" customHeight="1">
      <c r="A305" s="149" t="s">
        <v>4363</v>
      </c>
      <c r="B305" s="147"/>
      <c r="C305" s="148"/>
      <c r="D305" s="147"/>
      <c r="E305" s="147"/>
      <c r="F305" s="74"/>
      <c r="G305" s="74" t="s">
        <v>6747</v>
      </c>
      <c r="H305" s="74" t="s">
        <v>5244</v>
      </c>
      <c r="I305" s="74" t="s">
        <v>112</v>
      </c>
      <c r="J305" s="74" t="s">
        <v>36</v>
      </c>
      <c r="K305" s="74" t="s">
        <v>6750</v>
      </c>
      <c r="L305" s="74" t="s">
        <v>4362</v>
      </c>
    </row>
    <row r="306" spans="1:12" ht="21.95" customHeight="1">
      <c r="A306" s="149" t="s">
        <v>4398</v>
      </c>
      <c r="B306" s="147"/>
      <c r="C306" s="148"/>
      <c r="D306" s="147"/>
      <c r="E306" s="147"/>
      <c r="F306" s="74"/>
      <c r="G306" s="74" t="s">
        <v>6747</v>
      </c>
      <c r="H306" s="74" t="s">
        <v>5245</v>
      </c>
      <c r="I306" s="74" t="s">
        <v>63</v>
      </c>
      <c r="J306" s="74" t="s">
        <v>36</v>
      </c>
      <c r="K306" s="74" t="s">
        <v>6750</v>
      </c>
      <c r="L306" s="74" t="s">
        <v>4397</v>
      </c>
    </row>
    <row r="307" spans="1:12" ht="21.95" customHeight="1">
      <c r="A307" s="149" t="s">
        <v>4456</v>
      </c>
      <c r="B307" s="147"/>
      <c r="C307" s="148"/>
      <c r="D307" s="147"/>
      <c r="E307" s="147"/>
      <c r="F307" s="74"/>
      <c r="G307" s="74" t="s">
        <v>6747</v>
      </c>
      <c r="H307" s="74" t="s">
        <v>5246</v>
      </c>
      <c r="I307" s="74" t="s">
        <v>85</v>
      </c>
      <c r="J307" s="74" t="s">
        <v>36</v>
      </c>
      <c r="K307" s="74" t="s">
        <v>6750</v>
      </c>
      <c r="L307" s="74" t="s">
        <v>4455</v>
      </c>
    </row>
    <row r="308" spans="1:12" ht="21.95" customHeight="1">
      <c r="A308" s="149" t="s">
        <v>6164</v>
      </c>
      <c r="B308" s="147"/>
      <c r="C308" s="148"/>
      <c r="D308" s="147"/>
      <c r="E308" s="147"/>
      <c r="F308" s="74"/>
      <c r="G308" s="74" t="s">
        <v>6747</v>
      </c>
      <c r="H308" s="74" t="s">
        <v>5247</v>
      </c>
      <c r="I308" s="74" t="s">
        <v>63</v>
      </c>
      <c r="J308" s="74" t="s">
        <v>36</v>
      </c>
      <c r="K308" s="74" t="s">
        <v>6750</v>
      </c>
      <c r="L308" s="74" t="s">
        <v>4626</v>
      </c>
    </row>
    <row r="309" spans="1:12" ht="21.95" customHeight="1">
      <c r="A309" s="149" t="s">
        <v>6165</v>
      </c>
      <c r="B309" s="147"/>
      <c r="C309" s="148"/>
      <c r="D309" s="147"/>
      <c r="E309" s="147"/>
      <c r="F309" s="74"/>
      <c r="G309" s="74" t="s">
        <v>6747</v>
      </c>
      <c r="H309" s="74" t="s">
        <v>5248</v>
      </c>
      <c r="I309" s="74" t="s">
        <v>169</v>
      </c>
      <c r="J309" s="74" t="s">
        <v>3682</v>
      </c>
      <c r="K309" s="74" t="s">
        <v>387</v>
      </c>
      <c r="L309" s="74" t="s">
        <v>4812</v>
      </c>
    </row>
    <row r="310" spans="1:12" ht="21.95" customHeight="1">
      <c r="A310" s="149" t="s">
        <v>6166</v>
      </c>
      <c r="B310" s="147" t="s">
        <v>117</v>
      </c>
      <c r="C310" s="148">
        <v>46060</v>
      </c>
      <c r="D310" s="147" t="s">
        <v>4894</v>
      </c>
      <c r="E310" s="147"/>
      <c r="F310" s="74"/>
      <c r="G310" s="74" t="s">
        <v>4920</v>
      </c>
      <c r="H310" s="74" t="s">
        <v>5249</v>
      </c>
      <c r="I310" s="74" t="s">
        <v>68</v>
      </c>
      <c r="J310" s="74" t="s">
        <v>36</v>
      </c>
      <c r="K310" s="74" t="s">
        <v>6750</v>
      </c>
      <c r="L310" s="74" t="s">
        <v>31</v>
      </c>
    </row>
    <row r="311" spans="1:12" ht="21.95" customHeight="1">
      <c r="A311" s="149" t="s">
        <v>6167</v>
      </c>
      <c r="B311" s="147"/>
      <c r="C311" s="148"/>
      <c r="D311" s="147"/>
      <c r="E311" s="147"/>
      <c r="F311" s="74"/>
      <c r="G311" s="74" t="s">
        <v>6748</v>
      </c>
      <c r="H311" s="74" t="s">
        <v>5250</v>
      </c>
      <c r="I311" s="74" t="s">
        <v>30</v>
      </c>
      <c r="J311" s="74" t="s">
        <v>73</v>
      </c>
      <c r="K311" s="74" t="s">
        <v>6750</v>
      </c>
      <c r="L311" s="74" t="s">
        <v>31</v>
      </c>
    </row>
    <row r="312" spans="1:12" ht="21.95" customHeight="1">
      <c r="A312" s="149" t="s">
        <v>6168</v>
      </c>
      <c r="B312" s="147"/>
      <c r="C312" s="148"/>
      <c r="D312" s="147"/>
      <c r="E312" s="147"/>
      <c r="F312" s="74"/>
      <c r="G312" s="74" t="s">
        <v>6748</v>
      </c>
      <c r="H312" s="74" t="s">
        <v>5251</v>
      </c>
      <c r="I312" s="74" t="s">
        <v>125</v>
      </c>
      <c r="J312" s="74" t="s">
        <v>126</v>
      </c>
      <c r="K312" s="74" t="s">
        <v>6750</v>
      </c>
      <c r="L312" s="74" t="s">
        <v>31</v>
      </c>
    </row>
    <row r="313" spans="1:12" ht="21.95" customHeight="1">
      <c r="A313" s="149" t="s">
        <v>6169</v>
      </c>
      <c r="B313" s="147"/>
      <c r="C313" s="148"/>
      <c r="D313" s="147"/>
      <c r="E313" s="147"/>
      <c r="F313" s="74"/>
      <c r="G313" s="74" t="s">
        <v>6748</v>
      </c>
      <c r="H313" s="74" t="s">
        <v>5252</v>
      </c>
      <c r="I313" s="74" t="s">
        <v>112</v>
      </c>
      <c r="J313" s="74" t="s">
        <v>36</v>
      </c>
      <c r="K313" s="74" t="s">
        <v>6750</v>
      </c>
      <c r="L313" s="74" t="s">
        <v>31</v>
      </c>
    </row>
    <row r="314" spans="1:12" ht="21.95" customHeight="1">
      <c r="A314" s="149" t="s">
        <v>6170</v>
      </c>
      <c r="B314" s="147" t="s">
        <v>117</v>
      </c>
      <c r="C314" s="148">
        <v>46060</v>
      </c>
      <c r="D314" s="147" t="s">
        <v>4871</v>
      </c>
      <c r="E314" s="147"/>
      <c r="F314" s="74" t="s">
        <v>6755</v>
      </c>
      <c r="G314" s="74" t="s">
        <v>4920</v>
      </c>
      <c r="H314" s="74" t="s">
        <v>5253</v>
      </c>
      <c r="I314" s="74" t="s">
        <v>125</v>
      </c>
      <c r="J314" s="74" t="s">
        <v>36</v>
      </c>
      <c r="K314" s="74" t="s">
        <v>6750</v>
      </c>
      <c r="L314" s="74" t="s">
        <v>31</v>
      </c>
    </row>
    <row r="315" spans="1:12" ht="21.95" customHeight="1">
      <c r="A315" s="149" t="s">
        <v>157</v>
      </c>
      <c r="B315" s="147" t="s">
        <v>117</v>
      </c>
      <c r="C315" s="148">
        <v>46060</v>
      </c>
      <c r="D315" s="147" t="s">
        <v>4894</v>
      </c>
      <c r="E315" s="147"/>
      <c r="F315" s="74" t="s">
        <v>6757</v>
      </c>
      <c r="G315" s="74" t="s">
        <v>4920</v>
      </c>
      <c r="H315" s="74" t="s">
        <v>5254</v>
      </c>
      <c r="I315" s="74" t="s">
        <v>30</v>
      </c>
      <c r="J315" s="74" t="s">
        <v>36</v>
      </c>
      <c r="K315" s="74" t="s">
        <v>6750</v>
      </c>
      <c r="L315" s="74" t="s">
        <v>31</v>
      </c>
    </row>
    <row r="316" spans="1:12" ht="21.95" customHeight="1">
      <c r="A316" s="149" t="s">
        <v>6171</v>
      </c>
      <c r="B316" s="147" t="s">
        <v>117</v>
      </c>
      <c r="C316" s="148">
        <v>46060</v>
      </c>
      <c r="D316" s="147" t="s">
        <v>4871</v>
      </c>
      <c r="E316" s="147"/>
      <c r="F316" s="74" t="s">
        <v>6753</v>
      </c>
      <c r="G316" s="74" t="s">
        <v>4920</v>
      </c>
      <c r="H316" s="74" t="s">
        <v>5255</v>
      </c>
      <c r="I316" s="74" t="s">
        <v>30</v>
      </c>
      <c r="J316" s="74" t="s">
        <v>36</v>
      </c>
      <c r="K316" s="74" t="s">
        <v>6750</v>
      </c>
      <c r="L316" s="74" t="s">
        <v>31</v>
      </c>
    </row>
    <row r="317" spans="1:12" ht="21.95" customHeight="1">
      <c r="A317" s="149" t="s">
        <v>185</v>
      </c>
      <c r="B317" s="147"/>
      <c r="C317" s="148"/>
      <c r="D317" s="147"/>
      <c r="E317" s="147"/>
      <c r="F317" s="74"/>
      <c r="G317" s="74" t="s">
        <v>6748</v>
      </c>
      <c r="H317" s="74" t="s">
        <v>5256</v>
      </c>
      <c r="I317" s="74" t="s">
        <v>112</v>
      </c>
      <c r="J317" s="74" t="s">
        <v>126</v>
      </c>
      <c r="K317" s="74" t="s">
        <v>6750</v>
      </c>
      <c r="L317" s="74" t="s">
        <v>31</v>
      </c>
    </row>
    <row r="318" spans="1:12" ht="21.95" customHeight="1">
      <c r="A318" s="149" t="s">
        <v>203</v>
      </c>
      <c r="B318" s="147" t="s">
        <v>117</v>
      </c>
      <c r="C318" s="148">
        <v>46060</v>
      </c>
      <c r="D318" s="147" t="s">
        <v>4871</v>
      </c>
      <c r="E318" s="147"/>
      <c r="F318" s="74" t="s">
        <v>6758</v>
      </c>
      <c r="G318" s="74" t="s">
        <v>4920</v>
      </c>
      <c r="H318" s="74" t="s">
        <v>5257</v>
      </c>
      <c r="I318" s="74" t="s">
        <v>202</v>
      </c>
      <c r="J318" s="74" t="s">
        <v>36</v>
      </c>
      <c r="K318" s="74" t="s">
        <v>6750</v>
      </c>
      <c r="L318" s="74" t="s">
        <v>25</v>
      </c>
    </row>
    <row r="319" spans="1:12" ht="21.95" customHeight="1">
      <c r="A319" s="149" t="s">
        <v>213</v>
      </c>
      <c r="B319" s="147" t="s">
        <v>4893</v>
      </c>
      <c r="C319" s="148">
        <v>46067</v>
      </c>
      <c r="D319" s="147" t="s">
        <v>4894</v>
      </c>
      <c r="E319" s="147"/>
      <c r="F319" s="74" t="s">
        <v>5987</v>
      </c>
      <c r="G319" s="74" t="s">
        <v>4920</v>
      </c>
      <c r="H319" s="74" t="s">
        <v>5258</v>
      </c>
      <c r="I319" s="74" t="s">
        <v>85</v>
      </c>
      <c r="J319" s="74" t="s">
        <v>73</v>
      </c>
      <c r="K319" s="74" t="s">
        <v>6750</v>
      </c>
      <c r="L319" s="74" t="s">
        <v>31</v>
      </c>
    </row>
    <row r="320" spans="1:12" ht="21.95" customHeight="1">
      <c r="A320" s="149" t="s">
        <v>222</v>
      </c>
      <c r="B320" s="147" t="s">
        <v>117</v>
      </c>
      <c r="C320" s="148">
        <v>46060</v>
      </c>
      <c r="D320" s="147" t="s">
        <v>4894</v>
      </c>
      <c r="E320" s="147"/>
      <c r="F320" s="74" t="s">
        <v>6751</v>
      </c>
      <c r="G320" s="74" t="s">
        <v>4920</v>
      </c>
      <c r="H320" s="74" t="s">
        <v>5259</v>
      </c>
      <c r="I320" s="74" t="s">
        <v>63</v>
      </c>
      <c r="J320" s="74" t="s">
        <v>126</v>
      </c>
      <c r="K320" s="74" t="s">
        <v>6750</v>
      </c>
      <c r="L320" s="74" t="s">
        <v>31</v>
      </c>
    </row>
    <row r="321" spans="1:12" ht="21.95" customHeight="1">
      <c r="A321" s="149" t="s">
        <v>242</v>
      </c>
      <c r="B321" s="147" t="s">
        <v>117</v>
      </c>
      <c r="C321" s="148">
        <v>46060</v>
      </c>
      <c r="D321" s="147" t="s">
        <v>4894</v>
      </c>
      <c r="E321" s="147"/>
      <c r="F321" s="74" t="s">
        <v>4896</v>
      </c>
      <c r="G321" s="74" t="s">
        <v>4920</v>
      </c>
      <c r="H321" s="74" t="s">
        <v>5260</v>
      </c>
      <c r="I321" s="74" t="s">
        <v>240</v>
      </c>
      <c r="J321" s="74" t="s">
        <v>243</v>
      </c>
      <c r="K321" s="74" t="s">
        <v>30</v>
      </c>
      <c r="L321" s="74" t="s">
        <v>31</v>
      </c>
    </row>
    <row r="322" spans="1:12" ht="21.95" customHeight="1">
      <c r="A322" s="149" t="s">
        <v>249</v>
      </c>
      <c r="B322" s="147"/>
      <c r="C322" s="148"/>
      <c r="D322" s="147"/>
      <c r="E322" s="147"/>
      <c r="F322" s="74"/>
      <c r="G322" s="74" t="s">
        <v>6748</v>
      </c>
      <c r="H322" s="74" t="s">
        <v>5261</v>
      </c>
      <c r="I322" s="74" t="s">
        <v>63</v>
      </c>
      <c r="J322" s="74" t="s">
        <v>250</v>
      </c>
      <c r="K322" s="74" t="s">
        <v>6750</v>
      </c>
      <c r="L322" s="74" t="s">
        <v>247</v>
      </c>
    </row>
    <row r="323" spans="1:12" ht="21.95" customHeight="1">
      <c r="A323" s="149" t="s">
        <v>6172</v>
      </c>
      <c r="B323" s="147"/>
      <c r="C323" s="148"/>
      <c r="D323" s="147"/>
      <c r="E323" s="147"/>
      <c r="F323" s="74"/>
      <c r="G323" s="74" t="s">
        <v>6748</v>
      </c>
      <c r="H323" s="74" t="s">
        <v>4968</v>
      </c>
      <c r="I323" s="74" t="s">
        <v>261</v>
      </c>
      <c r="J323" s="74" t="s">
        <v>250</v>
      </c>
      <c r="K323" s="74" t="s">
        <v>6750</v>
      </c>
      <c r="L323" s="74" t="s">
        <v>31</v>
      </c>
    </row>
    <row r="324" spans="1:12" ht="21.95" customHeight="1">
      <c r="A324" s="149" t="s">
        <v>287</v>
      </c>
      <c r="B324" s="147"/>
      <c r="C324" s="148"/>
      <c r="D324" s="147"/>
      <c r="E324" s="147"/>
      <c r="F324" s="74"/>
      <c r="G324" s="74" t="s">
        <v>6748</v>
      </c>
      <c r="H324" s="74" t="s">
        <v>5262</v>
      </c>
      <c r="I324" s="74" t="s">
        <v>89</v>
      </c>
      <c r="J324" s="74" t="s">
        <v>288</v>
      </c>
      <c r="K324" s="74" t="s">
        <v>6750</v>
      </c>
      <c r="L324" s="74" t="s">
        <v>285</v>
      </c>
    </row>
    <row r="325" spans="1:12" ht="21.95" customHeight="1">
      <c r="A325" s="149" t="s">
        <v>6173</v>
      </c>
      <c r="B325" s="147"/>
      <c r="C325" s="148"/>
      <c r="D325" s="147"/>
      <c r="E325" s="147"/>
      <c r="F325" s="74"/>
      <c r="G325" s="74" t="s">
        <v>6748</v>
      </c>
      <c r="H325" s="74" t="s">
        <v>5263</v>
      </c>
      <c r="I325" s="74" t="s">
        <v>112</v>
      </c>
      <c r="J325" s="74" t="s">
        <v>126</v>
      </c>
      <c r="K325" s="74" t="s">
        <v>6750</v>
      </c>
      <c r="L325" s="74" t="s">
        <v>31</v>
      </c>
    </row>
    <row r="326" spans="1:12" ht="21.95" customHeight="1">
      <c r="A326" s="149" t="s">
        <v>6174</v>
      </c>
      <c r="B326" s="147" t="s">
        <v>117</v>
      </c>
      <c r="C326" s="148">
        <v>46067</v>
      </c>
      <c r="D326" s="147" t="s">
        <v>4871</v>
      </c>
      <c r="E326" s="147"/>
      <c r="F326" s="74" t="s">
        <v>4896</v>
      </c>
      <c r="G326" s="74" t="s">
        <v>4920</v>
      </c>
      <c r="H326" s="74" t="s">
        <v>5264</v>
      </c>
      <c r="I326" s="74" t="s">
        <v>313</v>
      </c>
      <c r="J326" s="74" t="s">
        <v>196</v>
      </c>
      <c r="K326" s="74" t="s">
        <v>6750</v>
      </c>
      <c r="L326" s="74" t="s">
        <v>31</v>
      </c>
    </row>
    <row r="327" spans="1:12" ht="21.95" customHeight="1">
      <c r="A327" s="149" t="s">
        <v>6175</v>
      </c>
      <c r="B327" s="147"/>
      <c r="C327" s="148"/>
      <c r="D327" s="147"/>
      <c r="E327" s="147"/>
      <c r="F327" s="74"/>
      <c r="G327" s="74" t="s">
        <v>6748</v>
      </c>
      <c r="H327" s="74" t="s">
        <v>5265</v>
      </c>
      <c r="I327" s="74" t="s">
        <v>174</v>
      </c>
      <c r="J327" s="74" t="s">
        <v>36</v>
      </c>
      <c r="K327" s="74" t="s">
        <v>6750</v>
      </c>
      <c r="L327" s="74" t="s">
        <v>31</v>
      </c>
    </row>
    <row r="328" spans="1:12" ht="21.95" customHeight="1">
      <c r="A328" s="149" t="s">
        <v>6176</v>
      </c>
      <c r="B328" s="147"/>
      <c r="C328" s="148"/>
      <c r="D328" s="147"/>
      <c r="E328" s="147"/>
      <c r="F328" s="74"/>
      <c r="G328" s="74" t="s">
        <v>6748</v>
      </c>
      <c r="H328" s="74" t="s">
        <v>5266</v>
      </c>
      <c r="I328" s="74" t="s">
        <v>63</v>
      </c>
      <c r="J328" s="74" t="s">
        <v>36</v>
      </c>
      <c r="K328" s="74" t="s">
        <v>6750</v>
      </c>
      <c r="L328" s="74" t="s">
        <v>310</v>
      </c>
    </row>
    <row r="329" spans="1:12" ht="21.95" customHeight="1">
      <c r="A329" s="149" t="s">
        <v>326</v>
      </c>
      <c r="B329" s="147" t="s">
        <v>117</v>
      </c>
      <c r="C329" s="148">
        <v>46067</v>
      </c>
      <c r="D329" s="147" t="s">
        <v>4894</v>
      </c>
      <c r="E329" s="147"/>
      <c r="F329" s="74"/>
      <c r="G329" s="74" t="s">
        <v>4920</v>
      </c>
      <c r="H329" s="74" t="s">
        <v>5267</v>
      </c>
      <c r="I329" s="74" t="s">
        <v>63</v>
      </c>
      <c r="J329" s="74" t="s">
        <v>36</v>
      </c>
      <c r="K329" s="74" t="s">
        <v>6750</v>
      </c>
      <c r="L329" s="74" t="s">
        <v>31</v>
      </c>
    </row>
    <row r="330" spans="1:12" ht="21.95" customHeight="1">
      <c r="A330" s="149" t="s">
        <v>6177</v>
      </c>
      <c r="B330" s="147"/>
      <c r="C330" s="148"/>
      <c r="D330" s="147"/>
      <c r="E330" s="147"/>
      <c r="F330" s="74"/>
      <c r="G330" s="74" t="s">
        <v>6748</v>
      </c>
      <c r="H330" s="74" t="s">
        <v>5268</v>
      </c>
      <c r="I330" s="74" t="s">
        <v>63</v>
      </c>
      <c r="J330" s="74" t="s">
        <v>126</v>
      </c>
      <c r="K330" s="74" t="s">
        <v>6750</v>
      </c>
      <c r="L330" s="74" t="s">
        <v>310</v>
      </c>
    </row>
    <row r="331" spans="1:12" ht="21.95" customHeight="1">
      <c r="A331" s="149" t="s">
        <v>344</v>
      </c>
      <c r="B331" s="147" t="s">
        <v>117</v>
      </c>
      <c r="C331" s="148">
        <v>46067</v>
      </c>
      <c r="D331" s="147" t="s">
        <v>4871</v>
      </c>
      <c r="E331" s="147"/>
      <c r="F331" s="74" t="s">
        <v>4896</v>
      </c>
      <c r="G331" s="74" t="s">
        <v>4920</v>
      </c>
      <c r="H331" s="74" t="s">
        <v>5269</v>
      </c>
      <c r="I331" s="74" t="s">
        <v>174</v>
      </c>
      <c r="J331" s="74" t="s">
        <v>196</v>
      </c>
      <c r="K331" s="74" t="s">
        <v>6750</v>
      </c>
      <c r="L331" s="74" t="s">
        <v>31</v>
      </c>
    </row>
    <row r="332" spans="1:12" ht="21.95" customHeight="1">
      <c r="A332" s="149" t="s">
        <v>363</v>
      </c>
      <c r="B332" s="147"/>
      <c r="C332" s="148"/>
      <c r="D332" s="147"/>
      <c r="E332" s="147"/>
      <c r="F332" s="74"/>
      <c r="G332" s="74" t="s">
        <v>6748</v>
      </c>
      <c r="H332" s="74" t="s">
        <v>5270</v>
      </c>
      <c r="I332" s="74" t="s">
        <v>240</v>
      </c>
      <c r="J332" s="74" t="s">
        <v>36</v>
      </c>
      <c r="K332" s="74" t="s">
        <v>6750</v>
      </c>
      <c r="L332" s="74" t="s">
        <v>31</v>
      </c>
    </row>
    <row r="333" spans="1:12" ht="21.95" customHeight="1">
      <c r="A333" s="149" t="s">
        <v>365</v>
      </c>
      <c r="B333" s="147" t="s">
        <v>117</v>
      </c>
      <c r="C333" s="148">
        <v>46067</v>
      </c>
      <c r="D333" s="147" t="s">
        <v>4894</v>
      </c>
      <c r="E333" s="147"/>
      <c r="F333" s="74"/>
      <c r="G333" s="74" t="s">
        <v>4920</v>
      </c>
      <c r="H333" s="74" t="s">
        <v>5271</v>
      </c>
      <c r="I333" s="74" t="s">
        <v>112</v>
      </c>
      <c r="J333" s="74" t="s">
        <v>288</v>
      </c>
      <c r="K333" s="74" t="s">
        <v>6750</v>
      </c>
      <c r="L333" s="74" t="s">
        <v>31</v>
      </c>
    </row>
    <row r="334" spans="1:12" ht="21.95" customHeight="1">
      <c r="A334" s="149" t="s">
        <v>370</v>
      </c>
      <c r="B334" s="147"/>
      <c r="C334" s="148"/>
      <c r="D334" s="147"/>
      <c r="E334" s="147"/>
      <c r="F334" s="74"/>
      <c r="G334" s="74" t="s">
        <v>6748</v>
      </c>
      <c r="H334" s="74" t="s">
        <v>5272</v>
      </c>
      <c r="I334" s="74" t="s">
        <v>369</v>
      </c>
      <c r="J334" s="74" t="s">
        <v>36</v>
      </c>
      <c r="K334" s="74" t="s">
        <v>6750</v>
      </c>
      <c r="L334" s="74" t="s">
        <v>31</v>
      </c>
    </row>
    <row r="335" spans="1:12" ht="21.95" customHeight="1">
      <c r="A335" s="149" t="s">
        <v>373</v>
      </c>
      <c r="B335" s="147" t="s">
        <v>117</v>
      </c>
      <c r="C335" s="148">
        <v>46067</v>
      </c>
      <c r="D335" s="147" t="s">
        <v>4894</v>
      </c>
      <c r="E335" s="147"/>
      <c r="F335" s="74"/>
      <c r="G335" s="74" t="s">
        <v>4920</v>
      </c>
      <c r="H335" s="74" t="s">
        <v>5273</v>
      </c>
      <c r="I335" s="74" t="s">
        <v>63</v>
      </c>
      <c r="J335" s="74" t="s">
        <v>196</v>
      </c>
      <c r="K335" s="74" t="s">
        <v>6750</v>
      </c>
      <c r="L335" s="74" t="s">
        <v>31</v>
      </c>
    </row>
    <row r="336" spans="1:12" ht="21.95" customHeight="1">
      <c r="A336" s="149" t="s">
        <v>379</v>
      </c>
      <c r="B336" s="147" t="s">
        <v>117</v>
      </c>
      <c r="C336" s="148">
        <v>46067</v>
      </c>
      <c r="D336" s="147" t="s">
        <v>4894</v>
      </c>
      <c r="E336" s="147"/>
      <c r="F336" s="74" t="s">
        <v>4896</v>
      </c>
      <c r="G336" s="74" t="s">
        <v>4920</v>
      </c>
      <c r="H336" s="74" t="s">
        <v>5274</v>
      </c>
      <c r="I336" s="74" t="s">
        <v>169</v>
      </c>
      <c r="J336" s="74" t="s">
        <v>196</v>
      </c>
      <c r="K336" s="74" t="s">
        <v>6750</v>
      </c>
      <c r="L336" s="74" t="s">
        <v>31</v>
      </c>
    </row>
    <row r="337" spans="1:12" ht="21.95" customHeight="1">
      <c r="A337" s="149" t="s">
        <v>391</v>
      </c>
      <c r="B337" s="147"/>
      <c r="C337" s="148"/>
      <c r="D337" s="147"/>
      <c r="E337" s="147"/>
      <c r="F337" s="74"/>
      <c r="G337" s="74" t="s">
        <v>6748</v>
      </c>
      <c r="H337" s="74" t="s">
        <v>5275</v>
      </c>
      <c r="I337" s="74" t="s">
        <v>169</v>
      </c>
      <c r="J337" s="74" t="s">
        <v>36</v>
      </c>
      <c r="K337" s="74" t="s">
        <v>6750</v>
      </c>
      <c r="L337" s="74" t="s">
        <v>31</v>
      </c>
    </row>
    <row r="338" spans="1:12" ht="21.95" customHeight="1">
      <c r="A338" s="149" t="s">
        <v>395</v>
      </c>
      <c r="B338" s="147" t="s">
        <v>117</v>
      </c>
      <c r="C338" s="148">
        <v>46067</v>
      </c>
      <c r="D338" s="147" t="s">
        <v>4894</v>
      </c>
      <c r="E338" s="147"/>
      <c r="F338" s="74"/>
      <c r="G338" s="74" t="s">
        <v>4920</v>
      </c>
      <c r="H338" s="74" t="s">
        <v>5276</v>
      </c>
      <c r="I338" s="74" t="s">
        <v>394</v>
      </c>
      <c r="J338" s="74" t="s">
        <v>126</v>
      </c>
      <c r="K338" s="74" t="s">
        <v>6750</v>
      </c>
      <c r="L338" s="74" t="s">
        <v>31</v>
      </c>
    </row>
    <row r="339" spans="1:12" ht="21.95" customHeight="1">
      <c r="A339" s="149" t="s">
        <v>415</v>
      </c>
      <c r="B339" s="147"/>
      <c r="C339" s="148"/>
      <c r="D339" s="147"/>
      <c r="E339" s="147"/>
      <c r="F339" s="74"/>
      <c r="G339" s="74" t="s">
        <v>6748</v>
      </c>
      <c r="H339" s="74" t="s">
        <v>5277</v>
      </c>
      <c r="I339" s="74" t="s">
        <v>112</v>
      </c>
      <c r="J339" s="74" t="s">
        <v>416</v>
      </c>
      <c r="K339" s="74" t="s">
        <v>387</v>
      </c>
      <c r="L339" s="74" t="s">
        <v>31</v>
      </c>
    </row>
    <row r="340" spans="1:12" ht="21.95" customHeight="1">
      <c r="A340" s="149" t="s">
        <v>6178</v>
      </c>
      <c r="B340" s="147"/>
      <c r="C340" s="148"/>
      <c r="D340" s="147"/>
      <c r="E340" s="147"/>
      <c r="F340" s="74"/>
      <c r="G340" s="74" t="s">
        <v>6748</v>
      </c>
      <c r="H340" s="74" t="s">
        <v>5278</v>
      </c>
      <c r="I340" s="74" t="s">
        <v>63</v>
      </c>
      <c r="J340" s="74" t="s">
        <v>36</v>
      </c>
      <c r="K340" s="74" t="s">
        <v>6750</v>
      </c>
      <c r="L340" s="74" t="s">
        <v>310</v>
      </c>
    </row>
    <row r="341" spans="1:12" ht="21.95" customHeight="1">
      <c r="A341" s="149" t="s">
        <v>455</v>
      </c>
      <c r="B341" s="147" t="s">
        <v>117</v>
      </c>
      <c r="C341" s="148">
        <v>46067</v>
      </c>
      <c r="D341" s="147" t="s">
        <v>4894</v>
      </c>
      <c r="E341" s="147"/>
      <c r="F341" s="74"/>
      <c r="G341" s="74" t="s">
        <v>4920</v>
      </c>
      <c r="H341" s="74" t="s">
        <v>5279</v>
      </c>
      <c r="I341" s="74" t="s">
        <v>85</v>
      </c>
      <c r="J341" s="74" t="s">
        <v>288</v>
      </c>
      <c r="K341" s="74" t="s">
        <v>6750</v>
      </c>
      <c r="L341" s="74" t="s">
        <v>31</v>
      </c>
    </row>
    <row r="342" spans="1:12" ht="21.95" customHeight="1">
      <c r="A342" s="149" t="s">
        <v>433</v>
      </c>
      <c r="B342" s="147"/>
      <c r="C342" s="148"/>
      <c r="D342" s="147"/>
      <c r="E342" s="147"/>
      <c r="F342" s="74"/>
      <c r="G342" s="74" t="s">
        <v>6748</v>
      </c>
      <c r="H342" s="74" t="s">
        <v>5280</v>
      </c>
      <c r="I342" s="74" t="s">
        <v>112</v>
      </c>
      <c r="J342" s="74" t="s">
        <v>126</v>
      </c>
      <c r="K342" s="74" t="s">
        <v>6750</v>
      </c>
      <c r="L342" s="74" t="s">
        <v>310</v>
      </c>
    </row>
    <row r="343" spans="1:12" ht="21.95" customHeight="1">
      <c r="A343" s="149" t="s">
        <v>439</v>
      </c>
      <c r="B343" s="147"/>
      <c r="C343" s="148"/>
      <c r="D343" s="147"/>
      <c r="E343" s="147"/>
      <c r="F343" s="74"/>
      <c r="G343" s="74" t="s">
        <v>6748</v>
      </c>
      <c r="H343" s="74" t="s">
        <v>5281</v>
      </c>
      <c r="I343" s="74" t="s">
        <v>125</v>
      </c>
      <c r="J343" s="74" t="s">
        <v>36</v>
      </c>
      <c r="K343" s="74" t="s">
        <v>6750</v>
      </c>
      <c r="L343" s="74" t="s">
        <v>310</v>
      </c>
    </row>
    <row r="344" spans="1:12" ht="21.95" customHeight="1">
      <c r="A344" s="149" t="s">
        <v>448</v>
      </c>
      <c r="B344" s="147"/>
      <c r="C344" s="148"/>
      <c r="D344" s="147"/>
      <c r="E344" s="147"/>
      <c r="F344" s="74"/>
      <c r="G344" s="74" t="s">
        <v>6748</v>
      </c>
      <c r="H344" s="74" t="s">
        <v>5282</v>
      </c>
      <c r="I344" s="74" t="s">
        <v>125</v>
      </c>
      <c r="J344" s="74" t="s">
        <v>126</v>
      </c>
      <c r="K344" s="74" t="s">
        <v>6750</v>
      </c>
      <c r="L344" s="74" t="s">
        <v>310</v>
      </c>
    </row>
    <row r="345" spans="1:12" ht="21.95" customHeight="1">
      <c r="A345" s="149" t="s">
        <v>453</v>
      </c>
      <c r="B345" s="147" t="s">
        <v>117</v>
      </c>
      <c r="C345" s="148">
        <v>46067</v>
      </c>
      <c r="D345" s="147" t="s">
        <v>4894</v>
      </c>
      <c r="E345" s="147"/>
      <c r="F345" s="74"/>
      <c r="G345" s="74" t="s">
        <v>4920</v>
      </c>
      <c r="H345" s="74" t="s">
        <v>5283</v>
      </c>
      <c r="I345" s="74" t="s">
        <v>125</v>
      </c>
      <c r="J345" s="74" t="s">
        <v>288</v>
      </c>
      <c r="K345" s="74" t="s">
        <v>6750</v>
      </c>
      <c r="L345" s="74" t="s">
        <v>310</v>
      </c>
    </row>
    <row r="346" spans="1:12" ht="21.95" customHeight="1">
      <c r="A346" s="149" t="s">
        <v>455</v>
      </c>
      <c r="B346" s="147"/>
      <c r="C346" s="148"/>
      <c r="D346" s="147"/>
      <c r="E346" s="147"/>
      <c r="F346" s="74"/>
      <c r="G346" s="74" t="s">
        <v>6748</v>
      </c>
      <c r="H346" s="74" t="s">
        <v>5284</v>
      </c>
      <c r="I346" s="74" t="s">
        <v>85</v>
      </c>
      <c r="J346" s="74" t="s">
        <v>288</v>
      </c>
      <c r="K346" s="74" t="s">
        <v>6750</v>
      </c>
      <c r="L346" s="74" t="s">
        <v>310</v>
      </c>
    </row>
    <row r="347" spans="1:12" ht="21.95" customHeight="1">
      <c r="A347" s="149" t="s">
        <v>458</v>
      </c>
      <c r="B347" s="147" t="s">
        <v>117</v>
      </c>
      <c r="C347" s="148">
        <v>46067</v>
      </c>
      <c r="D347" s="147" t="s">
        <v>4894</v>
      </c>
      <c r="E347" s="147"/>
      <c r="F347" s="74"/>
      <c r="G347" s="74" t="s">
        <v>4920</v>
      </c>
      <c r="H347" s="74" t="s">
        <v>5285</v>
      </c>
      <c r="I347" s="74" t="s">
        <v>125</v>
      </c>
      <c r="J347" s="74" t="s">
        <v>288</v>
      </c>
      <c r="K347" s="74" t="s">
        <v>6750</v>
      </c>
      <c r="L347" s="74" t="s">
        <v>310</v>
      </c>
    </row>
    <row r="348" spans="1:12" ht="21.95" customHeight="1">
      <c r="A348" s="149" t="s">
        <v>460</v>
      </c>
      <c r="B348" s="147"/>
      <c r="C348" s="148"/>
      <c r="D348" s="147"/>
      <c r="E348" s="147"/>
      <c r="F348" s="74"/>
      <c r="G348" s="74" t="s">
        <v>6748</v>
      </c>
      <c r="H348" s="74" t="s">
        <v>5286</v>
      </c>
      <c r="I348" s="74" t="s">
        <v>125</v>
      </c>
      <c r="J348" s="74" t="s">
        <v>36</v>
      </c>
      <c r="K348" s="74" t="s">
        <v>6750</v>
      </c>
      <c r="L348" s="74" t="s">
        <v>310</v>
      </c>
    </row>
    <row r="349" spans="1:12" ht="21.95" customHeight="1">
      <c r="A349" s="149" t="s">
        <v>463</v>
      </c>
      <c r="B349" s="147" t="s">
        <v>117</v>
      </c>
      <c r="C349" s="148">
        <v>46067</v>
      </c>
      <c r="D349" s="147" t="s">
        <v>4894</v>
      </c>
      <c r="E349" s="147"/>
      <c r="F349" s="74" t="s">
        <v>4896</v>
      </c>
      <c r="G349" s="74" t="s">
        <v>4920</v>
      </c>
      <c r="H349" s="74" t="s">
        <v>5287</v>
      </c>
      <c r="I349" s="74" t="s">
        <v>63</v>
      </c>
      <c r="J349" s="74" t="s">
        <v>416</v>
      </c>
      <c r="K349" s="74" t="s">
        <v>387</v>
      </c>
      <c r="L349" s="74" t="s">
        <v>310</v>
      </c>
    </row>
    <row r="350" spans="1:12" ht="21.95" customHeight="1">
      <c r="A350" s="149" t="s">
        <v>467</v>
      </c>
      <c r="B350" s="147"/>
      <c r="C350" s="148"/>
      <c r="D350" s="147"/>
      <c r="E350" s="147"/>
      <c r="F350" s="74"/>
      <c r="G350" s="74" t="s">
        <v>6748</v>
      </c>
      <c r="H350" s="74" t="s">
        <v>5288</v>
      </c>
      <c r="I350" s="74" t="s">
        <v>63</v>
      </c>
      <c r="J350" s="74" t="s">
        <v>36</v>
      </c>
      <c r="K350" s="74" t="s">
        <v>6750</v>
      </c>
      <c r="L350" s="74" t="s">
        <v>310</v>
      </c>
    </row>
    <row r="351" spans="1:12" ht="21.95" customHeight="1">
      <c r="A351" s="149" t="s">
        <v>470</v>
      </c>
      <c r="B351" s="147" t="s">
        <v>117</v>
      </c>
      <c r="C351" s="148">
        <v>46067</v>
      </c>
      <c r="D351" s="147" t="s">
        <v>4871</v>
      </c>
      <c r="E351" s="147" t="s">
        <v>4904</v>
      </c>
      <c r="F351" s="74"/>
      <c r="G351" s="74" t="s">
        <v>4920</v>
      </c>
      <c r="H351" s="74" t="s">
        <v>5289</v>
      </c>
      <c r="I351" s="74" t="s">
        <v>63</v>
      </c>
      <c r="J351" s="74" t="s">
        <v>288</v>
      </c>
      <c r="K351" s="74" t="s">
        <v>6750</v>
      </c>
      <c r="L351" s="74" t="s">
        <v>310</v>
      </c>
    </row>
    <row r="352" spans="1:12" ht="21.95" customHeight="1">
      <c r="A352" s="149" t="s">
        <v>6179</v>
      </c>
      <c r="B352" s="147"/>
      <c r="C352" s="148"/>
      <c r="D352" s="147"/>
      <c r="E352" s="147"/>
      <c r="F352" s="74"/>
      <c r="G352" s="74" t="s">
        <v>6748</v>
      </c>
      <c r="H352" s="74" t="s">
        <v>5290</v>
      </c>
      <c r="I352" s="74" t="s">
        <v>63</v>
      </c>
      <c r="J352" s="74" t="s">
        <v>36</v>
      </c>
      <c r="K352" s="74" t="s">
        <v>6750</v>
      </c>
      <c r="L352" s="74" t="s">
        <v>31</v>
      </c>
    </row>
    <row r="353" spans="1:12" ht="21.95" customHeight="1">
      <c r="A353" s="149" t="s">
        <v>486</v>
      </c>
      <c r="B353" s="147"/>
      <c r="C353" s="148"/>
      <c r="D353" s="147"/>
      <c r="E353" s="147"/>
      <c r="F353" s="74"/>
      <c r="G353" s="74" t="s">
        <v>6748</v>
      </c>
      <c r="H353" s="74" t="s">
        <v>5291</v>
      </c>
      <c r="I353" s="74" t="s">
        <v>63</v>
      </c>
      <c r="J353" s="74" t="s">
        <v>126</v>
      </c>
      <c r="K353" s="74" t="s">
        <v>6750</v>
      </c>
      <c r="L353" s="74" t="s">
        <v>310</v>
      </c>
    </row>
    <row r="354" spans="1:12" ht="21.95" customHeight="1">
      <c r="A354" s="149" t="s">
        <v>489</v>
      </c>
      <c r="B354" s="147" t="s">
        <v>117</v>
      </c>
      <c r="C354" s="148">
        <v>46067</v>
      </c>
      <c r="D354" s="147" t="s">
        <v>4871</v>
      </c>
      <c r="E354" s="147" t="s">
        <v>4904</v>
      </c>
      <c r="F354" s="74"/>
      <c r="G354" s="74" t="s">
        <v>4920</v>
      </c>
      <c r="H354" s="74" t="s">
        <v>5292</v>
      </c>
      <c r="I354" s="74" t="s">
        <v>30</v>
      </c>
      <c r="J354" s="74" t="s">
        <v>126</v>
      </c>
      <c r="K354" s="74" t="s">
        <v>6750</v>
      </c>
      <c r="L354" s="74" t="s">
        <v>31</v>
      </c>
    </row>
    <row r="355" spans="1:12" ht="21.95" customHeight="1">
      <c r="A355" s="149" t="s">
        <v>498</v>
      </c>
      <c r="B355" s="147" t="s">
        <v>117</v>
      </c>
      <c r="C355" s="148">
        <v>46067</v>
      </c>
      <c r="D355" s="147" t="s">
        <v>4894</v>
      </c>
      <c r="E355" s="147"/>
      <c r="F355" s="74" t="s">
        <v>4896</v>
      </c>
      <c r="G355" s="74" t="s">
        <v>4920</v>
      </c>
      <c r="H355" s="74" t="s">
        <v>5293</v>
      </c>
      <c r="I355" s="74" t="s">
        <v>30</v>
      </c>
      <c r="J355" s="74" t="s">
        <v>36</v>
      </c>
      <c r="K355" s="74" t="s">
        <v>6750</v>
      </c>
      <c r="L355" s="74" t="s">
        <v>31</v>
      </c>
    </row>
    <row r="356" spans="1:12" ht="21.95" customHeight="1">
      <c r="A356" s="149" t="s">
        <v>504</v>
      </c>
      <c r="B356" s="147"/>
      <c r="C356" s="148"/>
      <c r="D356" s="147"/>
      <c r="E356" s="147"/>
      <c r="F356" s="74"/>
      <c r="G356" s="74" t="s">
        <v>6748</v>
      </c>
      <c r="H356" s="74" t="s">
        <v>5294</v>
      </c>
      <c r="I356" s="74" t="s">
        <v>501</v>
      </c>
      <c r="J356" s="74" t="s">
        <v>73</v>
      </c>
      <c r="K356" s="74" t="s">
        <v>6750</v>
      </c>
      <c r="L356" s="74" t="s">
        <v>502</v>
      </c>
    </row>
    <row r="357" spans="1:12" ht="21.95" customHeight="1">
      <c r="A357" s="149" t="s">
        <v>511</v>
      </c>
      <c r="B357" s="147"/>
      <c r="C357" s="148"/>
      <c r="D357" s="147"/>
      <c r="E357" s="147"/>
      <c r="F357" s="74"/>
      <c r="G357" s="74" t="s">
        <v>6748</v>
      </c>
      <c r="H357" s="74" t="s">
        <v>5295</v>
      </c>
      <c r="I357" s="74" t="s">
        <v>63</v>
      </c>
      <c r="J357" s="74" t="s">
        <v>126</v>
      </c>
      <c r="K357" s="74" t="s">
        <v>6750</v>
      </c>
      <c r="L357" s="74" t="s">
        <v>310</v>
      </c>
    </row>
    <row r="358" spans="1:12" ht="21.95" customHeight="1">
      <c r="A358" s="149" t="s">
        <v>521</v>
      </c>
      <c r="B358" s="147"/>
      <c r="C358" s="148"/>
      <c r="D358" s="147"/>
      <c r="E358" s="147"/>
      <c r="F358" s="74"/>
      <c r="G358" s="74" t="s">
        <v>6748</v>
      </c>
      <c r="H358" s="74" t="s">
        <v>5296</v>
      </c>
      <c r="I358" s="74" t="s">
        <v>520</v>
      </c>
      <c r="J358" s="74" t="s">
        <v>36</v>
      </c>
      <c r="K358" s="74" t="s">
        <v>6750</v>
      </c>
      <c r="L358" s="74" t="s">
        <v>31</v>
      </c>
    </row>
    <row r="359" spans="1:12" ht="21.95" customHeight="1">
      <c r="A359" s="149" t="s">
        <v>527</v>
      </c>
      <c r="B359" s="147" t="s">
        <v>117</v>
      </c>
      <c r="C359" s="148">
        <v>46067</v>
      </c>
      <c r="D359" s="147" t="s">
        <v>4894</v>
      </c>
      <c r="E359" s="147"/>
      <c r="F359" s="74" t="s">
        <v>4896</v>
      </c>
      <c r="G359" s="74" t="s">
        <v>4920</v>
      </c>
      <c r="H359" s="74" t="s">
        <v>5297</v>
      </c>
      <c r="I359" s="74" t="s">
        <v>24</v>
      </c>
      <c r="J359" s="74" t="s">
        <v>196</v>
      </c>
      <c r="K359" s="74" t="s">
        <v>6750</v>
      </c>
      <c r="L359" s="74" t="s">
        <v>310</v>
      </c>
    </row>
    <row r="360" spans="1:12" ht="21.95" customHeight="1">
      <c r="A360" s="149" t="s">
        <v>530</v>
      </c>
      <c r="B360" s="147"/>
      <c r="C360" s="148"/>
      <c r="D360" s="147"/>
      <c r="E360" s="147"/>
      <c r="F360" s="74"/>
      <c r="G360" s="74" t="s">
        <v>6748</v>
      </c>
      <c r="H360" s="74" t="s">
        <v>5298</v>
      </c>
      <c r="I360" s="74" t="s">
        <v>169</v>
      </c>
      <c r="J360" s="74" t="s">
        <v>36</v>
      </c>
      <c r="K360" s="74" t="s">
        <v>6750</v>
      </c>
      <c r="L360" s="74" t="s">
        <v>31</v>
      </c>
    </row>
    <row r="361" spans="1:12" ht="21.95" customHeight="1">
      <c r="A361" s="149" t="s">
        <v>533</v>
      </c>
      <c r="B361" s="147" t="s">
        <v>117</v>
      </c>
      <c r="C361" s="148">
        <v>46067</v>
      </c>
      <c r="D361" s="147" t="s">
        <v>4871</v>
      </c>
      <c r="E361" s="147"/>
      <c r="F361" s="74" t="s">
        <v>4896</v>
      </c>
      <c r="G361" s="74" t="s">
        <v>4920</v>
      </c>
      <c r="H361" s="74" t="s">
        <v>5299</v>
      </c>
      <c r="I361" s="74" t="s">
        <v>520</v>
      </c>
      <c r="J361" s="74" t="s">
        <v>416</v>
      </c>
      <c r="K361" s="74" t="s">
        <v>387</v>
      </c>
      <c r="L361" s="74" t="s">
        <v>31</v>
      </c>
    </row>
    <row r="362" spans="1:12" ht="21.95" customHeight="1">
      <c r="A362" s="149" t="s">
        <v>537</v>
      </c>
      <c r="B362" s="147"/>
      <c r="C362" s="148"/>
      <c r="D362" s="147"/>
      <c r="E362" s="147"/>
      <c r="F362" s="74"/>
      <c r="G362" s="74" t="s">
        <v>6748</v>
      </c>
      <c r="H362" s="74" t="s">
        <v>5300</v>
      </c>
      <c r="I362" s="74" t="s">
        <v>536</v>
      </c>
      <c r="J362" s="74" t="s">
        <v>538</v>
      </c>
      <c r="K362" s="74" t="s">
        <v>387</v>
      </c>
      <c r="L362" s="74" t="s">
        <v>310</v>
      </c>
    </row>
    <row r="363" spans="1:12" ht="21.95" customHeight="1">
      <c r="A363" s="149" t="s">
        <v>541</v>
      </c>
      <c r="B363" s="147" t="s">
        <v>117</v>
      </c>
      <c r="C363" s="148">
        <v>46067</v>
      </c>
      <c r="D363" s="147" t="s">
        <v>4894</v>
      </c>
      <c r="E363" s="147"/>
      <c r="F363" s="74"/>
      <c r="G363" s="74" t="s">
        <v>4920</v>
      </c>
      <c r="H363" s="74" t="s">
        <v>5301</v>
      </c>
      <c r="I363" s="74" t="s">
        <v>63</v>
      </c>
      <c r="J363" s="74" t="s">
        <v>36</v>
      </c>
      <c r="K363" s="74" t="s">
        <v>6750</v>
      </c>
      <c r="L363" s="74" t="s">
        <v>310</v>
      </c>
    </row>
    <row r="364" spans="1:12" ht="21.95" customHeight="1">
      <c r="A364" s="149" t="s">
        <v>548</v>
      </c>
      <c r="B364" s="147"/>
      <c r="C364" s="148"/>
      <c r="D364" s="147"/>
      <c r="E364" s="147"/>
      <c r="F364" s="74"/>
      <c r="G364" s="74" t="s">
        <v>6748</v>
      </c>
      <c r="H364" s="74" t="s">
        <v>5302</v>
      </c>
      <c r="I364" s="74" t="s">
        <v>169</v>
      </c>
      <c r="J364" s="74" t="s">
        <v>36</v>
      </c>
      <c r="K364" s="74" t="s">
        <v>6750</v>
      </c>
      <c r="L364" s="74" t="s">
        <v>31</v>
      </c>
    </row>
    <row r="365" spans="1:12" ht="21.95" customHeight="1">
      <c r="A365" s="149" t="s">
        <v>551</v>
      </c>
      <c r="B365" s="147" t="s">
        <v>117</v>
      </c>
      <c r="C365" s="148">
        <v>46067</v>
      </c>
      <c r="D365" s="147" t="s">
        <v>4894</v>
      </c>
      <c r="E365" s="147"/>
      <c r="F365" s="74"/>
      <c r="G365" s="74" t="s">
        <v>4920</v>
      </c>
      <c r="H365" s="74" t="s">
        <v>5303</v>
      </c>
      <c r="I365" s="74" t="s">
        <v>63</v>
      </c>
      <c r="J365" s="74" t="s">
        <v>36</v>
      </c>
      <c r="K365" s="74" t="s">
        <v>6750</v>
      </c>
      <c r="L365" s="74" t="s">
        <v>310</v>
      </c>
    </row>
    <row r="366" spans="1:12" ht="21.95" customHeight="1">
      <c r="A366" s="149" t="s">
        <v>561</v>
      </c>
      <c r="B366" s="147" t="s">
        <v>117</v>
      </c>
      <c r="C366" s="148">
        <v>46067</v>
      </c>
      <c r="D366" s="147" t="s">
        <v>4871</v>
      </c>
      <c r="E366" s="147"/>
      <c r="F366" s="74" t="s">
        <v>6759</v>
      </c>
      <c r="G366" s="74" t="s">
        <v>4920</v>
      </c>
      <c r="H366" s="74" t="s">
        <v>5304</v>
      </c>
      <c r="I366" s="74" t="s">
        <v>63</v>
      </c>
      <c r="J366" s="74" t="s">
        <v>36</v>
      </c>
      <c r="K366" s="74" t="s">
        <v>6750</v>
      </c>
      <c r="L366" s="74" t="s">
        <v>560</v>
      </c>
    </row>
    <row r="367" spans="1:12" ht="21.95" customHeight="1">
      <c r="A367" s="149" t="s">
        <v>563</v>
      </c>
      <c r="B367" s="147"/>
      <c r="C367" s="148"/>
      <c r="D367" s="147"/>
      <c r="E367" s="147"/>
      <c r="F367" s="74"/>
      <c r="G367" s="74" t="s">
        <v>6748</v>
      </c>
      <c r="H367" s="74" t="s">
        <v>5305</v>
      </c>
      <c r="I367" s="74" t="s">
        <v>63</v>
      </c>
      <c r="J367" s="74" t="s">
        <v>196</v>
      </c>
      <c r="K367" s="74" t="s">
        <v>6750</v>
      </c>
      <c r="L367" s="74" t="s">
        <v>310</v>
      </c>
    </row>
    <row r="368" spans="1:12" ht="21.95" customHeight="1">
      <c r="A368" s="149" t="s">
        <v>568</v>
      </c>
      <c r="B368" s="147" t="s">
        <v>117</v>
      </c>
      <c r="C368" s="148">
        <v>46067</v>
      </c>
      <c r="D368" s="147" t="s">
        <v>4871</v>
      </c>
      <c r="E368" s="147"/>
      <c r="F368" s="74" t="s">
        <v>6760</v>
      </c>
      <c r="G368" s="74" t="s">
        <v>4920</v>
      </c>
      <c r="H368" s="74" t="s">
        <v>5306</v>
      </c>
      <c r="I368" s="74" t="s">
        <v>202</v>
      </c>
      <c r="J368" s="74" t="s">
        <v>36</v>
      </c>
      <c r="K368" s="74" t="s">
        <v>6750</v>
      </c>
      <c r="L368" s="74" t="s">
        <v>310</v>
      </c>
    </row>
    <row r="369" spans="1:12" ht="21.95" customHeight="1">
      <c r="A369" s="149" t="s">
        <v>573</v>
      </c>
      <c r="B369" s="147" t="s">
        <v>117</v>
      </c>
      <c r="C369" s="148">
        <v>46067</v>
      </c>
      <c r="D369" s="147" t="s">
        <v>4894</v>
      </c>
      <c r="E369" s="147"/>
      <c r="F369" s="74"/>
      <c r="G369" s="74" t="s">
        <v>4920</v>
      </c>
      <c r="H369" s="74" t="s">
        <v>5307</v>
      </c>
      <c r="I369" s="74" t="s">
        <v>63</v>
      </c>
      <c r="J369" s="74" t="s">
        <v>73</v>
      </c>
      <c r="K369" s="74" t="s">
        <v>6750</v>
      </c>
      <c r="L369" s="74" t="s">
        <v>310</v>
      </c>
    </row>
    <row r="370" spans="1:12" ht="21.95" customHeight="1">
      <c r="A370" s="149" t="s">
        <v>577</v>
      </c>
      <c r="B370" s="147"/>
      <c r="C370" s="148"/>
      <c r="D370" s="147"/>
      <c r="E370" s="147"/>
      <c r="F370" s="74"/>
      <c r="G370" s="74" t="s">
        <v>6748</v>
      </c>
      <c r="H370" s="74" t="s">
        <v>5308</v>
      </c>
      <c r="I370" s="74" t="s">
        <v>125</v>
      </c>
      <c r="J370" s="74" t="s">
        <v>196</v>
      </c>
      <c r="K370" s="74" t="s">
        <v>6750</v>
      </c>
      <c r="L370" s="74" t="s">
        <v>576</v>
      </c>
    </row>
    <row r="371" spans="1:12" ht="21.95" customHeight="1">
      <c r="A371" s="149" t="s">
        <v>586</v>
      </c>
      <c r="B371" s="147"/>
      <c r="C371" s="148"/>
      <c r="D371" s="147"/>
      <c r="E371" s="147"/>
      <c r="F371" s="74"/>
      <c r="G371" s="74" t="s">
        <v>6748</v>
      </c>
      <c r="H371" s="74" t="s">
        <v>5309</v>
      </c>
      <c r="I371" s="74" t="s">
        <v>63</v>
      </c>
      <c r="J371" s="74" t="s">
        <v>36</v>
      </c>
      <c r="K371" s="74" t="s">
        <v>6750</v>
      </c>
      <c r="L371" s="74" t="s">
        <v>585</v>
      </c>
    </row>
    <row r="372" spans="1:12" ht="21.95" customHeight="1">
      <c r="A372" s="149" t="s">
        <v>589</v>
      </c>
      <c r="B372" s="147" t="s">
        <v>117</v>
      </c>
      <c r="C372" s="148">
        <v>46074</v>
      </c>
      <c r="D372" s="147" t="s">
        <v>4894</v>
      </c>
      <c r="E372" s="147"/>
      <c r="F372" s="74"/>
      <c r="G372" s="74" t="s">
        <v>4920</v>
      </c>
      <c r="H372" s="74" t="s">
        <v>5310</v>
      </c>
      <c r="I372" s="74" t="s">
        <v>240</v>
      </c>
      <c r="J372" s="74" t="s">
        <v>36</v>
      </c>
      <c r="K372" s="74" t="s">
        <v>6750</v>
      </c>
      <c r="L372" s="74" t="s">
        <v>31</v>
      </c>
    </row>
    <row r="373" spans="1:12" ht="21.95" customHeight="1">
      <c r="A373" s="149" t="s">
        <v>592</v>
      </c>
      <c r="B373" s="147"/>
      <c r="C373" s="148"/>
      <c r="D373" s="147"/>
      <c r="E373" s="147"/>
      <c r="F373" s="74"/>
      <c r="G373" s="74" t="s">
        <v>6748</v>
      </c>
      <c r="H373" s="74" t="s">
        <v>5311</v>
      </c>
      <c r="I373" s="74" t="s">
        <v>63</v>
      </c>
      <c r="J373" s="74" t="s">
        <v>36</v>
      </c>
      <c r="K373" s="74" t="s">
        <v>6750</v>
      </c>
      <c r="L373" s="74" t="s">
        <v>310</v>
      </c>
    </row>
    <row r="374" spans="1:12" ht="21.95" customHeight="1">
      <c r="A374" s="149" t="s">
        <v>596</v>
      </c>
      <c r="B374" s="147" t="s">
        <v>117</v>
      </c>
      <c r="C374" s="148">
        <v>46074</v>
      </c>
      <c r="D374" s="147" t="s">
        <v>4894</v>
      </c>
      <c r="E374" s="147"/>
      <c r="F374" s="74"/>
      <c r="G374" s="74" t="s">
        <v>4920</v>
      </c>
      <c r="H374" s="74" t="s">
        <v>5312</v>
      </c>
      <c r="I374" s="74" t="s">
        <v>240</v>
      </c>
      <c r="J374" s="74" t="s">
        <v>126</v>
      </c>
      <c r="K374" s="74" t="s">
        <v>6750</v>
      </c>
      <c r="L374" s="74" t="s">
        <v>595</v>
      </c>
    </row>
    <row r="375" spans="1:12" ht="21.95" customHeight="1">
      <c r="A375" s="149" t="s">
        <v>613</v>
      </c>
      <c r="B375" s="147"/>
      <c r="C375" s="148"/>
      <c r="D375" s="147"/>
      <c r="E375" s="147"/>
      <c r="F375" s="74"/>
      <c r="G375" s="74" t="s">
        <v>6748</v>
      </c>
      <c r="H375" s="74" t="s">
        <v>5313</v>
      </c>
      <c r="I375" s="74" t="s">
        <v>63</v>
      </c>
      <c r="J375" s="74" t="s">
        <v>73</v>
      </c>
      <c r="K375" s="74" t="s">
        <v>6750</v>
      </c>
      <c r="L375" s="74" t="s">
        <v>612</v>
      </c>
    </row>
    <row r="376" spans="1:12" ht="21.95" customHeight="1">
      <c r="A376" s="149" t="s">
        <v>625</v>
      </c>
      <c r="B376" s="147"/>
      <c r="C376" s="148"/>
      <c r="D376" s="147"/>
      <c r="E376" s="147"/>
      <c r="F376" s="74"/>
      <c r="G376" s="74" t="s">
        <v>6748</v>
      </c>
      <c r="H376" s="74" t="s">
        <v>5314</v>
      </c>
      <c r="I376" s="74" t="s">
        <v>63</v>
      </c>
      <c r="J376" s="74" t="s">
        <v>36</v>
      </c>
      <c r="K376" s="74" t="s">
        <v>6750</v>
      </c>
      <c r="L376" s="74" t="s">
        <v>624</v>
      </c>
    </row>
    <row r="377" spans="1:12" ht="21.95" customHeight="1">
      <c r="A377" s="149" t="s">
        <v>629</v>
      </c>
      <c r="B377" s="147" t="s">
        <v>117</v>
      </c>
      <c r="C377" s="148">
        <v>46074</v>
      </c>
      <c r="D377" s="147" t="s">
        <v>4894</v>
      </c>
      <c r="E377" s="147"/>
      <c r="F377" s="74"/>
      <c r="G377" s="74" t="s">
        <v>4920</v>
      </c>
      <c r="H377" s="74" t="s">
        <v>5315</v>
      </c>
      <c r="I377" s="74" t="s">
        <v>520</v>
      </c>
      <c r="J377" s="74" t="s">
        <v>126</v>
      </c>
      <c r="K377" s="74" t="s">
        <v>6750</v>
      </c>
      <c r="L377" s="74" t="s">
        <v>628</v>
      </c>
    </row>
    <row r="378" spans="1:12" ht="21.95" customHeight="1">
      <c r="A378" s="149" t="s">
        <v>634</v>
      </c>
      <c r="B378" s="147"/>
      <c r="C378" s="148"/>
      <c r="D378" s="147"/>
      <c r="E378" s="147"/>
      <c r="F378" s="74"/>
      <c r="G378" s="74" t="s">
        <v>6748</v>
      </c>
      <c r="H378" s="74" t="s">
        <v>5316</v>
      </c>
      <c r="I378" s="74" t="s">
        <v>501</v>
      </c>
      <c r="J378" s="74" t="s">
        <v>73</v>
      </c>
      <c r="K378" s="74" t="s">
        <v>6750</v>
      </c>
      <c r="L378" s="74" t="s">
        <v>310</v>
      </c>
    </row>
    <row r="379" spans="1:12" ht="21.95" customHeight="1">
      <c r="A379" s="149" t="s">
        <v>641</v>
      </c>
      <c r="B379" s="147"/>
      <c r="C379" s="148"/>
      <c r="D379" s="147"/>
      <c r="E379" s="147"/>
      <c r="F379" s="74"/>
      <c r="G379" s="74" t="s">
        <v>6748</v>
      </c>
      <c r="H379" s="74" t="s">
        <v>5317</v>
      </c>
      <c r="I379" s="74" t="s">
        <v>125</v>
      </c>
      <c r="J379" s="74" t="s">
        <v>36</v>
      </c>
      <c r="K379" s="74" t="s">
        <v>6750</v>
      </c>
      <c r="L379" s="74" t="s">
        <v>310</v>
      </c>
    </row>
    <row r="380" spans="1:12" ht="21.95" customHeight="1">
      <c r="A380" s="149" t="s">
        <v>646</v>
      </c>
      <c r="B380" s="147" t="s">
        <v>117</v>
      </c>
      <c r="C380" s="148">
        <v>46074</v>
      </c>
      <c r="D380" s="147" t="s">
        <v>4894</v>
      </c>
      <c r="E380" s="147"/>
      <c r="F380" s="74"/>
      <c r="G380" s="74" t="s">
        <v>4920</v>
      </c>
      <c r="H380" s="74" t="s">
        <v>5318</v>
      </c>
      <c r="I380" s="74" t="s">
        <v>63</v>
      </c>
      <c r="J380" s="74" t="s">
        <v>73</v>
      </c>
      <c r="K380" s="74" t="s">
        <v>6750</v>
      </c>
      <c r="L380" s="74" t="s">
        <v>310</v>
      </c>
    </row>
    <row r="381" spans="1:12" ht="21.95" customHeight="1">
      <c r="A381" s="149" t="s">
        <v>671</v>
      </c>
      <c r="B381" s="147"/>
      <c r="C381" s="148"/>
      <c r="D381" s="147"/>
      <c r="E381" s="147"/>
      <c r="F381" s="74"/>
      <c r="G381" s="74" t="s">
        <v>6748</v>
      </c>
      <c r="H381" s="74" t="s">
        <v>5319</v>
      </c>
      <c r="I381" s="74" t="s">
        <v>202</v>
      </c>
      <c r="J381" s="74" t="s">
        <v>73</v>
      </c>
      <c r="K381" s="74" t="s">
        <v>6750</v>
      </c>
      <c r="L381" s="74" t="s">
        <v>31</v>
      </c>
    </row>
    <row r="382" spans="1:12" ht="21.95" customHeight="1">
      <c r="A382" s="149" t="s">
        <v>675</v>
      </c>
      <c r="B382" s="147" t="s">
        <v>117</v>
      </c>
      <c r="C382" s="148">
        <v>46074</v>
      </c>
      <c r="D382" s="147" t="s">
        <v>4871</v>
      </c>
      <c r="E382" s="147" t="s">
        <v>4904</v>
      </c>
      <c r="F382" s="74"/>
      <c r="G382" s="74" t="s">
        <v>4920</v>
      </c>
      <c r="H382" s="74" t="s">
        <v>5320</v>
      </c>
      <c r="I382" s="74" t="s">
        <v>520</v>
      </c>
      <c r="J382" s="74" t="s">
        <v>36</v>
      </c>
      <c r="K382" s="74" t="s">
        <v>6750</v>
      </c>
      <c r="L382" s="74" t="s">
        <v>674</v>
      </c>
    </row>
    <row r="383" spans="1:12" ht="21.95" customHeight="1">
      <c r="A383" s="149" t="s">
        <v>678</v>
      </c>
      <c r="B383" s="147"/>
      <c r="C383" s="148"/>
      <c r="D383" s="147"/>
      <c r="E383" s="147"/>
      <c r="F383" s="74"/>
      <c r="G383" s="74" t="s">
        <v>6748</v>
      </c>
      <c r="H383" s="74" t="s">
        <v>5321</v>
      </c>
      <c r="I383" s="74" t="s">
        <v>202</v>
      </c>
      <c r="J383" s="74" t="s">
        <v>36</v>
      </c>
      <c r="K383" s="74" t="s">
        <v>6750</v>
      </c>
      <c r="L383" s="74" t="s">
        <v>310</v>
      </c>
    </row>
    <row r="384" spans="1:12" ht="21.95" customHeight="1">
      <c r="A384" s="149" t="s">
        <v>697</v>
      </c>
      <c r="B384" s="147"/>
      <c r="C384" s="148"/>
      <c r="D384" s="147"/>
      <c r="E384" s="147"/>
      <c r="F384" s="74"/>
      <c r="G384" s="74" t="s">
        <v>6748</v>
      </c>
      <c r="H384" s="74" t="s">
        <v>5322</v>
      </c>
      <c r="I384" s="74" t="s">
        <v>695</v>
      </c>
      <c r="J384" s="74" t="s">
        <v>73</v>
      </c>
      <c r="K384" s="74" t="s">
        <v>6750</v>
      </c>
      <c r="L384" s="74" t="s">
        <v>696</v>
      </c>
    </row>
    <row r="385" spans="1:12" ht="21.95" customHeight="1">
      <c r="A385" s="149" t="s">
        <v>706</v>
      </c>
      <c r="B385" s="147" t="s">
        <v>117</v>
      </c>
      <c r="C385" s="148">
        <v>46074</v>
      </c>
      <c r="D385" s="147" t="s">
        <v>4894</v>
      </c>
      <c r="E385" s="147"/>
      <c r="F385" s="74"/>
      <c r="G385" s="74" t="s">
        <v>4920</v>
      </c>
      <c r="H385" s="74" t="s">
        <v>5323</v>
      </c>
      <c r="I385" s="74" t="s">
        <v>112</v>
      </c>
      <c r="J385" s="74" t="s">
        <v>36</v>
      </c>
      <c r="K385" s="74" t="s">
        <v>6750</v>
      </c>
      <c r="L385" s="74" t="s">
        <v>705</v>
      </c>
    </row>
    <row r="386" spans="1:12" ht="21.95" customHeight="1">
      <c r="A386" s="149" t="s">
        <v>712</v>
      </c>
      <c r="B386" s="147"/>
      <c r="C386" s="148"/>
      <c r="D386" s="147"/>
      <c r="E386" s="147"/>
      <c r="F386" s="74"/>
      <c r="G386" s="74" t="s">
        <v>6748</v>
      </c>
      <c r="H386" s="74" t="s">
        <v>5324</v>
      </c>
      <c r="I386" s="74" t="s">
        <v>63</v>
      </c>
      <c r="J386" s="74" t="s">
        <v>36</v>
      </c>
      <c r="K386" s="74" t="s">
        <v>6750</v>
      </c>
      <c r="L386" s="74" t="s">
        <v>310</v>
      </c>
    </row>
    <row r="387" spans="1:12" ht="21.95" customHeight="1">
      <c r="A387" s="149" t="s">
        <v>720</v>
      </c>
      <c r="B387" s="147" t="s">
        <v>117</v>
      </c>
      <c r="C387" s="148">
        <v>46074</v>
      </c>
      <c r="D387" s="147" t="s">
        <v>4871</v>
      </c>
      <c r="E387" s="147" t="s">
        <v>4914</v>
      </c>
      <c r="F387" s="74"/>
      <c r="G387" s="74" t="s">
        <v>4920</v>
      </c>
      <c r="H387" s="74" t="s">
        <v>5325</v>
      </c>
      <c r="I387" s="74" t="s">
        <v>369</v>
      </c>
      <c r="J387" s="74" t="s">
        <v>36</v>
      </c>
      <c r="K387" s="74" t="s">
        <v>6750</v>
      </c>
      <c r="L387" s="74" t="s">
        <v>310</v>
      </c>
    </row>
    <row r="388" spans="1:12" ht="21.95" customHeight="1">
      <c r="A388" s="149" t="s">
        <v>723</v>
      </c>
      <c r="B388" s="147"/>
      <c r="C388" s="148"/>
      <c r="D388" s="147"/>
      <c r="E388" s="147"/>
      <c r="F388" s="74"/>
      <c r="G388" s="74" t="s">
        <v>6748</v>
      </c>
      <c r="H388" s="74" t="s">
        <v>5326</v>
      </c>
      <c r="I388" s="74" t="s">
        <v>63</v>
      </c>
      <c r="J388" s="74" t="s">
        <v>73</v>
      </c>
      <c r="K388" s="74" t="s">
        <v>6750</v>
      </c>
      <c r="L388" s="74" t="s">
        <v>310</v>
      </c>
    </row>
    <row r="389" spans="1:12" ht="21.95" customHeight="1">
      <c r="A389" s="149" t="s">
        <v>728</v>
      </c>
      <c r="B389" s="147" t="s">
        <v>117</v>
      </c>
      <c r="C389" s="148">
        <v>46074</v>
      </c>
      <c r="D389" s="147" t="s">
        <v>4871</v>
      </c>
      <c r="E389" s="147"/>
      <c r="F389" s="74" t="s">
        <v>4896</v>
      </c>
      <c r="G389" s="74" t="s">
        <v>4920</v>
      </c>
      <c r="H389" s="74" t="s">
        <v>5327</v>
      </c>
      <c r="I389" s="74" t="s">
        <v>112</v>
      </c>
      <c r="J389" s="74" t="s">
        <v>46</v>
      </c>
      <c r="K389" s="74" t="s">
        <v>6750</v>
      </c>
      <c r="L389" s="74" t="s">
        <v>727</v>
      </c>
    </row>
    <row r="390" spans="1:12" ht="21.95" customHeight="1">
      <c r="A390" s="149" t="s">
        <v>732</v>
      </c>
      <c r="B390" s="147"/>
      <c r="C390" s="148"/>
      <c r="D390" s="147"/>
      <c r="E390" s="147"/>
      <c r="F390" s="74"/>
      <c r="G390" s="74" t="s">
        <v>6748</v>
      </c>
      <c r="H390" s="74" t="s">
        <v>5328</v>
      </c>
      <c r="I390" s="74" t="s">
        <v>169</v>
      </c>
      <c r="J390" s="74" t="s">
        <v>73</v>
      </c>
      <c r="K390" s="74" t="s">
        <v>6750</v>
      </c>
      <c r="L390" s="74" t="s">
        <v>731</v>
      </c>
    </row>
    <row r="391" spans="1:12" ht="21.95" customHeight="1">
      <c r="A391" s="149" t="s">
        <v>736</v>
      </c>
      <c r="B391" s="147" t="s">
        <v>117</v>
      </c>
      <c r="C391" s="148">
        <v>46074</v>
      </c>
      <c r="D391" s="147" t="s">
        <v>4894</v>
      </c>
      <c r="E391" s="147"/>
      <c r="F391" s="74"/>
      <c r="G391" s="74" t="s">
        <v>4920</v>
      </c>
      <c r="H391" s="74" t="s">
        <v>5329</v>
      </c>
      <c r="I391" s="74" t="s">
        <v>734</v>
      </c>
      <c r="J391" s="74" t="s">
        <v>538</v>
      </c>
      <c r="K391" s="74" t="s">
        <v>387</v>
      </c>
      <c r="L391" s="74" t="s">
        <v>735</v>
      </c>
    </row>
    <row r="392" spans="1:12" ht="21.95" customHeight="1">
      <c r="A392" s="149" t="s">
        <v>739</v>
      </c>
      <c r="B392" s="147"/>
      <c r="C392" s="148"/>
      <c r="D392" s="147"/>
      <c r="E392" s="147"/>
      <c r="F392" s="74"/>
      <c r="G392" s="74" t="s">
        <v>6748</v>
      </c>
      <c r="H392" s="74" t="s">
        <v>5330</v>
      </c>
      <c r="I392" s="74" t="s">
        <v>169</v>
      </c>
      <c r="J392" s="74" t="s">
        <v>538</v>
      </c>
      <c r="K392" s="74" t="s">
        <v>387</v>
      </c>
      <c r="L392" s="74" t="s">
        <v>738</v>
      </c>
    </row>
    <row r="393" spans="1:12" ht="21.95" customHeight="1">
      <c r="A393" s="149" t="s">
        <v>742</v>
      </c>
      <c r="B393" s="147" t="s">
        <v>117</v>
      </c>
      <c r="C393" s="148">
        <v>46074</v>
      </c>
      <c r="D393" s="147" t="s">
        <v>4894</v>
      </c>
      <c r="E393" s="147"/>
      <c r="F393" s="74"/>
      <c r="G393" s="74" t="s">
        <v>4920</v>
      </c>
      <c r="H393" s="74" t="s">
        <v>5331</v>
      </c>
      <c r="I393" s="74" t="s">
        <v>63</v>
      </c>
      <c r="J393" s="74" t="s">
        <v>36</v>
      </c>
      <c r="K393" s="74" t="s">
        <v>6750</v>
      </c>
      <c r="L393" s="74" t="s">
        <v>310</v>
      </c>
    </row>
    <row r="394" spans="1:12" ht="21.95" customHeight="1">
      <c r="A394" s="149" t="s">
        <v>746</v>
      </c>
      <c r="B394" s="147"/>
      <c r="C394" s="148"/>
      <c r="D394" s="147"/>
      <c r="E394" s="147"/>
      <c r="F394" s="74"/>
      <c r="G394" s="74" t="s">
        <v>6748</v>
      </c>
      <c r="H394" s="74" t="s">
        <v>5332</v>
      </c>
      <c r="I394" s="74" t="s">
        <v>202</v>
      </c>
      <c r="J394" s="74" t="s">
        <v>126</v>
      </c>
      <c r="K394" s="74" t="s">
        <v>6750</v>
      </c>
      <c r="L394" s="74" t="s">
        <v>745</v>
      </c>
    </row>
    <row r="395" spans="1:12" ht="21.95" customHeight="1">
      <c r="A395" s="149" t="s">
        <v>750</v>
      </c>
      <c r="B395" s="147" t="s">
        <v>117</v>
      </c>
      <c r="C395" s="148">
        <v>46074</v>
      </c>
      <c r="D395" s="147" t="s">
        <v>4894</v>
      </c>
      <c r="E395" s="147"/>
      <c r="F395" s="74"/>
      <c r="G395" s="74" t="s">
        <v>4920</v>
      </c>
      <c r="H395" s="74" t="s">
        <v>5333</v>
      </c>
      <c r="I395" s="74" t="s">
        <v>63</v>
      </c>
      <c r="J395" s="74" t="s">
        <v>73</v>
      </c>
      <c r="K395" s="74" t="s">
        <v>6750</v>
      </c>
      <c r="L395" s="74" t="s">
        <v>310</v>
      </c>
    </row>
    <row r="396" spans="1:12" ht="21.95" customHeight="1">
      <c r="A396" s="149" t="s">
        <v>756</v>
      </c>
      <c r="B396" s="147"/>
      <c r="C396" s="148"/>
      <c r="D396" s="147"/>
      <c r="E396" s="147"/>
      <c r="F396" s="74"/>
      <c r="G396" s="74" t="s">
        <v>6748</v>
      </c>
      <c r="H396" s="74" t="s">
        <v>5334</v>
      </c>
      <c r="I396" s="74" t="s">
        <v>24</v>
      </c>
      <c r="J396" s="74" t="s">
        <v>36</v>
      </c>
      <c r="K396" s="74" t="s">
        <v>6750</v>
      </c>
      <c r="L396" s="74" t="s">
        <v>755</v>
      </c>
    </row>
    <row r="397" spans="1:12" ht="21.95" customHeight="1">
      <c r="A397" s="149" t="s">
        <v>766</v>
      </c>
      <c r="B397" s="147"/>
      <c r="C397" s="148"/>
      <c r="D397" s="147"/>
      <c r="E397" s="147"/>
      <c r="F397" s="74"/>
      <c r="G397" s="74" t="s">
        <v>6748</v>
      </c>
      <c r="H397" s="74" t="s">
        <v>5335</v>
      </c>
      <c r="I397" s="74" t="s">
        <v>125</v>
      </c>
      <c r="J397" s="74" t="s">
        <v>196</v>
      </c>
      <c r="K397" s="74" t="s">
        <v>6750</v>
      </c>
      <c r="L397" s="74" t="s">
        <v>310</v>
      </c>
    </row>
    <row r="398" spans="1:12" ht="21.95" customHeight="1">
      <c r="A398" s="149" t="s">
        <v>770</v>
      </c>
      <c r="B398" s="147" t="s">
        <v>117</v>
      </c>
      <c r="C398" s="148">
        <v>46074</v>
      </c>
      <c r="D398" s="147" t="s">
        <v>4894</v>
      </c>
      <c r="E398" s="147"/>
      <c r="F398" s="74" t="s">
        <v>4896</v>
      </c>
      <c r="G398" s="74" t="s">
        <v>4920</v>
      </c>
      <c r="H398" s="74" t="s">
        <v>5336</v>
      </c>
      <c r="I398" s="74" t="s">
        <v>202</v>
      </c>
      <c r="J398" s="74" t="s">
        <v>196</v>
      </c>
      <c r="K398" s="74" t="s">
        <v>6750</v>
      </c>
      <c r="L398" s="74" t="s">
        <v>769</v>
      </c>
    </row>
    <row r="399" spans="1:12" ht="21.95" customHeight="1">
      <c r="A399" s="149" t="s">
        <v>772</v>
      </c>
      <c r="B399" s="147"/>
      <c r="C399" s="148"/>
      <c r="D399" s="147"/>
      <c r="E399" s="147"/>
      <c r="F399" s="74"/>
      <c r="G399" s="74" t="s">
        <v>6748</v>
      </c>
      <c r="H399" s="74" t="s">
        <v>5337</v>
      </c>
      <c r="I399" s="74" t="s">
        <v>426</v>
      </c>
      <c r="J399" s="74" t="s">
        <v>36</v>
      </c>
      <c r="K399" s="74" t="s">
        <v>6750</v>
      </c>
      <c r="L399" s="74" t="s">
        <v>310</v>
      </c>
    </row>
    <row r="400" spans="1:12" ht="21.95" customHeight="1">
      <c r="A400" s="149" t="s">
        <v>784</v>
      </c>
      <c r="B400" s="147"/>
      <c r="C400" s="148"/>
      <c r="D400" s="147"/>
      <c r="E400" s="147"/>
      <c r="F400" s="74"/>
      <c r="G400" s="74" t="s">
        <v>6748</v>
      </c>
      <c r="H400" s="74" t="s">
        <v>5338</v>
      </c>
      <c r="I400" s="74" t="s">
        <v>313</v>
      </c>
      <c r="J400" s="74" t="s">
        <v>36</v>
      </c>
      <c r="K400" s="74" t="s">
        <v>6750</v>
      </c>
      <c r="L400" s="74" t="s">
        <v>310</v>
      </c>
    </row>
    <row r="401" spans="1:12" ht="21.95" customHeight="1">
      <c r="A401" s="149" t="s">
        <v>6180</v>
      </c>
      <c r="B401" s="147"/>
      <c r="C401" s="148"/>
      <c r="D401" s="147"/>
      <c r="E401" s="147"/>
      <c r="F401" s="74"/>
      <c r="G401" s="74" t="s">
        <v>6748</v>
      </c>
      <c r="H401" s="74" t="s">
        <v>5339</v>
      </c>
      <c r="I401" s="74" t="s">
        <v>125</v>
      </c>
      <c r="J401" s="74" t="s">
        <v>36</v>
      </c>
      <c r="K401" s="74" t="s">
        <v>6750</v>
      </c>
      <c r="L401" s="74" t="s">
        <v>793</v>
      </c>
    </row>
    <row r="402" spans="1:12" ht="21.95" customHeight="1">
      <c r="A402" s="149" t="s">
        <v>6181</v>
      </c>
      <c r="B402" s="147"/>
      <c r="C402" s="148"/>
      <c r="D402" s="147"/>
      <c r="E402" s="147"/>
      <c r="F402" s="74"/>
      <c r="G402" s="74" t="s">
        <v>6748</v>
      </c>
      <c r="H402" s="74" t="s">
        <v>5341</v>
      </c>
      <c r="I402" s="74" t="s">
        <v>169</v>
      </c>
      <c r="J402" s="74" t="s">
        <v>36</v>
      </c>
      <c r="K402" s="74" t="s">
        <v>6750</v>
      </c>
      <c r="L402" s="74" t="s">
        <v>811</v>
      </c>
    </row>
    <row r="403" spans="1:12" ht="21.95" customHeight="1">
      <c r="A403" s="149" t="s">
        <v>6182</v>
      </c>
      <c r="B403" s="147" t="s">
        <v>117</v>
      </c>
      <c r="C403" s="148">
        <v>46074</v>
      </c>
      <c r="D403" s="147" t="s">
        <v>4894</v>
      </c>
      <c r="E403" s="147"/>
      <c r="F403" s="74"/>
      <c r="G403" s="74" t="s">
        <v>4920</v>
      </c>
      <c r="H403" s="74" t="s">
        <v>5342</v>
      </c>
      <c r="I403" s="74" t="s">
        <v>63</v>
      </c>
      <c r="J403" s="74" t="s">
        <v>73</v>
      </c>
      <c r="K403" s="74" t="s">
        <v>6750</v>
      </c>
      <c r="L403" s="74" t="s">
        <v>310</v>
      </c>
    </row>
    <row r="404" spans="1:12" ht="21.95" customHeight="1">
      <c r="A404" s="149" t="s">
        <v>6183</v>
      </c>
      <c r="B404" s="147"/>
      <c r="C404" s="148"/>
      <c r="D404" s="147"/>
      <c r="E404" s="147"/>
      <c r="F404" s="74"/>
      <c r="G404" s="74" t="s">
        <v>6748</v>
      </c>
      <c r="H404" s="74" t="s">
        <v>5343</v>
      </c>
      <c r="I404" s="74" t="s">
        <v>169</v>
      </c>
      <c r="J404" s="74" t="s">
        <v>73</v>
      </c>
      <c r="K404" s="74" t="s">
        <v>6750</v>
      </c>
      <c r="L404" s="74" t="s">
        <v>859</v>
      </c>
    </row>
    <row r="405" spans="1:12" ht="21.95" customHeight="1">
      <c r="A405" s="149" t="s">
        <v>6184</v>
      </c>
      <c r="B405" s="147" t="s">
        <v>117</v>
      </c>
      <c r="C405" s="148">
        <v>46081</v>
      </c>
      <c r="D405" s="147" t="s">
        <v>4871</v>
      </c>
      <c r="E405" s="147" t="s">
        <v>4904</v>
      </c>
      <c r="F405" s="74"/>
      <c r="G405" s="74" t="s">
        <v>4920</v>
      </c>
      <c r="H405" s="74" t="s">
        <v>5344</v>
      </c>
      <c r="I405" s="74" t="s">
        <v>240</v>
      </c>
      <c r="J405" s="74" t="s">
        <v>73</v>
      </c>
      <c r="K405" s="74" t="s">
        <v>6750</v>
      </c>
      <c r="L405" s="74" t="s">
        <v>31</v>
      </c>
    </row>
    <row r="406" spans="1:12" ht="21.95" customHeight="1">
      <c r="A406" s="149" t="s">
        <v>6185</v>
      </c>
      <c r="B406" s="147"/>
      <c r="C406" s="148"/>
      <c r="D406" s="147"/>
      <c r="E406" s="147"/>
      <c r="F406" s="74"/>
      <c r="G406" s="74" t="s">
        <v>6748</v>
      </c>
      <c r="H406" s="74" t="s">
        <v>5345</v>
      </c>
      <c r="I406" s="74" t="s">
        <v>24</v>
      </c>
      <c r="J406" s="74" t="s">
        <v>73</v>
      </c>
      <c r="K406" s="74" t="s">
        <v>6750</v>
      </c>
      <c r="L406" s="74" t="s">
        <v>31</v>
      </c>
    </row>
    <row r="407" spans="1:12" ht="21.95" customHeight="1">
      <c r="A407" s="149" t="s">
        <v>6186</v>
      </c>
      <c r="B407" s="147"/>
      <c r="C407" s="148"/>
      <c r="D407" s="147"/>
      <c r="E407" s="147"/>
      <c r="F407" s="74"/>
      <c r="G407" s="74" t="s">
        <v>6748</v>
      </c>
      <c r="H407" s="74" t="s">
        <v>5347</v>
      </c>
      <c r="I407" s="74" t="s">
        <v>63</v>
      </c>
      <c r="J407" s="74" t="s">
        <v>538</v>
      </c>
      <c r="K407" s="74" t="s">
        <v>387</v>
      </c>
      <c r="L407" s="74" t="s">
        <v>31</v>
      </c>
    </row>
    <row r="408" spans="1:12" ht="21.95" customHeight="1">
      <c r="A408" s="149" t="s">
        <v>6187</v>
      </c>
      <c r="B408" s="147"/>
      <c r="C408" s="148"/>
      <c r="D408" s="147"/>
      <c r="E408" s="147"/>
      <c r="F408" s="74"/>
      <c r="G408" s="74" t="s">
        <v>6748</v>
      </c>
      <c r="H408" s="74" t="s">
        <v>5348</v>
      </c>
      <c r="I408" s="74" t="s">
        <v>125</v>
      </c>
      <c r="J408" s="74" t="s">
        <v>36</v>
      </c>
      <c r="K408" s="74" t="s">
        <v>6750</v>
      </c>
      <c r="L408" s="74" t="s">
        <v>31</v>
      </c>
    </row>
    <row r="409" spans="1:12" ht="21.95" customHeight="1">
      <c r="A409" s="149" t="s">
        <v>6188</v>
      </c>
      <c r="B409" s="147"/>
      <c r="C409" s="148"/>
      <c r="D409" s="147"/>
      <c r="E409" s="147"/>
      <c r="F409" s="74"/>
      <c r="G409" s="74" t="s">
        <v>6748</v>
      </c>
      <c r="H409" s="74" t="s">
        <v>5349</v>
      </c>
      <c r="I409" s="74" t="s">
        <v>520</v>
      </c>
      <c r="J409" s="74" t="s">
        <v>196</v>
      </c>
      <c r="K409" s="74" t="s">
        <v>6750</v>
      </c>
      <c r="L409" s="74" t="s">
        <v>31</v>
      </c>
    </row>
    <row r="410" spans="1:12" ht="21.95" customHeight="1">
      <c r="A410" s="149" t="s">
        <v>6189</v>
      </c>
      <c r="B410" s="147"/>
      <c r="C410" s="148"/>
      <c r="D410" s="147"/>
      <c r="E410" s="147"/>
      <c r="F410" s="74"/>
      <c r="G410" s="74" t="s">
        <v>6748</v>
      </c>
      <c r="H410" s="74" t="s">
        <v>5350</v>
      </c>
      <c r="I410" s="74" t="s">
        <v>63</v>
      </c>
      <c r="J410" s="74" t="s">
        <v>196</v>
      </c>
      <c r="K410" s="74" t="s">
        <v>6750</v>
      </c>
      <c r="L410" s="74" t="s">
        <v>310</v>
      </c>
    </row>
    <row r="411" spans="1:12" ht="21.95" customHeight="1">
      <c r="A411" s="149" t="s">
        <v>1043</v>
      </c>
      <c r="B411" s="147"/>
      <c r="C411" s="148"/>
      <c r="D411" s="147"/>
      <c r="E411" s="147"/>
      <c r="F411" s="74"/>
      <c r="G411" s="74" t="s">
        <v>6748</v>
      </c>
      <c r="H411" s="74" t="s">
        <v>5351</v>
      </c>
      <c r="I411" s="74" t="s">
        <v>169</v>
      </c>
      <c r="J411" s="74" t="s">
        <v>36</v>
      </c>
      <c r="K411" s="74" t="s">
        <v>6750</v>
      </c>
      <c r="L411" s="74" t="s">
        <v>1042</v>
      </c>
    </row>
    <row r="412" spans="1:12" ht="21.95" customHeight="1">
      <c r="A412" s="149" t="s">
        <v>6190</v>
      </c>
      <c r="B412" s="147"/>
      <c r="C412" s="148"/>
      <c r="D412" s="147"/>
      <c r="E412" s="147"/>
      <c r="F412" s="74"/>
      <c r="G412" s="74" t="s">
        <v>6748</v>
      </c>
      <c r="H412" s="74" t="s">
        <v>5352</v>
      </c>
      <c r="I412" s="74" t="s">
        <v>169</v>
      </c>
      <c r="J412" s="74" t="s">
        <v>36</v>
      </c>
      <c r="K412" s="74" t="s">
        <v>6750</v>
      </c>
      <c r="L412" s="74" t="s">
        <v>1046</v>
      </c>
    </row>
    <row r="413" spans="1:12" ht="21.95" customHeight="1">
      <c r="A413" s="149" t="s">
        <v>6191</v>
      </c>
      <c r="B413" s="147"/>
      <c r="C413" s="148"/>
      <c r="D413" s="147"/>
      <c r="E413" s="147"/>
      <c r="F413" s="74"/>
      <c r="G413" s="74" t="s">
        <v>6748</v>
      </c>
      <c r="H413" s="74" t="s">
        <v>5353</v>
      </c>
      <c r="I413" s="74" t="s">
        <v>202</v>
      </c>
      <c r="J413" s="74" t="s">
        <v>538</v>
      </c>
      <c r="K413" s="74" t="s">
        <v>387</v>
      </c>
      <c r="L413" s="74" t="s">
        <v>310</v>
      </c>
    </row>
    <row r="414" spans="1:12" ht="21.95" customHeight="1">
      <c r="A414" s="149" t="s">
        <v>1194</v>
      </c>
      <c r="B414" s="147"/>
      <c r="C414" s="148"/>
      <c r="D414" s="147"/>
      <c r="E414" s="147"/>
      <c r="F414" s="74"/>
      <c r="G414" s="74" t="s">
        <v>6748</v>
      </c>
      <c r="H414" s="74" t="s">
        <v>5346</v>
      </c>
      <c r="I414" s="74" t="s">
        <v>169</v>
      </c>
      <c r="J414" s="74" t="s">
        <v>46</v>
      </c>
      <c r="K414" s="74" t="s">
        <v>6750</v>
      </c>
      <c r="L414" s="74" t="s">
        <v>930</v>
      </c>
    </row>
    <row r="415" spans="1:12" ht="21.95" customHeight="1">
      <c r="A415" s="149" t="s">
        <v>1200</v>
      </c>
      <c r="B415" s="147"/>
      <c r="C415" s="148"/>
      <c r="D415" s="147"/>
      <c r="E415" s="147"/>
      <c r="F415" s="74"/>
      <c r="G415" s="74" t="s">
        <v>6748</v>
      </c>
      <c r="H415" s="74" t="s">
        <v>5354</v>
      </c>
      <c r="I415" s="74" t="s">
        <v>520</v>
      </c>
      <c r="J415" s="74" t="s">
        <v>416</v>
      </c>
      <c r="K415" s="74" t="s">
        <v>387</v>
      </c>
      <c r="L415" s="74" t="s">
        <v>1199</v>
      </c>
    </row>
    <row r="416" spans="1:12" ht="21.95" customHeight="1">
      <c r="A416" s="149" t="s">
        <v>1207</v>
      </c>
      <c r="B416" s="147"/>
      <c r="C416" s="148"/>
      <c r="D416" s="147"/>
      <c r="E416" s="147"/>
      <c r="F416" s="74"/>
      <c r="G416" s="74" t="s">
        <v>6748</v>
      </c>
      <c r="H416" s="74" t="s">
        <v>5355</v>
      </c>
      <c r="I416" s="74" t="s">
        <v>24</v>
      </c>
      <c r="J416" s="74" t="s">
        <v>36</v>
      </c>
      <c r="K416" s="74" t="s">
        <v>6750</v>
      </c>
      <c r="L416" s="74" t="s">
        <v>31</v>
      </c>
    </row>
    <row r="417" spans="1:12" ht="21.95" customHeight="1">
      <c r="A417" s="149" t="s">
        <v>1211</v>
      </c>
      <c r="B417" s="147" t="s">
        <v>4893</v>
      </c>
      <c r="C417" s="148">
        <v>46081</v>
      </c>
      <c r="D417" s="147" t="s">
        <v>4871</v>
      </c>
      <c r="E417" s="147" t="s">
        <v>4904</v>
      </c>
      <c r="F417" s="74" t="s">
        <v>6798</v>
      </c>
      <c r="G417" s="74" t="s">
        <v>4920</v>
      </c>
      <c r="H417" s="74" t="s">
        <v>5356</v>
      </c>
      <c r="I417" s="74" t="s">
        <v>63</v>
      </c>
      <c r="J417" s="74" t="s">
        <v>36</v>
      </c>
      <c r="K417" s="74" t="s">
        <v>6750</v>
      </c>
      <c r="L417" s="74" t="s">
        <v>1210</v>
      </c>
    </row>
    <row r="418" spans="1:12" ht="21.95" customHeight="1">
      <c r="A418" s="149" t="s">
        <v>1213</v>
      </c>
      <c r="B418" s="147"/>
      <c r="C418" s="148"/>
      <c r="D418" s="147"/>
      <c r="E418" s="147"/>
      <c r="F418" s="74"/>
      <c r="G418" s="74" t="s">
        <v>6748</v>
      </c>
      <c r="H418" s="74" t="s">
        <v>5357</v>
      </c>
      <c r="I418" s="74" t="s">
        <v>89</v>
      </c>
      <c r="J418" s="74" t="s">
        <v>73</v>
      </c>
      <c r="K418" s="74" t="s">
        <v>6750</v>
      </c>
      <c r="L418" s="74" t="s">
        <v>31</v>
      </c>
    </row>
    <row r="419" spans="1:12" ht="21.95" customHeight="1">
      <c r="A419" s="149" t="s">
        <v>1217</v>
      </c>
      <c r="B419" s="147"/>
      <c r="C419" s="148"/>
      <c r="D419" s="147"/>
      <c r="E419" s="147"/>
      <c r="F419" s="74"/>
      <c r="G419" s="74" t="s">
        <v>6748</v>
      </c>
      <c r="H419" s="74" t="s">
        <v>5358</v>
      </c>
      <c r="I419" s="74" t="s">
        <v>125</v>
      </c>
      <c r="J419" s="74" t="s">
        <v>416</v>
      </c>
      <c r="K419" s="74" t="s">
        <v>387</v>
      </c>
      <c r="L419" s="74" t="s">
        <v>31</v>
      </c>
    </row>
    <row r="420" spans="1:12" ht="21.95" customHeight="1">
      <c r="A420" s="149" t="s">
        <v>1222</v>
      </c>
      <c r="B420" s="147"/>
      <c r="C420" s="148"/>
      <c r="D420" s="147"/>
      <c r="E420" s="147"/>
      <c r="F420" s="74"/>
      <c r="G420" s="74" t="s">
        <v>6748</v>
      </c>
      <c r="H420" s="74" t="s">
        <v>5359</v>
      </c>
      <c r="I420" s="74" t="s">
        <v>169</v>
      </c>
      <c r="J420" s="74" t="s">
        <v>416</v>
      </c>
      <c r="K420" s="74" t="s">
        <v>387</v>
      </c>
      <c r="L420" s="74" t="s">
        <v>31</v>
      </c>
    </row>
    <row r="421" spans="1:12" ht="21.95" customHeight="1">
      <c r="A421" s="149" t="s">
        <v>1224</v>
      </c>
      <c r="B421" s="147"/>
      <c r="C421" s="148"/>
      <c r="D421" s="147"/>
      <c r="E421" s="147"/>
      <c r="F421" s="74"/>
      <c r="G421" s="74" t="s">
        <v>6748</v>
      </c>
      <c r="H421" s="74" t="s">
        <v>5360</v>
      </c>
      <c r="I421" s="74" t="s">
        <v>125</v>
      </c>
      <c r="J421" s="74" t="s">
        <v>36</v>
      </c>
      <c r="K421" s="74" t="s">
        <v>6750</v>
      </c>
      <c r="L421" s="74" t="s">
        <v>31</v>
      </c>
    </row>
    <row r="422" spans="1:12" ht="21.95" customHeight="1">
      <c r="A422" s="149" t="s">
        <v>1227</v>
      </c>
      <c r="B422" s="147"/>
      <c r="C422" s="148"/>
      <c r="D422" s="147"/>
      <c r="E422" s="147"/>
      <c r="F422" s="74"/>
      <c r="G422" s="74" t="s">
        <v>6748</v>
      </c>
      <c r="H422" s="74" t="s">
        <v>5361</v>
      </c>
      <c r="I422" s="74" t="s">
        <v>63</v>
      </c>
      <c r="J422" s="74" t="s">
        <v>73</v>
      </c>
      <c r="K422" s="74" t="s">
        <v>6750</v>
      </c>
      <c r="L422" s="74" t="s">
        <v>310</v>
      </c>
    </row>
    <row r="423" spans="1:12" ht="21.95" customHeight="1">
      <c r="A423" s="149" t="s">
        <v>1229</v>
      </c>
      <c r="B423" s="147"/>
      <c r="C423" s="148"/>
      <c r="D423" s="147"/>
      <c r="E423" s="147"/>
      <c r="F423" s="74"/>
      <c r="G423" s="74" t="s">
        <v>6748</v>
      </c>
      <c r="H423" s="74" t="s">
        <v>5362</v>
      </c>
      <c r="I423" s="74" t="s">
        <v>169</v>
      </c>
      <c r="J423" s="74" t="s">
        <v>538</v>
      </c>
      <c r="K423" s="74" t="s">
        <v>387</v>
      </c>
      <c r="L423" s="74" t="s">
        <v>31</v>
      </c>
    </row>
    <row r="424" spans="1:12" ht="21.95" customHeight="1">
      <c r="A424" s="149" t="s">
        <v>1232</v>
      </c>
      <c r="B424" s="147"/>
      <c r="C424" s="148"/>
      <c r="D424" s="147"/>
      <c r="E424" s="147"/>
      <c r="F424" s="74"/>
      <c r="G424" s="74" t="s">
        <v>6748</v>
      </c>
      <c r="H424" s="74" t="s">
        <v>5363</v>
      </c>
      <c r="I424" s="74" t="s">
        <v>169</v>
      </c>
      <c r="J424" s="74" t="s">
        <v>36</v>
      </c>
      <c r="K424" s="74" t="s">
        <v>6750</v>
      </c>
      <c r="L424" s="74" t="s">
        <v>1231</v>
      </c>
    </row>
    <row r="425" spans="1:12" ht="21.95" customHeight="1">
      <c r="A425" s="149" t="s">
        <v>1237</v>
      </c>
      <c r="B425" s="147"/>
      <c r="C425" s="148"/>
      <c r="D425" s="147"/>
      <c r="E425" s="147"/>
      <c r="F425" s="74"/>
      <c r="G425" s="74" t="s">
        <v>6748</v>
      </c>
      <c r="H425" s="74" t="s">
        <v>5364</v>
      </c>
      <c r="I425" s="74" t="s">
        <v>616</v>
      </c>
      <c r="J425" s="74" t="s">
        <v>538</v>
      </c>
      <c r="K425" s="74" t="s">
        <v>387</v>
      </c>
      <c r="L425" s="74" t="s">
        <v>31</v>
      </c>
    </row>
    <row r="426" spans="1:12" ht="21.95" customHeight="1">
      <c r="A426" s="149" t="s">
        <v>1253</v>
      </c>
      <c r="B426" s="147"/>
      <c r="C426" s="148"/>
      <c r="D426" s="147"/>
      <c r="E426" s="147"/>
      <c r="F426" s="74"/>
      <c r="G426" s="74" t="s">
        <v>6748</v>
      </c>
      <c r="H426" s="74" t="s">
        <v>5365</v>
      </c>
      <c r="I426" s="74" t="s">
        <v>24</v>
      </c>
      <c r="J426" s="74" t="s">
        <v>36</v>
      </c>
      <c r="K426" s="74" t="s">
        <v>6750</v>
      </c>
      <c r="L426" s="74" t="s">
        <v>310</v>
      </c>
    </row>
    <row r="427" spans="1:12" ht="21.95" customHeight="1">
      <c r="A427" s="149" t="s">
        <v>1262</v>
      </c>
      <c r="B427" s="147"/>
      <c r="C427" s="148"/>
      <c r="D427" s="147"/>
      <c r="E427" s="147"/>
      <c r="F427" s="74"/>
      <c r="G427" s="74" t="s">
        <v>6748</v>
      </c>
      <c r="H427" s="74" t="s">
        <v>5366</v>
      </c>
      <c r="I427" s="74" t="s">
        <v>63</v>
      </c>
      <c r="J427" s="74" t="s">
        <v>538</v>
      </c>
      <c r="K427" s="74" t="s">
        <v>387</v>
      </c>
      <c r="L427" s="74" t="s">
        <v>310</v>
      </c>
    </row>
    <row r="428" spans="1:12" ht="21.95" customHeight="1">
      <c r="A428" s="149" t="s">
        <v>1269</v>
      </c>
      <c r="B428" s="147"/>
      <c r="C428" s="148"/>
      <c r="D428" s="147"/>
      <c r="E428" s="147"/>
      <c r="F428" s="74"/>
      <c r="G428" s="74" t="s">
        <v>6748</v>
      </c>
      <c r="H428" s="74" t="s">
        <v>5367</v>
      </c>
      <c r="I428" s="74" t="s">
        <v>112</v>
      </c>
      <c r="J428" s="74" t="s">
        <v>36</v>
      </c>
      <c r="K428" s="74" t="s">
        <v>6750</v>
      </c>
      <c r="L428" s="74" t="s">
        <v>310</v>
      </c>
    </row>
    <row r="429" spans="1:12" ht="21.95" customHeight="1">
      <c r="A429" s="149" t="s">
        <v>1283</v>
      </c>
      <c r="B429" s="147"/>
      <c r="C429" s="148"/>
      <c r="D429" s="147"/>
      <c r="E429" s="147"/>
      <c r="F429" s="74"/>
      <c r="G429" s="74" t="s">
        <v>6748</v>
      </c>
      <c r="H429" s="74" t="s">
        <v>5368</v>
      </c>
      <c r="I429" s="74" t="s">
        <v>63</v>
      </c>
      <c r="J429" s="74" t="s">
        <v>46</v>
      </c>
      <c r="K429" s="74" t="s">
        <v>30</v>
      </c>
      <c r="L429" s="74" t="s">
        <v>310</v>
      </c>
    </row>
    <row r="430" spans="1:12" ht="21.95" customHeight="1">
      <c r="A430" s="149" t="s">
        <v>1288</v>
      </c>
      <c r="B430" s="147"/>
      <c r="C430" s="148"/>
      <c r="D430" s="147"/>
      <c r="E430" s="147"/>
      <c r="F430" s="74"/>
      <c r="G430" s="74" t="s">
        <v>6748</v>
      </c>
      <c r="H430" s="74" t="s">
        <v>5369</v>
      </c>
      <c r="I430" s="74" t="s">
        <v>520</v>
      </c>
      <c r="J430" s="74" t="s">
        <v>416</v>
      </c>
      <c r="K430" s="74" t="s">
        <v>387</v>
      </c>
      <c r="L430" s="74" t="s">
        <v>31</v>
      </c>
    </row>
    <row r="431" spans="1:12" ht="21.95" customHeight="1">
      <c r="A431" s="149" t="s">
        <v>1297</v>
      </c>
      <c r="B431" s="147"/>
      <c r="C431" s="148"/>
      <c r="D431" s="147"/>
      <c r="E431" s="147"/>
      <c r="F431" s="74"/>
      <c r="G431" s="74" t="s">
        <v>6748</v>
      </c>
      <c r="H431" s="74" t="s">
        <v>5370</v>
      </c>
      <c r="I431" s="74" t="s">
        <v>63</v>
      </c>
      <c r="J431" s="74" t="s">
        <v>36</v>
      </c>
      <c r="K431" s="74" t="s">
        <v>6750</v>
      </c>
      <c r="L431" s="74" t="s">
        <v>310</v>
      </c>
    </row>
    <row r="432" spans="1:12" ht="21.95" customHeight="1">
      <c r="A432" s="149" t="s">
        <v>1304</v>
      </c>
      <c r="B432" s="147"/>
      <c r="C432" s="148"/>
      <c r="D432" s="147"/>
      <c r="E432" s="147"/>
      <c r="F432" s="74"/>
      <c r="G432" s="74" t="s">
        <v>6748</v>
      </c>
      <c r="H432" s="74" t="s">
        <v>5371</v>
      </c>
      <c r="I432" s="74" t="s">
        <v>112</v>
      </c>
      <c r="J432" s="74" t="s">
        <v>36</v>
      </c>
      <c r="K432" s="74" t="s">
        <v>6750</v>
      </c>
      <c r="L432" s="74" t="s">
        <v>31</v>
      </c>
    </row>
    <row r="433" spans="1:12" ht="21.95" customHeight="1">
      <c r="A433" s="149" t="s">
        <v>1309</v>
      </c>
      <c r="B433" s="147"/>
      <c r="C433" s="148"/>
      <c r="D433" s="147"/>
      <c r="E433" s="147"/>
      <c r="F433" s="74"/>
      <c r="G433" s="74" t="s">
        <v>6748</v>
      </c>
      <c r="H433" s="74" t="s">
        <v>5372</v>
      </c>
      <c r="I433" s="74" t="s">
        <v>63</v>
      </c>
      <c r="J433" s="74" t="s">
        <v>250</v>
      </c>
      <c r="K433" s="74" t="s">
        <v>6750</v>
      </c>
      <c r="L433" s="74" t="s">
        <v>31</v>
      </c>
    </row>
    <row r="434" spans="1:12" ht="21.95" customHeight="1">
      <c r="A434" s="149" t="s">
        <v>1312</v>
      </c>
      <c r="B434" s="147"/>
      <c r="C434" s="148"/>
      <c r="D434" s="147"/>
      <c r="E434" s="147"/>
      <c r="F434" s="74"/>
      <c r="G434" s="74" t="s">
        <v>6748</v>
      </c>
      <c r="H434" s="74" t="s">
        <v>5373</v>
      </c>
      <c r="I434" s="74" t="s">
        <v>63</v>
      </c>
      <c r="J434" s="74" t="s">
        <v>250</v>
      </c>
      <c r="K434" s="74" t="s">
        <v>6750</v>
      </c>
      <c r="L434" s="74" t="s">
        <v>31</v>
      </c>
    </row>
    <row r="435" spans="1:12" ht="21.95" customHeight="1">
      <c r="A435" s="149" t="s">
        <v>1315</v>
      </c>
      <c r="B435" s="147"/>
      <c r="C435" s="148"/>
      <c r="D435" s="147"/>
      <c r="E435" s="147"/>
      <c r="F435" s="74"/>
      <c r="G435" s="74" t="s">
        <v>6748</v>
      </c>
      <c r="H435" s="74" t="s">
        <v>5374</v>
      </c>
      <c r="I435" s="74" t="s">
        <v>169</v>
      </c>
      <c r="J435" s="74" t="s">
        <v>243</v>
      </c>
      <c r="K435" s="74" t="s">
        <v>387</v>
      </c>
      <c r="L435" s="74" t="s">
        <v>31</v>
      </c>
    </row>
    <row r="436" spans="1:12" ht="21.95" customHeight="1">
      <c r="A436" s="149" t="s">
        <v>1317</v>
      </c>
      <c r="B436" s="147"/>
      <c r="C436" s="148"/>
      <c r="D436" s="147"/>
      <c r="E436" s="147"/>
      <c r="F436" s="74"/>
      <c r="G436" s="74" t="s">
        <v>6748</v>
      </c>
      <c r="H436" s="74" t="s">
        <v>5375</v>
      </c>
      <c r="I436" s="74" t="s">
        <v>536</v>
      </c>
      <c r="J436" s="74" t="s">
        <v>126</v>
      </c>
      <c r="K436" s="74" t="s">
        <v>6750</v>
      </c>
      <c r="L436" s="74" t="s">
        <v>31</v>
      </c>
    </row>
    <row r="437" spans="1:12" ht="21.95" customHeight="1">
      <c r="A437" s="149" t="s">
        <v>1324</v>
      </c>
      <c r="B437" s="147"/>
      <c r="C437" s="148"/>
      <c r="D437" s="147"/>
      <c r="E437" s="147"/>
      <c r="F437" s="74"/>
      <c r="G437" s="74" t="s">
        <v>6748</v>
      </c>
      <c r="H437" s="74" t="s">
        <v>5376</v>
      </c>
      <c r="I437" s="74" t="s">
        <v>63</v>
      </c>
      <c r="J437" s="74" t="s">
        <v>73</v>
      </c>
      <c r="K437" s="74" t="s">
        <v>6750</v>
      </c>
      <c r="L437" s="74" t="s">
        <v>31</v>
      </c>
    </row>
    <row r="438" spans="1:12" ht="21.95" customHeight="1">
      <c r="A438" s="149" t="s">
        <v>1328</v>
      </c>
      <c r="B438" s="147"/>
      <c r="C438" s="148"/>
      <c r="D438" s="147"/>
      <c r="E438" s="147"/>
      <c r="F438" s="74"/>
      <c r="G438" s="74" t="s">
        <v>6748</v>
      </c>
      <c r="H438" s="74" t="s">
        <v>5377</v>
      </c>
      <c r="I438" s="74" t="s">
        <v>169</v>
      </c>
      <c r="J438" s="74" t="s">
        <v>73</v>
      </c>
      <c r="K438" s="74" t="s">
        <v>6750</v>
      </c>
      <c r="L438" s="74" t="s">
        <v>31</v>
      </c>
    </row>
    <row r="439" spans="1:12" ht="21.95" customHeight="1">
      <c r="A439" s="149" t="s">
        <v>1337</v>
      </c>
      <c r="B439" s="147"/>
      <c r="C439" s="148"/>
      <c r="D439" s="147"/>
      <c r="E439" s="147"/>
      <c r="F439" s="74"/>
      <c r="G439" s="74" t="s">
        <v>6748</v>
      </c>
      <c r="H439" s="74" t="s">
        <v>5378</v>
      </c>
      <c r="I439" s="74" t="s">
        <v>169</v>
      </c>
      <c r="J439" s="74" t="s">
        <v>250</v>
      </c>
      <c r="K439" s="74" t="s">
        <v>6750</v>
      </c>
      <c r="L439" s="74" t="s">
        <v>31</v>
      </c>
    </row>
    <row r="440" spans="1:12" ht="21.95" customHeight="1">
      <c r="A440" s="149" t="s">
        <v>1344</v>
      </c>
      <c r="B440" s="147"/>
      <c r="C440" s="148"/>
      <c r="D440" s="147"/>
      <c r="E440" s="147"/>
      <c r="F440" s="74"/>
      <c r="G440" s="74" t="s">
        <v>6748</v>
      </c>
      <c r="H440" s="74" t="s">
        <v>5379</v>
      </c>
      <c r="I440" s="74" t="s">
        <v>202</v>
      </c>
      <c r="J440" s="74" t="s">
        <v>36</v>
      </c>
      <c r="K440" s="74" t="s">
        <v>6750</v>
      </c>
      <c r="L440" s="74" t="s">
        <v>310</v>
      </c>
    </row>
    <row r="441" spans="1:12" ht="21.95" customHeight="1">
      <c r="A441" s="149" t="s">
        <v>1351</v>
      </c>
      <c r="B441" s="147"/>
      <c r="C441" s="148"/>
      <c r="D441" s="147"/>
      <c r="E441" s="147"/>
      <c r="F441" s="74"/>
      <c r="G441" s="74" t="s">
        <v>6748</v>
      </c>
      <c r="H441" s="74" t="s">
        <v>5380</v>
      </c>
      <c r="I441" s="74" t="s">
        <v>202</v>
      </c>
      <c r="J441" s="74" t="s">
        <v>1352</v>
      </c>
      <c r="K441" s="74" t="s">
        <v>387</v>
      </c>
      <c r="L441" s="74" t="s">
        <v>31</v>
      </c>
    </row>
    <row r="442" spans="1:12" ht="21.95" customHeight="1">
      <c r="A442" s="149" t="s">
        <v>1363</v>
      </c>
      <c r="B442" s="147"/>
      <c r="C442" s="148"/>
      <c r="D442" s="147"/>
      <c r="E442" s="147"/>
      <c r="F442" s="74"/>
      <c r="G442" s="74" t="s">
        <v>6748</v>
      </c>
      <c r="H442" s="74" t="s">
        <v>5381</v>
      </c>
      <c r="I442" s="74" t="s">
        <v>63</v>
      </c>
      <c r="J442" s="74" t="s">
        <v>968</v>
      </c>
      <c r="K442" s="74" t="s">
        <v>6750</v>
      </c>
      <c r="L442" s="74" t="s">
        <v>31</v>
      </c>
    </row>
    <row r="443" spans="1:12" ht="21.95" customHeight="1">
      <c r="A443" s="149" t="s">
        <v>1366</v>
      </c>
      <c r="B443" s="147"/>
      <c r="C443" s="148"/>
      <c r="D443" s="147"/>
      <c r="E443" s="147"/>
      <c r="F443" s="74"/>
      <c r="G443" s="74" t="s">
        <v>6748</v>
      </c>
      <c r="H443" s="74" t="s">
        <v>5382</v>
      </c>
      <c r="I443" s="74" t="s">
        <v>63</v>
      </c>
      <c r="J443" s="74" t="s">
        <v>36</v>
      </c>
      <c r="K443" s="74" t="s">
        <v>6750</v>
      </c>
      <c r="L443" s="74" t="s">
        <v>310</v>
      </c>
    </row>
    <row r="444" spans="1:12" ht="21.95" customHeight="1">
      <c r="A444" s="149" t="s">
        <v>1385</v>
      </c>
      <c r="B444" s="147"/>
      <c r="C444" s="148"/>
      <c r="D444" s="147"/>
      <c r="E444" s="147"/>
      <c r="F444" s="74"/>
      <c r="G444" s="74" t="s">
        <v>6748</v>
      </c>
      <c r="H444" s="74" t="s">
        <v>5383</v>
      </c>
      <c r="I444" s="74" t="s">
        <v>202</v>
      </c>
      <c r="J444" s="74" t="s">
        <v>73</v>
      </c>
      <c r="K444" s="74" t="s">
        <v>6750</v>
      </c>
      <c r="L444" s="74" t="s">
        <v>310</v>
      </c>
    </row>
    <row r="445" spans="1:12" ht="21.95" customHeight="1">
      <c r="A445" s="149" t="s">
        <v>1431</v>
      </c>
      <c r="B445" s="147"/>
      <c r="C445" s="148"/>
      <c r="D445" s="147"/>
      <c r="E445" s="147"/>
      <c r="F445" s="74"/>
      <c r="G445" s="74" t="s">
        <v>6748</v>
      </c>
      <c r="H445" s="74" t="s">
        <v>5384</v>
      </c>
      <c r="I445" s="74" t="s">
        <v>169</v>
      </c>
      <c r="J445" s="74" t="s">
        <v>243</v>
      </c>
      <c r="K445" s="74" t="s">
        <v>387</v>
      </c>
      <c r="L445" s="74" t="s">
        <v>1103</v>
      </c>
    </row>
    <row r="446" spans="1:12" ht="21.95" customHeight="1">
      <c r="A446" s="149" t="s">
        <v>1434</v>
      </c>
      <c r="B446" s="147"/>
      <c r="C446" s="148"/>
      <c r="D446" s="147"/>
      <c r="E446" s="147"/>
      <c r="F446" s="74"/>
      <c r="G446" s="74" t="s">
        <v>6748</v>
      </c>
      <c r="H446" s="74" t="s">
        <v>5385</v>
      </c>
      <c r="I446" s="74" t="s">
        <v>520</v>
      </c>
      <c r="J446" s="74" t="s">
        <v>46</v>
      </c>
      <c r="K446" s="74" t="s">
        <v>6750</v>
      </c>
      <c r="L446" s="74" t="s">
        <v>31</v>
      </c>
    </row>
    <row r="447" spans="1:12" ht="21.95" customHeight="1">
      <c r="A447" s="149" t="s">
        <v>1438</v>
      </c>
      <c r="B447" s="147"/>
      <c r="C447" s="148"/>
      <c r="D447" s="147"/>
      <c r="E447" s="147"/>
      <c r="F447" s="74"/>
      <c r="G447" s="74" t="s">
        <v>6748</v>
      </c>
      <c r="H447" s="74" t="s">
        <v>5386</v>
      </c>
      <c r="I447" s="74" t="s">
        <v>63</v>
      </c>
      <c r="J447" s="74" t="s">
        <v>250</v>
      </c>
      <c r="K447" s="74" t="s">
        <v>6750</v>
      </c>
      <c r="L447" s="74" t="s">
        <v>310</v>
      </c>
    </row>
    <row r="448" spans="1:12" ht="21.95" customHeight="1">
      <c r="A448" s="149" t="s">
        <v>6192</v>
      </c>
      <c r="B448" s="147"/>
      <c r="C448" s="148"/>
      <c r="D448" s="147"/>
      <c r="E448" s="147"/>
      <c r="F448" s="74"/>
      <c r="G448" s="74" t="s">
        <v>6748</v>
      </c>
      <c r="H448" s="74" t="s">
        <v>5387</v>
      </c>
      <c r="I448" s="74" t="s">
        <v>63</v>
      </c>
      <c r="J448" s="74" t="s">
        <v>538</v>
      </c>
      <c r="K448" s="74" t="s">
        <v>387</v>
      </c>
      <c r="L448" s="74" t="s">
        <v>31</v>
      </c>
    </row>
    <row r="449" spans="1:12" ht="21.95" customHeight="1">
      <c r="A449" s="149" t="s">
        <v>6193</v>
      </c>
      <c r="B449" s="147"/>
      <c r="C449" s="148"/>
      <c r="D449" s="147"/>
      <c r="E449" s="147"/>
      <c r="F449" s="74"/>
      <c r="G449" s="74" t="s">
        <v>6748</v>
      </c>
      <c r="H449" s="74" t="s">
        <v>5388</v>
      </c>
      <c r="I449" s="74" t="s">
        <v>261</v>
      </c>
      <c r="J449" s="74" t="s">
        <v>73</v>
      </c>
      <c r="K449" s="74" t="s">
        <v>6750</v>
      </c>
      <c r="L449" s="74" t="s">
        <v>310</v>
      </c>
    </row>
    <row r="450" spans="1:12" ht="21.95" customHeight="1">
      <c r="A450" s="149" t="s">
        <v>6194</v>
      </c>
      <c r="B450" s="147"/>
      <c r="C450" s="148"/>
      <c r="D450" s="147"/>
      <c r="E450" s="147"/>
      <c r="F450" s="74"/>
      <c r="G450" s="74" t="s">
        <v>6748</v>
      </c>
      <c r="H450" s="74" t="s">
        <v>5389</v>
      </c>
      <c r="I450" s="74" t="s">
        <v>125</v>
      </c>
      <c r="J450" s="74" t="s">
        <v>1507</v>
      </c>
      <c r="K450" s="74" t="s">
        <v>6750</v>
      </c>
      <c r="L450" s="74" t="s">
        <v>31</v>
      </c>
    </row>
    <row r="451" spans="1:12" ht="21.95" customHeight="1">
      <c r="A451" s="149" t="s">
        <v>6195</v>
      </c>
      <c r="B451" s="147"/>
      <c r="C451" s="148"/>
      <c r="D451" s="147"/>
      <c r="E451" s="147"/>
      <c r="F451" s="74"/>
      <c r="G451" s="74" t="s">
        <v>6748</v>
      </c>
      <c r="H451" s="74" t="s">
        <v>5390</v>
      </c>
      <c r="I451" s="74" t="s">
        <v>63</v>
      </c>
      <c r="J451" s="74" t="s">
        <v>46</v>
      </c>
      <c r="K451" s="74" t="s">
        <v>6750</v>
      </c>
      <c r="L451" s="74" t="s">
        <v>310</v>
      </c>
    </row>
    <row r="452" spans="1:12" ht="21.95" customHeight="1">
      <c r="A452" s="149" t="s">
        <v>6196</v>
      </c>
      <c r="B452" s="147"/>
      <c r="C452" s="148"/>
      <c r="D452" s="147"/>
      <c r="E452" s="147"/>
      <c r="F452" s="74"/>
      <c r="G452" s="74" t="s">
        <v>6748</v>
      </c>
      <c r="H452" s="74" t="s">
        <v>5391</v>
      </c>
      <c r="I452" s="74" t="s">
        <v>63</v>
      </c>
      <c r="J452" s="74" t="s">
        <v>73</v>
      </c>
      <c r="K452" s="74" t="s">
        <v>6750</v>
      </c>
      <c r="L452" s="74" t="s">
        <v>310</v>
      </c>
    </row>
    <row r="453" spans="1:12" ht="21.95" customHeight="1">
      <c r="A453" s="149" t="s">
        <v>6197</v>
      </c>
      <c r="B453" s="147"/>
      <c r="C453" s="148"/>
      <c r="D453" s="147"/>
      <c r="E453" s="147"/>
      <c r="F453" s="74"/>
      <c r="G453" s="74" t="s">
        <v>6748</v>
      </c>
      <c r="H453" s="74" t="s">
        <v>5392</v>
      </c>
      <c r="I453" s="74" t="s">
        <v>1514</v>
      </c>
      <c r="J453" s="74" t="s">
        <v>416</v>
      </c>
      <c r="K453" s="74" t="s">
        <v>387</v>
      </c>
      <c r="L453" s="74" t="s">
        <v>310</v>
      </c>
    </row>
    <row r="454" spans="1:12" ht="21.95" customHeight="1">
      <c r="A454" s="149" t="s">
        <v>6198</v>
      </c>
      <c r="B454" s="147"/>
      <c r="C454" s="148"/>
      <c r="D454" s="147"/>
      <c r="E454" s="147"/>
      <c r="F454" s="74"/>
      <c r="G454" s="74" t="s">
        <v>6748</v>
      </c>
      <c r="H454" s="74" t="s">
        <v>5393</v>
      </c>
      <c r="I454" s="74" t="s">
        <v>125</v>
      </c>
      <c r="J454" s="74" t="s">
        <v>126</v>
      </c>
      <c r="K454" s="74" t="s">
        <v>6750</v>
      </c>
      <c r="L454" s="74" t="s">
        <v>31</v>
      </c>
    </row>
    <row r="455" spans="1:12" ht="21.95" customHeight="1">
      <c r="A455" s="149" t="s">
        <v>6199</v>
      </c>
      <c r="B455" s="147"/>
      <c r="C455" s="148"/>
      <c r="D455" s="147"/>
      <c r="E455" s="147"/>
      <c r="F455" s="74"/>
      <c r="G455" s="74" t="s">
        <v>6748</v>
      </c>
      <c r="H455" s="74" t="s">
        <v>5394</v>
      </c>
      <c r="I455" s="74" t="s">
        <v>1537</v>
      </c>
      <c r="J455" s="74" t="s">
        <v>538</v>
      </c>
      <c r="K455" s="74" t="s">
        <v>387</v>
      </c>
      <c r="L455" s="74" t="s">
        <v>31</v>
      </c>
    </row>
    <row r="456" spans="1:12" ht="21.95" customHeight="1">
      <c r="A456" s="149" t="s">
        <v>6200</v>
      </c>
      <c r="B456" s="147"/>
      <c r="C456" s="148"/>
      <c r="D456" s="147"/>
      <c r="E456" s="147"/>
      <c r="F456" s="74"/>
      <c r="G456" s="74" t="s">
        <v>6748</v>
      </c>
      <c r="H456" s="74" t="s">
        <v>5395</v>
      </c>
      <c r="I456" s="74" t="s">
        <v>169</v>
      </c>
      <c r="J456" s="74" t="s">
        <v>416</v>
      </c>
      <c r="K456" s="74" t="s">
        <v>387</v>
      </c>
      <c r="L456" s="74" t="s">
        <v>1545</v>
      </c>
    </row>
    <row r="457" spans="1:12" ht="21.95" customHeight="1">
      <c r="A457" s="149" t="s">
        <v>6201</v>
      </c>
      <c r="B457" s="147"/>
      <c r="C457" s="148"/>
      <c r="D457" s="147"/>
      <c r="E457" s="147"/>
      <c r="F457" s="74"/>
      <c r="G457" s="74" t="s">
        <v>6748</v>
      </c>
      <c r="H457" s="74" t="s">
        <v>5396</v>
      </c>
      <c r="I457" s="74" t="s">
        <v>63</v>
      </c>
      <c r="J457" s="74" t="s">
        <v>36</v>
      </c>
      <c r="K457" s="74" t="s">
        <v>6750</v>
      </c>
      <c r="L457" s="74" t="s">
        <v>1556</v>
      </c>
    </row>
    <row r="458" spans="1:12" ht="21.95" customHeight="1">
      <c r="A458" s="149" t="s">
        <v>6202</v>
      </c>
      <c r="B458" s="147"/>
      <c r="C458" s="148"/>
      <c r="D458" s="147"/>
      <c r="E458" s="147"/>
      <c r="F458" s="74"/>
      <c r="G458" s="74" t="s">
        <v>6748</v>
      </c>
      <c r="H458" s="74" t="s">
        <v>5397</v>
      </c>
      <c r="I458" s="74" t="s">
        <v>63</v>
      </c>
      <c r="J458" s="74" t="s">
        <v>250</v>
      </c>
      <c r="K458" s="74" t="s">
        <v>6750</v>
      </c>
      <c r="L458" s="74" t="s">
        <v>31</v>
      </c>
    </row>
    <row r="459" spans="1:12" ht="21.95" customHeight="1">
      <c r="A459" s="149" t="s">
        <v>6203</v>
      </c>
      <c r="B459" s="147"/>
      <c r="C459" s="148"/>
      <c r="D459" s="147"/>
      <c r="E459" s="147"/>
      <c r="F459" s="74"/>
      <c r="G459" s="74" t="s">
        <v>6748</v>
      </c>
      <c r="H459" s="74" t="s">
        <v>5398</v>
      </c>
      <c r="I459" s="74" t="s">
        <v>63</v>
      </c>
      <c r="J459" s="74" t="s">
        <v>196</v>
      </c>
      <c r="K459" s="74" t="s">
        <v>6750</v>
      </c>
      <c r="L459" s="74" t="s">
        <v>310</v>
      </c>
    </row>
    <row r="460" spans="1:12" ht="21.95" customHeight="1">
      <c r="A460" s="149" t="s">
        <v>6204</v>
      </c>
      <c r="B460" s="147"/>
      <c r="C460" s="148"/>
      <c r="D460" s="147"/>
      <c r="E460" s="147"/>
      <c r="F460" s="74"/>
      <c r="G460" s="74" t="s">
        <v>6748</v>
      </c>
      <c r="H460" s="74" t="s">
        <v>5399</v>
      </c>
      <c r="I460" s="74" t="s">
        <v>112</v>
      </c>
      <c r="J460" s="74" t="s">
        <v>36</v>
      </c>
      <c r="K460" s="74" t="s">
        <v>6750</v>
      </c>
      <c r="L460" s="74" t="s">
        <v>310</v>
      </c>
    </row>
    <row r="461" spans="1:12" ht="21.95" customHeight="1">
      <c r="A461" s="149" t="s">
        <v>6205</v>
      </c>
      <c r="B461" s="147"/>
      <c r="C461" s="148"/>
      <c r="D461" s="147"/>
      <c r="E461" s="147"/>
      <c r="F461" s="74"/>
      <c r="G461" s="74" t="s">
        <v>6748</v>
      </c>
      <c r="H461" s="74" t="s">
        <v>5400</v>
      </c>
      <c r="I461" s="74" t="s">
        <v>129</v>
      </c>
      <c r="J461" s="74" t="s">
        <v>36</v>
      </c>
      <c r="K461" s="74" t="s">
        <v>6750</v>
      </c>
      <c r="L461" s="74" t="s">
        <v>31</v>
      </c>
    </row>
    <row r="462" spans="1:12" ht="21.95" customHeight="1">
      <c r="A462" s="149" t="s">
        <v>6206</v>
      </c>
      <c r="B462" s="147"/>
      <c r="C462" s="148"/>
      <c r="D462" s="147"/>
      <c r="E462" s="147"/>
      <c r="F462" s="74"/>
      <c r="G462" s="74" t="s">
        <v>6748</v>
      </c>
      <c r="H462" s="74" t="s">
        <v>5401</v>
      </c>
      <c r="I462" s="74" t="s">
        <v>63</v>
      </c>
      <c r="J462" s="74" t="s">
        <v>36</v>
      </c>
      <c r="K462" s="74" t="s">
        <v>6750</v>
      </c>
      <c r="L462" s="74" t="s">
        <v>310</v>
      </c>
    </row>
    <row r="463" spans="1:12" ht="21.95" customHeight="1">
      <c r="A463" s="149" t="s">
        <v>6207</v>
      </c>
      <c r="B463" s="147"/>
      <c r="C463" s="148"/>
      <c r="D463" s="147"/>
      <c r="E463" s="147"/>
      <c r="F463" s="74"/>
      <c r="G463" s="74" t="s">
        <v>6748</v>
      </c>
      <c r="H463" s="74" t="s">
        <v>5402</v>
      </c>
      <c r="I463" s="74" t="s">
        <v>169</v>
      </c>
      <c r="J463" s="74" t="s">
        <v>36</v>
      </c>
      <c r="K463" s="74" t="s">
        <v>6750</v>
      </c>
      <c r="L463" s="74" t="s">
        <v>1582</v>
      </c>
    </row>
    <row r="464" spans="1:12" ht="21.95" customHeight="1">
      <c r="A464" s="149" t="s">
        <v>6208</v>
      </c>
      <c r="B464" s="147"/>
      <c r="C464" s="148"/>
      <c r="D464" s="147"/>
      <c r="E464" s="147"/>
      <c r="F464" s="74"/>
      <c r="G464" s="74" t="s">
        <v>6748</v>
      </c>
      <c r="H464" s="74" t="s">
        <v>5403</v>
      </c>
      <c r="I464" s="74" t="s">
        <v>169</v>
      </c>
      <c r="J464" s="74" t="s">
        <v>416</v>
      </c>
      <c r="K464" s="74" t="s">
        <v>387</v>
      </c>
      <c r="L464" s="74" t="s">
        <v>1413</v>
      </c>
    </row>
    <row r="465" spans="1:12" ht="21.95" customHeight="1">
      <c r="A465" s="149" t="s">
        <v>6209</v>
      </c>
      <c r="B465" s="147"/>
      <c r="C465" s="148"/>
      <c r="D465" s="147"/>
      <c r="E465" s="147"/>
      <c r="F465" s="74"/>
      <c r="G465" s="74" t="s">
        <v>6748</v>
      </c>
      <c r="H465" s="74" t="s">
        <v>5404</v>
      </c>
      <c r="I465" s="74" t="s">
        <v>169</v>
      </c>
      <c r="J465" s="74" t="s">
        <v>73</v>
      </c>
      <c r="K465" s="74" t="s">
        <v>6750</v>
      </c>
      <c r="L465" s="74" t="s">
        <v>31</v>
      </c>
    </row>
    <row r="466" spans="1:12" ht="21.95" customHeight="1">
      <c r="A466" s="149" t="s">
        <v>6210</v>
      </c>
      <c r="B466" s="147"/>
      <c r="C466" s="148"/>
      <c r="D466" s="147"/>
      <c r="E466" s="147"/>
      <c r="F466" s="74"/>
      <c r="G466" s="74" t="s">
        <v>6748</v>
      </c>
      <c r="H466" s="74" t="s">
        <v>5405</v>
      </c>
      <c r="I466" s="74" t="s">
        <v>169</v>
      </c>
      <c r="J466" s="74" t="s">
        <v>196</v>
      </c>
      <c r="K466" s="74" t="s">
        <v>6750</v>
      </c>
      <c r="L466" s="74" t="s">
        <v>1594</v>
      </c>
    </row>
    <row r="467" spans="1:12" ht="21.95" customHeight="1">
      <c r="A467" s="149" t="s">
        <v>6211</v>
      </c>
      <c r="B467" s="147"/>
      <c r="C467" s="148"/>
      <c r="D467" s="147"/>
      <c r="E467" s="147"/>
      <c r="F467" s="74"/>
      <c r="G467" s="74" t="s">
        <v>6748</v>
      </c>
      <c r="H467" s="74" t="s">
        <v>5406</v>
      </c>
      <c r="I467" s="74" t="s">
        <v>63</v>
      </c>
      <c r="J467" s="74" t="s">
        <v>36</v>
      </c>
      <c r="K467" s="74" t="s">
        <v>6750</v>
      </c>
      <c r="L467" s="74" t="s">
        <v>310</v>
      </c>
    </row>
    <row r="468" spans="1:12" ht="21.95" customHeight="1">
      <c r="A468" s="149" t="s">
        <v>6212</v>
      </c>
      <c r="B468" s="147"/>
      <c r="C468" s="148"/>
      <c r="D468" s="147"/>
      <c r="E468" s="147"/>
      <c r="F468" s="74"/>
      <c r="G468" s="74" t="s">
        <v>6748</v>
      </c>
      <c r="H468" s="74" t="s">
        <v>5407</v>
      </c>
      <c r="I468" s="74" t="s">
        <v>169</v>
      </c>
      <c r="J468" s="74" t="s">
        <v>36</v>
      </c>
      <c r="K468" s="74" t="s">
        <v>6750</v>
      </c>
      <c r="L468" s="74" t="s">
        <v>31</v>
      </c>
    </row>
    <row r="469" spans="1:12" ht="21.95" customHeight="1">
      <c r="A469" s="149" t="s">
        <v>6213</v>
      </c>
      <c r="B469" s="147"/>
      <c r="C469" s="148"/>
      <c r="D469" s="147"/>
      <c r="E469" s="147"/>
      <c r="F469" s="74"/>
      <c r="G469" s="74" t="s">
        <v>6748</v>
      </c>
      <c r="H469" s="74" t="s">
        <v>5408</v>
      </c>
      <c r="I469" s="74" t="s">
        <v>125</v>
      </c>
      <c r="J469" s="74" t="s">
        <v>36</v>
      </c>
      <c r="K469" s="74" t="s">
        <v>6750</v>
      </c>
      <c r="L469" s="74" t="s">
        <v>31</v>
      </c>
    </row>
    <row r="470" spans="1:12" ht="21.95" customHeight="1">
      <c r="A470" s="149" t="s">
        <v>6214</v>
      </c>
      <c r="B470" s="147"/>
      <c r="C470" s="148"/>
      <c r="D470" s="147"/>
      <c r="E470" s="147"/>
      <c r="F470" s="74"/>
      <c r="G470" s="74" t="s">
        <v>6748</v>
      </c>
      <c r="H470" s="74" t="s">
        <v>5409</v>
      </c>
      <c r="I470" s="74" t="s">
        <v>169</v>
      </c>
      <c r="J470" s="74" t="s">
        <v>81</v>
      </c>
      <c r="K470" s="74" t="s">
        <v>387</v>
      </c>
      <c r="L470" s="74" t="s">
        <v>31</v>
      </c>
    </row>
    <row r="471" spans="1:12" ht="21.95" customHeight="1">
      <c r="A471" s="149" t="s">
        <v>6215</v>
      </c>
      <c r="B471" s="147"/>
      <c r="C471" s="148"/>
      <c r="D471" s="147"/>
      <c r="E471" s="147"/>
      <c r="F471" s="74"/>
      <c r="G471" s="74" t="s">
        <v>6748</v>
      </c>
      <c r="H471" s="74" t="s">
        <v>5410</v>
      </c>
      <c r="I471" s="74" t="s">
        <v>125</v>
      </c>
      <c r="J471" s="74" t="s">
        <v>36</v>
      </c>
      <c r="K471" s="74" t="s">
        <v>6750</v>
      </c>
      <c r="L471" s="74" t="s">
        <v>31</v>
      </c>
    </row>
    <row r="472" spans="1:12" ht="21.95" customHeight="1">
      <c r="A472" s="149" t="s">
        <v>6216</v>
      </c>
      <c r="B472" s="147"/>
      <c r="C472" s="148"/>
      <c r="D472" s="147"/>
      <c r="E472" s="147"/>
      <c r="F472" s="74"/>
      <c r="G472" s="74" t="s">
        <v>6748</v>
      </c>
      <c r="H472" s="74" t="s">
        <v>5411</v>
      </c>
      <c r="I472" s="74" t="s">
        <v>63</v>
      </c>
      <c r="J472" s="74" t="s">
        <v>36</v>
      </c>
      <c r="K472" s="74" t="s">
        <v>6750</v>
      </c>
      <c r="L472" s="74" t="s">
        <v>310</v>
      </c>
    </row>
    <row r="473" spans="1:12" ht="21.95" customHeight="1">
      <c r="A473" s="149" t="s">
        <v>6217</v>
      </c>
      <c r="B473" s="147"/>
      <c r="C473" s="148"/>
      <c r="D473" s="147"/>
      <c r="E473" s="147"/>
      <c r="F473" s="74"/>
      <c r="G473" s="74" t="s">
        <v>6748</v>
      </c>
      <c r="H473" s="74" t="s">
        <v>5412</v>
      </c>
      <c r="I473" s="74" t="s">
        <v>616</v>
      </c>
      <c r="J473" s="74" t="s">
        <v>126</v>
      </c>
      <c r="K473" s="74" t="s">
        <v>6750</v>
      </c>
      <c r="L473" s="74" t="s">
        <v>310</v>
      </c>
    </row>
    <row r="474" spans="1:12" ht="21.95" customHeight="1">
      <c r="A474" s="149" t="s">
        <v>6218</v>
      </c>
      <c r="B474" s="147"/>
      <c r="C474" s="148"/>
      <c r="D474" s="147"/>
      <c r="E474" s="147"/>
      <c r="F474" s="74"/>
      <c r="G474" s="74" t="s">
        <v>6748</v>
      </c>
      <c r="H474" s="74" t="s">
        <v>5413</v>
      </c>
      <c r="I474" s="74" t="s">
        <v>63</v>
      </c>
      <c r="J474" s="74" t="s">
        <v>538</v>
      </c>
      <c r="K474" s="74" t="s">
        <v>387</v>
      </c>
      <c r="L474" s="74" t="s">
        <v>310</v>
      </c>
    </row>
    <row r="475" spans="1:12" ht="21.95" customHeight="1">
      <c r="A475" s="149" t="s">
        <v>6219</v>
      </c>
      <c r="B475" s="147"/>
      <c r="C475" s="148"/>
      <c r="D475" s="147"/>
      <c r="E475" s="147"/>
      <c r="F475" s="74"/>
      <c r="G475" s="74" t="s">
        <v>6748</v>
      </c>
      <c r="H475" s="74" t="s">
        <v>5414</v>
      </c>
      <c r="I475" s="74" t="s">
        <v>63</v>
      </c>
      <c r="J475" s="74" t="s">
        <v>57</v>
      </c>
      <c r="K475" s="74" t="s">
        <v>6750</v>
      </c>
      <c r="L475" s="74" t="s">
        <v>310</v>
      </c>
    </row>
    <row r="476" spans="1:12" ht="21.95" customHeight="1">
      <c r="A476" s="149" t="s">
        <v>6220</v>
      </c>
      <c r="B476" s="147"/>
      <c r="C476" s="148"/>
      <c r="D476" s="147"/>
      <c r="E476" s="147"/>
      <c r="F476" s="74"/>
      <c r="G476" s="74" t="s">
        <v>6748</v>
      </c>
      <c r="H476" s="74" t="s">
        <v>5415</v>
      </c>
      <c r="I476" s="74" t="s">
        <v>369</v>
      </c>
      <c r="J476" s="74" t="s">
        <v>73</v>
      </c>
      <c r="K476" s="74" t="s">
        <v>6750</v>
      </c>
      <c r="L476" s="74" t="s">
        <v>310</v>
      </c>
    </row>
    <row r="477" spans="1:12" ht="21.95" customHeight="1">
      <c r="A477" s="149" t="s">
        <v>6221</v>
      </c>
      <c r="B477" s="147"/>
      <c r="C477" s="148"/>
      <c r="D477" s="147"/>
      <c r="E477" s="147"/>
      <c r="F477" s="74"/>
      <c r="G477" s="74" t="s">
        <v>6748</v>
      </c>
      <c r="H477" s="74" t="s">
        <v>5416</v>
      </c>
      <c r="I477" s="74" t="s">
        <v>536</v>
      </c>
      <c r="J477" s="74" t="s">
        <v>36</v>
      </c>
      <c r="K477" s="74" t="s">
        <v>6750</v>
      </c>
      <c r="L477" s="74" t="s">
        <v>25</v>
      </c>
    </row>
    <row r="478" spans="1:12" ht="21.95" customHeight="1">
      <c r="A478" s="149" t="s">
        <v>6222</v>
      </c>
      <c r="B478" s="147"/>
      <c r="C478" s="148"/>
      <c r="D478" s="147"/>
      <c r="E478" s="147"/>
      <c r="F478" s="74"/>
      <c r="G478" s="74" t="s">
        <v>6748</v>
      </c>
      <c r="H478" s="74" t="s">
        <v>5417</v>
      </c>
      <c r="I478" s="74" t="s">
        <v>63</v>
      </c>
      <c r="J478" s="74" t="s">
        <v>36</v>
      </c>
      <c r="K478" s="74" t="s">
        <v>6750</v>
      </c>
      <c r="L478" s="74" t="s">
        <v>1625</v>
      </c>
    </row>
    <row r="479" spans="1:12" ht="21.95" customHeight="1">
      <c r="A479" s="149" t="s">
        <v>6223</v>
      </c>
      <c r="B479" s="147"/>
      <c r="C479" s="148"/>
      <c r="D479" s="147"/>
      <c r="E479" s="147"/>
      <c r="F479" s="74"/>
      <c r="G479" s="74" t="s">
        <v>6748</v>
      </c>
      <c r="H479" s="74" t="s">
        <v>5418</v>
      </c>
      <c r="I479" s="74" t="s">
        <v>63</v>
      </c>
      <c r="J479" s="74" t="s">
        <v>36</v>
      </c>
      <c r="K479" s="74" t="s">
        <v>6750</v>
      </c>
      <c r="L479" s="74" t="s">
        <v>310</v>
      </c>
    </row>
    <row r="480" spans="1:12" ht="21.95" customHeight="1">
      <c r="A480" s="149" t="s">
        <v>6224</v>
      </c>
      <c r="B480" s="147"/>
      <c r="C480" s="148"/>
      <c r="D480" s="147"/>
      <c r="E480" s="147"/>
      <c r="F480" s="74"/>
      <c r="G480" s="74" t="s">
        <v>6748</v>
      </c>
      <c r="H480" s="74" t="s">
        <v>5419</v>
      </c>
      <c r="I480" s="74" t="s">
        <v>202</v>
      </c>
      <c r="J480" s="74" t="s">
        <v>196</v>
      </c>
      <c r="K480" s="74" t="s">
        <v>6750</v>
      </c>
      <c r="L480" s="74" t="s">
        <v>310</v>
      </c>
    </row>
    <row r="481" spans="1:12" ht="21.95" customHeight="1">
      <c r="A481" s="149" t="s">
        <v>6225</v>
      </c>
      <c r="B481" s="147"/>
      <c r="C481" s="148"/>
      <c r="D481" s="147"/>
      <c r="E481" s="147"/>
      <c r="F481" s="74"/>
      <c r="G481" s="74" t="s">
        <v>6748</v>
      </c>
      <c r="H481" s="74" t="s">
        <v>5420</v>
      </c>
      <c r="I481" s="74" t="s">
        <v>63</v>
      </c>
      <c r="J481" s="74" t="s">
        <v>36</v>
      </c>
      <c r="K481" s="74" t="s">
        <v>6750</v>
      </c>
      <c r="L481" s="74" t="s">
        <v>310</v>
      </c>
    </row>
    <row r="482" spans="1:12" ht="21.95" customHeight="1">
      <c r="A482" s="149" t="s">
        <v>6226</v>
      </c>
      <c r="B482" s="147"/>
      <c r="C482" s="148"/>
      <c r="D482" s="147"/>
      <c r="E482" s="147"/>
      <c r="F482" s="74"/>
      <c r="G482" s="74" t="s">
        <v>6748</v>
      </c>
      <c r="H482" s="74" t="s">
        <v>5421</v>
      </c>
      <c r="I482" s="74" t="s">
        <v>169</v>
      </c>
      <c r="J482" s="74" t="s">
        <v>36</v>
      </c>
      <c r="K482" s="74" t="s">
        <v>6750</v>
      </c>
      <c r="L482" s="74" t="s">
        <v>31</v>
      </c>
    </row>
    <row r="483" spans="1:12" ht="21.95" customHeight="1">
      <c r="A483" s="149" t="s">
        <v>6227</v>
      </c>
      <c r="B483" s="147"/>
      <c r="C483" s="148"/>
      <c r="D483" s="147"/>
      <c r="E483" s="147"/>
      <c r="F483" s="74"/>
      <c r="G483" s="74" t="s">
        <v>6748</v>
      </c>
      <c r="H483" s="74" t="s">
        <v>5422</v>
      </c>
      <c r="I483" s="74" t="s">
        <v>632</v>
      </c>
      <c r="J483" s="74" t="s">
        <v>73</v>
      </c>
      <c r="K483" s="74" t="s">
        <v>6750</v>
      </c>
      <c r="L483" s="74" t="s">
        <v>310</v>
      </c>
    </row>
    <row r="484" spans="1:12" ht="21.95" customHeight="1">
      <c r="A484" s="149" t="s">
        <v>6228</v>
      </c>
      <c r="B484" s="147"/>
      <c r="C484" s="148"/>
      <c r="D484" s="147"/>
      <c r="E484" s="147"/>
      <c r="F484" s="74"/>
      <c r="G484" s="74" t="s">
        <v>6748</v>
      </c>
      <c r="H484" s="74" t="s">
        <v>5423</v>
      </c>
      <c r="I484" s="74" t="s">
        <v>63</v>
      </c>
      <c r="J484" s="74" t="s">
        <v>73</v>
      </c>
      <c r="K484" s="74" t="s">
        <v>6750</v>
      </c>
      <c r="L484" s="74" t="s">
        <v>310</v>
      </c>
    </row>
    <row r="485" spans="1:12" ht="21.95" customHeight="1">
      <c r="A485" s="149" t="s">
        <v>6229</v>
      </c>
      <c r="B485" s="147"/>
      <c r="C485" s="148"/>
      <c r="D485" s="147"/>
      <c r="E485" s="147"/>
      <c r="F485" s="74"/>
      <c r="G485" s="74" t="s">
        <v>6748</v>
      </c>
      <c r="H485" s="74" t="s">
        <v>5424</v>
      </c>
      <c r="I485" s="74" t="s">
        <v>734</v>
      </c>
      <c r="J485" s="74" t="s">
        <v>73</v>
      </c>
      <c r="K485" s="74" t="s">
        <v>6750</v>
      </c>
      <c r="L485" s="74" t="s">
        <v>1642</v>
      </c>
    </row>
    <row r="486" spans="1:12" ht="21.95" customHeight="1">
      <c r="A486" s="149" t="s">
        <v>6230</v>
      </c>
      <c r="B486" s="147"/>
      <c r="C486" s="148"/>
      <c r="D486" s="147"/>
      <c r="E486" s="147"/>
      <c r="F486" s="74"/>
      <c r="G486" s="74" t="s">
        <v>6748</v>
      </c>
      <c r="H486" s="74" t="s">
        <v>5425</v>
      </c>
      <c r="I486" s="74" t="s">
        <v>169</v>
      </c>
      <c r="J486" s="74" t="s">
        <v>1507</v>
      </c>
      <c r="K486" s="74" t="s">
        <v>6750</v>
      </c>
      <c r="L486" s="74" t="s">
        <v>1652</v>
      </c>
    </row>
    <row r="487" spans="1:12" ht="21.95" customHeight="1">
      <c r="A487" s="149" t="s">
        <v>6231</v>
      </c>
      <c r="B487" s="147"/>
      <c r="C487" s="148"/>
      <c r="D487" s="147"/>
      <c r="E487" s="147"/>
      <c r="F487" s="74"/>
      <c r="G487" s="74" t="s">
        <v>6748</v>
      </c>
      <c r="H487" s="74" t="s">
        <v>5426</v>
      </c>
      <c r="I487" s="74" t="s">
        <v>169</v>
      </c>
      <c r="J487" s="74" t="s">
        <v>243</v>
      </c>
      <c r="K487" s="74" t="s">
        <v>387</v>
      </c>
      <c r="L487" s="74" t="s">
        <v>31</v>
      </c>
    </row>
    <row r="488" spans="1:12" ht="21.95" customHeight="1">
      <c r="A488" s="149" t="s">
        <v>6232</v>
      </c>
      <c r="B488" s="147"/>
      <c r="C488" s="148"/>
      <c r="D488" s="147"/>
      <c r="E488" s="147"/>
      <c r="F488" s="74"/>
      <c r="G488" s="74" t="s">
        <v>6748</v>
      </c>
      <c r="H488" s="74" t="s">
        <v>5427</v>
      </c>
      <c r="I488" s="74" t="s">
        <v>202</v>
      </c>
      <c r="J488" s="74" t="s">
        <v>1662</v>
      </c>
      <c r="K488" s="74" t="s">
        <v>6750</v>
      </c>
      <c r="L488" s="74" t="s">
        <v>31</v>
      </c>
    </row>
    <row r="489" spans="1:12" ht="21.95" customHeight="1">
      <c r="A489" s="149" t="s">
        <v>6233</v>
      </c>
      <c r="B489" s="147"/>
      <c r="C489" s="148"/>
      <c r="D489" s="147"/>
      <c r="E489" s="147"/>
      <c r="F489" s="74"/>
      <c r="G489" s="74" t="s">
        <v>6748</v>
      </c>
      <c r="H489" s="74" t="s">
        <v>5428</v>
      </c>
      <c r="I489" s="74" t="s">
        <v>63</v>
      </c>
      <c r="J489" s="74" t="s">
        <v>46</v>
      </c>
      <c r="K489" s="74" t="s">
        <v>6750</v>
      </c>
      <c r="L489" s="74" t="s">
        <v>1665</v>
      </c>
    </row>
    <row r="490" spans="1:12" ht="21.95" customHeight="1">
      <c r="A490" s="149" t="s">
        <v>6234</v>
      </c>
      <c r="B490" s="147"/>
      <c r="C490" s="148"/>
      <c r="D490" s="147"/>
      <c r="E490" s="147"/>
      <c r="F490" s="74"/>
      <c r="G490" s="74" t="s">
        <v>6748</v>
      </c>
      <c r="H490" s="74" t="s">
        <v>5429</v>
      </c>
      <c r="I490" s="74" t="s">
        <v>169</v>
      </c>
      <c r="J490" s="74" t="s">
        <v>538</v>
      </c>
      <c r="K490" s="74" t="s">
        <v>387</v>
      </c>
      <c r="L490" s="74" t="s">
        <v>1668</v>
      </c>
    </row>
    <row r="491" spans="1:12" ht="21.95" customHeight="1">
      <c r="A491" s="149" t="s">
        <v>6235</v>
      </c>
      <c r="B491" s="147"/>
      <c r="C491" s="148"/>
      <c r="D491" s="147"/>
      <c r="E491" s="147"/>
      <c r="F491" s="74"/>
      <c r="G491" s="74" t="s">
        <v>6748</v>
      </c>
      <c r="H491" s="74" t="s">
        <v>5430</v>
      </c>
      <c r="I491" s="74" t="s">
        <v>63</v>
      </c>
      <c r="J491" s="74" t="s">
        <v>36</v>
      </c>
      <c r="K491" s="74" t="s">
        <v>6750</v>
      </c>
      <c r="L491" s="74" t="s">
        <v>31</v>
      </c>
    </row>
    <row r="492" spans="1:12" ht="21.95" customHeight="1">
      <c r="A492" s="149" t="s">
        <v>6236</v>
      </c>
      <c r="B492" s="147"/>
      <c r="C492" s="148"/>
      <c r="D492" s="147"/>
      <c r="E492" s="147"/>
      <c r="F492" s="74"/>
      <c r="G492" s="74" t="s">
        <v>6748</v>
      </c>
      <c r="H492" s="74" t="s">
        <v>5431</v>
      </c>
      <c r="I492" s="74" t="s">
        <v>85</v>
      </c>
      <c r="J492" s="74" t="s">
        <v>36</v>
      </c>
      <c r="K492" s="74" t="s">
        <v>6750</v>
      </c>
      <c r="L492" s="74" t="s">
        <v>31</v>
      </c>
    </row>
    <row r="493" spans="1:12" ht="21.95" customHeight="1">
      <c r="A493" s="149" t="s">
        <v>6237</v>
      </c>
      <c r="B493" s="147"/>
      <c r="C493" s="148"/>
      <c r="D493" s="147"/>
      <c r="E493" s="147"/>
      <c r="F493" s="74"/>
      <c r="G493" s="74" t="s">
        <v>6748</v>
      </c>
      <c r="H493" s="74" t="s">
        <v>5432</v>
      </c>
      <c r="I493" s="74" t="s">
        <v>63</v>
      </c>
      <c r="J493" s="74" t="s">
        <v>73</v>
      </c>
      <c r="K493" s="74" t="s">
        <v>6750</v>
      </c>
      <c r="L493" s="74" t="s">
        <v>310</v>
      </c>
    </row>
    <row r="494" spans="1:12" ht="21.95" customHeight="1">
      <c r="A494" s="149" t="s">
        <v>6238</v>
      </c>
      <c r="B494" s="147"/>
      <c r="C494" s="148"/>
      <c r="D494" s="147"/>
      <c r="E494" s="147"/>
      <c r="F494" s="74"/>
      <c r="G494" s="74" t="s">
        <v>6748</v>
      </c>
      <c r="H494" s="74" t="s">
        <v>5433</v>
      </c>
      <c r="I494" s="74" t="s">
        <v>63</v>
      </c>
      <c r="J494" s="74" t="s">
        <v>73</v>
      </c>
      <c r="K494" s="74" t="s">
        <v>6750</v>
      </c>
      <c r="L494" s="74" t="s">
        <v>310</v>
      </c>
    </row>
    <row r="495" spans="1:12" ht="21.95" customHeight="1">
      <c r="A495" s="149" t="s">
        <v>6239</v>
      </c>
      <c r="B495" s="147"/>
      <c r="C495" s="148"/>
      <c r="D495" s="147"/>
      <c r="E495" s="147"/>
      <c r="F495" s="74"/>
      <c r="G495" s="74" t="s">
        <v>6748</v>
      </c>
      <c r="H495" s="74" t="s">
        <v>5434</v>
      </c>
      <c r="I495" s="74" t="s">
        <v>63</v>
      </c>
      <c r="J495" s="74" t="s">
        <v>36</v>
      </c>
      <c r="K495" s="74" t="s">
        <v>6750</v>
      </c>
      <c r="L495" s="74" t="s">
        <v>31</v>
      </c>
    </row>
    <row r="496" spans="1:12" ht="21.95" customHeight="1">
      <c r="A496" s="149" t="s">
        <v>6240</v>
      </c>
      <c r="B496" s="147"/>
      <c r="C496" s="148"/>
      <c r="D496" s="147"/>
      <c r="E496" s="147"/>
      <c r="F496" s="74"/>
      <c r="G496" s="74" t="s">
        <v>6748</v>
      </c>
      <c r="H496" s="74" t="s">
        <v>5435</v>
      </c>
      <c r="I496" s="74" t="s">
        <v>63</v>
      </c>
      <c r="J496" s="74" t="s">
        <v>73</v>
      </c>
      <c r="K496" s="74" t="s">
        <v>6750</v>
      </c>
      <c r="L496" s="74" t="s">
        <v>310</v>
      </c>
    </row>
    <row r="497" spans="1:12" ht="21.95" customHeight="1">
      <c r="A497" s="149" t="s">
        <v>6241</v>
      </c>
      <c r="B497" s="147"/>
      <c r="C497" s="148"/>
      <c r="D497" s="147"/>
      <c r="E497" s="147"/>
      <c r="F497" s="74"/>
      <c r="G497" s="74" t="s">
        <v>6748</v>
      </c>
      <c r="H497" s="74" t="s">
        <v>5436</v>
      </c>
      <c r="I497" s="74" t="s">
        <v>63</v>
      </c>
      <c r="J497" s="74" t="s">
        <v>243</v>
      </c>
      <c r="K497" s="74" t="s">
        <v>387</v>
      </c>
      <c r="L497" s="74" t="s">
        <v>1695</v>
      </c>
    </row>
    <row r="498" spans="1:12" ht="21.95" customHeight="1">
      <c r="A498" s="149" t="s">
        <v>6242</v>
      </c>
      <c r="B498" s="147"/>
      <c r="C498" s="148"/>
      <c r="D498" s="147"/>
      <c r="E498" s="147"/>
      <c r="F498" s="74"/>
      <c r="G498" s="74" t="s">
        <v>6748</v>
      </c>
      <c r="H498" s="74" t="s">
        <v>5437</v>
      </c>
      <c r="I498" s="74" t="s">
        <v>169</v>
      </c>
      <c r="J498" s="74" t="s">
        <v>126</v>
      </c>
      <c r="K498" s="74" t="s">
        <v>6750</v>
      </c>
      <c r="L498" s="74" t="s">
        <v>31</v>
      </c>
    </row>
    <row r="499" spans="1:12" ht="21.95" customHeight="1">
      <c r="A499" s="149" t="s">
        <v>6243</v>
      </c>
      <c r="B499" s="147"/>
      <c r="C499" s="148"/>
      <c r="D499" s="147"/>
      <c r="E499" s="147"/>
      <c r="F499" s="74"/>
      <c r="G499" s="74" t="s">
        <v>6748</v>
      </c>
      <c r="H499" s="74" t="s">
        <v>5438</v>
      </c>
      <c r="I499" s="74" t="s">
        <v>1457</v>
      </c>
      <c r="J499" s="74" t="s">
        <v>538</v>
      </c>
      <c r="K499" s="74" t="s">
        <v>387</v>
      </c>
      <c r="L499" s="74" t="s">
        <v>310</v>
      </c>
    </row>
    <row r="500" spans="1:12" ht="21.95" customHeight="1">
      <c r="A500" s="149" t="s">
        <v>6244</v>
      </c>
      <c r="B500" s="147"/>
      <c r="C500" s="148"/>
      <c r="D500" s="147"/>
      <c r="E500" s="147"/>
      <c r="F500" s="74"/>
      <c r="G500" s="74" t="s">
        <v>6748</v>
      </c>
      <c r="H500" s="74" t="s">
        <v>5439</v>
      </c>
      <c r="I500" s="74" t="s">
        <v>125</v>
      </c>
      <c r="J500" s="74" t="s">
        <v>36</v>
      </c>
      <c r="K500" s="74" t="s">
        <v>6750</v>
      </c>
      <c r="L500" s="74" t="s">
        <v>310</v>
      </c>
    </row>
    <row r="501" spans="1:12" ht="21.95" customHeight="1">
      <c r="A501" s="149" t="s">
        <v>6245</v>
      </c>
      <c r="B501" s="147"/>
      <c r="C501" s="148"/>
      <c r="D501" s="147"/>
      <c r="E501" s="147"/>
      <c r="F501" s="74"/>
      <c r="G501" s="74" t="s">
        <v>6748</v>
      </c>
      <c r="H501" s="74" t="s">
        <v>5440</v>
      </c>
      <c r="I501" s="74" t="s">
        <v>63</v>
      </c>
      <c r="J501" s="74" t="s">
        <v>36</v>
      </c>
      <c r="K501" s="74" t="s">
        <v>6750</v>
      </c>
      <c r="L501" s="74" t="s">
        <v>31</v>
      </c>
    </row>
    <row r="502" spans="1:12" ht="21.95" customHeight="1">
      <c r="A502" s="149" t="s">
        <v>6246</v>
      </c>
      <c r="B502" s="147"/>
      <c r="C502" s="148"/>
      <c r="D502" s="147"/>
      <c r="E502" s="147"/>
      <c r="F502" s="74"/>
      <c r="G502" s="74" t="s">
        <v>6748</v>
      </c>
      <c r="H502" s="74" t="s">
        <v>5441</v>
      </c>
      <c r="I502" s="74" t="s">
        <v>169</v>
      </c>
      <c r="J502" s="74" t="s">
        <v>36</v>
      </c>
      <c r="K502" s="74" t="s">
        <v>6750</v>
      </c>
      <c r="L502" s="74" t="s">
        <v>1708</v>
      </c>
    </row>
    <row r="503" spans="1:12" ht="21.95" customHeight="1">
      <c r="A503" s="149" t="s">
        <v>6247</v>
      </c>
      <c r="B503" s="147"/>
      <c r="C503" s="148"/>
      <c r="D503" s="147"/>
      <c r="E503" s="147"/>
      <c r="F503" s="74"/>
      <c r="G503" s="74" t="s">
        <v>6748</v>
      </c>
      <c r="H503" s="74" t="s">
        <v>5442</v>
      </c>
      <c r="I503" s="74" t="s">
        <v>169</v>
      </c>
      <c r="J503" s="74" t="s">
        <v>36</v>
      </c>
      <c r="K503" s="74" t="s">
        <v>6750</v>
      </c>
      <c r="L503" s="74" t="s">
        <v>1710</v>
      </c>
    </row>
    <row r="504" spans="1:12" ht="21.95" customHeight="1">
      <c r="A504" s="149" t="s">
        <v>6248</v>
      </c>
      <c r="B504" s="147"/>
      <c r="C504" s="148"/>
      <c r="D504" s="147"/>
      <c r="E504" s="147"/>
      <c r="F504" s="74"/>
      <c r="G504" s="74" t="s">
        <v>6748</v>
      </c>
      <c r="H504" s="74" t="s">
        <v>5443</v>
      </c>
      <c r="I504" s="74" t="s">
        <v>63</v>
      </c>
      <c r="J504" s="74" t="s">
        <v>73</v>
      </c>
      <c r="K504" s="74" t="s">
        <v>6750</v>
      </c>
      <c r="L504" s="74" t="s">
        <v>31</v>
      </c>
    </row>
    <row r="505" spans="1:12" ht="21.95" customHeight="1">
      <c r="A505" s="149" t="s">
        <v>6249</v>
      </c>
      <c r="B505" s="147"/>
      <c r="C505" s="148"/>
      <c r="D505" s="147"/>
      <c r="E505" s="147"/>
      <c r="F505" s="74"/>
      <c r="G505" s="74" t="s">
        <v>6748</v>
      </c>
      <c r="H505" s="74" t="s">
        <v>5444</v>
      </c>
      <c r="I505" s="74" t="s">
        <v>174</v>
      </c>
      <c r="J505" s="74" t="s">
        <v>196</v>
      </c>
      <c r="K505" s="74" t="s">
        <v>6750</v>
      </c>
      <c r="L505" s="74" t="s">
        <v>31</v>
      </c>
    </row>
    <row r="506" spans="1:12" ht="21.95" customHeight="1">
      <c r="A506" s="149" t="s">
        <v>6250</v>
      </c>
      <c r="B506" s="147"/>
      <c r="C506" s="148"/>
      <c r="D506" s="147"/>
      <c r="E506" s="147"/>
      <c r="F506" s="74"/>
      <c r="G506" s="74" t="s">
        <v>6748</v>
      </c>
      <c r="H506" s="74" t="s">
        <v>5445</v>
      </c>
      <c r="I506" s="74" t="s">
        <v>63</v>
      </c>
      <c r="J506" s="74" t="s">
        <v>46</v>
      </c>
      <c r="K506" s="74" t="s">
        <v>6750</v>
      </c>
      <c r="L506" s="74" t="s">
        <v>310</v>
      </c>
    </row>
    <row r="507" spans="1:12" ht="21.95" customHeight="1">
      <c r="A507" s="149" t="s">
        <v>6251</v>
      </c>
      <c r="B507" s="147"/>
      <c r="C507" s="148"/>
      <c r="D507" s="147"/>
      <c r="E507" s="147"/>
      <c r="F507" s="74"/>
      <c r="G507" s="74" t="s">
        <v>6748</v>
      </c>
      <c r="H507" s="74" t="s">
        <v>5446</v>
      </c>
      <c r="I507" s="74" t="s">
        <v>63</v>
      </c>
      <c r="J507" s="74" t="s">
        <v>126</v>
      </c>
      <c r="K507" s="74" t="s">
        <v>6750</v>
      </c>
      <c r="L507" s="74" t="s">
        <v>1722</v>
      </c>
    </row>
    <row r="508" spans="1:12" ht="21.95" customHeight="1">
      <c r="A508" s="149" t="s">
        <v>6252</v>
      </c>
      <c r="B508" s="147"/>
      <c r="C508" s="148"/>
      <c r="D508" s="147"/>
      <c r="E508" s="147"/>
      <c r="F508" s="74"/>
      <c r="G508" s="74" t="s">
        <v>6748</v>
      </c>
      <c r="H508" s="74" t="s">
        <v>5447</v>
      </c>
      <c r="I508" s="74" t="s">
        <v>202</v>
      </c>
      <c r="J508" s="74" t="s">
        <v>416</v>
      </c>
      <c r="K508" s="74" t="s">
        <v>387</v>
      </c>
      <c r="L508" s="74" t="s">
        <v>310</v>
      </c>
    </row>
    <row r="509" spans="1:12" ht="21.95" customHeight="1">
      <c r="A509" s="149" t="s">
        <v>6253</v>
      </c>
      <c r="B509" s="147"/>
      <c r="C509" s="148"/>
      <c r="D509" s="147"/>
      <c r="E509" s="147"/>
      <c r="F509" s="74"/>
      <c r="G509" s="74" t="s">
        <v>6748</v>
      </c>
      <c r="H509" s="74" t="s">
        <v>5448</v>
      </c>
      <c r="I509" s="74" t="s">
        <v>63</v>
      </c>
      <c r="J509" s="74" t="s">
        <v>46</v>
      </c>
      <c r="K509" s="74" t="s">
        <v>6750</v>
      </c>
      <c r="L509" s="74" t="s">
        <v>1737</v>
      </c>
    </row>
    <row r="510" spans="1:12" ht="21.95" customHeight="1">
      <c r="A510" s="149" t="s">
        <v>6254</v>
      </c>
      <c r="B510" s="147"/>
      <c r="C510" s="148"/>
      <c r="D510" s="147"/>
      <c r="E510" s="147"/>
      <c r="F510" s="74"/>
      <c r="G510" s="74" t="s">
        <v>6748</v>
      </c>
      <c r="H510" s="74" t="s">
        <v>5449</v>
      </c>
      <c r="I510" s="74" t="s">
        <v>63</v>
      </c>
      <c r="J510" s="74" t="s">
        <v>36</v>
      </c>
      <c r="K510" s="74" t="s">
        <v>6750</v>
      </c>
      <c r="L510" s="74" t="s">
        <v>1742</v>
      </c>
    </row>
    <row r="511" spans="1:12" ht="21.95" customHeight="1">
      <c r="A511" s="149" t="s">
        <v>6255</v>
      </c>
      <c r="B511" s="147"/>
      <c r="C511" s="148"/>
      <c r="D511" s="147"/>
      <c r="E511" s="147"/>
      <c r="F511" s="74"/>
      <c r="G511" s="74" t="s">
        <v>6748</v>
      </c>
      <c r="H511" s="74" t="s">
        <v>5450</v>
      </c>
      <c r="I511" s="74" t="s">
        <v>125</v>
      </c>
      <c r="J511" s="74" t="s">
        <v>250</v>
      </c>
      <c r="K511" s="74" t="s">
        <v>6750</v>
      </c>
      <c r="L511" s="74" t="s">
        <v>31</v>
      </c>
    </row>
    <row r="512" spans="1:12" ht="21.95" customHeight="1">
      <c r="A512" s="149" t="s">
        <v>6256</v>
      </c>
      <c r="B512" s="147"/>
      <c r="C512" s="148"/>
      <c r="D512" s="147"/>
      <c r="E512" s="147"/>
      <c r="F512" s="74"/>
      <c r="G512" s="74" t="s">
        <v>6748</v>
      </c>
      <c r="H512" s="74" t="s">
        <v>5451</v>
      </c>
      <c r="I512" s="74" t="s">
        <v>63</v>
      </c>
      <c r="J512" s="74" t="s">
        <v>196</v>
      </c>
      <c r="K512" s="74" t="s">
        <v>6750</v>
      </c>
      <c r="L512" s="74" t="s">
        <v>310</v>
      </c>
    </row>
    <row r="513" spans="1:12" ht="21.95" customHeight="1">
      <c r="A513" s="149" t="s">
        <v>6257</v>
      </c>
      <c r="B513" s="147"/>
      <c r="C513" s="148"/>
      <c r="D513" s="147"/>
      <c r="E513" s="147"/>
      <c r="F513" s="74"/>
      <c r="G513" s="74" t="s">
        <v>6748</v>
      </c>
      <c r="H513" s="74" t="s">
        <v>5452</v>
      </c>
      <c r="I513" s="74" t="s">
        <v>426</v>
      </c>
      <c r="J513" s="74" t="s">
        <v>46</v>
      </c>
      <c r="K513" s="74" t="s">
        <v>6750</v>
      </c>
      <c r="L513" s="74" t="s">
        <v>1758</v>
      </c>
    </row>
    <row r="514" spans="1:12" ht="21.95" customHeight="1">
      <c r="A514" s="149" t="s">
        <v>6258</v>
      </c>
      <c r="B514" s="147"/>
      <c r="C514" s="148"/>
      <c r="D514" s="147"/>
      <c r="E514" s="147"/>
      <c r="F514" s="74"/>
      <c r="G514" s="74" t="s">
        <v>6748</v>
      </c>
      <c r="H514" s="74" t="s">
        <v>5453</v>
      </c>
      <c r="I514" s="74" t="s">
        <v>169</v>
      </c>
      <c r="J514" s="74" t="s">
        <v>36</v>
      </c>
      <c r="K514" s="74" t="s">
        <v>6750</v>
      </c>
      <c r="L514" s="74" t="s">
        <v>31</v>
      </c>
    </row>
    <row r="515" spans="1:12" ht="21.95" customHeight="1">
      <c r="A515" s="149" t="s">
        <v>6259</v>
      </c>
      <c r="B515" s="147"/>
      <c r="C515" s="148"/>
      <c r="D515" s="147"/>
      <c r="E515" s="147"/>
      <c r="F515" s="74"/>
      <c r="G515" s="74" t="s">
        <v>6748</v>
      </c>
      <c r="H515" s="74" t="s">
        <v>5454</v>
      </c>
      <c r="I515" s="74" t="s">
        <v>112</v>
      </c>
      <c r="J515" s="74" t="s">
        <v>250</v>
      </c>
      <c r="K515" s="74" t="s">
        <v>6750</v>
      </c>
      <c r="L515" s="74" t="s">
        <v>310</v>
      </c>
    </row>
    <row r="516" spans="1:12" ht="21.95" customHeight="1">
      <c r="A516" s="149" t="s">
        <v>6260</v>
      </c>
      <c r="B516" s="147"/>
      <c r="C516" s="148"/>
      <c r="D516" s="147"/>
      <c r="E516" s="147"/>
      <c r="F516" s="74"/>
      <c r="G516" s="74" t="s">
        <v>6748</v>
      </c>
      <c r="H516" s="74" t="s">
        <v>5455</v>
      </c>
      <c r="I516" s="74" t="s">
        <v>112</v>
      </c>
      <c r="J516" s="74" t="s">
        <v>36</v>
      </c>
      <c r="K516" s="74" t="s">
        <v>6750</v>
      </c>
      <c r="L516" s="74" t="s">
        <v>310</v>
      </c>
    </row>
    <row r="517" spans="1:12" ht="21.95" customHeight="1">
      <c r="A517" s="149" t="s">
        <v>6261</v>
      </c>
      <c r="B517" s="147"/>
      <c r="C517" s="148"/>
      <c r="D517" s="147"/>
      <c r="E517" s="147"/>
      <c r="F517" s="74"/>
      <c r="G517" s="74" t="s">
        <v>6748</v>
      </c>
      <c r="H517" s="74" t="s">
        <v>5456</v>
      </c>
      <c r="I517" s="74" t="s">
        <v>1776</v>
      </c>
      <c r="J517" s="74" t="s">
        <v>36</v>
      </c>
      <c r="K517" s="74" t="s">
        <v>6750</v>
      </c>
      <c r="L517" s="74" t="s">
        <v>31</v>
      </c>
    </row>
    <row r="518" spans="1:12" ht="21.95" customHeight="1">
      <c r="A518" s="149" t="s">
        <v>6262</v>
      </c>
      <c r="B518" s="147"/>
      <c r="C518" s="148"/>
      <c r="D518" s="147"/>
      <c r="E518" s="147"/>
      <c r="F518" s="74"/>
      <c r="G518" s="74" t="s">
        <v>6748</v>
      </c>
      <c r="H518" s="74" t="s">
        <v>5457</v>
      </c>
      <c r="I518" s="74" t="s">
        <v>63</v>
      </c>
      <c r="J518" s="74" t="s">
        <v>538</v>
      </c>
      <c r="K518" s="74" t="s">
        <v>387</v>
      </c>
      <c r="L518" s="74" t="s">
        <v>310</v>
      </c>
    </row>
    <row r="519" spans="1:12" ht="21.95" customHeight="1">
      <c r="A519" s="149" t="s">
        <v>6263</v>
      </c>
      <c r="B519" s="147"/>
      <c r="C519" s="148"/>
      <c r="D519" s="147"/>
      <c r="E519" s="147"/>
      <c r="F519" s="74"/>
      <c r="G519" s="74" t="s">
        <v>6748</v>
      </c>
      <c r="H519" s="74" t="s">
        <v>5458</v>
      </c>
      <c r="I519" s="74" t="s">
        <v>202</v>
      </c>
      <c r="J519" s="74" t="s">
        <v>243</v>
      </c>
      <c r="K519" s="74" t="s">
        <v>387</v>
      </c>
      <c r="L519" s="74" t="s">
        <v>310</v>
      </c>
    </row>
    <row r="520" spans="1:12" ht="21.95" customHeight="1">
      <c r="A520" s="149" t="s">
        <v>6264</v>
      </c>
      <c r="B520" s="147"/>
      <c r="C520" s="148"/>
      <c r="D520" s="147"/>
      <c r="E520" s="147"/>
      <c r="F520" s="74"/>
      <c r="G520" s="74" t="s">
        <v>6748</v>
      </c>
      <c r="H520" s="74" t="s">
        <v>5459</v>
      </c>
      <c r="I520" s="74" t="s">
        <v>63</v>
      </c>
      <c r="J520" s="74" t="s">
        <v>73</v>
      </c>
      <c r="K520" s="74" t="s">
        <v>6750</v>
      </c>
      <c r="L520" s="74" t="s">
        <v>1798</v>
      </c>
    </row>
    <row r="521" spans="1:12" ht="21.95" customHeight="1">
      <c r="A521" s="149" t="s">
        <v>6265</v>
      </c>
      <c r="B521" s="147"/>
      <c r="C521" s="148"/>
      <c r="D521" s="147"/>
      <c r="E521" s="147"/>
      <c r="F521" s="74"/>
      <c r="G521" s="74" t="s">
        <v>6748</v>
      </c>
      <c r="H521" s="74" t="s">
        <v>5460</v>
      </c>
      <c r="I521" s="74" t="s">
        <v>125</v>
      </c>
      <c r="J521" s="74" t="s">
        <v>36</v>
      </c>
      <c r="K521" s="74" t="s">
        <v>6750</v>
      </c>
      <c r="L521" s="74" t="s">
        <v>31</v>
      </c>
    </row>
    <row r="522" spans="1:12" ht="21.95" customHeight="1">
      <c r="A522" s="149" t="s">
        <v>6266</v>
      </c>
      <c r="B522" s="147"/>
      <c r="C522" s="148"/>
      <c r="D522" s="147"/>
      <c r="E522" s="147"/>
      <c r="F522" s="74"/>
      <c r="G522" s="74" t="s">
        <v>6748</v>
      </c>
      <c r="H522" s="74" t="s">
        <v>5461</v>
      </c>
      <c r="I522" s="74" t="s">
        <v>63</v>
      </c>
      <c r="J522" s="74" t="s">
        <v>126</v>
      </c>
      <c r="K522" s="74" t="s">
        <v>6750</v>
      </c>
      <c r="L522" s="74" t="s">
        <v>310</v>
      </c>
    </row>
    <row r="523" spans="1:12" ht="21.95" customHeight="1">
      <c r="A523" s="149" t="s">
        <v>6175</v>
      </c>
      <c r="B523" s="147"/>
      <c r="C523" s="148"/>
      <c r="D523" s="147"/>
      <c r="E523" s="147"/>
      <c r="F523" s="74"/>
      <c r="G523" s="74" t="s">
        <v>6748</v>
      </c>
      <c r="H523" s="74" t="s">
        <v>5265</v>
      </c>
      <c r="I523" s="74" t="s">
        <v>174</v>
      </c>
      <c r="J523" s="74" t="s">
        <v>36</v>
      </c>
      <c r="K523" s="74" t="s">
        <v>6750</v>
      </c>
      <c r="L523" s="74" t="s">
        <v>1708</v>
      </c>
    </row>
    <row r="524" spans="1:12" ht="21.95" customHeight="1">
      <c r="A524" s="149" t="s">
        <v>6267</v>
      </c>
      <c r="B524" s="147"/>
      <c r="C524" s="148"/>
      <c r="D524" s="147"/>
      <c r="E524" s="147"/>
      <c r="F524" s="74"/>
      <c r="G524" s="74" t="s">
        <v>6748</v>
      </c>
      <c r="H524" s="74" t="s">
        <v>5462</v>
      </c>
      <c r="I524" s="74" t="s">
        <v>63</v>
      </c>
      <c r="J524" s="74" t="s">
        <v>196</v>
      </c>
      <c r="K524" s="74" t="s">
        <v>6750</v>
      </c>
      <c r="L524" s="74" t="s">
        <v>310</v>
      </c>
    </row>
    <row r="525" spans="1:12" ht="21.95" customHeight="1">
      <c r="A525" s="149" t="s">
        <v>6268</v>
      </c>
      <c r="B525" s="147"/>
      <c r="C525" s="148"/>
      <c r="D525" s="147"/>
      <c r="E525" s="147"/>
      <c r="F525" s="74"/>
      <c r="G525" s="74" t="s">
        <v>6748</v>
      </c>
      <c r="H525" s="74" t="s">
        <v>5463</v>
      </c>
      <c r="I525" s="74" t="s">
        <v>63</v>
      </c>
      <c r="J525" s="74" t="s">
        <v>36</v>
      </c>
      <c r="K525" s="74" t="s">
        <v>6750</v>
      </c>
      <c r="L525" s="74" t="s">
        <v>1813</v>
      </c>
    </row>
    <row r="526" spans="1:12" ht="21.95" customHeight="1">
      <c r="A526" s="149" t="s">
        <v>6269</v>
      </c>
      <c r="B526" s="147"/>
      <c r="C526" s="148"/>
      <c r="D526" s="147"/>
      <c r="E526" s="147"/>
      <c r="F526" s="74"/>
      <c r="G526" s="74" t="s">
        <v>6748</v>
      </c>
      <c r="H526" s="74" t="s">
        <v>5464</v>
      </c>
      <c r="I526" s="74" t="s">
        <v>1816</v>
      </c>
      <c r="J526" s="74" t="s">
        <v>46</v>
      </c>
      <c r="K526" s="74" t="s">
        <v>6750</v>
      </c>
      <c r="L526" s="74" t="s">
        <v>1817</v>
      </c>
    </row>
    <row r="527" spans="1:12" ht="21.95" customHeight="1">
      <c r="A527" s="149" t="s">
        <v>6127</v>
      </c>
      <c r="B527" s="147"/>
      <c r="C527" s="148"/>
      <c r="D527" s="147"/>
      <c r="E527" s="147"/>
      <c r="F527" s="74"/>
      <c r="G527" s="74" t="s">
        <v>6748</v>
      </c>
      <c r="H527" s="74" t="s">
        <v>5160</v>
      </c>
      <c r="I527" s="74" t="s">
        <v>1819</v>
      </c>
      <c r="J527" s="74" t="s">
        <v>126</v>
      </c>
      <c r="K527" s="74" t="s">
        <v>6750</v>
      </c>
      <c r="L527" s="74" t="s">
        <v>31</v>
      </c>
    </row>
    <row r="528" spans="1:12" ht="21.95" customHeight="1">
      <c r="A528" s="149" t="s">
        <v>6270</v>
      </c>
      <c r="B528" s="147"/>
      <c r="C528" s="148"/>
      <c r="D528" s="147"/>
      <c r="E528" s="147"/>
      <c r="F528" s="74"/>
      <c r="G528" s="74" t="s">
        <v>6748</v>
      </c>
      <c r="H528" s="74" t="s">
        <v>5465</v>
      </c>
      <c r="I528" s="74" t="s">
        <v>536</v>
      </c>
      <c r="J528" s="74" t="s">
        <v>73</v>
      </c>
      <c r="K528" s="74" t="s">
        <v>6750</v>
      </c>
      <c r="L528" s="74" t="s">
        <v>31</v>
      </c>
    </row>
    <row r="529" spans="1:12" ht="21.95" customHeight="1">
      <c r="A529" s="149" t="s">
        <v>6271</v>
      </c>
      <c r="B529" s="147"/>
      <c r="C529" s="148"/>
      <c r="D529" s="147"/>
      <c r="E529" s="147"/>
      <c r="F529" s="74"/>
      <c r="G529" s="74" t="s">
        <v>6748</v>
      </c>
      <c r="H529" s="74" t="s">
        <v>5466</v>
      </c>
      <c r="I529" s="74" t="s">
        <v>536</v>
      </c>
      <c r="J529" s="74" t="s">
        <v>538</v>
      </c>
      <c r="K529" s="74" t="s">
        <v>387</v>
      </c>
      <c r="L529" s="74" t="s">
        <v>1834</v>
      </c>
    </row>
    <row r="530" spans="1:12" ht="21.95" customHeight="1">
      <c r="A530" s="149" t="s">
        <v>6272</v>
      </c>
      <c r="B530" s="147"/>
      <c r="C530" s="148"/>
      <c r="D530" s="147"/>
      <c r="E530" s="147"/>
      <c r="F530" s="74"/>
      <c r="G530" s="74" t="s">
        <v>6748</v>
      </c>
      <c r="H530" s="74" t="s">
        <v>5467</v>
      </c>
      <c r="I530" s="74" t="s">
        <v>125</v>
      </c>
      <c r="J530" s="74" t="s">
        <v>538</v>
      </c>
      <c r="K530" s="74" t="s">
        <v>387</v>
      </c>
      <c r="L530" s="74" t="s">
        <v>310</v>
      </c>
    </row>
    <row r="531" spans="1:12" ht="21.95" customHeight="1">
      <c r="A531" s="149" t="s">
        <v>6273</v>
      </c>
      <c r="B531" s="147"/>
      <c r="C531" s="148"/>
      <c r="D531" s="147"/>
      <c r="E531" s="147"/>
      <c r="F531" s="74"/>
      <c r="G531" s="74" t="s">
        <v>6748</v>
      </c>
      <c r="H531" s="74" t="s">
        <v>5468</v>
      </c>
      <c r="I531" s="74" t="s">
        <v>240</v>
      </c>
      <c r="J531" s="74" t="s">
        <v>243</v>
      </c>
      <c r="K531" s="74" t="s">
        <v>387</v>
      </c>
      <c r="L531" s="74" t="s">
        <v>31</v>
      </c>
    </row>
    <row r="532" spans="1:12" ht="21.95" customHeight="1">
      <c r="A532" s="149" t="s">
        <v>6274</v>
      </c>
      <c r="B532" s="147"/>
      <c r="C532" s="148"/>
      <c r="D532" s="147"/>
      <c r="E532" s="147"/>
      <c r="F532" s="74"/>
      <c r="G532" s="74" t="s">
        <v>6748</v>
      </c>
      <c r="H532" s="74" t="s">
        <v>5469</v>
      </c>
      <c r="I532" s="74" t="s">
        <v>129</v>
      </c>
      <c r="J532" s="74" t="s">
        <v>126</v>
      </c>
      <c r="K532" s="74" t="s">
        <v>6750</v>
      </c>
      <c r="L532" s="74" t="s">
        <v>310</v>
      </c>
    </row>
    <row r="533" spans="1:12" ht="21.95" customHeight="1">
      <c r="A533" s="149" t="s">
        <v>6275</v>
      </c>
      <c r="B533" s="147"/>
      <c r="C533" s="148"/>
      <c r="D533" s="147"/>
      <c r="E533" s="147"/>
      <c r="F533" s="74"/>
      <c r="G533" s="74" t="s">
        <v>6748</v>
      </c>
      <c r="H533" s="74" t="s">
        <v>5470</v>
      </c>
      <c r="I533" s="74" t="s">
        <v>369</v>
      </c>
      <c r="J533" s="74" t="s">
        <v>36</v>
      </c>
      <c r="K533" s="74" t="s">
        <v>6750</v>
      </c>
      <c r="L533" s="74" t="s">
        <v>310</v>
      </c>
    </row>
    <row r="534" spans="1:12" ht="21.95" customHeight="1">
      <c r="A534" s="149" t="s">
        <v>6276</v>
      </c>
      <c r="B534" s="147"/>
      <c r="C534" s="148"/>
      <c r="D534" s="147"/>
      <c r="E534" s="147"/>
      <c r="F534" s="74"/>
      <c r="G534" s="74" t="s">
        <v>6748</v>
      </c>
      <c r="H534" s="74" t="s">
        <v>5471</v>
      </c>
      <c r="I534" s="74" t="s">
        <v>63</v>
      </c>
      <c r="J534" s="74" t="s">
        <v>73</v>
      </c>
      <c r="K534" s="74" t="s">
        <v>6750</v>
      </c>
      <c r="L534" s="74" t="s">
        <v>310</v>
      </c>
    </row>
    <row r="535" spans="1:12" ht="21.95" customHeight="1">
      <c r="A535" s="149" t="s">
        <v>6277</v>
      </c>
      <c r="B535" s="147"/>
      <c r="C535" s="148"/>
      <c r="D535" s="147"/>
      <c r="E535" s="147"/>
      <c r="F535" s="74"/>
      <c r="G535" s="74" t="s">
        <v>6748</v>
      </c>
      <c r="H535" s="74" t="s">
        <v>5472</v>
      </c>
      <c r="I535" s="74" t="s">
        <v>734</v>
      </c>
      <c r="J535" s="74" t="s">
        <v>46</v>
      </c>
      <c r="K535" s="74" t="s">
        <v>6750</v>
      </c>
      <c r="L535" s="74" t="s">
        <v>1708</v>
      </c>
    </row>
    <row r="536" spans="1:12" ht="21.95" customHeight="1">
      <c r="A536" s="149" t="s">
        <v>6278</v>
      </c>
      <c r="B536" s="147"/>
      <c r="C536" s="148"/>
      <c r="D536" s="147"/>
      <c r="E536" s="147"/>
      <c r="F536" s="74"/>
      <c r="G536" s="74" t="s">
        <v>6748</v>
      </c>
      <c r="H536" s="74" t="s">
        <v>5473</v>
      </c>
      <c r="I536" s="74" t="s">
        <v>63</v>
      </c>
      <c r="J536" s="74" t="s">
        <v>126</v>
      </c>
      <c r="K536" s="74" t="s">
        <v>6750</v>
      </c>
      <c r="L536" s="74" t="s">
        <v>310</v>
      </c>
    </row>
    <row r="537" spans="1:12" ht="21.95" customHeight="1">
      <c r="A537" s="149" t="s">
        <v>6279</v>
      </c>
      <c r="B537" s="147"/>
      <c r="C537" s="148"/>
      <c r="D537" s="147"/>
      <c r="E537" s="147"/>
      <c r="F537" s="74"/>
      <c r="G537" s="74" t="s">
        <v>6748</v>
      </c>
      <c r="H537" s="74" t="s">
        <v>5474</v>
      </c>
      <c r="I537" s="74" t="s">
        <v>63</v>
      </c>
      <c r="J537" s="74" t="s">
        <v>36</v>
      </c>
      <c r="K537" s="74" t="s">
        <v>6750</v>
      </c>
      <c r="L537" s="74" t="s">
        <v>310</v>
      </c>
    </row>
    <row r="538" spans="1:12" ht="21.95" customHeight="1">
      <c r="A538" s="149" t="s">
        <v>6280</v>
      </c>
      <c r="B538" s="147"/>
      <c r="C538" s="148"/>
      <c r="D538" s="147"/>
      <c r="E538" s="147"/>
      <c r="F538" s="74"/>
      <c r="G538" s="74" t="s">
        <v>6748</v>
      </c>
      <c r="H538" s="74" t="s">
        <v>5475</v>
      </c>
      <c r="I538" s="74" t="s">
        <v>63</v>
      </c>
      <c r="J538" s="74" t="s">
        <v>36</v>
      </c>
      <c r="K538" s="74" t="s">
        <v>6750</v>
      </c>
      <c r="L538" s="74" t="s">
        <v>310</v>
      </c>
    </row>
    <row r="539" spans="1:12" ht="21.95" customHeight="1">
      <c r="A539" s="149" t="s">
        <v>6281</v>
      </c>
      <c r="B539" s="147"/>
      <c r="C539" s="148"/>
      <c r="D539" s="147"/>
      <c r="E539" s="147"/>
      <c r="F539" s="74"/>
      <c r="G539" s="74" t="s">
        <v>6748</v>
      </c>
      <c r="H539" s="74" t="s">
        <v>5476</v>
      </c>
      <c r="I539" s="74" t="s">
        <v>63</v>
      </c>
      <c r="J539" s="74" t="s">
        <v>46</v>
      </c>
      <c r="K539" s="74" t="s">
        <v>6750</v>
      </c>
      <c r="L539" s="74" t="s">
        <v>1857</v>
      </c>
    </row>
    <row r="540" spans="1:12" ht="21.95" customHeight="1">
      <c r="A540" s="149" t="s">
        <v>1863</v>
      </c>
      <c r="B540" s="147"/>
      <c r="C540" s="148"/>
      <c r="D540" s="147"/>
      <c r="E540" s="147"/>
      <c r="F540" s="74"/>
      <c r="G540" s="74" t="s">
        <v>6748</v>
      </c>
      <c r="H540" s="74" t="s">
        <v>5477</v>
      </c>
      <c r="I540" s="74" t="s">
        <v>24</v>
      </c>
      <c r="J540" s="74" t="s">
        <v>36</v>
      </c>
      <c r="K540" s="74" t="s">
        <v>6750</v>
      </c>
      <c r="L540" s="74" t="s">
        <v>310</v>
      </c>
    </row>
    <row r="541" spans="1:12" ht="21.95" customHeight="1">
      <c r="A541" s="149" t="s">
        <v>6282</v>
      </c>
      <c r="B541" s="147"/>
      <c r="C541" s="148"/>
      <c r="D541" s="147"/>
      <c r="E541" s="147"/>
      <c r="F541" s="74"/>
      <c r="G541" s="74" t="s">
        <v>6748</v>
      </c>
      <c r="H541" s="74" t="s">
        <v>5478</v>
      </c>
      <c r="I541" s="74" t="s">
        <v>169</v>
      </c>
      <c r="J541" s="74" t="s">
        <v>126</v>
      </c>
      <c r="K541" s="74" t="s">
        <v>6750</v>
      </c>
      <c r="L541" s="74" t="s">
        <v>310</v>
      </c>
    </row>
    <row r="542" spans="1:12" ht="21.95" customHeight="1">
      <c r="A542" s="149" t="s">
        <v>6283</v>
      </c>
      <c r="B542" s="147"/>
      <c r="C542" s="148"/>
      <c r="D542" s="147"/>
      <c r="E542" s="147"/>
      <c r="F542" s="74"/>
      <c r="G542" s="74" t="s">
        <v>6748</v>
      </c>
      <c r="H542" s="74" t="s">
        <v>5479</v>
      </c>
      <c r="I542" s="74" t="s">
        <v>63</v>
      </c>
      <c r="J542" s="74" t="s">
        <v>36</v>
      </c>
      <c r="K542" s="74" t="s">
        <v>6750</v>
      </c>
      <c r="L542" s="74" t="s">
        <v>310</v>
      </c>
    </row>
    <row r="543" spans="1:12" ht="21.95" customHeight="1">
      <c r="A543" s="149" t="s">
        <v>1873</v>
      </c>
      <c r="B543" s="147"/>
      <c r="C543" s="148"/>
      <c r="D543" s="147"/>
      <c r="E543" s="147"/>
      <c r="F543" s="74"/>
      <c r="G543" s="74" t="s">
        <v>6748</v>
      </c>
      <c r="H543" s="74" t="s">
        <v>5480</v>
      </c>
      <c r="I543" s="74" t="s">
        <v>125</v>
      </c>
      <c r="J543" s="74" t="s">
        <v>36</v>
      </c>
      <c r="K543" s="74" t="s">
        <v>6750</v>
      </c>
      <c r="L543" s="74" t="s">
        <v>1872</v>
      </c>
    </row>
    <row r="544" spans="1:12" ht="21.95" customHeight="1">
      <c r="A544" s="149" t="s">
        <v>6284</v>
      </c>
      <c r="B544" s="147"/>
      <c r="C544" s="148"/>
      <c r="D544" s="147"/>
      <c r="E544" s="147"/>
      <c r="F544" s="74"/>
      <c r="G544" s="74" t="s">
        <v>6748</v>
      </c>
      <c r="H544" s="74" t="s">
        <v>5481</v>
      </c>
      <c r="I544" s="74" t="s">
        <v>63</v>
      </c>
      <c r="J544" s="74" t="s">
        <v>126</v>
      </c>
      <c r="K544" s="74" t="s">
        <v>6750</v>
      </c>
      <c r="L544" s="74" t="s">
        <v>310</v>
      </c>
    </row>
    <row r="545" spans="1:12" ht="21.95" customHeight="1">
      <c r="A545" s="149" t="s">
        <v>6285</v>
      </c>
      <c r="B545" s="147" t="s">
        <v>117</v>
      </c>
      <c r="C545" s="148">
        <v>45997</v>
      </c>
      <c r="D545" s="147" t="s">
        <v>4871</v>
      </c>
      <c r="E545" s="147"/>
      <c r="F545" s="74" t="s">
        <v>4911</v>
      </c>
      <c r="G545" s="74" t="s">
        <v>4920</v>
      </c>
      <c r="H545" s="74" t="s">
        <v>5482</v>
      </c>
      <c r="I545" s="74" t="s">
        <v>63</v>
      </c>
      <c r="J545" s="74" t="s">
        <v>73</v>
      </c>
      <c r="K545" s="74" t="s">
        <v>6750</v>
      </c>
      <c r="L545" s="74" t="s">
        <v>310</v>
      </c>
    </row>
    <row r="546" spans="1:12" ht="21.95" customHeight="1">
      <c r="A546" s="149" t="s">
        <v>6286</v>
      </c>
      <c r="B546" s="147"/>
      <c r="C546" s="148"/>
      <c r="D546" s="147"/>
      <c r="E546" s="147"/>
      <c r="F546" s="74"/>
      <c r="G546" s="74" t="s">
        <v>6748</v>
      </c>
      <c r="H546" s="74" t="s">
        <v>5483</v>
      </c>
      <c r="I546" s="74" t="s">
        <v>24</v>
      </c>
      <c r="J546" s="74" t="s">
        <v>36</v>
      </c>
      <c r="K546" s="74" t="s">
        <v>6750</v>
      </c>
      <c r="L546" s="74" t="s">
        <v>310</v>
      </c>
    </row>
    <row r="547" spans="1:12" ht="21.95" customHeight="1">
      <c r="A547" s="149" t="s">
        <v>6287</v>
      </c>
      <c r="B547" s="147"/>
      <c r="C547" s="148"/>
      <c r="D547" s="147"/>
      <c r="E547" s="147"/>
      <c r="F547" s="74"/>
      <c r="G547" s="74" t="s">
        <v>6748</v>
      </c>
      <c r="H547" s="74" t="s">
        <v>5484</v>
      </c>
      <c r="I547" s="74" t="s">
        <v>174</v>
      </c>
      <c r="J547" s="74" t="s">
        <v>36</v>
      </c>
      <c r="K547" s="74" t="s">
        <v>6750</v>
      </c>
      <c r="L547" s="74" t="s">
        <v>310</v>
      </c>
    </row>
    <row r="548" spans="1:12" ht="21.95" customHeight="1">
      <c r="A548" s="149" t="s">
        <v>6288</v>
      </c>
      <c r="B548" s="147"/>
      <c r="C548" s="148"/>
      <c r="D548" s="147"/>
      <c r="E548" s="147"/>
      <c r="F548" s="74"/>
      <c r="G548" s="74" t="s">
        <v>6748</v>
      </c>
      <c r="H548" s="74" t="s">
        <v>5485</v>
      </c>
      <c r="I548" s="74" t="s">
        <v>174</v>
      </c>
      <c r="J548" s="74" t="s">
        <v>416</v>
      </c>
      <c r="K548" s="74" t="s">
        <v>387</v>
      </c>
      <c r="L548" s="74" t="s">
        <v>31</v>
      </c>
    </row>
    <row r="549" spans="1:12" ht="21.95" customHeight="1">
      <c r="A549" s="149" t="s">
        <v>6289</v>
      </c>
      <c r="B549" s="147"/>
      <c r="C549" s="148"/>
      <c r="D549" s="147"/>
      <c r="E549" s="147"/>
      <c r="F549" s="74"/>
      <c r="G549" s="74" t="s">
        <v>6748</v>
      </c>
      <c r="H549" s="74" t="s">
        <v>5486</v>
      </c>
      <c r="I549" s="74" t="s">
        <v>169</v>
      </c>
      <c r="J549" s="74" t="s">
        <v>416</v>
      </c>
      <c r="K549" s="74" t="s">
        <v>387</v>
      </c>
      <c r="L549" s="74" t="s">
        <v>1582</v>
      </c>
    </row>
    <row r="550" spans="1:12" ht="21.95" customHeight="1">
      <c r="A550" s="149" t="s">
        <v>6290</v>
      </c>
      <c r="B550" s="147"/>
      <c r="C550" s="148"/>
      <c r="D550" s="147"/>
      <c r="E550" s="147"/>
      <c r="F550" s="74"/>
      <c r="G550" s="74" t="s">
        <v>6748</v>
      </c>
      <c r="H550" s="74" t="s">
        <v>5487</v>
      </c>
      <c r="I550" s="74" t="s">
        <v>1903</v>
      </c>
      <c r="J550" s="74" t="s">
        <v>46</v>
      </c>
      <c r="K550" s="74" t="s">
        <v>6750</v>
      </c>
      <c r="L550" s="74" t="s">
        <v>310</v>
      </c>
    </row>
    <row r="551" spans="1:12" ht="21.95" customHeight="1">
      <c r="A551" s="149" t="s">
        <v>1907</v>
      </c>
      <c r="B551" s="147"/>
      <c r="C551" s="148"/>
      <c r="D551" s="147"/>
      <c r="E551" s="147"/>
      <c r="F551" s="74"/>
      <c r="G551" s="74" t="s">
        <v>6748</v>
      </c>
      <c r="H551" s="74" t="s">
        <v>5488</v>
      </c>
      <c r="I551" s="74" t="s">
        <v>169</v>
      </c>
      <c r="J551" s="74" t="s">
        <v>46</v>
      </c>
      <c r="K551" s="74" t="s">
        <v>6750</v>
      </c>
      <c r="L551" s="74" t="s">
        <v>1906</v>
      </c>
    </row>
    <row r="552" spans="1:12" ht="21.95" customHeight="1">
      <c r="A552" s="149" t="s">
        <v>6291</v>
      </c>
      <c r="B552" s="147"/>
      <c r="C552" s="148"/>
      <c r="D552" s="147"/>
      <c r="E552" s="147"/>
      <c r="F552" s="74"/>
      <c r="G552" s="74" t="s">
        <v>6748</v>
      </c>
      <c r="H552" s="74" t="s">
        <v>5489</v>
      </c>
      <c r="I552" s="74" t="s">
        <v>125</v>
      </c>
      <c r="J552" s="74" t="s">
        <v>538</v>
      </c>
      <c r="K552" s="74" t="s">
        <v>387</v>
      </c>
      <c r="L552" s="74" t="s">
        <v>310</v>
      </c>
    </row>
    <row r="553" spans="1:12" ht="21.95" customHeight="1">
      <c r="A553" s="149" t="s">
        <v>6292</v>
      </c>
      <c r="B553" s="147"/>
      <c r="C553" s="148"/>
      <c r="D553" s="147"/>
      <c r="E553" s="147"/>
      <c r="F553" s="74"/>
      <c r="G553" s="74" t="s">
        <v>6748</v>
      </c>
      <c r="H553" s="74" t="s">
        <v>5490</v>
      </c>
      <c r="I553" s="74" t="s">
        <v>125</v>
      </c>
      <c r="J553" s="74" t="s">
        <v>36</v>
      </c>
      <c r="K553" s="74" t="s">
        <v>6750</v>
      </c>
      <c r="L553" s="74" t="s">
        <v>31</v>
      </c>
    </row>
    <row r="554" spans="1:12" ht="21.95" customHeight="1">
      <c r="A554" s="149" t="s">
        <v>6293</v>
      </c>
      <c r="B554" s="147"/>
      <c r="C554" s="148"/>
      <c r="D554" s="147"/>
      <c r="E554" s="147"/>
      <c r="F554" s="74"/>
      <c r="G554" s="74" t="s">
        <v>6748</v>
      </c>
      <c r="H554" s="74" t="s">
        <v>5491</v>
      </c>
      <c r="I554" s="74" t="s">
        <v>63</v>
      </c>
      <c r="J554" s="74" t="s">
        <v>36</v>
      </c>
      <c r="K554" s="74" t="s">
        <v>6750</v>
      </c>
      <c r="L554" s="74" t="s">
        <v>1915</v>
      </c>
    </row>
    <row r="555" spans="1:12" ht="21.95" customHeight="1">
      <c r="A555" s="149" t="s">
        <v>6294</v>
      </c>
      <c r="B555" s="147"/>
      <c r="C555" s="148"/>
      <c r="D555" s="147"/>
      <c r="E555" s="147"/>
      <c r="F555" s="74"/>
      <c r="G555" s="74" t="s">
        <v>6748</v>
      </c>
      <c r="H555" s="74" t="s">
        <v>5492</v>
      </c>
      <c r="I555" s="74" t="s">
        <v>63</v>
      </c>
      <c r="J555" s="74" t="s">
        <v>73</v>
      </c>
      <c r="K555" s="74" t="s">
        <v>6750</v>
      </c>
      <c r="L555" s="74" t="s">
        <v>310</v>
      </c>
    </row>
    <row r="556" spans="1:12" ht="21.95" customHeight="1">
      <c r="A556" s="149" t="s">
        <v>6295</v>
      </c>
      <c r="B556" s="147"/>
      <c r="C556" s="148"/>
      <c r="D556" s="147"/>
      <c r="E556" s="147"/>
      <c r="F556" s="74"/>
      <c r="G556" s="74" t="s">
        <v>6748</v>
      </c>
      <c r="H556" s="74" t="s">
        <v>5493</v>
      </c>
      <c r="I556" s="74" t="s">
        <v>63</v>
      </c>
      <c r="J556" s="74" t="s">
        <v>126</v>
      </c>
      <c r="K556" s="74" t="s">
        <v>6750</v>
      </c>
      <c r="L556" s="74" t="s">
        <v>310</v>
      </c>
    </row>
    <row r="557" spans="1:12" ht="21.95" customHeight="1">
      <c r="A557" s="149" t="s">
        <v>6296</v>
      </c>
      <c r="B557" s="147"/>
      <c r="C557" s="148"/>
      <c r="D557" s="147"/>
      <c r="E557" s="147"/>
      <c r="F557" s="74"/>
      <c r="G557" s="74" t="s">
        <v>6748</v>
      </c>
      <c r="H557" s="74" t="s">
        <v>5494</v>
      </c>
      <c r="I557" s="74" t="s">
        <v>125</v>
      </c>
      <c r="J557" s="74" t="s">
        <v>243</v>
      </c>
      <c r="K557" s="74" t="s">
        <v>387</v>
      </c>
      <c r="L557" s="74" t="s">
        <v>1918</v>
      </c>
    </row>
    <row r="558" spans="1:12" ht="21.95" customHeight="1">
      <c r="A558" s="149" t="s">
        <v>6297</v>
      </c>
      <c r="B558" s="147"/>
      <c r="C558" s="148"/>
      <c r="D558" s="147"/>
      <c r="E558" s="147"/>
      <c r="F558" s="74"/>
      <c r="G558" s="74" t="s">
        <v>6748</v>
      </c>
      <c r="H558" s="74" t="s">
        <v>5495</v>
      </c>
      <c r="I558" s="74" t="s">
        <v>63</v>
      </c>
      <c r="J558" s="74" t="s">
        <v>36</v>
      </c>
      <c r="K558" s="74" t="s">
        <v>6750</v>
      </c>
      <c r="L558" s="74" t="s">
        <v>31</v>
      </c>
    </row>
    <row r="559" spans="1:12" ht="21.95" customHeight="1">
      <c r="A559" s="149" t="s">
        <v>6298</v>
      </c>
      <c r="B559" s="147"/>
      <c r="C559" s="148"/>
      <c r="D559" s="147"/>
      <c r="E559" s="147"/>
      <c r="F559" s="74"/>
      <c r="G559" s="74" t="s">
        <v>6748</v>
      </c>
      <c r="H559" s="74" t="s">
        <v>5496</v>
      </c>
      <c r="I559" s="74" t="s">
        <v>1929</v>
      </c>
      <c r="J559" s="74" t="s">
        <v>36</v>
      </c>
      <c r="K559" s="74" t="s">
        <v>6750</v>
      </c>
      <c r="L559" s="74" t="s">
        <v>31</v>
      </c>
    </row>
    <row r="560" spans="1:12" ht="21.95" customHeight="1">
      <c r="A560" s="149" t="s">
        <v>6299</v>
      </c>
      <c r="B560" s="147"/>
      <c r="C560" s="148"/>
      <c r="D560" s="147"/>
      <c r="E560" s="147"/>
      <c r="F560" s="74"/>
      <c r="G560" s="74" t="s">
        <v>6748</v>
      </c>
      <c r="H560" s="74" t="s">
        <v>5497</v>
      </c>
      <c r="I560" s="74" t="s">
        <v>24</v>
      </c>
      <c r="J560" s="74" t="s">
        <v>196</v>
      </c>
      <c r="K560" s="74" t="s">
        <v>6750</v>
      </c>
      <c r="L560" s="74" t="s">
        <v>31</v>
      </c>
    </row>
    <row r="561" spans="1:12" ht="21.95" customHeight="1">
      <c r="A561" s="149" t="s">
        <v>6300</v>
      </c>
      <c r="B561" s="147"/>
      <c r="C561" s="148"/>
      <c r="D561" s="147"/>
      <c r="E561" s="147"/>
      <c r="F561" s="74"/>
      <c r="G561" s="74" t="s">
        <v>6748</v>
      </c>
      <c r="H561" s="74" t="s">
        <v>5498</v>
      </c>
      <c r="I561" s="74" t="s">
        <v>63</v>
      </c>
      <c r="J561" s="74" t="s">
        <v>36</v>
      </c>
      <c r="K561" s="74" t="s">
        <v>6750</v>
      </c>
      <c r="L561" s="74" t="s">
        <v>310</v>
      </c>
    </row>
    <row r="562" spans="1:12" ht="21.95" customHeight="1">
      <c r="A562" s="149" t="s">
        <v>6301</v>
      </c>
      <c r="B562" s="147"/>
      <c r="C562" s="148"/>
      <c r="D562" s="147"/>
      <c r="E562" s="147"/>
      <c r="F562" s="74"/>
      <c r="G562" s="74" t="s">
        <v>6748</v>
      </c>
      <c r="H562" s="74" t="s">
        <v>5499</v>
      </c>
      <c r="I562" s="74" t="s">
        <v>240</v>
      </c>
      <c r="J562" s="74" t="s">
        <v>36</v>
      </c>
      <c r="K562" s="74" t="s">
        <v>6750</v>
      </c>
      <c r="L562" s="74" t="s">
        <v>1732</v>
      </c>
    </row>
    <row r="563" spans="1:12" ht="21.95" customHeight="1">
      <c r="A563" s="149" t="s">
        <v>222</v>
      </c>
      <c r="B563" s="147"/>
      <c r="C563" s="148"/>
      <c r="D563" s="147"/>
      <c r="E563" s="147"/>
      <c r="F563" s="74"/>
      <c r="G563" s="74" t="s">
        <v>6748</v>
      </c>
      <c r="H563" s="74" t="s">
        <v>5259</v>
      </c>
      <c r="I563" s="74" t="s">
        <v>63</v>
      </c>
      <c r="J563" s="74" t="s">
        <v>126</v>
      </c>
      <c r="K563" s="74" t="s">
        <v>6750</v>
      </c>
      <c r="L563" s="74" t="s">
        <v>31</v>
      </c>
    </row>
    <row r="564" spans="1:12" ht="21.95" customHeight="1">
      <c r="A564" s="149" t="s">
        <v>1957</v>
      </c>
      <c r="B564" s="147"/>
      <c r="C564" s="148"/>
      <c r="D564" s="147"/>
      <c r="E564" s="147"/>
      <c r="F564" s="74"/>
      <c r="G564" s="74" t="s">
        <v>6748</v>
      </c>
      <c r="H564" s="74" t="s">
        <v>5500</v>
      </c>
      <c r="I564" s="74" t="s">
        <v>63</v>
      </c>
      <c r="J564" s="74" t="s">
        <v>36</v>
      </c>
      <c r="K564" s="74" t="s">
        <v>6750</v>
      </c>
      <c r="L564" s="74" t="s">
        <v>310</v>
      </c>
    </row>
    <row r="565" spans="1:12" ht="21.95" customHeight="1">
      <c r="A565" s="149" t="s">
        <v>6302</v>
      </c>
      <c r="B565" s="147" t="s">
        <v>117</v>
      </c>
      <c r="C565" s="148">
        <v>45997</v>
      </c>
      <c r="D565" s="147" t="s">
        <v>4871</v>
      </c>
      <c r="E565" s="147"/>
      <c r="F565" s="74" t="s">
        <v>4912</v>
      </c>
      <c r="G565" s="74" t="s">
        <v>4920</v>
      </c>
      <c r="H565" s="74" t="s">
        <v>5501</v>
      </c>
      <c r="I565" s="74" t="s">
        <v>112</v>
      </c>
      <c r="J565" s="74" t="s">
        <v>36</v>
      </c>
      <c r="K565" s="74" t="s">
        <v>6750</v>
      </c>
      <c r="L565" s="74" t="s">
        <v>1959</v>
      </c>
    </row>
    <row r="566" spans="1:12" ht="21.95" customHeight="1">
      <c r="A566" s="149" t="s">
        <v>6303</v>
      </c>
      <c r="B566" s="147"/>
      <c r="C566" s="148"/>
      <c r="D566" s="147"/>
      <c r="E566" s="147"/>
      <c r="F566" s="74"/>
      <c r="G566" s="74" t="s">
        <v>6748</v>
      </c>
      <c r="H566" s="74" t="s">
        <v>5502</v>
      </c>
      <c r="I566" s="74" t="s">
        <v>63</v>
      </c>
      <c r="J566" s="74" t="s">
        <v>416</v>
      </c>
      <c r="K566" s="74" t="s">
        <v>387</v>
      </c>
      <c r="L566" s="74" t="s">
        <v>310</v>
      </c>
    </row>
    <row r="567" spans="1:12" ht="21.95" customHeight="1">
      <c r="A567" s="149" t="s">
        <v>1966</v>
      </c>
      <c r="B567" s="147"/>
      <c r="C567" s="148"/>
      <c r="D567" s="147"/>
      <c r="E567" s="147"/>
      <c r="F567" s="74"/>
      <c r="G567" s="74" t="s">
        <v>6748</v>
      </c>
      <c r="H567" s="74" t="s">
        <v>5503</v>
      </c>
      <c r="I567" s="74" t="s">
        <v>63</v>
      </c>
      <c r="J567" s="74" t="s">
        <v>36</v>
      </c>
      <c r="K567" s="74" t="s">
        <v>6750</v>
      </c>
      <c r="L567" s="74" t="s">
        <v>310</v>
      </c>
    </row>
    <row r="568" spans="1:12" ht="21.95" customHeight="1">
      <c r="A568" s="149" t="s">
        <v>6304</v>
      </c>
      <c r="B568" s="147"/>
      <c r="C568" s="148"/>
      <c r="D568" s="147"/>
      <c r="E568" s="147"/>
      <c r="F568" s="74"/>
      <c r="G568" s="74" t="s">
        <v>6748</v>
      </c>
      <c r="H568" s="74" t="s">
        <v>5504</v>
      </c>
      <c r="I568" s="74" t="s">
        <v>63</v>
      </c>
      <c r="J568" s="74" t="s">
        <v>73</v>
      </c>
      <c r="K568" s="74" t="s">
        <v>6750</v>
      </c>
      <c r="L568" s="74" t="s">
        <v>1978</v>
      </c>
    </row>
    <row r="569" spans="1:12" ht="21.95" customHeight="1">
      <c r="A569" s="149" t="s">
        <v>6305</v>
      </c>
      <c r="B569" s="147"/>
      <c r="C569" s="148"/>
      <c r="D569" s="147"/>
      <c r="E569" s="147"/>
      <c r="F569" s="74"/>
      <c r="G569" s="74" t="s">
        <v>6748</v>
      </c>
      <c r="H569" s="74" t="s">
        <v>5505</v>
      </c>
      <c r="I569" s="74" t="s">
        <v>174</v>
      </c>
      <c r="J569" s="74" t="s">
        <v>538</v>
      </c>
      <c r="K569" s="74" t="s">
        <v>387</v>
      </c>
      <c r="L569" s="74" t="s">
        <v>310</v>
      </c>
    </row>
    <row r="570" spans="1:12" ht="21.95" customHeight="1">
      <c r="A570" s="149" t="s">
        <v>6306</v>
      </c>
      <c r="B570" s="147"/>
      <c r="C570" s="148"/>
      <c r="D570" s="147"/>
      <c r="E570" s="147"/>
      <c r="F570" s="74"/>
      <c r="G570" s="74" t="s">
        <v>6748</v>
      </c>
      <c r="H570" s="74" t="s">
        <v>5506</v>
      </c>
      <c r="I570" s="74" t="s">
        <v>63</v>
      </c>
      <c r="J570" s="74" t="s">
        <v>36</v>
      </c>
      <c r="K570" s="74" t="s">
        <v>6750</v>
      </c>
      <c r="L570" s="74" t="s">
        <v>31</v>
      </c>
    </row>
    <row r="571" spans="1:12" ht="21.95" customHeight="1">
      <c r="A571" s="149" t="s">
        <v>6307</v>
      </c>
      <c r="B571" s="147"/>
      <c r="C571" s="148"/>
      <c r="D571" s="147"/>
      <c r="E571" s="147"/>
      <c r="F571" s="74"/>
      <c r="G571" s="74" t="s">
        <v>6748</v>
      </c>
      <c r="H571" s="74" t="s">
        <v>5507</v>
      </c>
      <c r="I571" s="74" t="s">
        <v>30</v>
      </c>
      <c r="J571" s="74" t="s">
        <v>126</v>
      </c>
      <c r="K571" s="74" t="s">
        <v>6750</v>
      </c>
      <c r="L571" s="74" t="s">
        <v>1999</v>
      </c>
    </row>
    <row r="572" spans="1:12" ht="21.95" customHeight="1">
      <c r="A572" s="149" t="s">
        <v>6308</v>
      </c>
      <c r="B572" s="147"/>
      <c r="C572" s="148"/>
      <c r="D572" s="147"/>
      <c r="E572" s="147"/>
      <c r="F572" s="74"/>
      <c r="G572" s="74" t="s">
        <v>6748</v>
      </c>
      <c r="H572" s="74" t="s">
        <v>5508</v>
      </c>
      <c r="I572" s="74" t="s">
        <v>63</v>
      </c>
      <c r="J572" s="74" t="s">
        <v>36</v>
      </c>
      <c r="K572" s="74" t="s">
        <v>6750</v>
      </c>
      <c r="L572" s="74" t="s">
        <v>2007</v>
      </c>
    </row>
    <row r="573" spans="1:12" ht="21.95" customHeight="1">
      <c r="A573" s="149" t="s">
        <v>6309</v>
      </c>
      <c r="B573" s="147"/>
      <c r="C573" s="148"/>
      <c r="D573" s="147"/>
      <c r="E573" s="147"/>
      <c r="F573" s="74"/>
      <c r="G573" s="74" t="s">
        <v>6748</v>
      </c>
      <c r="H573" s="74" t="s">
        <v>5509</v>
      </c>
      <c r="I573" s="74" t="s">
        <v>125</v>
      </c>
      <c r="J573" s="74" t="s">
        <v>36</v>
      </c>
      <c r="K573" s="74" t="s">
        <v>6750</v>
      </c>
      <c r="L573" s="74" t="s">
        <v>310</v>
      </c>
    </row>
    <row r="574" spans="1:12" ht="21.95" customHeight="1">
      <c r="A574" s="149" t="s">
        <v>6310</v>
      </c>
      <c r="B574" s="147"/>
      <c r="C574" s="148"/>
      <c r="D574" s="147"/>
      <c r="E574" s="147"/>
      <c r="F574" s="74"/>
      <c r="G574" s="74" t="s">
        <v>6748</v>
      </c>
      <c r="H574" s="74" t="s">
        <v>5510</v>
      </c>
      <c r="I574" s="74" t="s">
        <v>63</v>
      </c>
      <c r="J574" s="74" t="s">
        <v>126</v>
      </c>
      <c r="K574" s="74" t="s">
        <v>6750</v>
      </c>
      <c r="L574" s="74" t="s">
        <v>2012</v>
      </c>
    </row>
    <row r="575" spans="1:12" ht="21.95" customHeight="1">
      <c r="A575" s="149" t="s">
        <v>6311</v>
      </c>
      <c r="B575" s="147"/>
      <c r="C575" s="148"/>
      <c r="D575" s="147"/>
      <c r="E575" s="147"/>
      <c r="F575" s="74"/>
      <c r="G575" s="74" t="s">
        <v>6748</v>
      </c>
      <c r="H575" s="74" t="s">
        <v>5511</v>
      </c>
      <c r="I575" s="74" t="s">
        <v>63</v>
      </c>
      <c r="J575" s="74" t="s">
        <v>538</v>
      </c>
      <c r="K575" s="74" t="s">
        <v>387</v>
      </c>
      <c r="L575" s="74" t="s">
        <v>2018</v>
      </c>
    </row>
    <row r="576" spans="1:12" ht="21.95" customHeight="1">
      <c r="A576" s="149" t="s">
        <v>6312</v>
      </c>
      <c r="B576" s="147"/>
      <c r="C576" s="148"/>
      <c r="D576" s="147"/>
      <c r="E576" s="147"/>
      <c r="F576" s="74"/>
      <c r="G576" s="74" t="s">
        <v>6748</v>
      </c>
      <c r="H576" s="74" t="s">
        <v>5512</v>
      </c>
      <c r="I576" s="74" t="s">
        <v>264</v>
      </c>
      <c r="J576" s="74" t="s">
        <v>36</v>
      </c>
      <c r="K576" s="74" t="s">
        <v>6750</v>
      </c>
      <c r="L576" s="74" t="s">
        <v>2020</v>
      </c>
    </row>
    <row r="577" spans="1:12" ht="21.95" customHeight="1">
      <c r="A577" s="149" t="s">
        <v>6313</v>
      </c>
      <c r="B577" s="147"/>
      <c r="C577" s="148"/>
      <c r="D577" s="147"/>
      <c r="E577" s="147"/>
      <c r="F577" s="74"/>
      <c r="G577" s="74" t="s">
        <v>6748</v>
      </c>
      <c r="H577" s="74" t="s">
        <v>5513</v>
      </c>
      <c r="I577" s="74" t="s">
        <v>1514</v>
      </c>
      <c r="J577" s="74" t="s">
        <v>46</v>
      </c>
      <c r="K577" s="74" t="s">
        <v>6750</v>
      </c>
      <c r="L577" s="74" t="s">
        <v>2022</v>
      </c>
    </row>
    <row r="578" spans="1:12" ht="21.95" customHeight="1">
      <c r="A578" s="149" t="s">
        <v>6314</v>
      </c>
      <c r="B578" s="147"/>
      <c r="C578" s="148"/>
      <c r="D578" s="147"/>
      <c r="E578" s="147"/>
      <c r="F578" s="74"/>
      <c r="G578" s="74" t="s">
        <v>6748</v>
      </c>
      <c r="H578" s="74" t="s">
        <v>5514</v>
      </c>
      <c r="I578" s="74" t="s">
        <v>63</v>
      </c>
      <c r="J578" s="74" t="s">
        <v>126</v>
      </c>
      <c r="K578" s="74" t="s">
        <v>6750</v>
      </c>
      <c r="L578" s="74" t="s">
        <v>305</v>
      </c>
    </row>
    <row r="579" spans="1:12" ht="21.95" customHeight="1">
      <c r="A579" s="149" t="s">
        <v>6315</v>
      </c>
      <c r="B579" s="147"/>
      <c r="C579" s="148"/>
      <c r="D579" s="147"/>
      <c r="E579" s="147"/>
      <c r="F579" s="74"/>
      <c r="G579" s="74" t="s">
        <v>6748</v>
      </c>
      <c r="H579" s="74" t="s">
        <v>5515</v>
      </c>
      <c r="I579" s="74" t="s">
        <v>63</v>
      </c>
      <c r="J579" s="74" t="s">
        <v>73</v>
      </c>
      <c r="K579" s="74" t="s">
        <v>6750</v>
      </c>
      <c r="L579" s="74" t="s">
        <v>310</v>
      </c>
    </row>
    <row r="580" spans="1:12" ht="21.95" customHeight="1">
      <c r="A580" s="149" t="s">
        <v>6316</v>
      </c>
      <c r="B580" s="147"/>
      <c r="C580" s="148"/>
      <c r="D580" s="147"/>
      <c r="E580" s="147"/>
      <c r="F580" s="74"/>
      <c r="G580" s="74" t="s">
        <v>6748</v>
      </c>
      <c r="H580" s="74" t="s">
        <v>5516</v>
      </c>
      <c r="I580" s="74" t="s">
        <v>125</v>
      </c>
      <c r="J580" s="74" t="s">
        <v>36</v>
      </c>
      <c r="K580" s="74" t="s">
        <v>6750</v>
      </c>
      <c r="L580" s="74" t="s">
        <v>2036</v>
      </c>
    </row>
    <row r="581" spans="1:12" ht="21.95" customHeight="1">
      <c r="A581" s="149" t="s">
        <v>6317</v>
      </c>
      <c r="B581" s="147"/>
      <c r="C581" s="148"/>
      <c r="D581" s="147"/>
      <c r="E581" s="147"/>
      <c r="F581" s="74"/>
      <c r="G581" s="74" t="s">
        <v>6748</v>
      </c>
      <c r="H581" s="74" t="s">
        <v>5517</v>
      </c>
      <c r="I581" s="74" t="s">
        <v>24</v>
      </c>
      <c r="J581" s="74" t="s">
        <v>126</v>
      </c>
      <c r="K581" s="74" t="s">
        <v>6750</v>
      </c>
      <c r="L581" s="74" t="s">
        <v>2039</v>
      </c>
    </row>
    <row r="582" spans="1:12" ht="21.95" customHeight="1">
      <c r="A582" s="149" t="s">
        <v>6318</v>
      </c>
      <c r="B582" s="147"/>
      <c r="C582" s="148"/>
      <c r="D582" s="147"/>
      <c r="E582" s="147"/>
      <c r="F582" s="74"/>
      <c r="G582" s="74" t="s">
        <v>6748</v>
      </c>
      <c r="H582" s="74" t="s">
        <v>5518</v>
      </c>
      <c r="I582" s="74" t="s">
        <v>24</v>
      </c>
      <c r="J582" s="74" t="s">
        <v>36</v>
      </c>
      <c r="K582" s="74" t="s">
        <v>6750</v>
      </c>
      <c r="L582" s="74" t="s">
        <v>2043</v>
      </c>
    </row>
    <row r="583" spans="1:12" ht="21.95" customHeight="1">
      <c r="A583" s="149" t="s">
        <v>6319</v>
      </c>
      <c r="B583" s="147"/>
      <c r="C583" s="148"/>
      <c r="D583" s="147"/>
      <c r="E583" s="147"/>
      <c r="F583" s="74"/>
      <c r="G583" s="74" t="s">
        <v>6748</v>
      </c>
      <c r="H583" s="74" t="s">
        <v>5519</v>
      </c>
      <c r="I583" s="74" t="s">
        <v>129</v>
      </c>
      <c r="J583" s="74" t="s">
        <v>243</v>
      </c>
      <c r="K583" s="74" t="s">
        <v>387</v>
      </c>
      <c r="L583" s="74" t="s">
        <v>310</v>
      </c>
    </row>
    <row r="584" spans="1:12" ht="21.95" customHeight="1">
      <c r="A584" s="149" t="s">
        <v>6320</v>
      </c>
      <c r="B584" s="147"/>
      <c r="C584" s="148"/>
      <c r="D584" s="147"/>
      <c r="E584" s="147"/>
      <c r="F584" s="74"/>
      <c r="G584" s="74" t="s">
        <v>6748</v>
      </c>
      <c r="H584" s="74" t="s">
        <v>5520</v>
      </c>
      <c r="I584" s="74" t="s">
        <v>63</v>
      </c>
      <c r="J584" s="74" t="s">
        <v>73</v>
      </c>
      <c r="K584" s="74" t="s">
        <v>6750</v>
      </c>
      <c r="L584" s="74" t="s">
        <v>310</v>
      </c>
    </row>
    <row r="585" spans="1:12" ht="21.95" customHeight="1">
      <c r="A585" s="149" t="s">
        <v>6321</v>
      </c>
      <c r="B585" s="147"/>
      <c r="C585" s="148"/>
      <c r="D585" s="147"/>
      <c r="E585" s="147"/>
      <c r="F585" s="74"/>
      <c r="G585" s="74" t="s">
        <v>6748</v>
      </c>
      <c r="H585" s="74" t="s">
        <v>5521</v>
      </c>
      <c r="I585" s="74" t="s">
        <v>2052</v>
      </c>
      <c r="J585" s="74" t="s">
        <v>46</v>
      </c>
      <c r="K585" s="74" t="s">
        <v>6750</v>
      </c>
      <c r="L585" s="74" t="s">
        <v>2053</v>
      </c>
    </row>
    <row r="586" spans="1:12" ht="21.95" customHeight="1">
      <c r="A586" s="149" t="s">
        <v>6322</v>
      </c>
      <c r="B586" s="147"/>
      <c r="C586" s="148"/>
      <c r="D586" s="147"/>
      <c r="E586" s="147"/>
      <c r="F586" s="74"/>
      <c r="G586" s="74" t="s">
        <v>6748</v>
      </c>
      <c r="H586" s="74" t="s">
        <v>5522</v>
      </c>
      <c r="I586" s="74" t="s">
        <v>24</v>
      </c>
      <c r="J586" s="74" t="s">
        <v>36</v>
      </c>
      <c r="K586" s="74" t="s">
        <v>6750</v>
      </c>
      <c r="L586" s="74" t="s">
        <v>31</v>
      </c>
    </row>
    <row r="587" spans="1:12" ht="21.95" customHeight="1">
      <c r="A587" s="149" t="s">
        <v>6323</v>
      </c>
      <c r="B587" s="147"/>
      <c r="C587" s="148"/>
      <c r="D587" s="147"/>
      <c r="E587" s="147"/>
      <c r="F587" s="74"/>
      <c r="G587" s="74" t="s">
        <v>6748</v>
      </c>
      <c r="H587" s="74" t="s">
        <v>5523</v>
      </c>
      <c r="I587" s="74" t="s">
        <v>112</v>
      </c>
      <c r="J587" s="74" t="s">
        <v>46</v>
      </c>
      <c r="K587" s="74" t="s">
        <v>6750</v>
      </c>
      <c r="L587" s="74" t="s">
        <v>31</v>
      </c>
    </row>
    <row r="588" spans="1:12" ht="21.95" customHeight="1">
      <c r="A588" s="149" t="s">
        <v>6324</v>
      </c>
      <c r="B588" s="147" t="s">
        <v>117</v>
      </c>
      <c r="C588" s="148">
        <v>45997</v>
      </c>
      <c r="D588" s="147" t="s">
        <v>4894</v>
      </c>
      <c r="E588" s="147"/>
      <c r="F588" s="74" t="s">
        <v>6770</v>
      </c>
      <c r="G588" s="74" t="s">
        <v>4920</v>
      </c>
      <c r="H588" s="74" t="s">
        <v>5524</v>
      </c>
      <c r="I588" s="74" t="s">
        <v>63</v>
      </c>
      <c r="J588" s="74" t="s">
        <v>73</v>
      </c>
      <c r="K588" s="74" t="s">
        <v>6750</v>
      </c>
      <c r="L588" s="74" t="s">
        <v>310</v>
      </c>
    </row>
    <row r="589" spans="1:12" ht="21.95" customHeight="1">
      <c r="A589" s="149" t="s">
        <v>6325</v>
      </c>
      <c r="B589" s="147"/>
      <c r="C589" s="148"/>
      <c r="D589" s="147"/>
      <c r="E589" s="147"/>
      <c r="F589" s="74"/>
      <c r="G589" s="74" t="s">
        <v>6748</v>
      </c>
      <c r="H589" s="74" t="s">
        <v>5525</v>
      </c>
      <c r="I589" s="74" t="s">
        <v>63</v>
      </c>
      <c r="J589" s="74" t="s">
        <v>250</v>
      </c>
      <c r="K589" s="74" t="s">
        <v>6750</v>
      </c>
      <c r="L589" s="74" t="s">
        <v>310</v>
      </c>
    </row>
    <row r="590" spans="1:12" ht="21.95" customHeight="1">
      <c r="A590" s="149" t="s">
        <v>6326</v>
      </c>
      <c r="B590" s="147"/>
      <c r="C590" s="148"/>
      <c r="D590" s="147"/>
      <c r="E590" s="147"/>
      <c r="F590" s="74"/>
      <c r="G590" s="74" t="s">
        <v>6748</v>
      </c>
      <c r="H590" s="74" t="s">
        <v>5526</v>
      </c>
      <c r="I590" s="74" t="s">
        <v>112</v>
      </c>
      <c r="J590" s="74" t="s">
        <v>36</v>
      </c>
      <c r="K590" s="74" t="s">
        <v>6750</v>
      </c>
      <c r="L590" s="74" t="s">
        <v>310</v>
      </c>
    </row>
    <row r="591" spans="1:12" ht="21.95" customHeight="1">
      <c r="A591" s="149" t="s">
        <v>6327</v>
      </c>
      <c r="B591" s="147"/>
      <c r="C591" s="148"/>
      <c r="D591" s="147"/>
      <c r="E591" s="147"/>
      <c r="F591" s="74"/>
      <c r="G591" s="74" t="s">
        <v>6748</v>
      </c>
      <c r="H591" s="74" t="s">
        <v>5527</v>
      </c>
      <c r="I591" s="74" t="s">
        <v>501</v>
      </c>
      <c r="J591" s="74" t="s">
        <v>73</v>
      </c>
      <c r="K591" s="74" t="s">
        <v>6750</v>
      </c>
      <c r="L591" s="74" t="s">
        <v>310</v>
      </c>
    </row>
    <row r="592" spans="1:12" ht="21.95" customHeight="1">
      <c r="A592" s="149" t="s">
        <v>6328</v>
      </c>
      <c r="B592" s="147"/>
      <c r="C592" s="148"/>
      <c r="D592" s="147"/>
      <c r="E592" s="147"/>
      <c r="F592" s="74"/>
      <c r="G592" s="74" t="s">
        <v>6748</v>
      </c>
      <c r="H592" s="74" t="s">
        <v>5528</v>
      </c>
      <c r="I592" s="74" t="s">
        <v>63</v>
      </c>
      <c r="J592" s="74" t="s">
        <v>46</v>
      </c>
      <c r="K592" s="74" t="s">
        <v>6750</v>
      </c>
      <c r="L592" s="74" t="s">
        <v>310</v>
      </c>
    </row>
    <row r="593" spans="1:12" ht="21.95" customHeight="1">
      <c r="A593" s="149" t="s">
        <v>6329</v>
      </c>
      <c r="B593" s="147"/>
      <c r="C593" s="148"/>
      <c r="D593" s="147"/>
      <c r="E593" s="147"/>
      <c r="F593" s="74"/>
      <c r="G593" s="74" t="s">
        <v>6748</v>
      </c>
      <c r="H593" s="74" t="s">
        <v>5529</v>
      </c>
      <c r="I593" s="74" t="s">
        <v>63</v>
      </c>
      <c r="J593" s="74" t="s">
        <v>416</v>
      </c>
      <c r="K593" s="74" t="s">
        <v>387</v>
      </c>
      <c r="L593" s="74" t="s">
        <v>310</v>
      </c>
    </row>
    <row r="594" spans="1:12" ht="21.95" customHeight="1">
      <c r="A594" s="149" t="s">
        <v>6330</v>
      </c>
      <c r="B594" s="147"/>
      <c r="C594" s="148"/>
      <c r="D594" s="147"/>
      <c r="E594" s="147"/>
      <c r="F594" s="74"/>
      <c r="G594" s="74" t="s">
        <v>6748</v>
      </c>
      <c r="H594" s="74" t="s">
        <v>5530</v>
      </c>
      <c r="I594" s="74" t="s">
        <v>129</v>
      </c>
      <c r="J594" s="74" t="s">
        <v>126</v>
      </c>
      <c r="K594" s="74" t="s">
        <v>6750</v>
      </c>
      <c r="L594" s="74" t="s">
        <v>31</v>
      </c>
    </row>
    <row r="595" spans="1:12" ht="21.95" customHeight="1">
      <c r="A595" s="149" t="s">
        <v>6331</v>
      </c>
      <c r="B595" s="147"/>
      <c r="C595" s="148"/>
      <c r="D595" s="147"/>
      <c r="E595" s="147"/>
      <c r="F595" s="74"/>
      <c r="G595" s="74" t="s">
        <v>6748</v>
      </c>
      <c r="H595" s="74" t="s">
        <v>5531</v>
      </c>
      <c r="I595" s="74" t="s">
        <v>63</v>
      </c>
      <c r="J595" s="74" t="s">
        <v>36</v>
      </c>
      <c r="K595" s="74" t="s">
        <v>6750</v>
      </c>
      <c r="L595" s="74" t="s">
        <v>2007</v>
      </c>
    </row>
    <row r="596" spans="1:12" ht="21.95" customHeight="1">
      <c r="A596" s="149" t="s">
        <v>6332</v>
      </c>
      <c r="B596" s="147"/>
      <c r="C596" s="148"/>
      <c r="D596" s="147"/>
      <c r="E596" s="147"/>
      <c r="F596" s="74"/>
      <c r="G596" s="74" t="s">
        <v>6748</v>
      </c>
      <c r="H596" s="74" t="s">
        <v>5532</v>
      </c>
      <c r="I596" s="74" t="s">
        <v>632</v>
      </c>
      <c r="J596" s="74" t="s">
        <v>36</v>
      </c>
      <c r="K596" s="74" t="s">
        <v>6750</v>
      </c>
      <c r="L596" s="74" t="s">
        <v>310</v>
      </c>
    </row>
    <row r="597" spans="1:12" ht="21.95" customHeight="1">
      <c r="A597" s="149" t="s">
        <v>6333</v>
      </c>
      <c r="B597" s="147"/>
      <c r="C597" s="148"/>
      <c r="D597" s="147"/>
      <c r="E597" s="147"/>
      <c r="F597" s="74"/>
      <c r="G597" s="74" t="s">
        <v>6748</v>
      </c>
      <c r="H597" s="74" t="s">
        <v>5533</v>
      </c>
      <c r="I597" s="74" t="s">
        <v>202</v>
      </c>
      <c r="J597" s="74" t="s">
        <v>36</v>
      </c>
      <c r="K597" s="74" t="s">
        <v>6750</v>
      </c>
      <c r="L597" s="74" t="s">
        <v>310</v>
      </c>
    </row>
    <row r="598" spans="1:12" ht="21.95" customHeight="1">
      <c r="A598" s="149" t="s">
        <v>6334</v>
      </c>
      <c r="B598" s="147"/>
      <c r="C598" s="148"/>
      <c r="D598" s="147"/>
      <c r="E598" s="147"/>
      <c r="F598" s="74"/>
      <c r="G598" s="74" t="s">
        <v>6748</v>
      </c>
      <c r="H598" s="74" t="s">
        <v>5534</v>
      </c>
      <c r="I598" s="74" t="s">
        <v>68</v>
      </c>
      <c r="J598" s="74" t="s">
        <v>196</v>
      </c>
      <c r="K598" s="74" t="s">
        <v>6750</v>
      </c>
      <c r="L598" s="74" t="s">
        <v>310</v>
      </c>
    </row>
    <row r="599" spans="1:12" ht="21.95" customHeight="1">
      <c r="A599" s="149" t="s">
        <v>6335</v>
      </c>
      <c r="B599" s="147"/>
      <c r="C599" s="148"/>
      <c r="D599" s="147"/>
      <c r="E599" s="147"/>
      <c r="F599" s="74"/>
      <c r="G599" s="74" t="s">
        <v>6748</v>
      </c>
      <c r="H599" s="74" t="s">
        <v>5535</v>
      </c>
      <c r="I599" s="74" t="s">
        <v>112</v>
      </c>
      <c r="J599" s="74" t="s">
        <v>36</v>
      </c>
      <c r="K599" s="74" t="s">
        <v>6750</v>
      </c>
      <c r="L599" s="74" t="s">
        <v>738</v>
      </c>
    </row>
    <row r="600" spans="1:12" ht="21.95" customHeight="1">
      <c r="A600" s="149" t="s">
        <v>6336</v>
      </c>
      <c r="B600" s="147"/>
      <c r="C600" s="148"/>
      <c r="D600" s="147"/>
      <c r="E600" s="147"/>
      <c r="F600" s="74"/>
      <c r="G600" s="74" t="s">
        <v>6748</v>
      </c>
      <c r="H600" s="74" t="s">
        <v>5536</v>
      </c>
      <c r="I600" s="74" t="s">
        <v>63</v>
      </c>
      <c r="J600" s="74" t="s">
        <v>36</v>
      </c>
      <c r="K600" s="74" t="s">
        <v>6750</v>
      </c>
      <c r="L600" s="74" t="s">
        <v>31</v>
      </c>
    </row>
    <row r="601" spans="1:12" ht="21.95" customHeight="1">
      <c r="A601" s="149" t="s">
        <v>6337</v>
      </c>
      <c r="B601" s="147"/>
      <c r="C601" s="148"/>
      <c r="D601" s="147"/>
      <c r="E601" s="147"/>
      <c r="F601" s="74"/>
      <c r="G601" s="74" t="s">
        <v>6748</v>
      </c>
      <c r="H601" s="74" t="s">
        <v>5537</v>
      </c>
      <c r="I601" s="74" t="s">
        <v>125</v>
      </c>
      <c r="J601" s="74" t="s">
        <v>36</v>
      </c>
      <c r="K601" s="74" t="s">
        <v>6750</v>
      </c>
      <c r="L601" s="74" t="s">
        <v>31</v>
      </c>
    </row>
    <row r="602" spans="1:12" ht="21.95" customHeight="1">
      <c r="A602" s="149" t="s">
        <v>6338</v>
      </c>
      <c r="B602" s="147"/>
      <c r="C602" s="148"/>
      <c r="D602" s="147"/>
      <c r="E602" s="147"/>
      <c r="F602" s="74"/>
      <c r="G602" s="74" t="s">
        <v>6748</v>
      </c>
      <c r="H602" s="74" t="s">
        <v>5538</v>
      </c>
      <c r="I602" s="74" t="s">
        <v>125</v>
      </c>
      <c r="J602" s="74" t="s">
        <v>126</v>
      </c>
      <c r="K602" s="74" t="s">
        <v>6750</v>
      </c>
      <c r="L602" s="74" t="s">
        <v>310</v>
      </c>
    </row>
    <row r="603" spans="1:12" ht="21.95" customHeight="1">
      <c r="A603" s="149" t="s">
        <v>2113</v>
      </c>
      <c r="B603" s="147"/>
      <c r="C603" s="148"/>
      <c r="D603" s="147"/>
      <c r="E603" s="147"/>
      <c r="F603" s="74"/>
      <c r="G603" s="74" t="s">
        <v>6748</v>
      </c>
      <c r="H603" s="74" t="s">
        <v>5539</v>
      </c>
      <c r="I603" s="74" t="s">
        <v>63</v>
      </c>
      <c r="J603" s="74" t="s">
        <v>36</v>
      </c>
      <c r="K603" s="74" t="s">
        <v>6750</v>
      </c>
      <c r="L603" s="74" t="s">
        <v>2112</v>
      </c>
    </row>
    <row r="604" spans="1:12" ht="21.95" customHeight="1">
      <c r="A604" s="149" t="s">
        <v>6339</v>
      </c>
      <c r="B604" s="147"/>
      <c r="C604" s="148"/>
      <c r="D604" s="147"/>
      <c r="E604" s="147"/>
      <c r="F604" s="74"/>
      <c r="G604" s="74" t="s">
        <v>6748</v>
      </c>
      <c r="H604" s="74" t="s">
        <v>5540</v>
      </c>
      <c r="I604" s="74" t="s">
        <v>2118</v>
      </c>
      <c r="J604" s="74" t="s">
        <v>36</v>
      </c>
      <c r="K604" s="74" t="s">
        <v>6750</v>
      </c>
      <c r="L604" s="74" t="s">
        <v>2119</v>
      </c>
    </row>
    <row r="605" spans="1:12" ht="21.95" customHeight="1">
      <c r="A605" s="149" t="s">
        <v>6340</v>
      </c>
      <c r="B605" s="147"/>
      <c r="C605" s="148"/>
      <c r="D605" s="147"/>
      <c r="E605" s="147"/>
      <c r="F605" s="74"/>
      <c r="G605" s="74" t="s">
        <v>6748</v>
      </c>
      <c r="H605" s="74" t="s">
        <v>5541</v>
      </c>
      <c r="I605" s="74" t="s">
        <v>24</v>
      </c>
      <c r="J605" s="74" t="s">
        <v>46</v>
      </c>
      <c r="K605" s="74" t="s">
        <v>6750</v>
      </c>
      <c r="L605" s="74" t="s">
        <v>2124</v>
      </c>
    </row>
    <row r="606" spans="1:12" ht="21.95" customHeight="1">
      <c r="A606" s="149" t="s">
        <v>6341</v>
      </c>
      <c r="B606" s="147"/>
      <c r="C606" s="148"/>
      <c r="D606" s="147"/>
      <c r="E606" s="147"/>
      <c r="F606" s="74"/>
      <c r="G606" s="74" t="s">
        <v>6748</v>
      </c>
      <c r="H606" s="74" t="s">
        <v>5542</v>
      </c>
      <c r="I606" s="74" t="s">
        <v>63</v>
      </c>
      <c r="J606" s="74" t="s">
        <v>36</v>
      </c>
      <c r="K606" s="74" t="s">
        <v>6750</v>
      </c>
      <c r="L606" s="74" t="s">
        <v>310</v>
      </c>
    </row>
    <row r="607" spans="1:12" ht="21.95" customHeight="1">
      <c r="A607" s="149" t="s">
        <v>6342</v>
      </c>
      <c r="B607" s="147"/>
      <c r="C607" s="148"/>
      <c r="D607" s="147"/>
      <c r="E607" s="147"/>
      <c r="F607" s="74"/>
      <c r="G607" s="74" t="s">
        <v>6748</v>
      </c>
      <c r="H607" s="74" t="s">
        <v>5543</v>
      </c>
      <c r="I607" s="74" t="s">
        <v>89</v>
      </c>
      <c r="J607" s="74" t="s">
        <v>243</v>
      </c>
      <c r="K607" s="74" t="s">
        <v>387</v>
      </c>
      <c r="L607" s="74" t="s">
        <v>1834</v>
      </c>
    </row>
    <row r="608" spans="1:12" ht="21.95" customHeight="1">
      <c r="A608" s="149" t="s">
        <v>6343</v>
      </c>
      <c r="B608" s="147"/>
      <c r="C608" s="148"/>
      <c r="D608" s="147"/>
      <c r="E608" s="147"/>
      <c r="F608" s="74"/>
      <c r="G608" s="74" t="s">
        <v>6748</v>
      </c>
      <c r="H608" s="74" t="s">
        <v>5544</v>
      </c>
      <c r="I608" s="74" t="s">
        <v>2131</v>
      </c>
      <c r="J608" s="74" t="s">
        <v>73</v>
      </c>
      <c r="K608" s="74" t="s">
        <v>6750</v>
      </c>
      <c r="L608" s="74" t="s">
        <v>2132</v>
      </c>
    </row>
    <row r="609" spans="1:12" ht="21.95" customHeight="1">
      <c r="A609" s="149" t="s">
        <v>6344</v>
      </c>
      <c r="B609" s="147"/>
      <c r="C609" s="148"/>
      <c r="D609" s="147"/>
      <c r="E609" s="147"/>
      <c r="F609" s="74"/>
      <c r="G609" s="74" t="s">
        <v>6748</v>
      </c>
      <c r="H609" s="74" t="s">
        <v>5545</v>
      </c>
      <c r="I609" s="74" t="s">
        <v>63</v>
      </c>
      <c r="J609" s="74" t="s">
        <v>73</v>
      </c>
      <c r="K609" s="74" t="s">
        <v>6750</v>
      </c>
      <c r="L609" s="74" t="s">
        <v>310</v>
      </c>
    </row>
    <row r="610" spans="1:12" ht="21.95" customHeight="1">
      <c r="A610" s="149" t="s">
        <v>6345</v>
      </c>
      <c r="B610" s="147"/>
      <c r="C610" s="148"/>
      <c r="D610" s="147"/>
      <c r="E610" s="147"/>
      <c r="F610" s="74"/>
      <c r="G610" s="74" t="s">
        <v>6748</v>
      </c>
      <c r="H610" s="74" t="s">
        <v>5546</v>
      </c>
      <c r="I610" s="74" t="s">
        <v>202</v>
      </c>
      <c r="J610" s="74" t="s">
        <v>416</v>
      </c>
      <c r="K610" s="74" t="s">
        <v>387</v>
      </c>
      <c r="L610" s="74" t="s">
        <v>2135</v>
      </c>
    </row>
    <row r="611" spans="1:12" ht="21.95" customHeight="1">
      <c r="A611" s="149" t="s">
        <v>6346</v>
      </c>
      <c r="B611" s="147"/>
      <c r="C611" s="148"/>
      <c r="D611" s="147"/>
      <c r="E611" s="147"/>
      <c r="F611" s="74"/>
      <c r="G611" s="74" t="s">
        <v>6748</v>
      </c>
      <c r="H611" s="74" t="s">
        <v>5547</v>
      </c>
      <c r="I611" s="74" t="s">
        <v>169</v>
      </c>
      <c r="J611" s="74" t="s">
        <v>36</v>
      </c>
      <c r="K611" s="74" t="s">
        <v>6750</v>
      </c>
      <c r="L611" s="74" t="s">
        <v>31</v>
      </c>
    </row>
    <row r="612" spans="1:12" ht="21.95" customHeight="1">
      <c r="A612" s="149" t="s">
        <v>6347</v>
      </c>
      <c r="B612" s="147"/>
      <c r="C612" s="148"/>
      <c r="D612" s="147"/>
      <c r="E612" s="147"/>
      <c r="F612" s="74"/>
      <c r="G612" s="74" t="s">
        <v>6748</v>
      </c>
      <c r="H612" s="74" t="s">
        <v>5548</v>
      </c>
      <c r="I612" s="74" t="s">
        <v>63</v>
      </c>
      <c r="J612" s="74" t="s">
        <v>73</v>
      </c>
      <c r="K612" s="74" t="s">
        <v>6750</v>
      </c>
      <c r="L612" s="74" t="s">
        <v>2143</v>
      </c>
    </row>
    <row r="613" spans="1:12" ht="21.95" customHeight="1">
      <c r="A613" s="149" t="s">
        <v>2147</v>
      </c>
      <c r="B613" s="147" t="s">
        <v>4893</v>
      </c>
      <c r="C613" s="148">
        <v>46074</v>
      </c>
      <c r="D613" s="147" t="s">
        <v>4894</v>
      </c>
      <c r="E613" s="147"/>
      <c r="F613" s="74" t="s">
        <v>5995</v>
      </c>
      <c r="G613" s="74" t="s">
        <v>4920</v>
      </c>
      <c r="H613" s="74" t="s">
        <v>5549</v>
      </c>
      <c r="I613" s="74" t="s">
        <v>112</v>
      </c>
      <c r="J613" s="74" t="s">
        <v>46</v>
      </c>
      <c r="K613" s="74" t="s">
        <v>6750</v>
      </c>
      <c r="L613" s="74" t="s">
        <v>310</v>
      </c>
    </row>
    <row r="614" spans="1:12" ht="21.95" customHeight="1">
      <c r="A614" s="149" t="s">
        <v>2157</v>
      </c>
      <c r="B614" s="147"/>
      <c r="C614" s="148"/>
      <c r="D614" s="147"/>
      <c r="E614" s="147"/>
      <c r="F614" s="74"/>
      <c r="G614" s="74" t="s">
        <v>6748</v>
      </c>
      <c r="H614" s="74" t="s">
        <v>5550</v>
      </c>
      <c r="I614" s="74" t="s">
        <v>125</v>
      </c>
      <c r="J614" s="74" t="s">
        <v>36</v>
      </c>
      <c r="K614" s="74" t="s">
        <v>6750</v>
      </c>
      <c r="L614" s="74" t="s">
        <v>2156</v>
      </c>
    </row>
    <row r="615" spans="1:12" ht="21.95" customHeight="1">
      <c r="A615" s="149" t="s">
        <v>6348</v>
      </c>
      <c r="B615" s="147"/>
      <c r="C615" s="148"/>
      <c r="D615" s="147"/>
      <c r="E615" s="147"/>
      <c r="F615" s="74"/>
      <c r="G615" s="74" t="s">
        <v>6748</v>
      </c>
      <c r="H615" s="74" t="s">
        <v>5551</v>
      </c>
      <c r="I615" s="74" t="s">
        <v>63</v>
      </c>
      <c r="J615" s="74" t="s">
        <v>36</v>
      </c>
      <c r="K615" s="74" t="s">
        <v>6750</v>
      </c>
      <c r="L615" s="74" t="s">
        <v>2162</v>
      </c>
    </row>
    <row r="616" spans="1:12" ht="21.95" customHeight="1">
      <c r="A616" s="149" t="s">
        <v>6349</v>
      </c>
      <c r="B616" s="147"/>
      <c r="C616" s="148"/>
      <c r="D616" s="147"/>
      <c r="E616" s="147"/>
      <c r="F616" s="74"/>
      <c r="G616" s="74" t="s">
        <v>6748</v>
      </c>
      <c r="H616" s="74" t="s">
        <v>5552</v>
      </c>
      <c r="I616" s="74" t="s">
        <v>112</v>
      </c>
      <c r="J616" s="74" t="s">
        <v>196</v>
      </c>
      <c r="K616" s="74" t="s">
        <v>6750</v>
      </c>
      <c r="L616" s="74" t="s">
        <v>310</v>
      </c>
    </row>
    <row r="617" spans="1:12" ht="21.95" customHeight="1">
      <c r="A617" s="149" t="s">
        <v>6350</v>
      </c>
      <c r="B617" s="147"/>
      <c r="C617" s="148"/>
      <c r="D617" s="147"/>
      <c r="E617" s="147"/>
      <c r="F617" s="74"/>
      <c r="G617" s="74" t="s">
        <v>6748</v>
      </c>
      <c r="H617" s="74" t="s">
        <v>5553</v>
      </c>
      <c r="I617" s="74" t="s">
        <v>63</v>
      </c>
      <c r="J617" s="74" t="s">
        <v>73</v>
      </c>
      <c r="K617" s="74" t="s">
        <v>6750</v>
      </c>
      <c r="L617" s="74" t="s">
        <v>2190</v>
      </c>
    </row>
    <row r="618" spans="1:12" ht="21.95" customHeight="1">
      <c r="A618" s="149" t="s">
        <v>6351</v>
      </c>
      <c r="B618" s="147"/>
      <c r="C618" s="148"/>
      <c r="D618" s="147"/>
      <c r="E618" s="147"/>
      <c r="F618" s="74"/>
      <c r="G618" s="74" t="s">
        <v>6748</v>
      </c>
      <c r="H618" s="74" t="s">
        <v>5554</v>
      </c>
      <c r="I618" s="74" t="s">
        <v>63</v>
      </c>
      <c r="J618" s="74" t="s">
        <v>36</v>
      </c>
      <c r="K618" s="74" t="s">
        <v>6750</v>
      </c>
      <c r="L618" s="74" t="s">
        <v>804</v>
      </c>
    </row>
    <row r="619" spans="1:12" ht="21.95" customHeight="1">
      <c r="A619" s="149" t="s">
        <v>2199</v>
      </c>
      <c r="B619" s="147"/>
      <c r="C619" s="148"/>
      <c r="D619" s="147"/>
      <c r="E619" s="147"/>
      <c r="F619" s="74"/>
      <c r="G619" s="74" t="s">
        <v>6748</v>
      </c>
      <c r="H619" s="74" t="s">
        <v>5555</v>
      </c>
      <c r="I619" s="74" t="s">
        <v>369</v>
      </c>
      <c r="J619" s="74" t="s">
        <v>243</v>
      </c>
      <c r="K619" s="74" t="s">
        <v>387</v>
      </c>
      <c r="L619" s="74" t="s">
        <v>310</v>
      </c>
    </row>
    <row r="620" spans="1:12" ht="21.95" customHeight="1">
      <c r="A620" s="149" t="s">
        <v>6352</v>
      </c>
      <c r="B620" s="147"/>
      <c r="C620" s="148"/>
      <c r="D620" s="147"/>
      <c r="E620" s="147"/>
      <c r="F620" s="74"/>
      <c r="G620" s="74" t="s">
        <v>6748</v>
      </c>
      <c r="H620" s="74" t="s">
        <v>5556</v>
      </c>
      <c r="I620" s="74" t="s">
        <v>2207</v>
      </c>
      <c r="J620" s="74" t="s">
        <v>250</v>
      </c>
      <c r="K620" s="74" t="s">
        <v>6750</v>
      </c>
      <c r="L620" s="74" t="s">
        <v>31</v>
      </c>
    </row>
    <row r="621" spans="1:12" ht="21.95" customHeight="1">
      <c r="A621" s="149" t="s">
        <v>6353</v>
      </c>
      <c r="B621" s="147"/>
      <c r="C621" s="148"/>
      <c r="D621" s="147"/>
      <c r="E621" s="147"/>
      <c r="F621" s="74"/>
      <c r="G621" s="74" t="s">
        <v>6748</v>
      </c>
      <c r="H621" s="74" t="s">
        <v>5557</v>
      </c>
      <c r="I621" s="74" t="s">
        <v>63</v>
      </c>
      <c r="J621" s="74" t="s">
        <v>126</v>
      </c>
      <c r="K621" s="74" t="s">
        <v>6750</v>
      </c>
      <c r="L621" s="74" t="s">
        <v>310</v>
      </c>
    </row>
    <row r="622" spans="1:12" ht="21.95" customHeight="1">
      <c r="A622" s="149" t="s">
        <v>6354</v>
      </c>
      <c r="B622" s="147"/>
      <c r="C622" s="148"/>
      <c r="D622" s="147"/>
      <c r="E622" s="147"/>
      <c r="F622" s="74"/>
      <c r="G622" s="74" t="s">
        <v>6748</v>
      </c>
      <c r="H622" s="74" t="s">
        <v>5558</v>
      </c>
      <c r="I622" s="74" t="s">
        <v>63</v>
      </c>
      <c r="J622" s="74" t="s">
        <v>73</v>
      </c>
      <c r="K622" s="74" t="s">
        <v>6750</v>
      </c>
      <c r="L622" s="74" t="s">
        <v>2211</v>
      </c>
    </row>
    <row r="623" spans="1:12" ht="21.95" customHeight="1">
      <c r="A623" s="149" t="s">
        <v>6355</v>
      </c>
      <c r="B623" s="147"/>
      <c r="C623" s="148"/>
      <c r="D623" s="147"/>
      <c r="E623" s="147"/>
      <c r="F623" s="74"/>
      <c r="G623" s="74" t="s">
        <v>6748</v>
      </c>
      <c r="H623" s="74" t="s">
        <v>5559</v>
      </c>
      <c r="I623" s="74" t="s">
        <v>202</v>
      </c>
      <c r="J623" s="74" t="s">
        <v>36</v>
      </c>
      <c r="K623" s="74" t="s">
        <v>6750</v>
      </c>
      <c r="L623" s="74" t="s">
        <v>2216</v>
      </c>
    </row>
    <row r="624" spans="1:12" ht="21.95" customHeight="1">
      <c r="A624" s="149" t="s">
        <v>6356</v>
      </c>
      <c r="B624" s="147"/>
      <c r="C624" s="148"/>
      <c r="D624" s="147"/>
      <c r="E624" s="147"/>
      <c r="F624" s="74"/>
      <c r="G624" s="74" t="s">
        <v>6748</v>
      </c>
      <c r="H624" s="74" t="s">
        <v>5560</v>
      </c>
      <c r="I624" s="74" t="s">
        <v>169</v>
      </c>
      <c r="J624" s="74" t="s">
        <v>36</v>
      </c>
      <c r="K624" s="74" t="s">
        <v>6750</v>
      </c>
      <c r="L624" s="74" t="s">
        <v>2135</v>
      </c>
    </row>
    <row r="625" spans="1:12" ht="21.95" customHeight="1">
      <c r="A625" s="149" t="s">
        <v>6357</v>
      </c>
      <c r="B625" s="147"/>
      <c r="C625" s="148"/>
      <c r="D625" s="147"/>
      <c r="E625" s="147"/>
      <c r="F625" s="74"/>
      <c r="G625" s="74" t="s">
        <v>6748</v>
      </c>
      <c r="H625" s="74" t="s">
        <v>5561</v>
      </c>
      <c r="I625" s="74" t="s">
        <v>136</v>
      </c>
      <c r="J625" s="74" t="s">
        <v>36</v>
      </c>
      <c r="K625" s="74" t="s">
        <v>6750</v>
      </c>
      <c r="L625" s="74" t="s">
        <v>2230</v>
      </c>
    </row>
    <row r="626" spans="1:12" ht="21.95" customHeight="1">
      <c r="A626" s="149" t="s">
        <v>6358</v>
      </c>
      <c r="B626" s="147"/>
      <c r="C626" s="148"/>
      <c r="D626" s="147"/>
      <c r="E626" s="147"/>
      <c r="F626" s="74"/>
      <c r="G626" s="74" t="s">
        <v>6748</v>
      </c>
      <c r="H626" s="74" t="s">
        <v>5562</v>
      </c>
      <c r="I626" s="74" t="s">
        <v>202</v>
      </c>
      <c r="J626" s="74" t="s">
        <v>73</v>
      </c>
      <c r="K626" s="74" t="s">
        <v>6750</v>
      </c>
      <c r="L626" s="74" t="s">
        <v>31</v>
      </c>
    </row>
    <row r="627" spans="1:12" ht="21.95" customHeight="1">
      <c r="A627" s="149" t="s">
        <v>6359</v>
      </c>
      <c r="B627" s="147"/>
      <c r="C627" s="148"/>
      <c r="D627" s="147"/>
      <c r="E627" s="147"/>
      <c r="F627" s="74"/>
      <c r="G627" s="74" t="s">
        <v>6748</v>
      </c>
      <c r="H627" s="74" t="s">
        <v>5563</v>
      </c>
      <c r="I627" s="74" t="s">
        <v>112</v>
      </c>
      <c r="J627" s="74" t="s">
        <v>250</v>
      </c>
      <c r="K627" s="74" t="s">
        <v>6750</v>
      </c>
      <c r="L627" s="74" t="s">
        <v>310</v>
      </c>
    </row>
    <row r="628" spans="1:12" ht="21.95" customHeight="1">
      <c r="A628" s="149" t="s">
        <v>6360</v>
      </c>
      <c r="B628" s="147"/>
      <c r="C628" s="148"/>
      <c r="D628" s="147"/>
      <c r="E628" s="147"/>
      <c r="F628" s="74"/>
      <c r="G628" s="74" t="s">
        <v>6748</v>
      </c>
      <c r="H628" s="74" t="s">
        <v>5564</v>
      </c>
      <c r="I628" s="74" t="s">
        <v>125</v>
      </c>
      <c r="J628" s="74" t="s">
        <v>196</v>
      </c>
      <c r="K628" s="74" t="s">
        <v>6750</v>
      </c>
      <c r="L628" s="74" t="s">
        <v>310</v>
      </c>
    </row>
    <row r="629" spans="1:12" ht="21.95" customHeight="1">
      <c r="A629" s="149" t="s">
        <v>6361</v>
      </c>
      <c r="B629" s="147"/>
      <c r="C629" s="148"/>
      <c r="D629" s="147"/>
      <c r="E629" s="147"/>
      <c r="F629" s="74"/>
      <c r="G629" s="74" t="s">
        <v>6748</v>
      </c>
      <c r="H629" s="74" t="s">
        <v>5565</v>
      </c>
      <c r="I629" s="74" t="s">
        <v>501</v>
      </c>
      <c r="J629" s="74" t="s">
        <v>73</v>
      </c>
      <c r="K629" s="74" t="s">
        <v>6750</v>
      </c>
      <c r="L629" s="74" t="s">
        <v>310</v>
      </c>
    </row>
    <row r="630" spans="1:12" ht="21.95" customHeight="1">
      <c r="A630" s="149" t="s">
        <v>6362</v>
      </c>
      <c r="B630" s="147"/>
      <c r="C630" s="148"/>
      <c r="D630" s="147"/>
      <c r="E630" s="147"/>
      <c r="F630" s="74"/>
      <c r="G630" s="74" t="s">
        <v>6748</v>
      </c>
      <c r="H630" s="74" t="s">
        <v>5566</v>
      </c>
      <c r="I630" s="74" t="s">
        <v>112</v>
      </c>
      <c r="J630" s="74" t="s">
        <v>126</v>
      </c>
      <c r="K630" s="74" t="s">
        <v>6750</v>
      </c>
      <c r="L630" s="74" t="s">
        <v>2253</v>
      </c>
    </row>
    <row r="631" spans="1:12" ht="21.95" customHeight="1">
      <c r="A631" s="149" t="s">
        <v>2258</v>
      </c>
      <c r="B631" s="147"/>
      <c r="C631" s="148"/>
      <c r="D631" s="147"/>
      <c r="E631" s="147"/>
      <c r="F631" s="74"/>
      <c r="G631" s="74" t="s">
        <v>6748</v>
      </c>
      <c r="H631" s="74" t="s">
        <v>5567</v>
      </c>
      <c r="I631" s="74" t="s">
        <v>202</v>
      </c>
      <c r="J631" s="74" t="s">
        <v>73</v>
      </c>
      <c r="K631" s="74" t="s">
        <v>6750</v>
      </c>
      <c r="L631" s="74" t="s">
        <v>1936</v>
      </c>
    </row>
    <row r="632" spans="1:12" ht="21.95" customHeight="1">
      <c r="A632" s="149" t="s">
        <v>6363</v>
      </c>
      <c r="B632" s="147"/>
      <c r="C632" s="148"/>
      <c r="D632" s="147"/>
      <c r="E632" s="147"/>
      <c r="F632" s="74"/>
      <c r="G632" s="74" t="s">
        <v>6748</v>
      </c>
      <c r="H632" s="74" t="s">
        <v>5568</v>
      </c>
      <c r="I632" s="74" t="s">
        <v>2260</v>
      </c>
      <c r="J632" s="74" t="s">
        <v>73</v>
      </c>
      <c r="K632" s="74" t="s">
        <v>6750</v>
      </c>
      <c r="L632" s="74" t="s">
        <v>310</v>
      </c>
    </row>
    <row r="633" spans="1:12" ht="21.95" customHeight="1">
      <c r="A633" s="149" t="s">
        <v>4607</v>
      </c>
      <c r="B633" s="147"/>
      <c r="C633" s="148"/>
      <c r="D633" s="147"/>
      <c r="E633" s="147"/>
      <c r="F633" s="74"/>
      <c r="G633" s="74" t="s">
        <v>6748</v>
      </c>
      <c r="H633" s="74" t="s">
        <v>5569</v>
      </c>
      <c r="I633" s="74" t="s">
        <v>63</v>
      </c>
      <c r="J633" s="74" t="s">
        <v>538</v>
      </c>
      <c r="K633" s="74" t="s">
        <v>387</v>
      </c>
      <c r="L633" s="74" t="s">
        <v>310</v>
      </c>
    </row>
    <row r="634" spans="1:12" ht="21.95" customHeight="1">
      <c r="A634" s="149" t="s">
        <v>6364</v>
      </c>
      <c r="B634" s="147"/>
      <c r="C634" s="148"/>
      <c r="D634" s="147"/>
      <c r="E634" s="147"/>
      <c r="F634" s="74"/>
      <c r="G634" s="74" t="s">
        <v>6748</v>
      </c>
      <c r="H634" s="74" t="s">
        <v>5570</v>
      </c>
      <c r="I634" s="74" t="s">
        <v>63</v>
      </c>
      <c r="J634" s="74" t="s">
        <v>126</v>
      </c>
      <c r="K634" s="74" t="s">
        <v>6750</v>
      </c>
      <c r="L634" s="74" t="s">
        <v>310</v>
      </c>
    </row>
    <row r="635" spans="1:12" ht="21.95" customHeight="1">
      <c r="A635" s="149" t="s">
        <v>6365</v>
      </c>
      <c r="B635" s="147"/>
      <c r="C635" s="148"/>
      <c r="D635" s="147"/>
      <c r="E635" s="147"/>
      <c r="F635" s="74"/>
      <c r="G635" s="74" t="s">
        <v>6748</v>
      </c>
      <c r="H635" s="74" t="s">
        <v>5571</v>
      </c>
      <c r="I635" s="74" t="s">
        <v>63</v>
      </c>
      <c r="J635" s="74" t="s">
        <v>126</v>
      </c>
      <c r="K635" s="74" t="s">
        <v>6750</v>
      </c>
      <c r="L635" s="74" t="s">
        <v>31</v>
      </c>
    </row>
    <row r="636" spans="1:12" ht="21.95" customHeight="1">
      <c r="A636" s="149" t="s">
        <v>6366</v>
      </c>
      <c r="B636" s="147"/>
      <c r="C636" s="148"/>
      <c r="D636" s="147"/>
      <c r="E636" s="147"/>
      <c r="F636" s="74"/>
      <c r="G636" s="74" t="s">
        <v>6748</v>
      </c>
      <c r="H636" s="74" t="s">
        <v>5572</v>
      </c>
      <c r="I636" s="74" t="s">
        <v>30</v>
      </c>
      <c r="J636" s="74" t="s">
        <v>36</v>
      </c>
      <c r="K636" s="74" t="s">
        <v>6750</v>
      </c>
      <c r="L636" s="74" t="s">
        <v>2287</v>
      </c>
    </row>
    <row r="637" spans="1:12" ht="21.95" customHeight="1">
      <c r="A637" s="149" t="s">
        <v>6367</v>
      </c>
      <c r="B637" s="147"/>
      <c r="C637" s="148"/>
      <c r="D637" s="147"/>
      <c r="E637" s="147"/>
      <c r="F637" s="74"/>
      <c r="G637" s="74" t="s">
        <v>6748</v>
      </c>
      <c r="H637" s="74" t="s">
        <v>5573</v>
      </c>
      <c r="I637" s="74" t="s">
        <v>63</v>
      </c>
      <c r="J637" s="74" t="s">
        <v>196</v>
      </c>
      <c r="K637" s="74" t="s">
        <v>6750</v>
      </c>
      <c r="L637" s="74" t="s">
        <v>31</v>
      </c>
    </row>
    <row r="638" spans="1:12" ht="21.95" customHeight="1">
      <c r="A638" s="149" t="s">
        <v>6368</v>
      </c>
      <c r="B638" s="147"/>
      <c r="C638" s="148"/>
      <c r="D638" s="147"/>
      <c r="E638" s="147"/>
      <c r="F638" s="74"/>
      <c r="G638" s="74" t="s">
        <v>6748</v>
      </c>
      <c r="H638" s="74" t="s">
        <v>5574</v>
      </c>
      <c r="I638" s="74" t="s">
        <v>30</v>
      </c>
      <c r="J638" s="74" t="s">
        <v>416</v>
      </c>
      <c r="K638" s="74" t="s">
        <v>387</v>
      </c>
      <c r="L638" s="74" t="s">
        <v>2292</v>
      </c>
    </row>
    <row r="639" spans="1:12" ht="21.95" customHeight="1">
      <c r="A639" s="149" t="s">
        <v>2297</v>
      </c>
      <c r="B639" s="147"/>
      <c r="C639" s="148"/>
      <c r="D639" s="147"/>
      <c r="E639" s="147"/>
      <c r="F639" s="74"/>
      <c r="G639" s="74" t="s">
        <v>6748</v>
      </c>
      <c r="H639" s="74" t="s">
        <v>5575</v>
      </c>
      <c r="I639" s="74" t="s">
        <v>63</v>
      </c>
      <c r="J639" s="74" t="s">
        <v>250</v>
      </c>
      <c r="K639" s="74" t="s">
        <v>6750</v>
      </c>
      <c r="L639" s="74" t="s">
        <v>31</v>
      </c>
    </row>
    <row r="640" spans="1:12" ht="21.95" customHeight="1">
      <c r="A640" s="149" t="s">
        <v>2304</v>
      </c>
      <c r="B640" s="147"/>
      <c r="C640" s="148"/>
      <c r="D640" s="147"/>
      <c r="E640" s="147"/>
      <c r="F640" s="74"/>
      <c r="G640" s="74" t="s">
        <v>6748</v>
      </c>
      <c r="H640" s="74" t="s">
        <v>5576</v>
      </c>
      <c r="I640" s="74" t="s">
        <v>63</v>
      </c>
      <c r="J640" s="74" t="s">
        <v>36</v>
      </c>
      <c r="K640" s="74" t="s">
        <v>6750</v>
      </c>
      <c r="L640" s="74" t="s">
        <v>31</v>
      </c>
    </row>
    <row r="641" spans="1:12" ht="21.95" customHeight="1">
      <c r="A641" s="149" t="s">
        <v>2307</v>
      </c>
      <c r="B641" s="147"/>
      <c r="C641" s="148"/>
      <c r="D641" s="147"/>
      <c r="E641" s="147"/>
      <c r="F641" s="74"/>
      <c r="G641" s="74" t="s">
        <v>6748</v>
      </c>
      <c r="H641" s="74" t="s">
        <v>5577</v>
      </c>
      <c r="I641" s="74" t="s">
        <v>125</v>
      </c>
      <c r="J641" s="74" t="s">
        <v>36</v>
      </c>
      <c r="K641" s="74" t="s">
        <v>6750</v>
      </c>
      <c r="L641" s="74" t="s">
        <v>31</v>
      </c>
    </row>
    <row r="642" spans="1:12" ht="21.95" customHeight="1">
      <c r="A642" s="149" t="s">
        <v>2321</v>
      </c>
      <c r="B642" s="147"/>
      <c r="C642" s="148"/>
      <c r="D642" s="147"/>
      <c r="E642" s="147"/>
      <c r="F642" s="74"/>
      <c r="G642" s="74" t="s">
        <v>6748</v>
      </c>
      <c r="H642" s="74" t="s">
        <v>5578</v>
      </c>
      <c r="I642" s="74" t="s">
        <v>63</v>
      </c>
      <c r="J642" s="74" t="s">
        <v>126</v>
      </c>
      <c r="K642" s="74" t="s">
        <v>6750</v>
      </c>
      <c r="L642" s="74" t="s">
        <v>310</v>
      </c>
    </row>
    <row r="643" spans="1:12" ht="21.95" customHeight="1">
      <c r="A643" s="149" t="s">
        <v>2325</v>
      </c>
      <c r="B643" s="147"/>
      <c r="C643" s="148"/>
      <c r="D643" s="147"/>
      <c r="E643" s="147"/>
      <c r="F643" s="74"/>
      <c r="G643" s="74" t="s">
        <v>6748</v>
      </c>
      <c r="H643" s="74" t="s">
        <v>5579</v>
      </c>
      <c r="I643" s="74" t="s">
        <v>202</v>
      </c>
      <c r="J643" s="74" t="s">
        <v>1352</v>
      </c>
      <c r="K643" s="74" t="s">
        <v>387</v>
      </c>
      <c r="L643" s="74" t="s">
        <v>2324</v>
      </c>
    </row>
    <row r="644" spans="1:12" ht="21.95" customHeight="1">
      <c r="A644" s="149" t="s">
        <v>2326</v>
      </c>
      <c r="B644" s="147"/>
      <c r="C644" s="148"/>
      <c r="D644" s="147"/>
      <c r="E644" s="147"/>
      <c r="F644" s="74"/>
      <c r="G644" s="74" t="s">
        <v>6748</v>
      </c>
      <c r="H644" s="74" t="s">
        <v>5580</v>
      </c>
      <c r="I644" s="74" t="s">
        <v>112</v>
      </c>
      <c r="J644" s="74" t="s">
        <v>36</v>
      </c>
      <c r="K644" s="74" t="s">
        <v>6750</v>
      </c>
      <c r="L644" s="74" t="s">
        <v>310</v>
      </c>
    </row>
    <row r="645" spans="1:12" ht="21.95" customHeight="1">
      <c r="A645" s="149" t="s">
        <v>2329</v>
      </c>
      <c r="B645" s="147" t="s">
        <v>4893</v>
      </c>
      <c r="C645" s="148">
        <v>46081</v>
      </c>
      <c r="D645" s="147" t="s">
        <v>4871</v>
      </c>
      <c r="E645" s="147" t="s">
        <v>4904</v>
      </c>
      <c r="F645" s="74" t="s">
        <v>6771</v>
      </c>
      <c r="G645" s="74" t="s">
        <v>4920</v>
      </c>
      <c r="H645" s="74" t="s">
        <v>5581</v>
      </c>
      <c r="I645" s="74" t="s">
        <v>63</v>
      </c>
      <c r="J645" s="74" t="s">
        <v>73</v>
      </c>
      <c r="K645" s="74" t="s">
        <v>6750</v>
      </c>
      <c r="L645" s="74" t="s">
        <v>310</v>
      </c>
    </row>
    <row r="646" spans="1:12" ht="21.95" customHeight="1">
      <c r="A646" s="149" t="s">
        <v>2335</v>
      </c>
      <c r="B646" s="147" t="s">
        <v>4893</v>
      </c>
      <c r="C646" s="148">
        <v>46081</v>
      </c>
      <c r="D646" s="147" t="s">
        <v>4871</v>
      </c>
      <c r="E646" s="147" t="s">
        <v>4904</v>
      </c>
      <c r="F646" s="74" t="s">
        <v>6771</v>
      </c>
      <c r="G646" s="74" t="s">
        <v>4920</v>
      </c>
      <c r="H646" s="74" t="s">
        <v>5582</v>
      </c>
      <c r="I646" s="74" t="s">
        <v>202</v>
      </c>
      <c r="J646" s="74" t="s">
        <v>36</v>
      </c>
      <c r="K646" s="74" t="s">
        <v>6750</v>
      </c>
      <c r="L646" s="74" t="s">
        <v>310</v>
      </c>
    </row>
    <row r="647" spans="1:12" ht="21.95" customHeight="1">
      <c r="A647" s="149" t="s">
        <v>2343</v>
      </c>
      <c r="B647" s="147" t="s">
        <v>4893</v>
      </c>
      <c r="C647" s="148">
        <v>46081</v>
      </c>
      <c r="D647" s="147" t="s">
        <v>4894</v>
      </c>
      <c r="E647" s="147"/>
      <c r="F647" s="74" t="s">
        <v>5995</v>
      </c>
      <c r="G647" s="74" t="s">
        <v>4920</v>
      </c>
      <c r="H647" s="74" t="s">
        <v>5583</v>
      </c>
      <c r="I647" s="74" t="s">
        <v>426</v>
      </c>
      <c r="J647" s="74" t="s">
        <v>1352</v>
      </c>
      <c r="K647" s="74" t="s">
        <v>387</v>
      </c>
      <c r="L647" s="74" t="s">
        <v>2342</v>
      </c>
    </row>
    <row r="648" spans="1:12" ht="21.95" customHeight="1">
      <c r="A648" s="149" t="s">
        <v>2346</v>
      </c>
      <c r="B648" s="147"/>
      <c r="C648" s="148"/>
      <c r="D648" s="147"/>
      <c r="E648" s="147"/>
      <c r="F648" s="74"/>
      <c r="G648" s="74" t="s">
        <v>6748</v>
      </c>
      <c r="H648" s="74" t="s">
        <v>5584</v>
      </c>
      <c r="I648" s="74" t="s">
        <v>369</v>
      </c>
      <c r="J648" s="74" t="s">
        <v>46</v>
      </c>
      <c r="K648" s="74" t="s">
        <v>6750</v>
      </c>
      <c r="L648" s="74" t="s">
        <v>310</v>
      </c>
    </row>
    <row r="649" spans="1:12" ht="21.95" customHeight="1">
      <c r="A649" s="149" t="s">
        <v>2351</v>
      </c>
      <c r="B649" s="147"/>
      <c r="C649" s="148"/>
      <c r="D649" s="147"/>
      <c r="E649" s="147"/>
      <c r="F649" s="74"/>
      <c r="G649" s="74" t="s">
        <v>6748</v>
      </c>
      <c r="H649" s="74" t="s">
        <v>5585</v>
      </c>
      <c r="I649" s="74" t="s">
        <v>63</v>
      </c>
      <c r="J649" s="74" t="s">
        <v>36</v>
      </c>
      <c r="K649" s="74" t="s">
        <v>6750</v>
      </c>
      <c r="L649" s="74" t="s">
        <v>310</v>
      </c>
    </row>
    <row r="650" spans="1:12" ht="21.95" customHeight="1">
      <c r="A650" s="149" t="s">
        <v>2352</v>
      </c>
      <c r="B650" s="147" t="s">
        <v>4893</v>
      </c>
      <c r="C650" s="148">
        <v>46081</v>
      </c>
      <c r="D650" s="147" t="s">
        <v>4894</v>
      </c>
      <c r="E650" s="147"/>
      <c r="F650" s="74" t="s">
        <v>5995</v>
      </c>
      <c r="G650" s="74" t="s">
        <v>4920</v>
      </c>
      <c r="H650" s="74" t="s">
        <v>5586</v>
      </c>
      <c r="I650" s="74" t="s">
        <v>63</v>
      </c>
      <c r="J650" s="74" t="s">
        <v>538</v>
      </c>
      <c r="K650" s="74" t="s">
        <v>387</v>
      </c>
      <c r="L650" s="74" t="s">
        <v>310</v>
      </c>
    </row>
    <row r="651" spans="1:12" ht="21.95" customHeight="1">
      <c r="A651" s="149" t="s">
        <v>2355</v>
      </c>
      <c r="B651" s="147"/>
      <c r="C651" s="148"/>
      <c r="D651" s="147"/>
      <c r="E651" s="147"/>
      <c r="F651" s="74"/>
      <c r="G651" s="74" t="s">
        <v>6748</v>
      </c>
      <c r="H651" s="74" t="s">
        <v>5587</v>
      </c>
      <c r="I651" s="74" t="s">
        <v>63</v>
      </c>
      <c r="J651" s="74" t="s">
        <v>126</v>
      </c>
      <c r="K651" s="74" t="s">
        <v>6750</v>
      </c>
      <c r="L651" s="74" t="s">
        <v>31</v>
      </c>
    </row>
    <row r="652" spans="1:12" ht="21.95" customHeight="1">
      <c r="A652" s="149" t="s">
        <v>2357</v>
      </c>
      <c r="B652" s="147" t="s">
        <v>4893</v>
      </c>
      <c r="C652" s="148">
        <v>46081</v>
      </c>
      <c r="D652" s="147" t="s">
        <v>4894</v>
      </c>
      <c r="E652" s="147"/>
      <c r="F652" s="74" t="s">
        <v>5995</v>
      </c>
      <c r="G652" s="74" t="s">
        <v>4920</v>
      </c>
      <c r="H652" s="74" t="s">
        <v>5588</v>
      </c>
      <c r="I652" s="74" t="s">
        <v>63</v>
      </c>
      <c r="J652" s="74" t="s">
        <v>36</v>
      </c>
      <c r="K652" s="74" t="s">
        <v>6750</v>
      </c>
      <c r="L652" s="74" t="s">
        <v>31</v>
      </c>
    </row>
    <row r="653" spans="1:12" ht="21.95" customHeight="1">
      <c r="A653" s="149" t="s">
        <v>2361</v>
      </c>
      <c r="B653" s="147"/>
      <c r="C653" s="148"/>
      <c r="D653" s="147"/>
      <c r="E653" s="147"/>
      <c r="F653" s="74"/>
      <c r="G653" s="74" t="s">
        <v>6748</v>
      </c>
      <c r="H653" s="74" t="s">
        <v>5589</v>
      </c>
      <c r="I653" s="74" t="s">
        <v>63</v>
      </c>
      <c r="J653" s="74" t="s">
        <v>46</v>
      </c>
      <c r="K653" s="74" t="s">
        <v>6750</v>
      </c>
      <c r="L653" s="74" t="s">
        <v>2360</v>
      </c>
    </row>
    <row r="654" spans="1:12" ht="21.95" customHeight="1">
      <c r="A654" s="149" t="s">
        <v>2297</v>
      </c>
      <c r="B654" s="147"/>
      <c r="C654" s="148"/>
      <c r="D654" s="147"/>
      <c r="E654" s="147"/>
      <c r="F654" s="74"/>
      <c r="G654" s="74" t="s">
        <v>6748</v>
      </c>
      <c r="H654" s="74" t="s">
        <v>5590</v>
      </c>
      <c r="I654" s="74" t="s">
        <v>63</v>
      </c>
      <c r="J654" s="74" t="s">
        <v>250</v>
      </c>
      <c r="K654" s="74" t="s">
        <v>6750</v>
      </c>
      <c r="L654" s="74" t="s">
        <v>2360</v>
      </c>
    </row>
    <row r="655" spans="1:12" ht="21.95" customHeight="1">
      <c r="A655" s="149" t="s">
        <v>2370</v>
      </c>
      <c r="B655" s="147" t="s">
        <v>4893</v>
      </c>
      <c r="C655" s="148">
        <v>46081</v>
      </c>
      <c r="D655" s="147" t="s">
        <v>4871</v>
      </c>
      <c r="E655" s="147" t="s">
        <v>4904</v>
      </c>
      <c r="F655" s="74" t="s">
        <v>6792</v>
      </c>
      <c r="G655" s="74" t="s">
        <v>4920</v>
      </c>
      <c r="H655" s="74" t="s">
        <v>5591</v>
      </c>
      <c r="I655" s="74" t="s">
        <v>30</v>
      </c>
      <c r="J655" s="74" t="s">
        <v>250</v>
      </c>
      <c r="K655" s="74" t="s">
        <v>6750</v>
      </c>
      <c r="L655" s="74" t="s">
        <v>310</v>
      </c>
    </row>
    <row r="656" spans="1:12" ht="21.95" customHeight="1">
      <c r="A656" s="149" t="s">
        <v>2373</v>
      </c>
      <c r="B656" s="147"/>
      <c r="C656" s="148"/>
      <c r="D656" s="147"/>
      <c r="E656" s="147"/>
      <c r="F656" s="74"/>
      <c r="G656" s="74" t="s">
        <v>6748</v>
      </c>
      <c r="H656" s="74" t="s">
        <v>5592</v>
      </c>
      <c r="I656" s="74" t="s">
        <v>63</v>
      </c>
      <c r="J656" s="74" t="s">
        <v>36</v>
      </c>
      <c r="K656" s="74" t="s">
        <v>6750</v>
      </c>
      <c r="L656" s="74" t="s">
        <v>310</v>
      </c>
    </row>
    <row r="657" spans="1:12" ht="21.95" customHeight="1">
      <c r="A657" s="149" t="s">
        <v>2376</v>
      </c>
      <c r="B657" s="147" t="s">
        <v>4893</v>
      </c>
      <c r="C657" s="148">
        <v>46081</v>
      </c>
      <c r="D657" s="147" t="s">
        <v>4871</v>
      </c>
      <c r="E657" s="147" t="s">
        <v>4904</v>
      </c>
      <c r="F657" s="74" t="s">
        <v>6781</v>
      </c>
      <c r="G657" s="74" t="s">
        <v>4920</v>
      </c>
      <c r="H657" s="74" t="s">
        <v>5593</v>
      </c>
      <c r="I657" s="74" t="s">
        <v>853</v>
      </c>
      <c r="J657" s="74" t="s">
        <v>250</v>
      </c>
      <c r="K657" s="74" t="s">
        <v>6750</v>
      </c>
      <c r="L657" s="74" t="s">
        <v>2375</v>
      </c>
    </row>
    <row r="658" spans="1:12" ht="21.95" customHeight="1">
      <c r="A658" s="149" t="s">
        <v>2379</v>
      </c>
      <c r="B658" s="147" t="s">
        <v>4893</v>
      </c>
      <c r="C658" s="148">
        <v>45997</v>
      </c>
      <c r="D658" s="147" t="s">
        <v>4894</v>
      </c>
      <c r="E658" s="147"/>
      <c r="F658" s="74" t="s">
        <v>6813</v>
      </c>
      <c r="G658" s="74" t="s">
        <v>4920</v>
      </c>
      <c r="H658" s="74" t="s">
        <v>5594</v>
      </c>
      <c r="I658" s="74" t="s">
        <v>63</v>
      </c>
      <c r="J658" s="74" t="s">
        <v>250</v>
      </c>
      <c r="K658" s="74" t="s">
        <v>6750</v>
      </c>
      <c r="L658" s="74" t="s">
        <v>2167</v>
      </c>
    </row>
    <row r="659" spans="1:12" ht="21.95" customHeight="1">
      <c r="A659" s="149" t="s">
        <v>2385</v>
      </c>
      <c r="B659" s="147"/>
      <c r="C659" s="148"/>
      <c r="D659" s="147"/>
      <c r="E659" s="147"/>
      <c r="F659" s="74"/>
      <c r="G659" s="74" t="s">
        <v>6748</v>
      </c>
      <c r="H659" s="74" t="s">
        <v>5595</v>
      </c>
      <c r="I659" s="74" t="s">
        <v>63</v>
      </c>
      <c r="J659" s="74" t="s">
        <v>196</v>
      </c>
      <c r="K659" s="74" t="s">
        <v>6750</v>
      </c>
      <c r="L659" s="74" t="s">
        <v>2384</v>
      </c>
    </row>
    <row r="660" spans="1:12" ht="21.95" customHeight="1">
      <c r="A660" s="149" t="s">
        <v>2387</v>
      </c>
      <c r="B660" s="147" t="s">
        <v>4893</v>
      </c>
      <c r="C660" s="148">
        <v>46081</v>
      </c>
      <c r="D660" s="147" t="s">
        <v>4871</v>
      </c>
      <c r="E660" s="147" t="s">
        <v>4904</v>
      </c>
      <c r="F660" s="74" t="s">
        <v>6808</v>
      </c>
      <c r="G660" s="74" t="s">
        <v>4920</v>
      </c>
      <c r="H660" s="74" t="s">
        <v>5596</v>
      </c>
      <c r="I660" s="74" t="s">
        <v>2207</v>
      </c>
      <c r="J660" s="74" t="s">
        <v>81</v>
      </c>
      <c r="K660" s="74" t="s">
        <v>387</v>
      </c>
      <c r="L660" s="74" t="s">
        <v>310</v>
      </c>
    </row>
    <row r="661" spans="1:12" ht="21.95" customHeight="1">
      <c r="A661" s="149" t="s">
        <v>2392</v>
      </c>
      <c r="B661" s="147"/>
      <c r="C661" s="148"/>
      <c r="D661" s="147"/>
      <c r="E661" s="147"/>
      <c r="F661" s="74"/>
      <c r="G661" s="74" t="s">
        <v>6748</v>
      </c>
      <c r="H661" s="74" t="s">
        <v>5597</v>
      </c>
      <c r="I661" s="74" t="s">
        <v>30</v>
      </c>
      <c r="J661" s="74" t="s">
        <v>36</v>
      </c>
      <c r="K661" s="74" t="s">
        <v>6750</v>
      </c>
      <c r="L661" s="74" t="s">
        <v>310</v>
      </c>
    </row>
    <row r="662" spans="1:12" ht="21.95" customHeight="1">
      <c r="A662" s="149" t="s">
        <v>2399</v>
      </c>
      <c r="B662" s="147"/>
      <c r="C662" s="148"/>
      <c r="D662" s="147"/>
      <c r="E662" s="147"/>
      <c r="F662" s="74"/>
      <c r="G662" s="74" t="s">
        <v>6748</v>
      </c>
      <c r="H662" s="74" t="s">
        <v>5598</v>
      </c>
      <c r="I662" s="74" t="s">
        <v>63</v>
      </c>
      <c r="J662" s="74" t="s">
        <v>250</v>
      </c>
      <c r="K662" s="74" t="s">
        <v>6750</v>
      </c>
      <c r="L662" s="74" t="s">
        <v>2398</v>
      </c>
    </row>
    <row r="663" spans="1:12" ht="21.95" customHeight="1">
      <c r="A663" s="149" t="s">
        <v>2403</v>
      </c>
      <c r="B663" s="147" t="s">
        <v>4893</v>
      </c>
      <c r="C663" s="148">
        <v>46081</v>
      </c>
      <c r="D663" s="147" t="s">
        <v>4894</v>
      </c>
      <c r="E663" s="147"/>
      <c r="F663" s="74" t="s">
        <v>6808</v>
      </c>
      <c r="G663" s="74" t="s">
        <v>4920</v>
      </c>
      <c r="H663" s="74" t="s">
        <v>5599</v>
      </c>
      <c r="I663" s="74" t="s">
        <v>30</v>
      </c>
      <c r="J663" s="74" t="s">
        <v>73</v>
      </c>
      <c r="K663" s="74" t="s">
        <v>6750</v>
      </c>
      <c r="L663" s="74" t="s">
        <v>31</v>
      </c>
    </row>
    <row r="664" spans="1:12" ht="21.95" customHeight="1">
      <c r="A664" s="149" t="s">
        <v>2405</v>
      </c>
      <c r="B664" s="147"/>
      <c r="C664" s="148"/>
      <c r="D664" s="147"/>
      <c r="E664" s="147"/>
      <c r="F664" s="74"/>
      <c r="G664" s="74" t="s">
        <v>6748</v>
      </c>
      <c r="H664" s="74" t="s">
        <v>5600</v>
      </c>
      <c r="I664" s="74" t="s">
        <v>63</v>
      </c>
      <c r="J664" s="74" t="s">
        <v>36</v>
      </c>
      <c r="K664" s="74" t="s">
        <v>6750</v>
      </c>
      <c r="L664" s="74" t="s">
        <v>310</v>
      </c>
    </row>
    <row r="665" spans="1:12" ht="21.95" customHeight="1">
      <c r="A665" s="149" t="s">
        <v>2410</v>
      </c>
      <c r="B665" s="147" t="s">
        <v>4893</v>
      </c>
      <c r="C665" s="148">
        <v>46081</v>
      </c>
      <c r="D665" s="147" t="s">
        <v>4894</v>
      </c>
      <c r="E665" s="147"/>
      <c r="F665" s="74" t="s">
        <v>5995</v>
      </c>
      <c r="G665" s="74" t="s">
        <v>4920</v>
      </c>
      <c r="H665" s="74" t="s">
        <v>5601</v>
      </c>
      <c r="I665" s="74" t="s">
        <v>63</v>
      </c>
      <c r="J665" s="74" t="s">
        <v>36</v>
      </c>
      <c r="K665" s="74" t="s">
        <v>6750</v>
      </c>
      <c r="L665" s="74" t="s">
        <v>2409</v>
      </c>
    </row>
    <row r="666" spans="1:12" ht="21.95" customHeight="1">
      <c r="A666" s="149" t="s">
        <v>2412</v>
      </c>
      <c r="B666" s="147"/>
      <c r="C666" s="148"/>
      <c r="D666" s="147"/>
      <c r="E666" s="147"/>
      <c r="F666" s="74"/>
      <c r="G666" s="74" t="s">
        <v>6748</v>
      </c>
      <c r="H666" s="74" t="s">
        <v>5602</v>
      </c>
      <c r="I666" s="74" t="s">
        <v>174</v>
      </c>
      <c r="J666" s="74" t="s">
        <v>250</v>
      </c>
      <c r="K666" s="74" t="s">
        <v>6750</v>
      </c>
      <c r="L666" s="74" t="s">
        <v>310</v>
      </c>
    </row>
    <row r="667" spans="1:12" ht="21.95" customHeight="1">
      <c r="A667" s="149" t="s">
        <v>2423</v>
      </c>
      <c r="B667" s="147"/>
      <c r="C667" s="148"/>
      <c r="D667" s="147"/>
      <c r="E667" s="147"/>
      <c r="F667" s="74"/>
      <c r="G667" s="74" t="s">
        <v>6748</v>
      </c>
      <c r="H667" s="74" t="s">
        <v>5603</v>
      </c>
      <c r="I667" s="74" t="s">
        <v>89</v>
      </c>
      <c r="J667" s="74" t="s">
        <v>46</v>
      </c>
      <c r="K667" s="74" t="s">
        <v>6750</v>
      </c>
      <c r="L667" s="74" t="s">
        <v>2422</v>
      </c>
    </row>
    <row r="668" spans="1:12" ht="21.95" customHeight="1">
      <c r="A668" s="149" t="s">
        <v>2426</v>
      </c>
      <c r="B668" s="147" t="s">
        <v>4893</v>
      </c>
      <c r="C668" s="148">
        <v>45997</v>
      </c>
      <c r="D668" s="147" t="s">
        <v>4894</v>
      </c>
      <c r="E668" s="147"/>
      <c r="F668" s="74" t="s">
        <v>6814</v>
      </c>
      <c r="G668" s="74" t="s">
        <v>4920</v>
      </c>
      <c r="H668" s="74" t="s">
        <v>5604</v>
      </c>
      <c r="I668" s="74" t="s">
        <v>63</v>
      </c>
      <c r="J668" s="74" t="s">
        <v>36</v>
      </c>
      <c r="K668" s="74" t="s">
        <v>6750</v>
      </c>
      <c r="L668" s="74" t="s">
        <v>310</v>
      </c>
    </row>
    <row r="669" spans="1:12" ht="21.95" customHeight="1">
      <c r="A669" s="149" t="s">
        <v>2428</v>
      </c>
      <c r="B669" s="147"/>
      <c r="C669" s="148"/>
      <c r="D669" s="147"/>
      <c r="E669" s="147"/>
      <c r="F669" s="74"/>
      <c r="G669" s="74" t="s">
        <v>6748</v>
      </c>
      <c r="H669" s="74" t="s">
        <v>5605</v>
      </c>
      <c r="I669" s="74" t="s">
        <v>63</v>
      </c>
      <c r="J669" s="74" t="s">
        <v>126</v>
      </c>
      <c r="K669" s="74" t="s">
        <v>6750</v>
      </c>
      <c r="L669" s="74" t="s">
        <v>310</v>
      </c>
    </row>
    <row r="670" spans="1:12" ht="21.95" customHeight="1">
      <c r="A670" s="149" t="s">
        <v>2438</v>
      </c>
      <c r="B670" s="147" t="s">
        <v>4893</v>
      </c>
      <c r="C670" s="148">
        <v>46081</v>
      </c>
      <c r="D670" s="147" t="s">
        <v>4894</v>
      </c>
      <c r="E670" s="147"/>
      <c r="F670" s="74" t="s">
        <v>5995</v>
      </c>
      <c r="G670" s="74" t="s">
        <v>4920</v>
      </c>
      <c r="H670" s="74" t="s">
        <v>5606</v>
      </c>
      <c r="I670" s="74" t="s">
        <v>85</v>
      </c>
      <c r="J670" s="74" t="s">
        <v>243</v>
      </c>
      <c r="K670" s="74" t="s">
        <v>387</v>
      </c>
      <c r="L670" s="74" t="s">
        <v>2437</v>
      </c>
    </row>
    <row r="671" spans="1:12" ht="21.95" customHeight="1">
      <c r="A671" s="149" t="s">
        <v>2445</v>
      </c>
      <c r="B671" s="147" t="s">
        <v>4893</v>
      </c>
      <c r="C671" s="148">
        <v>46081</v>
      </c>
      <c r="D671" s="147" t="s">
        <v>4871</v>
      </c>
      <c r="E671" s="147" t="s">
        <v>4904</v>
      </c>
      <c r="F671" s="74" t="s">
        <v>6798</v>
      </c>
      <c r="G671" s="74" t="s">
        <v>4920</v>
      </c>
      <c r="H671" s="74" t="s">
        <v>5607</v>
      </c>
      <c r="I671" s="74" t="s">
        <v>63</v>
      </c>
      <c r="J671" s="74" t="s">
        <v>243</v>
      </c>
      <c r="K671" s="74" t="s">
        <v>387</v>
      </c>
      <c r="L671" s="74" t="s">
        <v>31</v>
      </c>
    </row>
    <row r="672" spans="1:12" ht="21.95" customHeight="1">
      <c r="A672" s="149" t="s">
        <v>2448</v>
      </c>
      <c r="B672" s="147"/>
      <c r="C672" s="148"/>
      <c r="D672" s="147"/>
      <c r="E672" s="147"/>
      <c r="F672" s="74"/>
      <c r="G672" s="74" t="s">
        <v>6748</v>
      </c>
      <c r="H672" s="74" t="s">
        <v>5608</v>
      </c>
      <c r="I672" s="74" t="s">
        <v>616</v>
      </c>
      <c r="J672" s="74" t="s">
        <v>36</v>
      </c>
      <c r="K672" s="74" t="s">
        <v>6750</v>
      </c>
      <c r="L672" s="74" t="s">
        <v>31</v>
      </c>
    </row>
    <row r="673" spans="1:12" ht="21.95" customHeight="1">
      <c r="A673" s="149" t="s">
        <v>2459</v>
      </c>
      <c r="B673" s="147" t="s">
        <v>4893</v>
      </c>
      <c r="C673" s="148">
        <v>46081</v>
      </c>
      <c r="D673" s="147" t="s">
        <v>4894</v>
      </c>
      <c r="E673" s="147"/>
      <c r="F673" s="74" t="s">
        <v>5995</v>
      </c>
      <c r="G673" s="74" t="s">
        <v>4920</v>
      </c>
      <c r="H673" s="74" t="s">
        <v>5609</v>
      </c>
      <c r="I673" s="74" t="s">
        <v>63</v>
      </c>
      <c r="J673" s="74" t="s">
        <v>36</v>
      </c>
      <c r="K673" s="74" t="s">
        <v>6750</v>
      </c>
      <c r="L673" s="74" t="s">
        <v>31</v>
      </c>
    </row>
    <row r="674" spans="1:12" ht="21.95" customHeight="1">
      <c r="A674" s="149" t="s">
        <v>2470</v>
      </c>
      <c r="B674" s="147" t="s">
        <v>4893</v>
      </c>
      <c r="C674" s="148">
        <v>46081</v>
      </c>
      <c r="D674" s="147" t="s">
        <v>4871</v>
      </c>
      <c r="E674" s="147" t="s">
        <v>4904</v>
      </c>
      <c r="F674" s="74"/>
      <c r="G674" s="74" t="s">
        <v>4920</v>
      </c>
      <c r="H674" s="74" t="s">
        <v>5610</v>
      </c>
      <c r="I674" s="74" t="s">
        <v>174</v>
      </c>
      <c r="J674" s="74" t="s">
        <v>46</v>
      </c>
      <c r="K674" s="74" t="s">
        <v>6750</v>
      </c>
      <c r="L674" s="74" t="s">
        <v>31</v>
      </c>
    </row>
    <row r="675" spans="1:12" ht="21.95" customHeight="1">
      <c r="A675" s="149" t="s">
        <v>2472</v>
      </c>
      <c r="B675" s="147"/>
      <c r="C675" s="148"/>
      <c r="D675" s="147"/>
      <c r="E675" s="147"/>
      <c r="F675" s="74"/>
      <c r="G675" s="74" t="s">
        <v>6748</v>
      </c>
      <c r="H675" s="74" t="s">
        <v>5611</v>
      </c>
      <c r="I675" s="74" t="s">
        <v>169</v>
      </c>
      <c r="J675" s="74" t="s">
        <v>1352</v>
      </c>
      <c r="K675" s="74" t="s">
        <v>387</v>
      </c>
      <c r="L675" s="74" t="s">
        <v>31</v>
      </c>
    </row>
    <row r="676" spans="1:12" ht="21.95" customHeight="1">
      <c r="A676" s="149" t="s">
        <v>2480</v>
      </c>
      <c r="B676" s="147" t="s">
        <v>4893</v>
      </c>
      <c r="C676" s="148">
        <v>46081</v>
      </c>
      <c r="D676" s="147" t="s">
        <v>4894</v>
      </c>
      <c r="E676" s="147"/>
      <c r="F676" s="74" t="s">
        <v>5995</v>
      </c>
      <c r="G676" s="74" t="s">
        <v>4920</v>
      </c>
      <c r="H676" s="74" t="s">
        <v>5612</v>
      </c>
      <c r="I676" s="74" t="s">
        <v>202</v>
      </c>
      <c r="J676" s="74" t="s">
        <v>196</v>
      </c>
      <c r="K676" s="74" t="s">
        <v>6750</v>
      </c>
      <c r="L676" s="74" t="s">
        <v>31</v>
      </c>
    </row>
    <row r="677" spans="1:12" ht="21.95" customHeight="1">
      <c r="A677" s="149" t="s">
        <v>2483</v>
      </c>
      <c r="B677" s="147"/>
      <c r="C677" s="148"/>
      <c r="D677" s="147"/>
      <c r="E677" s="147"/>
      <c r="F677" s="74"/>
      <c r="G677" s="74" t="s">
        <v>6748</v>
      </c>
      <c r="H677" s="74" t="s">
        <v>5613</v>
      </c>
      <c r="I677" s="74" t="s">
        <v>112</v>
      </c>
      <c r="J677" s="74" t="s">
        <v>46</v>
      </c>
      <c r="K677" s="74" t="s">
        <v>6750</v>
      </c>
      <c r="L677" s="74" t="s">
        <v>310</v>
      </c>
    </row>
    <row r="678" spans="1:12" ht="21.95" customHeight="1">
      <c r="A678" s="149" t="s">
        <v>2487</v>
      </c>
      <c r="B678" s="147" t="s">
        <v>4893</v>
      </c>
      <c r="C678" s="148">
        <v>46081</v>
      </c>
      <c r="D678" s="147" t="s">
        <v>4871</v>
      </c>
      <c r="E678" s="147" t="s">
        <v>4904</v>
      </c>
      <c r="F678" s="74"/>
      <c r="G678" s="74" t="s">
        <v>4920</v>
      </c>
      <c r="H678" s="74" t="s">
        <v>5614</v>
      </c>
      <c r="I678" s="74" t="s">
        <v>125</v>
      </c>
      <c r="J678" s="74" t="s">
        <v>36</v>
      </c>
      <c r="K678" s="74" t="s">
        <v>6750</v>
      </c>
      <c r="L678" s="74" t="s">
        <v>2486</v>
      </c>
    </row>
    <row r="679" spans="1:12" ht="21.95" customHeight="1">
      <c r="A679" s="149" t="s">
        <v>2498</v>
      </c>
      <c r="B679" s="147"/>
      <c r="C679" s="148"/>
      <c r="D679" s="147"/>
      <c r="E679" s="147"/>
      <c r="F679" s="74"/>
      <c r="G679" s="74" t="s">
        <v>6748</v>
      </c>
      <c r="H679" s="74" t="s">
        <v>5615</v>
      </c>
      <c r="I679" s="74" t="s">
        <v>169</v>
      </c>
      <c r="J679" s="74" t="s">
        <v>36</v>
      </c>
      <c r="K679" s="74" t="s">
        <v>6750</v>
      </c>
      <c r="L679" s="74" t="s">
        <v>31</v>
      </c>
    </row>
    <row r="680" spans="1:12" ht="21.95" customHeight="1">
      <c r="A680" s="149" t="s">
        <v>2512</v>
      </c>
      <c r="B680" s="147"/>
      <c r="C680" s="148"/>
      <c r="D680" s="147"/>
      <c r="E680" s="147"/>
      <c r="F680" s="74"/>
      <c r="G680" s="74" t="s">
        <v>6748</v>
      </c>
      <c r="H680" s="74" t="s">
        <v>5616</v>
      </c>
      <c r="I680" s="74" t="s">
        <v>24</v>
      </c>
      <c r="J680" s="74" t="s">
        <v>243</v>
      </c>
      <c r="K680" s="74" t="s">
        <v>387</v>
      </c>
      <c r="L680" s="74" t="s">
        <v>310</v>
      </c>
    </row>
    <row r="681" spans="1:12" ht="21.95" customHeight="1">
      <c r="A681" s="149" t="s">
        <v>2514</v>
      </c>
      <c r="B681" s="147" t="s">
        <v>4893</v>
      </c>
      <c r="C681" s="148">
        <v>45997</v>
      </c>
      <c r="D681" s="147" t="s">
        <v>4894</v>
      </c>
      <c r="E681" s="147"/>
      <c r="F681" s="74" t="s">
        <v>6793</v>
      </c>
      <c r="G681" s="74" t="s">
        <v>4920</v>
      </c>
      <c r="H681" s="74" t="s">
        <v>5617</v>
      </c>
      <c r="I681" s="74" t="s">
        <v>125</v>
      </c>
      <c r="J681" s="74" t="s">
        <v>538</v>
      </c>
      <c r="K681" s="74" t="s">
        <v>387</v>
      </c>
      <c r="L681" s="74" t="s">
        <v>31</v>
      </c>
    </row>
    <row r="682" spans="1:12" ht="21.95" customHeight="1">
      <c r="A682" s="149" t="s">
        <v>2520</v>
      </c>
      <c r="B682" s="147"/>
      <c r="C682" s="148"/>
      <c r="D682" s="147"/>
      <c r="E682" s="147"/>
      <c r="F682" s="74"/>
      <c r="G682" s="74" t="s">
        <v>6748</v>
      </c>
      <c r="H682" s="74" t="s">
        <v>5618</v>
      </c>
      <c r="I682" s="74" t="s">
        <v>807</v>
      </c>
      <c r="J682" s="74" t="s">
        <v>73</v>
      </c>
      <c r="K682" s="74" t="s">
        <v>6750</v>
      </c>
      <c r="L682" s="74" t="s">
        <v>2519</v>
      </c>
    </row>
    <row r="683" spans="1:12" ht="21.95" customHeight="1">
      <c r="A683" s="149" t="s">
        <v>2529</v>
      </c>
      <c r="B683" s="147" t="s">
        <v>4893</v>
      </c>
      <c r="C683" s="148">
        <v>45997</v>
      </c>
      <c r="D683" s="147" t="s">
        <v>4894</v>
      </c>
      <c r="E683" s="147"/>
      <c r="F683" s="74" t="s">
        <v>6799</v>
      </c>
      <c r="G683" s="74" t="s">
        <v>4920</v>
      </c>
      <c r="H683" s="74" t="s">
        <v>5619</v>
      </c>
      <c r="I683" s="74" t="s">
        <v>24</v>
      </c>
      <c r="J683" s="74" t="s">
        <v>538</v>
      </c>
      <c r="K683" s="74" t="s">
        <v>387</v>
      </c>
      <c r="L683" s="74" t="s">
        <v>2528</v>
      </c>
    </row>
    <row r="684" spans="1:12" ht="21.95" customHeight="1">
      <c r="A684" s="149" t="s">
        <v>2543</v>
      </c>
      <c r="B684" s="147"/>
      <c r="C684" s="148"/>
      <c r="D684" s="147"/>
      <c r="E684" s="147"/>
      <c r="F684" s="74"/>
      <c r="G684" s="74" t="s">
        <v>6748</v>
      </c>
      <c r="H684" s="74" t="s">
        <v>5620</v>
      </c>
      <c r="I684" s="74" t="s">
        <v>616</v>
      </c>
      <c r="J684" s="74" t="s">
        <v>73</v>
      </c>
      <c r="K684" s="74" t="s">
        <v>6750</v>
      </c>
      <c r="L684" s="74" t="s">
        <v>2542</v>
      </c>
    </row>
    <row r="685" spans="1:12" ht="21.95" customHeight="1">
      <c r="A685" s="149" t="s">
        <v>2545</v>
      </c>
      <c r="B685" s="147" t="s">
        <v>4893</v>
      </c>
      <c r="C685" s="148">
        <v>46081</v>
      </c>
      <c r="D685" s="147" t="s">
        <v>4871</v>
      </c>
      <c r="E685" s="147" t="s">
        <v>4905</v>
      </c>
      <c r="F685" s="74" t="s">
        <v>6817</v>
      </c>
      <c r="G685" s="74" t="s">
        <v>4920</v>
      </c>
      <c r="H685" s="74" t="s">
        <v>5621</v>
      </c>
      <c r="I685" s="74" t="s">
        <v>24</v>
      </c>
      <c r="J685" s="74" t="s">
        <v>36</v>
      </c>
      <c r="K685" s="74" t="s">
        <v>6750</v>
      </c>
      <c r="L685" s="74" t="s">
        <v>310</v>
      </c>
    </row>
    <row r="686" spans="1:12" ht="21.95" customHeight="1">
      <c r="A686" s="149" t="s">
        <v>2556</v>
      </c>
      <c r="B686" s="147" t="s">
        <v>4893</v>
      </c>
      <c r="C686" s="148">
        <v>46081</v>
      </c>
      <c r="D686" s="147" t="s">
        <v>4894</v>
      </c>
      <c r="E686" s="147"/>
      <c r="F686" s="74" t="s">
        <v>5995</v>
      </c>
      <c r="G686" s="74" t="s">
        <v>4920</v>
      </c>
      <c r="H686" s="74" t="s">
        <v>5622</v>
      </c>
      <c r="I686" s="74" t="s">
        <v>520</v>
      </c>
      <c r="J686" s="74" t="s">
        <v>250</v>
      </c>
      <c r="K686" s="74" t="s">
        <v>6750</v>
      </c>
      <c r="L686" s="74" t="s">
        <v>31</v>
      </c>
    </row>
    <row r="687" spans="1:12" ht="21.95" customHeight="1">
      <c r="A687" s="149" t="s">
        <v>2563</v>
      </c>
      <c r="B687" s="147"/>
      <c r="C687" s="148"/>
      <c r="D687" s="147"/>
      <c r="E687" s="147"/>
      <c r="F687" s="74"/>
      <c r="G687" s="74" t="s">
        <v>6748</v>
      </c>
      <c r="H687" s="74" t="s">
        <v>5623</v>
      </c>
      <c r="I687" s="74" t="s">
        <v>63</v>
      </c>
      <c r="J687" s="74" t="s">
        <v>73</v>
      </c>
      <c r="K687" s="74" t="s">
        <v>6750</v>
      </c>
      <c r="L687" s="74" t="s">
        <v>31</v>
      </c>
    </row>
    <row r="688" spans="1:12" ht="21.95" customHeight="1">
      <c r="A688" s="149" t="s">
        <v>2570</v>
      </c>
      <c r="B688" s="147" t="s">
        <v>4893</v>
      </c>
      <c r="C688" s="148">
        <v>46081</v>
      </c>
      <c r="D688" s="147" t="s">
        <v>4894</v>
      </c>
      <c r="E688" s="147"/>
      <c r="F688" s="74" t="s">
        <v>5995</v>
      </c>
      <c r="G688" s="74" t="s">
        <v>4920</v>
      </c>
      <c r="H688" s="74" t="s">
        <v>5624</v>
      </c>
      <c r="I688" s="74" t="s">
        <v>63</v>
      </c>
      <c r="J688" s="74" t="s">
        <v>416</v>
      </c>
      <c r="K688" s="74" t="s">
        <v>387</v>
      </c>
      <c r="L688" s="74" t="s">
        <v>31</v>
      </c>
    </row>
    <row r="689" spans="1:12" ht="21.95" customHeight="1">
      <c r="A689" s="149" t="s">
        <v>2579</v>
      </c>
      <c r="B689" s="147" t="s">
        <v>4893</v>
      </c>
      <c r="C689" s="148">
        <v>46081</v>
      </c>
      <c r="D689" s="147" t="s">
        <v>4871</v>
      </c>
      <c r="E689" s="147" t="s">
        <v>4904</v>
      </c>
      <c r="F689" s="74" t="s">
        <v>6792</v>
      </c>
      <c r="G689" s="74" t="s">
        <v>4920</v>
      </c>
      <c r="H689" s="74" t="s">
        <v>5625</v>
      </c>
      <c r="I689" s="74" t="s">
        <v>63</v>
      </c>
      <c r="J689" s="74" t="s">
        <v>73</v>
      </c>
      <c r="K689" s="74" t="s">
        <v>6750</v>
      </c>
      <c r="L689" s="74" t="s">
        <v>310</v>
      </c>
    </row>
    <row r="690" spans="1:12" ht="21.95" customHeight="1">
      <c r="A690" s="149" t="s">
        <v>6369</v>
      </c>
      <c r="B690" s="147"/>
      <c r="C690" s="148"/>
      <c r="D690" s="147"/>
      <c r="E690" s="147"/>
      <c r="F690" s="74"/>
      <c r="G690" s="74" t="s">
        <v>6748</v>
      </c>
      <c r="H690" s="74" t="s">
        <v>5626</v>
      </c>
      <c r="I690" s="74" t="s">
        <v>734</v>
      </c>
      <c r="J690" s="74" t="s">
        <v>36</v>
      </c>
      <c r="K690" s="74" t="s">
        <v>6750</v>
      </c>
      <c r="L690" s="74" t="s">
        <v>2590</v>
      </c>
    </row>
    <row r="691" spans="1:12" ht="21.95" customHeight="1">
      <c r="A691" s="149" t="s">
        <v>4593</v>
      </c>
      <c r="B691" s="147" t="s">
        <v>4893</v>
      </c>
      <c r="C691" s="148">
        <v>46081</v>
      </c>
      <c r="D691" s="147" t="s">
        <v>4871</v>
      </c>
      <c r="E691" s="147" t="s">
        <v>4904</v>
      </c>
      <c r="F691" s="74" t="s">
        <v>6792</v>
      </c>
      <c r="G691" s="74" t="s">
        <v>4920</v>
      </c>
      <c r="H691" s="74" t="s">
        <v>5627</v>
      </c>
      <c r="I691" s="74" t="s">
        <v>734</v>
      </c>
      <c r="J691" s="74" t="s">
        <v>46</v>
      </c>
      <c r="K691" s="74" t="s">
        <v>6750</v>
      </c>
      <c r="L691" s="74" t="s">
        <v>31</v>
      </c>
    </row>
    <row r="692" spans="1:12" ht="21.95" customHeight="1">
      <c r="A692" s="149" t="s">
        <v>6370</v>
      </c>
      <c r="B692" s="147" t="s">
        <v>4893</v>
      </c>
      <c r="C692" s="148">
        <v>45997</v>
      </c>
      <c r="D692" s="147"/>
      <c r="E692" s="147"/>
      <c r="F692" s="74" t="s">
        <v>6821</v>
      </c>
      <c r="G692" s="74" t="s">
        <v>4920</v>
      </c>
      <c r="H692" s="74" t="s">
        <v>5628</v>
      </c>
      <c r="I692" s="74" t="s">
        <v>63</v>
      </c>
      <c r="J692" s="74" t="s">
        <v>36</v>
      </c>
      <c r="K692" s="74" t="s">
        <v>6750</v>
      </c>
      <c r="L692" s="74" t="s">
        <v>2594</v>
      </c>
    </row>
    <row r="693" spans="1:12" ht="21.95" customHeight="1">
      <c r="A693" s="149" t="s">
        <v>6371</v>
      </c>
      <c r="B693" s="147" t="s">
        <v>4893</v>
      </c>
      <c r="C693" s="148">
        <v>46081</v>
      </c>
      <c r="D693" s="147" t="s">
        <v>4871</v>
      </c>
      <c r="E693" s="147" t="s">
        <v>4904</v>
      </c>
      <c r="F693" s="74" t="s">
        <v>6798</v>
      </c>
      <c r="G693" s="74" t="s">
        <v>4920</v>
      </c>
      <c r="H693" s="74" t="s">
        <v>5629</v>
      </c>
      <c r="I693" s="74" t="s">
        <v>63</v>
      </c>
      <c r="J693" s="74" t="s">
        <v>250</v>
      </c>
      <c r="K693" s="74" t="s">
        <v>6750</v>
      </c>
      <c r="L693" s="74" t="s">
        <v>310</v>
      </c>
    </row>
    <row r="694" spans="1:12" ht="21.95" customHeight="1">
      <c r="A694" s="149" t="s">
        <v>2603</v>
      </c>
      <c r="B694" s="147" t="s">
        <v>4893</v>
      </c>
      <c r="C694" s="148">
        <v>45997</v>
      </c>
      <c r="D694" s="147"/>
      <c r="E694" s="147"/>
      <c r="F694" s="74" t="s">
        <v>4913</v>
      </c>
      <c r="G694" s="74" t="s">
        <v>4920</v>
      </c>
      <c r="H694" s="74" t="s">
        <v>5630</v>
      </c>
      <c r="I694" s="74" t="s">
        <v>125</v>
      </c>
      <c r="J694" s="74" t="s">
        <v>36</v>
      </c>
      <c r="K694" s="74" t="s">
        <v>6750</v>
      </c>
      <c r="L694" s="74" t="s">
        <v>2602</v>
      </c>
    </row>
    <row r="695" spans="1:12" ht="21.95" customHeight="1">
      <c r="A695" s="149" t="s">
        <v>6372</v>
      </c>
      <c r="B695" s="147"/>
      <c r="C695" s="148"/>
      <c r="D695" s="147"/>
      <c r="E695" s="147"/>
      <c r="F695" s="74"/>
      <c r="G695" s="74" t="s">
        <v>6748</v>
      </c>
      <c r="H695" s="74" t="s">
        <v>5631</v>
      </c>
      <c r="I695" s="74" t="s">
        <v>24</v>
      </c>
      <c r="J695" s="74" t="s">
        <v>36</v>
      </c>
      <c r="K695" s="74" t="s">
        <v>6750</v>
      </c>
      <c r="L695" s="74" t="s">
        <v>2605</v>
      </c>
    </row>
    <row r="696" spans="1:12" ht="21.95" customHeight="1">
      <c r="A696" s="149" t="s">
        <v>6373</v>
      </c>
      <c r="B696" s="147" t="s">
        <v>4893</v>
      </c>
      <c r="C696" s="148">
        <v>46081</v>
      </c>
      <c r="D696" s="147" t="s">
        <v>4871</v>
      </c>
      <c r="E696" s="147" t="s">
        <v>4904</v>
      </c>
      <c r="F696" s="74" t="s">
        <v>6792</v>
      </c>
      <c r="G696" s="74" t="s">
        <v>4920</v>
      </c>
      <c r="H696" s="74" t="s">
        <v>5632</v>
      </c>
      <c r="I696" s="74" t="s">
        <v>169</v>
      </c>
      <c r="J696" s="74" t="s">
        <v>36</v>
      </c>
      <c r="K696" s="74" t="s">
        <v>6750</v>
      </c>
      <c r="L696" s="74" t="s">
        <v>2607</v>
      </c>
    </row>
    <row r="697" spans="1:12" ht="21.95" customHeight="1">
      <c r="A697" s="149" t="s">
        <v>6374</v>
      </c>
      <c r="B697" s="147" t="s">
        <v>4893</v>
      </c>
      <c r="C697" s="148">
        <v>45997</v>
      </c>
      <c r="D697" s="147"/>
      <c r="E697" s="147"/>
      <c r="F697" s="74" t="s">
        <v>6796</v>
      </c>
      <c r="G697" s="74" t="s">
        <v>4920</v>
      </c>
      <c r="H697" s="74" t="s">
        <v>5633</v>
      </c>
      <c r="I697" s="74" t="s">
        <v>63</v>
      </c>
      <c r="J697" s="74" t="s">
        <v>196</v>
      </c>
      <c r="K697" s="74" t="s">
        <v>6750</v>
      </c>
      <c r="L697" s="74" t="s">
        <v>2612</v>
      </c>
    </row>
    <row r="698" spans="1:12" ht="21.95" customHeight="1">
      <c r="A698" s="149" t="s">
        <v>6375</v>
      </c>
      <c r="B698" s="147"/>
      <c r="C698" s="148"/>
      <c r="D698" s="147"/>
      <c r="E698" s="147"/>
      <c r="F698" s="74"/>
      <c r="G698" s="74" t="s">
        <v>6748</v>
      </c>
      <c r="H698" s="74" t="s">
        <v>5634</v>
      </c>
      <c r="I698" s="74" t="s">
        <v>632</v>
      </c>
      <c r="J698" s="74" t="s">
        <v>36</v>
      </c>
      <c r="K698" s="74" t="s">
        <v>6750</v>
      </c>
      <c r="L698" s="74" t="s">
        <v>2627</v>
      </c>
    </row>
    <row r="699" spans="1:12" ht="21.95" customHeight="1">
      <c r="A699" s="149" t="s">
        <v>6376</v>
      </c>
      <c r="B699" s="147" t="s">
        <v>4893</v>
      </c>
      <c r="C699" s="148">
        <v>46074</v>
      </c>
      <c r="D699" s="147" t="s">
        <v>4871</v>
      </c>
      <c r="E699" s="147" t="s">
        <v>4904</v>
      </c>
      <c r="F699" s="74" t="s">
        <v>6792</v>
      </c>
      <c r="G699" s="74" t="s">
        <v>4920</v>
      </c>
      <c r="H699" s="74" t="s">
        <v>5635</v>
      </c>
      <c r="I699" s="74" t="s">
        <v>2630</v>
      </c>
      <c r="J699" s="74" t="s">
        <v>73</v>
      </c>
      <c r="K699" s="74" t="s">
        <v>6750</v>
      </c>
      <c r="L699" s="74" t="s">
        <v>2631</v>
      </c>
    </row>
    <row r="700" spans="1:12" ht="21.95" customHeight="1">
      <c r="A700" s="149" t="s">
        <v>6377</v>
      </c>
      <c r="B700" s="147"/>
      <c r="C700" s="148"/>
      <c r="D700" s="147"/>
      <c r="E700" s="147"/>
      <c r="F700" s="74"/>
      <c r="G700" s="74" t="s">
        <v>6748</v>
      </c>
      <c r="H700" s="74" t="s">
        <v>5636</v>
      </c>
      <c r="I700" s="74" t="s">
        <v>169</v>
      </c>
      <c r="J700" s="74" t="s">
        <v>126</v>
      </c>
      <c r="K700" s="74" t="s">
        <v>6750</v>
      </c>
      <c r="L700" s="74" t="s">
        <v>2633</v>
      </c>
    </row>
    <row r="701" spans="1:12" ht="21.95" customHeight="1">
      <c r="A701" s="149" t="s">
        <v>6378</v>
      </c>
      <c r="B701" s="147"/>
      <c r="C701" s="148"/>
      <c r="D701" s="147"/>
      <c r="E701" s="147"/>
      <c r="F701" s="74"/>
      <c r="G701" s="74" t="s">
        <v>6748</v>
      </c>
      <c r="H701" s="74" t="s">
        <v>5637</v>
      </c>
      <c r="I701" s="74" t="s">
        <v>125</v>
      </c>
      <c r="J701" s="74" t="s">
        <v>126</v>
      </c>
      <c r="K701" s="74" t="s">
        <v>6750</v>
      </c>
      <c r="L701" s="74" t="s">
        <v>2641</v>
      </c>
    </row>
    <row r="702" spans="1:12" ht="21.95" customHeight="1">
      <c r="A702" s="149" t="s">
        <v>6379</v>
      </c>
      <c r="B702" s="147" t="s">
        <v>4893</v>
      </c>
      <c r="C702" s="148">
        <v>46074</v>
      </c>
      <c r="D702" s="147" t="s">
        <v>4894</v>
      </c>
      <c r="E702" s="147"/>
      <c r="F702" s="74" t="s">
        <v>5995</v>
      </c>
      <c r="G702" s="74" t="s">
        <v>4920</v>
      </c>
      <c r="H702" s="74" t="s">
        <v>5638</v>
      </c>
      <c r="I702" s="74" t="s">
        <v>169</v>
      </c>
      <c r="J702" s="74" t="s">
        <v>243</v>
      </c>
      <c r="K702" s="74" t="s">
        <v>387</v>
      </c>
      <c r="L702" s="74" t="s">
        <v>2644</v>
      </c>
    </row>
    <row r="703" spans="1:12" ht="21.95" customHeight="1">
      <c r="A703" s="149" t="s">
        <v>6380</v>
      </c>
      <c r="B703" s="147"/>
      <c r="C703" s="148"/>
      <c r="D703" s="147"/>
      <c r="E703" s="147"/>
      <c r="F703" s="74"/>
      <c r="G703" s="74" t="s">
        <v>6748</v>
      </c>
      <c r="H703" s="74" t="s">
        <v>5639</v>
      </c>
      <c r="I703" s="74" t="s">
        <v>63</v>
      </c>
      <c r="J703" s="74" t="s">
        <v>46</v>
      </c>
      <c r="K703" s="74" t="s">
        <v>6750</v>
      </c>
      <c r="L703" s="74" t="s">
        <v>2647</v>
      </c>
    </row>
    <row r="704" spans="1:12" ht="21.95" customHeight="1">
      <c r="A704" s="149" t="s">
        <v>6381</v>
      </c>
      <c r="B704" s="147" t="s">
        <v>4893</v>
      </c>
      <c r="C704" s="148">
        <v>46074</v>
      </c>
      <c r="D704" s="147" t="s">
        <v>4894</v>
      </c>
      <c r="E704" s="147"/>
      <c r="F704" s="74" t="s">
        <v>5995</v>
      </c>
      <c r="G704" s="74" t="s">
        <v>4920</v>
      </c>
      <c r="H704" s="74" t="s">
        <v>5640</v>
      </c>
      <c r="I704" s="74" t="s">
        <v>63</v>
      </c>
      <c r="J704" s="74" t="s">
        <v>36</v>
      </c>
      <c r="K704" s="74" t="s">
        <v>6750</v>
      </c>
      <c r="L704" s="74" t="s">
        <v>2649</v>
      </c>
    </row>
    <row r="705" spans="1:12" ht="21.95" customHeight="1">
      <c r="A705" s="149" t="s">
        <v>2665</v>
      </c>
      <c r="B705" s="147"/>
      <c r="C705" s="148"/>
      <c r="D705" s="147"/>
      <c r="E705" s="147"/>
      <c r="F705" s="74"/>
      <c r="G705" s="74" t="s">
        <v>6748</v>
      </c>
      <c r="H705" s="74" t="s">
        <v>5641</v>
      </c>
      <c r="I705" s="74" t="s">
        <v>240</v>
      </c>
      <c r="J705" s="74" t="s">
        <v>73</v>
      </c>
      <c r="K705" s="74" t="s">
        <v>6750</v>
      </c>
      <c r="L705" s="74" t="s">
        <v>2663</v>
      </c>
    </row>
    <row r="706" spans="1:12" ht="21.95" customHeight="1">
      <c r="A706" s="149" t="s">
        <v>2669</v>
      </c>
      <c r="B706" s="147" t="s">
        <v>4893</v>
      </c>
      <c r="C706" s="148">
        <v>46074</v>
      </c>
      <c r="D706" s="147" t="s">
        <v>4871</v>
      </c>
      <c r="E706" s="147" t="s">
        <v>4904</v>
      </c>
      <c r="F706" s="74"/>
      <c r="G706" s="74" t="s">
        <v>4920</v>
      </c>
      <c r="H706" s="74" t="s">
        <v>5642</v>
      </c>
      <c r="I706" s="74" t="s">
        <v>125</v>
      </c>
      <c r="J706" s="74" t="s">
        <v>1352</v>
      </c>
      <c r="K706" s="74" t="s">
        <v>387</v>
      </c>
      <c r="L706" s="74" t="s">
        <v>2668</v>
      </c>
    </row>
    <row r="707" spans="1:12" ht="21.95" customHeight="1">
      <c r="A707" s="149" t="s">
        <v>2684</v>
      </c>
      <c r="B707" s="147" t="s">
        <v>4893</v>
      </c>
      <c r="C707" s="148">
        <v>46074</v>
      </c>
      <c r="D707" s="147" t="s">
        <v>4894</v>
      </c>
      <c r="E707" s="147"/>
      <c r="F707" s="74" t="s">
        <v>5995</v>
      </c>
      <c r="G707" s="74" t="s">
        <v>4920</v>
      </c>
      <c r="H707" s="74" t="s">
        <v>5643</v>
      </c>
      <c r="I707" s="74" t="s">
        <v>426</v>
      </c>
      <c r="J707" s="74" t="s">
        <v>46</v>
      </c>
      <c r="K707" s="74" t="s">
        <v>6750</v>
      </c>
      <c r="L707" s="74" t="s">
        <v>2683</v>
      </c>
    </row>
    <row r="708" spans="1:12" ht="21.95" customHeight="1">
      <c r="A708" s="149" t="s">
        <v>2694</v>
      </c>
      <c r="B708" s="147" t="s">
        <v>4893</v>
      </c>
      <c r="C708" s="148">
        <v>46074</v>
      </c>
      <c r="D708" s="147" t="s">
        <v>4894</v>
      </c>
      <c r="E708" s="147"/>
      <c r="F708" s="74" t="s">
        <v>5995</v>
      </c>
      <c r="G708" s="74" t="s">
        <v>4920</v>
      </c>
      <c r="H708" s="74" t="s">
        <v>5644</v>
      </c>
      <c r="I708" s="74" t="s">
        <v>2692</v>
      </c>
      <c r="J708" s="74" t="s">
        <v>250</v>
      </c>
      <c r="K708" s="74" t="s">
        <v>6750</v>
      </c>
      <c r="L708" s="74" t="s">
        <v>2693</v>
      </c>
    </row>
    <row r="709" spans="1:12" ht="21.95" customHeight="1">
      <c r="A709" s="149" t="s">
        <v>2699</v>
      </c>
      <c r="B709" s="147"/>
      <c r="C709" s="148"/>
      <c r="D709" s="147"/>
      <c r="E709" s="147"/>
      <c r="F709" s="74"/>
      <c r="G709" s="74" t="s">
        <v>6748</v>
      </c>
      <c r="H709" s="74" t="s">
        <v>5645</v>
      </c>
      <c r="I709" s="74" t="s">
        <v>202</v>
      </c>
      <c r="J709" s="74" t="s">
        <v>126</v>
      </c>
      <c r="K709" s="74" t="s">
        <v>6750</v>
      </c>
      <c r="L709" s="74" t="s">
        <v>2697</v>
      </c>
    </row>
    <row r="710" spans="1:12" ht="21.95" customHeight="1">
      <c r="A710" s="149" t="s">
        <v>2703</v>
      </c>
      <c r="B710" s="147" t="s">
        <v>4893</v>
      </c>
      <c r="C710" s="148">
        <v>46074</v>
      </c>
      <c r="D710" s="147" t="s">
        <v>4894</v>
      </c>
      <c r="E710" s="147"/>
      <c r="F710" s="74" t="s">
        <v>5995</v>
      </c>
      <c r="G710" s="74" t="s">
        <v>4920</v>
      </c>
      <c r="H710" s="74" t="s">
        <v>5646</v>
      </c>
      <c r="I710" s="74" t="s">
        <v>2701</v>
      </c>
      <c r="J710" s="74" t="s">
        <v>36</v>
      </c>
      <c r="K710" s="74" t="s">
        <v>6750</v>
      </c>
      <c r="L710" s="74" t="s">
        <v>2702</v>
      </c>
    </row>
    <row r="711" spans="1:12" ht="21.95" customHeight="1">
      <c r="A711" s="149" t="s">
        <v>2706</v>
      </c>
      <c r="B711" s="147"/>
      <c r="C711" s="148"/>
      <c r="D711" s="147"/>
      <c r="E711" s="147"/>
      <c r="F711" s="74"/>
      <c r="G711" s="74" t="s">
        <v>6748</v>
      </c>
      <c r="H711" s="74" t="s">
        <v>5647</v>
      </c>
      <c r="I711" s="74" t="s">
        <v>446</v>
      </c>
      <c r="J711" s="74" t="s">
        <v>73</v>
      </c>
      <c r="K711" s="74" t="s">
        <v>6750</v>
      </c>
      <c r="L711" s="74" t="s">
        <v>2705</v>
      </c>
    </row>
    <row r="712" spans="1:12" ht="21.95" customHeight="1">
      <c r="A712" s="149" t="s">
        <v>2711</v>
      </c>
      <c r="B712" s="147" t="s">
        <v>4893</v>
      </c>
      <c r="C712" s="148">
        <v>46074</v>
      </c>
      <c r="D712" s="147" t="s">
        <v>4894</v>
      </c>
      <c r="E712" s="147"/>
      <c r="F712" s="74" t="s">
        <v>5995</v>
      </c>
      <c r="G712" s="74" t="s">
        <v>4920</v>
      </c>
      <c r="H712" s="74" t="s">
        <v>5648</v>
      </c>
      <c r="I712" s="74" t="s">
        <v>112</v>
      </c>
      <c r="J712" s="74" t="s">
        <v>416</v>
      </c>
      <c r="K712" s="74" t="s">
        <v>387</v>
      </c>
      <c r="L712" s="74" t="s">
        <v>2710</v>
      </c>
    </row>
    <row r="713" spans="1:12" ht="21.95" customHeight="1">
      <c r="A713" s="149" t="s">
        <v>2719</v>
      </c>
      <c r="B713" s="147"/>
      <c r="C713" s="148"/>
      <c r="D713" s="147"/>
      <c r="E713" s="147"/>
      <c r="F713" s="74"/>
      <c r="G713" s="74" t="s">
        <v>6748</v>
      </c>
      <c r="H713" s="74" t="s">
        <v>5649</v>
      </c>
      <c r="I713" s="74" t="s">
        <v>63</v>
      </c>
      <c r="J713" s="74" t="s">
        <v>416</v>
      </c>
      <c r="K713" s="74" t="s">
        <v>387</v>
      </c>
      <c r="L713" s="74" t="s">
        <v>2718</v>
      </c>
    </row>
    <row r="714" spans="1:12" ht="21.95" customHeight="1">
      <c r="A714" s="149" t="s">
        <v>2723</v>
      </c>
      <c r="B714" s="147" t="s">
        <v>4893</v>
      </c>
      <c r="C714" s="148">
        <v>46074</v>
      </c>
      <c r="D714" s="147" t="s">
        <v>4894</v>
      </c>
      <c r="E714" s="147"/>
      <c r="F714" s="74" t="s">
        <v>5995</v>
      </c>
      <c r="G714" s="74" t="s">
        <v>4920</v>
      </c>
      <c r="H714" s="74" t="s">
        <v>5650</v>
      </c>
      <c r="I714" s="74" t="s">
        <v>202</v>
      </c>
      <c r="J714" s="74" t="s">
        <v>250</v>
      </c>
      <c r="K714" s="74" t="s">
        <v>6750</v>
      </c>
      <c r="L714" s="74" t="s">
        <v>2722</v>
      </c>
    </row>
    <row r="715" spans="1:12" ht="21.95" customHeight="1">
      <c r="A715" s="149" t="s">
        <v>2726</v>
      </c>
      <c r="B715" s="147"/>
      <c r="C715" s="148"/>
      <c r="D715" s="147"/>
      <c r="E715" s="147"/>
      <c r="F715" s="74"/>
      <c r="G715" s="74" t="s">
        <v>6748</v>
      </c>
      <c r="H715" s="74" t="s">
        <v>5651</v>
      </c>
      <c r="I715" s="74" t="s">
        <v>125</v>
      </c>
      <c r="J715" s="74" t="s">
        <v>36</v>
      </c>
      <c r="K715" s="74" t="s">
        <v>6750</v>
      </c>
      <c r="L715" s="74" t="s">
        <v>2725</v>
      </c>
    </row>
    <row r="716" spans="1:12" ht="21.95" customHeight="1">
      <c r="A716" s="149" t="s">
        <v>2739</v>
      </c>
      <c r="B716" s="147" t="s">
        <v>4893</v>
      </c>
      <c r="C716" s="148">
        <v>45997</v>
      </c>
      <c r="D716" s="147"/>
      <c r="E716" s="147"/>
      <c r="F716" s="74" t="s">
        <v>6826</v>
      </c>
      <c r="G716" s="74" t="s">
        <v>4920</v>
      </c>
      <c r="H716" s="74" t="s">
        <v>5652</v>
      </c>
      <c r="I716" s="74" t="s">
        <v>30</v>
      </c>
      <c r="J716" s="74" t="s">
        <v>416</v>
      </c>
      <c r="K716" s="74" t="s">
        <v>387</v>
      </c>
      <c r="L716" s="74" t="s">
        <v>2738</v>
      </c>
    </row>
    <row r="717" spans="1:12" ht="21.95" customHeight="1">
      <c r="A717" s="149" t="s">
        <v>2741</v>
      </c>
      <c r="B717" s="147"/>
      <c r="C717" s="148"/>
      <c r="D717" s="147"/>
      <c r="E717" s="147"/>
      <c r="F717" s="74"/>
      <c r="G717" s="74" t="s">
        <v>6748</v>
      </c>
      <c r="H717" s="74" t="s">
        <v>5653</v>
      </c>
      <c r="I717" s="74" t="s">
        <v>63</v>
      </c>
      <c r="J717" s="74" t="s">
        <v>416</v>
      </c>
      <c r="K717" s="74" t="s">
        <v>387</v>
      </c>
      <c r="L717" s="74" t="s">
        <v>31</v>
      </c>
    </row>
    <row r="718" spans="1:12" ht="21.95" customHeight="1">
      <c r="A718" s="149" t="s">
        <v>2744</v>
      </c>
      <c r="B718" s="147" t="s">
        <v>4893</v>
      </c>
      <c r="C718" s="148">
        <v>46074</v>
      </c>
      <c r="D718" s="147" t="s">
        <v>4871</v>
      </c>
      <c r="E718" s="147"/>
      <c r="F718" s="74" t="s">
        <v>6777</v>
      </c>
      <c r="G718" s="74" t="s">
        <v>4920</v>
      </c>
      <c r="H718" s="74" t="s">
        <v>5654</v>
      </c>
      <c r="I718" s="74" t="s">
        <v>63</v>
      </c>
      <c r="J718" s="74" t="s">
        <v>36</v>
      </c>
      <c r="K718" s="74" t="s">
        <v>6750</v>
      </c>
      <c r="L718" s="74" t="s">
        <v>2743</v>
      </c>
    </row>
    <row r="719" spans="1:12" ht="21.95" customHeight="1">
      <c r="A719" s="149" t="s">
        <v>2748</v>
      </c>
      <c r="B719" s="147" t="s">
        <v>4893</v>
      </c>
      <c r="C719" s="148">
        <v>45997</v>
      </c>
      <c r="D719" s="147"/>
      <c r="E719" s="147"/>
      <c r="F719" s="74" t="s">
        <v>6827</v>
      </c>
      <c r="G719" s="74" t="s">
        <v>4920</v>
      </c>
      <c r="H719" s="74" t="s">
        <v>5655</v>
      </c>
      <c r="I719" s="74" t="s">
        <v>807</v>
      </c>
      <c r="J719" s="74" t="s">
        <v>126</v>
      </c>
      <c r="K719" s="74" t="s">
        <v>6750</v>
      </c>
      <c r="L719" s="74" t="s">
        <v>2747</v>
      </c>
    </row>
    <row r="720" spans="1:12" ht="21.95" customHeight="1">
      <c r="A720" s="149" t="s">
        <v>2752</v>
      </c>
      <c r="B720" s="147" t="s">
        <v>4893</v>
      </c>
      <c r="C720" s="148">
        <v>46074</v>
      </c>
      <c r="D720" s="147" t="s">
        <v>4871</v>
      </c>
      <c r="E720" s="147" t="s">
        <v>4904</v>
      </c>
      <c r="F720" s="74"/>
      <c r="G720" s="74" t="s">
        <v>4920</v>
      </c>
      <c r="H720" s="74" t="s">
        <v>5656</v>
      </c>
      <c r="I720" s="74" t="s">
        <v>125</v>
      </c>
      <c r="J720" s="74" t="s">
        <v>36</v>
      </c>
      <c r="K720" s="74" t="s">
        <v>6750</v>
      </c>
      <c r="L720" s="74" t="s">
        <v>2751</v>
      </c>
    </row>
    <row r="721" spans="1:12" ht="21.95" customHeight="1">
      <c r="A721" s="149" t="s">
        <v>2756</v>
      </c>
      <c r="B721" s="147" t="s">
        <v>4893</v>
      </c>
      <c r="C721" s="148">
        <v>46074</v>
      </c>
      <c r="D721" s="147" t="s">
        <v>4894</v>
      </c>
      <c r="E721" s="147"/>
      <c r="F721" s="74" t="s">
        <v>5995</v>
      </c>
      <c r="G721" s="74" t="s">
        <v>4920</v>
      </c>
      <c r="H721" s="74" t="s">
        <v>5657</v>
      </c>
      <c r="I721" s="74" t="s">
        <v>63</v>
      </c>
      <c r="J721" s="74" t="s">
        <v>36</v>
      </c>
      <c r="K721" s="74" t="s">
        <v>6750</v>
      </c>
      <c r="L721" s="74" t="s">
        <v>2755</v>
      </c>
    </row>
    <row r="722" spans="1:12" ht="21.95" customHeight="1">
      <c r="A722" s="149" t="s">
        <v>2763</v>
      </c>
      <c r="B722" s="147"/>
      <c r="C722" s="148"/>
      <c r="D722" s="147"/>
      <c r="E722" s="147"/>
      <c r="F722" s="74"/>
      <c r="G722" s="74" t="s">
        <v>6748</v>
      </c>
      <c r="H722" s="74" t="s">
        <v>5658</v>
      </c>
      <c r="I722" s="74" t="s">
        <v>112</v>
      </c>
      <c r="J722" s="74" t="s">
        <v>36</v>
      </c>
      <c r="K722" s="74" t="s">
        <v>6750</v>
      </c>
      <c r="L722" s="74" t="s">
        <v>2762</v>
      </c>
    </row>
    <row r="723" spans="1:12" ht="21.95" customHeight="1">
      <c r="A723" s="149" t="s">
        <v>2784</v>
      </c>
      <c r="B723" s="147"/>
      <c r="C723" s="148"/>
      <c r="D723" s="147"/>
      <c r="E723" s="147"/>
      <c r="F723" s="74"/>
      <c r="G723" s="74" t="s">
        <v>6748</v>
      </c>
      <c r="H723" s="74" t="s">
        <v>5659</v>
      </c>
      <c r="I723" s="74" t="s">
        <v>30</v>
      </c>
      <c r="J723" s="74" t="s">
        <v>36</v>
      </c>
      <c r="K723" s="74" t="s">
        <v>6750</v>
      </c>
      <c r="L723" s="74" t="s">
        <v>2783</v>
      </c>
    </row>
    <row r="724" spans="1:12" ht="21.95" customHeight="1">
      <c r="A724" s="149" t="s">
        <v>2787</v>
      </c>
      <c r="B724" s="147" t="s">
        <v>4893</v>
      </c>
      <c r="C724" s="148">
        <v>46074</v>
      </c>
      <c r="D724" s="147" t="s">
        <v>4894</v>
      </c>
      <c r="E724" s="147"/>
      <c r="F724" s="74" t="s">
        <v>5995</v>
      </c>
      <c r="G724" s="74" t="s">
        <v>4920</v>
      </c>
      <c r="H724" s="74" t="s">
        <v>5660</v>
      </c>
      <c r="I724" s="74" t="s">
        <v>85</v>
      </c>
      <c r="J724" s="74" t="s">
        <v>73</v>
      </c>
      <c r="K724" s="74" t="s">
        <v>6750</v>
      </c>
      <c r="L724" s="74" t="s">
        <v>2786</v>
      </c>
    </row>
    <row r="725" spans="1:12" ht="21.95" customHeight="1">
      <c r="A725" s="149" t="s">
        <v>2798</v>
      </c>
      <c r="B725" s="147" t="s">
        <v>4893</v>
      </c>
      <c r="C725" s="148">
        <v>46074</v>
      </c>
      <c r="D725" s="147" t="s">
        <v>4871</v>
      </c>
      <c r="E725" s="147"/>
      <c r="F725" s="74" t="s">
        <v>6808</v>
      </c>
      <c r="G725" s="74" t="s">
        <v>4920</v>
      </c>
      <c r="H725" s="74" t="s">
        <v>5661</v>
      </c>
      <c r="I725" s="74" t="s">
        <v>174</v>
      </c>
      <c r="J725" s="74" t="s">
        <v>36</v>
      </c>
      <c r="K725" s="74" t="s">
        <v>6750</v>
      </c>
      <c r="L725" s="74" t="s">
        <v>310</v>
      </c>
    </row>
    <row r="726" spans="1:12" ht="21.95" customHeight="1">
      <c r="A726" s="149" t="s">
        <v>2802</v>
      </c>
      <c r="B726" s="147"/>
      <c r="C726" s="148"/>
      <c r="D726" s="147"/>
      <c r="E726" s="147"/>
      <c r="F726" s="74"/>
      <c r="G726" s="74" t="s">
        <v>6748</v>
      </c>
      <c r="H726" s="74" t="s">
        <v>5662</v>
      </c>
      <c r="I726" s="74" t="s">
        <v>240</v>
      </c>
      <c r="J726" s="74" t="s">
        <v>36</v>
      </c>
      <c r="K726" s="74" t="s">
        <v>6750</v>
      </c>
      <c r="L726" s="74" t="s">
        <v>2801</v>
      </c>
    </row>
    <row r="727" spans="1:12" ht="21.95" customHeight="1">
      <c r="A727" s="149" t="s">
        <v>2815</v>
      </c>
      <c r="B727" s="147"/>
      <c r="C727" s="148"/>
      <c r="D727" s="147"/>
      <c r="E727" s="147"/>
      <c r="F727" s="74"/>
      <c r="G727" s="74" t="s">
        <v>6748</v>
      </c>
      <c r="H727" s="74" t="s">
        <v>5663</v>
      </c>
      <c r="I727" s="74" t="s">
        <v>1819</v>
      </c>
      <c r="J727" s="74" t="s">
        <v>46</v>
      </c>
      <c r="K727" s="74" t="s">
        <v>6750</v>
      </c>
      <c r="L727" s="74" t="s">
        <v>2814</v>
      </c>
    </row>
    <row r="728" spans="1:12" ht="21.95" customHeight="1">
      <c r="A728" s="149" t="s">
        <v>6382</v>
      </c>
      <c r="B728" s="147"/>
      <c r="C728" s="148"/>
      <c r="D728" s="147"/>
      <c r="E728" s="147"/>
      <c r="F728" s="74"/>
      <c r="G728" s="74" t="s">
        <v>6748</v>
      </c>
      <c r="H728" s="74" t="s">
        <v>5664</v>
      </c>
      <c r="I728" s="74" t="s">
        <v>807</v>
      </c>
      <c r="J728" s="74" t="s">
        <v>73</v>
      </c>
      <c r="K728" s="74" t="s">
        <v>6750</v>
      </c>
      <c r="L728" s="74" t="s">
        <v>2821</v>
      </c>
    </row>
    <row r="729" spans="1:12" ht="21.95" customHeight="1">
      <c r="A729" s="149" t="s">
        <v>6383</v>
      </c>
      <c r="B729" s="147"/>
      <c r="C729" s="148"/>
      <c r="D729" s="147"/>
      <c r="E729" s="147"/>
      <c r="F729" s="74"/>
      <c r="G729" s="74" t="s">
        <v>6748</v>
      </c>
      <c r="H729" s="74" t="s">
        <v>5665</v>
      </c>
      <c r="I729" s="74" t="s">
        <v>112</v>
      </c>
      <c r="J729" s="74" t="s">
        <v>36</v>
      </c>
      <c r="K729" s="74" t="s">
        <v>6750</v>
      </c>
      <c r="L729" s="74" t="s">
        <v>2829</v>
      </c>
    </row>
    <row r="730" spans="1:12" ht="21.95" customHeight="1">
      <c r="A730" s="149" t="s">
        <v>6384</v>
      </c>
      <c r="B730" s="147"/>
      <c r="C730" s="148"/>
      <c r="D730" s="147"/>
      <c r="E730" s="147"/>
      <c r="F730" s="74"/>
      <c r="G730" s="74" t="s">
        <v>6748</v>
      </c>
      <c r="H730" s="74" t="s">
        <v>5666</v>
      </c>
      <c r="I730" s="74" t="s">
        <v>63</v>
      </c>
      <c r="J730" s="74" t="s">
        <v>126</v>
      </c>
      <c r="K730" s="74" t="s">
        <v>6750</v>
      </c>
      <c r="L730" s="74" t="s">
        <v>2837</v>
      </c>
    </row>
    <row r="731" spans="1:12" ht="21.95" customHeight="1">
      <c r="A731" s="149" t="s">
        <v>6385</v>
      </c>
      <c r="B731" s="147"/>
      <c r="C731" s="148"/>
      <c r="D731" s="147"/>
      <c r="E731" s="147"/>
      <c r="F731" s="74"/>
      <c r="G731" s="74" t="s">
        <v>6748</v>
      </c>
      <c r="H731" s="74" t="s">
        <v>5667</v>
      </c>
      <c r="I731" s="74" t="s">
        <v>174</v>
      </c>
      <c r="J731" s="74" t="s">
        <v>46</v>
      </c>
      <c r="K731" s="74" t="s">
        <v>6750</v>
      </c>
      <c r="L731" s="74" t="s">
        <v>2845</v>
      </c>
    </row>
    <row r="732" spans="1:12" ht="21.95" customHeight="1">
      <c r="A732" s="149" t="s">
        <v>6386</v>
      </c>
      <c r="B732" s="147"/>
      <c r="C732" s="148"/>
      <c r="D732" s="147"/>
      <c r="E732" s="147"/>
      <c r="F732" s="74"/>
      <c r="G732" s="74" t="s">
        <v>6748</v>
      </c>
      <c r="H732" s="74" t="s">
        <v>5668</v>
      </c>
      <c r="I732" s="74" t="s">
        <v>240</v>
      </c>
      <c r="J732" s="74" t="s">
        <v>36</v>
      </c>
      <c r="K732" s="74" t="s">
        <v>6750</v>
      </c>
      <c r="L732" s="74" t="s">
        <v>2855</v>
      </c>
    </row>
    <row r="733" spans="1:12" ht="21.95" customHeight="1">
      <c r="A733" s="149" t="s">
        <v>2756</v>
      </c>
      <c r="B733" s="147"/>
      <c r="C733" s="148"/>
      <c r="D733" s="147"/>
      <c r="E733" s="147"/>
      <c r="F733" s="74"/>
      <c r="G733" s="74" t="s">
        <v>6748</v>
      </c>
      <c r="H733" s="74" t="s">
        <v>5657</v>
      </c>
      <c r="I733" s="74" t="s">
        <v>63</v>
      </c>
      <c r="J733" s="74" t="s">
        <v>36</v>
      </c>
      <c r="K733" s="74" t="s">
        <v>6750</v>
      </c>
      <c r="L733" s="74" t="s">
        <v>2856</v>
      </c>
    </row>
    <row r="734" spans="1:12" ht="21.95" customHeight="1">
      <c r="A734" s="149" t="s">
        <v>6387</v>
      </c>
      <c r="B734" s="147" t="s">
        <v>4893</v>
      </c>
      <c r="C734" s="148">
        <v>46074</v>
      </c>
      <c r="D734" s="147" t="s">
        <v>4894</v>
      </c>
      <c r="E734" s="147"/>
      <c r="F734" s="74" t="s">
        <v>5995</v>
      </c>
      <c r="G734" s="74" t="s">
        <v>4920</v>
      </c>
      <c r="H734" s="74" t="s">
        <v>5669</v>
      </c>
      <c r="I734" s="74" t="s">
        <v>264</v>
      </c>
      <c r="J734" s="74" t="s">
        <v>73</v>
      </c>
      <c r="K734" s="74" t="s">
        <v>6750</v>
      </c>
      <c r="L734" s="74" t="s">
        <v>2866</v>
      </c>
    </row>
    <row r="735" spans="1:12" ht="21.95" customHeight="1">
      <c r="A735" s="149" t="s">
        <v>6388</v>
      </c>
      <c r="B735" s="147"/>
      <c r="C735" s="148"/>
      <c r="D735" s="147"/>
      <c r="E735" s="147"/>
      <c r="F735" s="74"/>
      <c r="G735" s="74" t="s">
        <v>6748</v>
      </c>
      <c r="H735" s="74" t="s">
        <v>5670</v>
      </c>
      <c r="I735" s="74" t="s">
        <v>63</v>
      </c>
      <c r="J735" s="74" t="s">
        <v>1507</v>
      </c>
      <c r="K735" s="74" t="s">
        <v>6750</v>
      </c>
      <c r="L735" s="74" t="s">
        <v>2868</v>
      </c>
    </row>
    <row r="736" spans="1:12" ht="21.95" customHeight="1">
      <c r="A736" s="149" t="s">
        <v>6389</v>
      </c>
      <c r="B736" s="147"/>
      <c r="C736" s="148"/>
      <c r="D736" s="147"/>
      <c r="E736" s="147"/>
      <c r="F736" s="74"/>
      <c r="G736" s="74" t="s">
        <v>6748</v>
      </c>
      <c r="H736" s="74" t="s">
        <v>5671</v>
      </c>
      <c r="I736" s="74" t="s">
        <v>85</v>
      </c>
      <c r="J736" s="74" t="s">
        <v>126</v>
      </c>
      <c r="K736" s="74" t="s">
        <v>6750</v>
      </c>
      <c r="L736" s="74" t="s">
        <v>2873</v>
      </c>
    </row>
    <row r="737" spans="1:12" ht="21.95" customHeight="1">
      <c r="A737" s="149" t="s">
        <v>6390</v>
      </c>
      <c r="B737" s="147" t="s">
        <v>4893</v>
      </c>
      <c r="C737" s="148">
        <v>46074</v>
      </c>
      <c r="D737" s="147" t="s">
        <v>4894</v>
      </c>
      <c r="E737" s="147"/>
      <c r="F737" s="74" t="s">
        <v>5995</v>
      </c>
      <c r="G737" s="74" t="s">
        <v>4920</v>
      </c>
      <c r="H737" s="74" t="s">
        <v>5672</v>
      </c>
      <c r="I737" s="74" t="s">
        <v>240</v>
      </c>
      <c r="J737" s="74" t="s">
        <v>36</v>
      </c>
      <c r="K737" s="74" t="s">
        <v>6750</v>
      </c>
      <c r="L737" s="74" t="s">
        <v>2879</v>
      </c>
    </row>
    <row r="738" spans="1:12" ht="21.95" customHeight="1">
      <c r="A738" s="149" t="s">
        <v>6391</v>
      </c>
      <c r="B738" s="147"/>
      <c r="C738" s="148"/>
      <c r="D738" s="147"/>
      <c r="E738" s="147"/>
      <c r="F738" s="74"/>
      <c r="G738" s="74" t="s">
        <v>6748</v>
      </c>
      <c r="H738" s="74" t="s">
        <v>5673</v>
      </c>
      <c r="I738" s="74" t="s">
        <v>616</v>
      </c>
      <c r="J738" s="74" t="s">
        <v>36</v>
      </c>
      <c r="K738" s="74" t="s">
        <v>6750</v>
      </c>
      <c r="L738" s="74" t="s">
        <v>2883</v>
      </c>
    </row>
    <row r="739" spans="1:12" ht="21.95" customHeight="1">
      <c r="A739" s="149" t="s">
        <v>6392</v>
      </c>
      <c r="B739" s="147" t="s">
        <v>4893</v>
      </c>
      <c r="C739" s="148">
        <v>46074</v>
      </c>
      <c r="D739" s="147" t="s">
        <v>4894</v>
      </c>
      <c r="E739" s="147"/>
      <c r="F739" s="74" t="s">
        <v>5995</v>
      </c>
      <c r="G739" s="74" t="s">
        <v>4920</v>
      </c>
      <c r="H739" s="74" t="s">
        <v>5674</v>
      </c>
      <c r="I739" s="74" t="s">
        <v>125</v>
      </c>
      <c r="J739" s="74" t="s">
        <v>36</v>
      </c>
      <c r="K739" s="74" t="s">
        <v>6750</v>
      </c>
      <c r="L739" s="74" t="s">
        <v>2897</v>
      </c>
    </row>
    <row r="740" spans="1:12" ht="21.95" customHeight="1">
      <c r="A740" s="149" t="s">
        <v>6393</v>
      </c>
      <c r="B740" s="147"/>
      <c r="C740" s="148"/>
      <c r="D740" s="147"/>
      <c r="E740" s="147"/>
      <c r="F740" s="74"/>
      <c r="G740" s="74" t="s">
        <v>6748</v>
      </c>
      <c r="H740" s="74" t="s">
        <v>5675</v>
      </c>
      <c r="I740" s="74" t="s">
        <v>93</v>
      </c>
      <c r="J740" s="74" t="s">
        <v>250</v>
      </c>
      <c r="K740" s="74" t="s">
        <v>6750</v>
      </c>
      <c r="L740" s="74" t="s">
        <v>2898</v>
      </c>
    </row>
    <row r="741" spans="1:12" ht="21.95" customHeight="1">
      <c r="A741" s="149" t="s">
        <v>6394</v>
      </c>
      <c r="B741" s="147"/>
      <c r="C741" s="148"/>
      <c r="D741" s="147"/>
      <c r="E741" s="147"/>
      <c r="F741" s="74"/>
      <c r="G741" s="74" t="s">
        <v>6748</v>
      </c>
      <c r="H741" s="74" t="s">
        <v>5676</v>
      </c>
      <c r="I741" s="74" t="s">
        <v>129</v>
      </c>
      <c r="J741" s="74" t="s">
        <v>243</v>
      </c>
      <c r="K741" s="74" t="s">
        <v>387</v>
      </c>
      <c r="L741" s="74" t="s">
        <v>310</v>
      </c>
    </row>
    <row r="742" spans="1:12" ht="21.95" customHeight="1">
      <c r="A742" s="149" t="s">
        <v>6395</v>
      </c>
      <c r="B742" s="147" t="s">
        <v>117</v>
      </c>
      <c r="C742" s="148">
        <v>46074</v>
      </c>
      <c r="D742" s="147" t="s">
        <v>4894</v>
      </c>
      <c r="E742" s="147"/>
      <c r="F742" s="74"/>
      <c r="G742" s="74" t="s">
        <v>4920</v>
      </c>
      <c r="H742" s="74" t="s">
        <v>5340</v>
      </c>
      <c r="I742" s="74" t="s">
        <v>30</v>
      </c>
      <c r="J742" s="74" t="s">
        <v>73</v>
      </c>
      <c r="K742" s="74" t="s">
        <v>6750</v>
      </c>
      <c r="L742" s="74" t="s">
        <v>2929</v>
      </c>
    </row>
    <row r="743" spans="1:12" ht="21.95" customHeight="1">
      <c r="A743" s="149" t="s">
        <v>6396</v>
      </c>
      <c r="B743" s="147" t="s">
        <v>4893</v>
      </c>
      <c r="C743" s="148">
        <v>46074</v>
      </c>
      <c r="D743" s="147" t="s">
        <v>4871</v>
      </c>
      <c r="E743" s="147" t="s">
        <v>4905</v>
      </c>
      <c r="F743" s="74" t="s">
        <v>6808</v>
      </c>
      <c r="G743" s="74" t="s">
        <v>4920</v>
      </c>
      <c r="H743" s="74" t="s">
        <v>5677</v>
      </c>
      <c r="I743" s="74" t="s">
        <v>68</v>
      </c>
      <c r="J743" s="74" t="s">
        <v>36</v>
      </c>
      <c r="K743" s="74" t="s">
        <v>6750</v>
      </c>
      <c r="L743" s="74" t="s">
        <v>2932</v>
      </c>
    </row>
    <row r="744" spans="1:12" ht="21.95" customHeight="1">
      <c r="A744" s="149" t="s">
        <v>6397</v>
      </c>
      <c r="B744" s="147"/>
      <c r="C744" s="148"/>
      <c r="D744" s="147"/>
      <c r="E744" s="147"/>
      <c r="F744" s="74"/>
      <c r="G744" s="74" t="s">
        <v>6748</v>
      </c>
      <c r="H744" s="74" t="s">
        <v>5678</v>
      </c>
      <c r="I744" s="74" t="s">
        <v>63</v>
      </c>
      <c r="J744" s="74" t="s">
        <v>36</v>
      </c>
      <c r="K744" s="74" t="s">
        <v>6750</v>
      </c>
      <c r="L744" s="74" t="s">
        <v>2940</v>
      </c>
    </row>
    <row r="745" spans="1:12" ht="21.95" customHeight="1">
      <c r="A745" s="149" t="s">
        <v>6398</v>
      </c>
      <c r="B745" s="147"/>
      <c r="C745" s="148"/>
      <c r="D745" s="147"/>
      <c r="E745" s="147"/>
      <c r="F745" s="74"/>
      <c r="G745" s="74" t="s">
        <v>6748</v>
      </c>
      <c r="H745" s="74" t="s">
        <v>5679</v>
      </c>
      <c r="I745" s="74" t="s">
        <v>734</v>
      </c>
      <c r="J745" s="74" t="s">
        <v>243</v>
      </c>
      <c r="K745" s="74" t="s">
        <v>387</v>
      </c>
      <c r="L745" s="74" t="s">
        <v>2944</v>
      </c>
    </row>
    <row r="746" spans="1:12" ht="21.95" customHeight="1">
      <c r="A746" s="149" t="s">
        <v>6399</v>
      </c>
      <c r="B746" s="147" t="s">
        <v>4893</v>
      </c>
      <c r="C746" s="148">
        <v>46074</v>
      </c>
      <c r="D746" s="147" t="s">
        <v>4894</v>
      </c>
      <c r="E746" s="147"/>
      <c r="F746" s="74" t="s">
        <v>5995</v>
      </c>
      <c r="G746" s="74" t="s">
        <v>4920</v>
      </c>
      <c r="H746" s="74" t="s">
        <v>5680</v>
      </c>
      <c r="I746" s="74" t="s">
        <v>2947</v>
      </c>
      <c r="J746" s="74" t="s">
        <v>73</v>
      </c>
      <c r="K746" s="74" t="s">
        <v>6750</v>
      </c>
      <c r="L746" s="74" t="s">
        <v>31</v>
      </c>
    </row>
    <row r="747" spans="1:12" ht="21.95" customHeight="1">
      <c r="A747" s="149" t="s">
        <v>6400</v>
      </c>
      <c r="B747" s="147"/>
      <c r="C747" s="148"/>
      <c r="D747" s="147"/>
      <c r="E747" s="147"/>
      <c r="F747" s="74"/>
      <c r="G747" s="74" t="s">
        <v>6748</v>
      </c>
      <c r="H747" s="74" t="s">
        <v>5681</v>
      </c>
      <c r="I747" s="74" t="s">
        <v>169</v>
      </c>
      <c r="J747" s="74" t="s">
        <v>538</v>
      </c>
      <c r="K747" s="74" t="s">
        <v>387</v>
      </c>
      <c r="L747" s="74" t="s">
        <v>2955</v>
      </c>
    </row>
    <row r="748" spans="1:12" ht="21.95" customHeight="1">
      <c r="A748" s="149" t="s">
        <v>6401</v>
      </c>
      <c r="B748" s="147" t="s">
        <v>4893</v>
      </c>
      <c r="C748" s="148">
        <v>46074</v>
      </c>
      <c r="D748" s="147" t="s">
        <v>4894</v>
      </c>
      <c r="E748" s="147"/>
      <c r="F748" s="74" t="s">
        <v>5995</v>
      </c>
      <c r="G748" s="74" t="s">
        <v>4920</v>
      </c>
      <c r="H748" s="74" t="s">
        <v>5682</v>
      </c>
      <c r="I748" s="74" t="s">
        <v>125</v>
      </c>
      <c r="J748" s="74" t="s">
        <v>36</v>
      </c>
      <c r="K748" s="74" t="s">
        <v>6750</v>
      </c>
      <c r="L748" s="74" t="s">
        <v>2960</v>
      </c>
    </row>
    <row r="749" spans="1:12" ht="21.95" customHeight="1">
      <c r="A749" s="149" t="s">
        <v>2968</v>
      </c>
      <c r="B749" s="147" t="s">
        <v>4893</v>
      </c>
      <c r="C749" s="148">
        <v>46074</v>
      </c>
      <c r="D749" s="147" t="s">
        <v>4894</v>
      </c>
      <c r="E749" s="147"/>
      <c r="F749" s="74" t="s">
        <v>5995</v>
      </c>
      <c r="G749" s="74" t="s">
        <v>4920</v>
      </c>
      <c r="H749" s="74" t="s">
        <v>5683</v>
      </c>
      <c r="I749" s="74" t="s">
        <v>125</v>
      </c>
      <c r="J749" s="74" t="s">
        <v>36</v>
      </c>
      <c r="K749" s="74" t="s">
        <v>6750</v>
      </c>
      <c r="L749" s="74" t="s">
        <v>2966</v>
      </c>
    </row>
    <row r="750" spans="1:12" ht="21.95" customHeight="1">
      <c r="A750" s="149" t="s">
        <v>6402</v>
      </c>
      <c r="B750" s="147"/>
      <c r="C750" s="148"/>
      <c r="D750" s="147"/>
      <c r="E750" s="147"/>
      <c r="F750" s="74"/>
      <c r="G750" s="74" t="s">
        <v>6748</v>
      </c>
      <c r="H750" s="74" t="s">
        <v>5684</v>
      </c>
      <c r="I750" s="74" t="s">
        <v>2974</v>
      </c>
      <c r="J750" s="74" t="s">
        <v>73</v>
      </c>
      <c r="K750" s="74" t="s">
        <v>6750</v>
      </c>
      <c r="L750" s="74" t="s">
        <v>2975</v>
      </c>
    </row>
    <row r="751" spans="1:12" ht="21.95" customHeight="1">
      <c r="A751" s="149" t="s">
        <v>6403</v>
      </c>
      <c r="B751" s="147" t="s">
        <v>4893</v>
      </c>
      <c r="C751" s="148">
        <v>46074</v>
      </c>
      <c r="D751" s="147" t="s">
        <v>4894</v>
      </c>
      <c r="E751" s="147"/>
      <c r="F751" s="74" t="s">
        <v>5995</v>
      </c>
      <c r="G751" s="74" t="s">
        <v>4920</v>
      </c>
      <c r="H751" s="74" t="s">
        <v>5685</v>
      </c>
      <c r="I751" s="74" t="s">
        <v>202</v>
      </c>
      <c r="J751" s="74" t="s">
        <v>36</v>
      </c>
      <c r="K751" s="74" t="s">
        <v>6750</v>
      </c>
      <c r="L751" s="74" t="s">
        <v>2979</v>
      </c>
    </row>
    <row r="752" spans="1:12" ht="21.95" customHeight="1">
      <c r="A752" s="149" t="s">
        <v>2990</v>
      </c>
      <c r="B752" s="147" t="s">
        <v>4893</v>
      </c>
      <c r="C752" s="148">
        <v>46074</v>
      </c>
      <c r="D752" s="147" t="s">
        <v>4871</v>
      </c>
      <c r="E752" s="147" t="s">
        <v>4904</v>
      </c>
      <c r="F752" s="74" t="s">
        <v>6795</v>
      </c>
      <c r="G752" s="74" t="s">
        <v>4920</v>
      </c>
      <c r="H752" s="74" t="s">
        <v>5686</v>
      </c>
      <c r="I752" s="74" t="s">
        <v>2052</v>
      </c>
      <c r="J752" s="74" t="s">
        <v>250</v>
      </c>
      <c r="K752" s="74" t="s">
        <v>6750</v>
      </c>
      <c r="L752" s="74" t="s">
        <v>2989</v>
      </c>
    </row>
    <row r="753" spans="1:12" ht="21.95" customHeight="1">
      <c r="A753" s="149" t="s">
        <v>2993</v>
      </c>
      <c r="B753" s="147" t="s">
        <v>4893</v>
      </c>
      <c r="C753" s="148">
        <v>46074</v>
      </c>
      <c r="D753" s="147" t="s">
        <v>4871</v>
      </c>
      <c r="E753" s="147" t="s">
        <v>4904</v>
      </c>
      <c r="F753" s="74" t="s">
        <v>6795</v>
      </c>
      <c r="G753" s="74" t="s">
        <v>4920</v>
      </c>
      <c r="H753" s="74" t="s">
        <v>5687</v>
      </c>
      <c r="I753" s="74" t="s">
        <v>536</v>
      </c>
      <c r="J753" s="74" t="s">
        <v>36</v>
      </c>
      <c r="K753" s="74" t="s">
        <v>6750</v>
      </c>
      <c r="L753" s="74" t="s">
        <v>2992</v>
      </c>
    </row>
    <row r="754" spans="1:12" ht="21.95" customHeight="1">
      <c r="A754" s="149" t="s">
        <v>2999</v>
      </c>
      <c r="B754" s="147"/>
      <c r="C754" s="148"/>
      <c r="D754" s="147"/>
      <c r="E754" s="147"/>
      <c r="F754" s="74"/>
      <c r="G754" s="74" t="s">
        <v>6748</v>
      </c>
      <c r="H754" s="74" t="s">
        <v>5688</v>
      </c>
      <c r="I754" s="74" t="s">
        <v>536</v>
      </c>
      <c r="J754" s="74" t="s">
        <v>36</v>
      </c>
      <c r="K754" s="74" t="s">
        <v>6750</v>
      </c>
      <c r="L754" s="74" t="s">
        <v>2998</v>
      </c>
    </row>
    <row r="755" spans="1:12" ht="21.95" customHeight="1">
      <c r="A755" s="149" t="s">
        <v>3003</v>
      </c>
      <c r="B755" s="147" t="s">
        <v>4893</v>
      </c>
      <c r="C755" s="148">
        <v>46074</v>
      </c>
      <c r="D755" s="147" t="s">
        <v>4871</v>
      </c>
      <c r="E755" s="147" t="s">
        <v>4904</v>
      </c>
      <c r="F755" s="74" t="s">
        <v>6795</v>
      </c>
      <c r="G755" s="74" t="s">
        <v>4920</v>
      </c>
      <c r="H755" s="74" t="s">
        <v>5689</v>
      </c>
      <c r="I755" s="74" t="s">
        <v>63</v>
      </c>
      <c r="J755" s="74" t="s">
        <v>3004</v>
      </c>
      <c r="K755" s="74" t="s">
        <v>387</v>
      </c>
      <c r="L755" s="74" t="s">
        <v>3002</v>
      </c>
    </row>
    <row r="756" spans="1:12" ht="21.95" customHeight="1">
      <c r="A756" s="149" t="s">
        <v>3007</v>
      </c>
      <c r="B756" s="147" t="s">
        <v>4893</v>
      </c>
      <c r="C756" s="148">
        <v>46067</v>
      </c>
      <c r="D756" s="147" t="s">
        <v>4871</v>
      </c>
      <c r="E756" s="147" t="s">
        <v>4904</v>
      </c>
      <c r="F756" s="74"/>
      <c r="G756" s="74" t="s">
        <v>4920</v>
      </c>
      <c r="H756" s="74" t="s">
        <v>5690</v>
      </c>
      <c r="I756" s="74" t="s">
        <v>2131</v>
      </c>
      <c r="J756" s="74" t="s">
        <v>73</v>
      </c>
      <c r="K756" s="74" t="s">
        <v>30</v>
      </c>
      <c r="L756" s="74" t="s">
        <v>3006</v>
      </c>
    </row>
    <row r="757" spans="1:12" ht="21.95" customHeight="1">
      <c r="A757" s="149" t="s">
        <v>3023</v>
      </c>
      <c r="B757" s="147"/>
      <c r="C757" s="148"/>
      <c r="D757" s="147"/>
      <c r="E757" s="147"/>
      <c r="F757" s="74"/>
      <c r="G757" s="74" t="s">
        <v>6748</v>
      </c>
      <c r="H757" s="74" t="s">
        <v>5691</v>
      </c>
      <c r="I757" s="74" t="s">
        <v>63</v>
      </c>
      <c r="J757" s="74" t="s">
        <v>538</v>
      </c>
      <c r="K757" s="74" t="s">
        <v>387</v>
      </c>
      <c r="L757" s="74" t="s">
        <v>3002</v>
      </c>
    </row>
    <row r="758" spans="1:12" ht="21.95" customHeight="1">
      <c r="A758" s="149" t="s">
        <v>3037</v>
      </c>
      <c r="B758" s="147"/>
      <c r="C758" s="148"/>
      <c r="D758" s="147"/>
      <c r="E758" s="147"/>
      <c r="F758" s="74"/>
      <c r="G758" s="74" t="s">
        <v>6748</v>
      </c>
      <c r="H758" s="74" t="s">
        <v>5692</v>
      </c>
      <c r="I758" s="74" t="s">
        <v>63</v>
      </c>
      <c r="J758" s="74" t="s">
        <v>36</v>
      </c>
      <c r="K758" s="74" t="s">
        <v>6750</v>
      </c>
      <c r="L758" s="74" t="s">
        <v>3002</v>
      </c>
    </row>
    <row r="759" spans="1:12" ht="21.95" customHeight="1">
      <c r="A759" s="149" t="s">
        <v>3041</v>
      </c>
      <c r="B759" s="147" t="s">
        <v>4893</v>
      </c>
      <c r="C759" s="148">
        <v>46067</v>
      </c>
      <c r="D759" s="147" t="s">
        <v>4871</v>
      </c>
      <c r="E759" s="147" t="s">
        <v>4904</v>
      </c>
      <c r="F759" s="74" t="s">
        <v>6811</v>
      </c>
      <c r="G759" s="74" t="s">
        <v>4920</v>
      </c>
      <c r="H759" s="74" t="s">
        <v>5693</v>
      </c>
      <c r="I759" s="74" t="s">
        <v>93</v>
      </c>
      <c r="J759" s="74" t="s">
        <v>36</v>
      </c>
      <c r="K759" s="74" t="s">
        <v>6750</v>
      </c>
      <c r="L759" s="74" t="s">
        <v>3040</v>
      </c>
    </row>
    <row r="760" spans="1:12" ht="21.95" customHeight="1">
      <c r="A760" s="149" t="s">
        <v>3065</v>
      </c>
      <c r="B760" s="147" t="s">
        <v>4893</v>
      </c>
      <c r="C760" s="148">
        <v>46067</v>
      </c>
      <c r="D760" s="147" t="s">
        <v>4894</v>
      </c>
      <c r="E760" s="147"/>
      <c r="F760" s="74" t="s">
        <v>5987</v>
      </c>
      <c r="G760" s="74" t="s">
        <v>4920</v>
      </c>
      <c r="H760" s="74" t="s">
        <v>5694</v>
      </c>
      <c r="I760" s="74" t="s">
        <v>63</v>
      </c>
      <c r="J760" s="74" t="s">
        <v>46</v>
      </c>
      <c r="K760" s="74" t="s">
        <v>6750</v>
      </c>
      <c r="L760" s="74" t="s">
        <v>3002</v>
      </c>
    </row>
    <row r="761" spans="1:12" ht="21.95" customHeight="1">
      <c r="A761" s="149" t="s">
        <v>3068</v>
      </c>
      <c r="B761" s="147"/>
      <c r="C761" s="148"/>
      <c r="D761" s="147"/>
      <c r="E761" s="147"/>
      <c r="F761" s="74"/>
      <c r="G761" s="74" t="s">
        <v>6748</v>
      </c>
      <c r="H761" s="74" t="s">
        <v>5695</v>
      </c>
      <c r="I761" s="74" t="s">
        <v>63</v>
      </c>
      <c r="J761" s="74" t="s">
        <v>36</v>
      </c>
      <c r="K761" s="74" t="s">
        <v>6750</v>
      </c>
      <c r="L761" s="74" t="s">
        <v>3002</v>
      </c>
    </row>
    <row r="762" spans="1:12" ht="21.95" customHeight="1">
      <c r="A762" s="149" t="s">
        <v>3076</v>
      </c>
      <c r="B762" s="147" t="s">
        <v>4893</v>
      </c>
      <c r="C762" s="148">
        <v>46067</v>
      </c>
      <c r="D762" s="147" t="s">
        <v>4871</v>
      </c>
      <c r="E762" s="147" t="s">
        <v>4903</v>
      </c>
      <c r="F762" s="74" t="s">
        <v>6781</v>
      </c>
      <c r="G762" s="74" t="s">
        <v>4920</v>
      </c>
      <c r="H762" s="74" t="s">
        <v>5696</v>
      </c>
      <c r="I762" s="74" t="s">
        <v>3073</v>
      </c>
      <c r="J762" s="74" t="s">
        <v>416</v>
      </c>
      <c r="K762" s="74" t="s">
        <v>387</v>
      </c>
      <c r="L762" s="74" t="s">
        <v>3074</v>
      </c>
    </row>
    <row r="763" spans="1:12" ht="21.95" customHeight="1">
      <c r="A763" s="149" t="s">
        <v>3080</v>
      </c>
      <c r="B763" s="147"/>
      <c r="C763" s="148"/>
      <c r="D763" s="147"/>
      <c r="E763" s="147"/>
      <c r="F763" s="74"/>
      <c r="G763" s="74" t="s">
        <v>6748</v>
      </c>
      <c r="H763" s="74" t="s">
        <v>5697</v>
      </c>
      <c r="I763" s="74" t="s">
        <v>3078</v>
      </c>
      <c r="J763" s="74" t="s">
        <v>36</v>
      </c>
      <c r="K763" s="74" t="s">
        <v>6750</v>
      </c>
      <c r="L763" s="74" t="s">
        <v>3079</v>
      </c>
    </row>
    <row r="764" spans="1:12" ht="21.95" customHeight="1">
      <c r="A764" s="149" t="s">
        <v>3087</v>
      </c>
      <c r="B764" s="147" t="s">
        <v>4893</v>
      </c>
      <c r="C764" s="148">
        <v>46067</v>
      </c>
      <c r="D764" s="147" t="s">
        <v>4894</v>
      </c>
      <c r="E764" s="147"/>
      <c r="F764" s="74" t="s">
        <v>5987</v>
      </c>
      <c r="G764" s="74" t="s">
        <v>4920</v>
      </c>
      <c r="H764" s="74" t="s">
        <v>5698</v>
      </c>
      <c r="I764" s="74" t="s">
        <v>3084</v>
      </c>
      <c r="J764" s="74" t="s">
        <v>538</v>
      </c>
      <c r="K764" s="74" t="s">
        <v>387</v>
      </c>
      <c r="L764" s="74" t="s">
        <v>3085</v>
      </c>
    </row>
    <row r="765" spans="1:12" ht="21.95" customHeight="1">
      <c r="A765" s="149" t="s">
        <v>3091</v>
      </c>
      <c r="B765" s="147"/>
      <c r="C765" s="148"/>
      <c r="D765" s="147"/>
      <c r="E765" s="147"/>
      <c r="F765" s="74"/>
      <c r="G765" s="74" t="s">
        <v>6748</v>
      </c>
      <c r="H765" s="74" t="s">
        <v>5699</v>
      </c>
      <c r="I765" s="74" t="s">
        <v>63</v>
      </c>
      <c r="J765" s="74" t="s">
        <v>36</v>
      </c>
      <c r="K765" s="74" t="s">
        <v>6750</v>
      </c>
      <c r="L765" s="74" t="s">
        <v>3089</v>
      </c>
    </row>
    <row r="766" spans="1:12" ht="21.95" customHeight="1">
      <c r="A766" s="149" t="s">
        <v>3095</v>
      </c>
      <c r="B766" s="147" t="s">
        <v>4893</v>
      </c>
      <c r="C766" s="148">
        <v>46067</v>
      </c>
      <c r="D766" s="147" t="s">
        <v>4894</v>
      </c>
      <c r="E766" s="147"/>
      <c r="F766" s="74" t="s">
        <v>5987</v>
      </c>
      <c r="G766" s="74" t="s">
        <v>4920</v>
      </c>
      <c r="H766" s="74" t="s">
        <v>5700</v>
      </c>
      <c r="I766" s="74" t="s">
        <v>807</v>
      </c>
      <c r="J766" s="74" t="s">
        <v>36</v>
      </c>
      <c r="K766" s="74" t="s">
        <v>6750</v>
      </c>
      <c r="L766" s="74" t="s">
        <v>3093</v>
      </c>
    </row>
    <row r="767" spans="1:12" ht="21.95" customHeight="1">
      <c r="A767" s="149" t="s">
        <v>3104</v>
      </c>
      <c r="B767" s="147" t="s">
        <v>4893</v>
      </c>
      <c r="C767" s="148">
        <v>46067</v>
      </c>
      <c r="D767" s="147" t="s">
        <v>4894</v>
      </c>
      <c r="E767" s="147"/>
      <c r="F767" s="74" t="s">
        <v>5987</v>
      </c>
      <c r="G767" s="74" t="s">
        <v>4920</v>
      </c>
      <c r="H767" s="74" t="s">
        <v>5701</v>
      </c>
      <c r="I767" s="74" t="s">
        <v>63</v>
      </c>
      <c r="J767" s="74" t="s">
        <v>538</v>
      </c>
      <c r="K767" s="74" t="s">
        <v>387</v>
      </c>
      <c r="L767" s="74" t="s">
        <v>3103</v>
      </c>
    </row>
    <row r="768" spans="1:12" ht="21.95" customHeight="1">
      <c r="A768" s="149" t="s">
        <v>3112</v>
      </c>
      <c r="B768" s="147" t="s">
        <v>4893</v>
      </c>
      <c r="C768" s="148">
        <v>46067</v>
      </c>
      <c r="D768" s="147" t="s">
        <v>4871</v>
      </c>
      <c r="E768" s="147" t="s">
        <v>4904</v>
      </c>
      <c r="F768" s="74"/>
      <c r="G768" s="74" t="s">
        <v>4920</v>
      </c>
      <c r="H768" s="74" t="s">
        <v>5702</v>
      </c>
      <c r="I768" s="74" t="s">
        <v>63</v>
      </c>
      <c r="J768" s="74" t="s">
        <v>126</v>
      </c>
      <c r="K768" s="74" t="s">
        <v>6750</v>
      </c>
      <c r="L768" s="74" t="s">
        <v>3111</v>
      </c>
    </row>
    <row r="769" spans="1:12" ht="21.95" customHeight="1">
      <c r="A769" s="149" t="s">
        <v>3119</v>
      </c>
      <c r="B769" s="147" t="s">
        <v>4893</v>
      </c>
      <c r="C769" s="148">
        <v>46067</v>
      </c>
      <c r="D769" s="147" t="s">
        <v>4894</v>
      </c>
      <c r="E769" s="147"/>
      <c r="F769" s="74" t="s">
        <v>5987</v>
      </c>
      <c r="G769" s="74" t="s">
        <v>4920</v>
      </c>
      <c r="H769" s="74" t="s">
        <v>5703</v>
      </c>
      <c r="I769" s="74" t="s">
        <v>125</v>
      </c>
      <c r="J769" s="74" t="s">
        <v>73</v>
      </c>
      <c r="K769" s="74" t="s">
        <v>6750</v>
      </c>
      <c r="L769" s="74" t="s">
        <v>3118</v>
      </c>
    </row>
    <row r="770" spans="1:12" ht="21.95" customHeight="1">
      <c r="A770" s="149" t="s">
        <v>3133</v>
      </c>
      <c r="B770" s="147" t="s">
        <v>4893</v>
      </c>
      <c r="C770" s="148">
        <v>46067</v>
      </c>
      <c r="D770" s="147" t="s">
        <v>4871</v>
      </c>
      <c r="E770" s="147" t="s">
        <v>4905</v>
      </c>
      <c r="F770" s="74" t="s">
        <v>6835</v>
      </c>
      <c r="G770" s="74" t="s">
        <v>4920</v>
      </c>
      <c r="H770" s="74" t="s">
        <v>5704</v>
      </c>
      <c r="I770" s="74" t="s">
        <v>202</v>
      </c>
      <c r="J770" s="74" t="s">
        <v>36</v>
      </c>
      <c r="K770" s="74" t="s">
        <v>6750</v>
      </c>
      <c r="L770" s="74" t="s">
        <v>3131</v>
      </c>
    </row>
    <row r="771" spans="1:12" ht="21.95" customHeight="1">
      <c r="A771" s="149" t="s">
        <v>3136</v>
      </c>
      <c r="B771" s="147"/>
      <c r="C771" s="148"/>
      <c r="D771" s="147"/>
      <c r="E771" s="147"/>
      <c r="F771" s="74"/>
      <c r="G771" s="74" t="s">
        <v>6748</v>
      </c>
      <c r="H771" s="74" t="s">
        <v>5705</v>
      </c>
      <c r="I771" s="74" t="s">
        <v>169</v>
      </c>
      <c r="J771" s="74" t="s">
        <v>416</v>
      </c>
      <c r="K771" s="74" t="s">
        <v>387</v>
      </c>
      <c r="L771" s="74" t="s">
        <v>3135</v>
      </c>
    </row>
    <row r="772" spans="1:12" ht="21.95" customHeight="1">
      <c r="A772" s="149" t="s">
        <v>3153</v>
      </c>
      <c r="B772" s="147"/>
      <c r="C772" s="148"/>
      <c r="D772" s="147"/>
      <c r="E772" s="147"/>
      <c r="F772" s="74"/>
      <c r="G772" s="74" t="s">
        <v>6748</v>
      </c>
      <c r="H772" s="74" t="s">
        <v>5706</v>
      </c>
      <c r="I772" s="74" t="s">
        <v>63</v>
      </c>
      <c r="J772" s="74" t="s">
        <v>36</v>
      </c>
      <c r="K772" s="74" t="s">
        <v>6750</v>
      </c>
      <c r="L772" s="74" t="s">
        <v>3151</v>
      </c>
    </row>
    <row r="773" spans="1:12" ht="21.95" customHeight="1">
      <c r="A773" s="149" t="s">
        <v>3171</v>
      </c>
      <c r="B773" s="147" t="s">
        <v>4893</v>
      </c>
      <c r="C773" s="148">
        <v>46067</v>
      </c>
      <c r="D773" s="147" t="s">
        <v>4871</v>
      </c>
      <c r="E773" s="147" t="s">
        <v>4905</v>
      </c>
      <c r="F773" s="74" t="s">
        <v>6812</v>
      </c>
      <c r="G773" s="74" t="s">
        <v>4920</v>
      </c>
      <c r="H773" s="74" t="s">
        <v>5707</v>
      </c>
      <c r="I773" s="74" t="s">
        <v>202</v>
      </c>
      <c r="J773" s="74" t="s">
        <v>36</v>
      </c>
      <c r="K773" s="74" t="s">
        <v>6750</v>
      </c>
      <c r="L773" s="74" t="s">
        <v>3170</v>
      </c>
    </row>
    <row r="774" spans="1:12" ht="21.95" customHeight="1">
      <c r="A774" s="149" t="s">
        <v>3174</v>
      </c>
      <c r="B774" s="147"/>
      <c r="C774" s="148"/>
      <c r="D774" s="147"/>
      <c r="E774" s="147"/>
      <c r="F774" s="74"/>
      <c r="G774" s="74" t="s">
        <v>6748</v>
      </c>
      <c r="H774" s="74" t="s">
        <v>5708</v>
      </c>
      <c r="I774" s="74" t="s">
        <v>169</v>
      </c>
      <c r="J774" s="74" t="s">
        <v>416</v>
      </c>
      <c r="K774" s="74" t="s">
        <v>387</v>
      </c>
      <c r="L774" s="74" t="s">
        <v>3173</v>
      </c>
    </row>
    <row r="775" spans="1:12" ht="21.95" customHeight="1">
      <c r="A775" s="149" t="s">
        <v>3186</v>
      </c>
      <c r="B775" s="147" t="s">
        <v>4893</v>
      </c>
      <c r="C775" s="148">
        <v>46067</v>
      </c>
      <c r="D775" s="147" t="s">
        <v>4894</v>
      </c>
      <c r="E775" s="147"/>
      <c r="F775" s="74" t="s">
        <v>5987</v>
      </c>
      <c r="G775" s="74" t="s">
        <v>4920</v>
      </c>
      <c r="H775" s="74" t="s">
        <v>5709</v>
      </c>
      <c r="I775" s="74" t="s">
        <v>174</v>
      </c>
      <c r="J775" s="74" t="s">
        <v>36</v>
      </c>
      <c r="K775" s="74" t="s">
        <v>6750</v>
      </c>
      <c r="L775" s="74" t="s">
        <v>3002</v>
      </c>
    </row>
    <row r="776" spans="1:12" ht="21.95" customHeight="1">
      <c r="A776" s="149" t="s">
        <v>3192</v>
      </c>
      <c r="B776" s="147"/>
      <c r="C776" s="148"/>
      <c r="D776" s="147"/>
      <c r="E776" s="147"/>
      <c r="F776" s="74"/>
      <c r="G776" s="74" t="s">
        <v>6748</v>
      </c>
      <c r="H776" s="74" t="s">
        <v>5710</v>
      </c>
      <c r="I776" s="74" t="s">
        <v>112</v>
      </c>
      <c r="J776" s="74" t="s">
        <v>36</v>
      </c>
      <c r="K776" s="74" t="s">
        <v>6750</v>
      </c>
      <c r="L776" s="74" t="s">
        <v>3002</v>
      </c>
    </row>
    <row r="777" spans="1:12" ht="21.95" customHeight="1">
      <c r="A777" s="149" t="s">
        <v>3201</v>
      </c>
      <c r="B777" s="147"/>
      <c r="C777" s="148"/>
      <c r="D777" s="147"/>
      <c r="E777" s="147"/>
      <c r="F777" s="74"/>
      <c r="G777" s="74" t="s">
        <v>6748</v>
      </c>
      <c r="H777" s="74" t="s">
        <v>5711</v>
      </c>
      <c r="I777" s="74" t="s">
        <v>112</v>
      </c>
      <c r="J777" s="74" t="s">
        <v>538</v>
      </c>
      <c r="K777" s="74" t="s">
        <v>387</v>
      </c>
      <c r="L777" s="74" t="s">
        <v>3002</v>
      </c>
    </row>
    <row r="778" spans="1:12" ht="21.95" customHeight="1">
      <c r="A778" s="149" t="s">
        <v>3205</v>
      </c>
      <c r="B778" s="147" t="s">
        <v>4893</v>
      </c>
      <c r="C778" s="148">
        <v>46067</v>
      </c>
      <c r="D778" s="147" t="s">
        <v>4871</v>
      </c>
      <c r="E778" s="147"/>
      <c r="F778" s="74" t="s">
        <v>6783</v>
      </c>
      <c r="G778" s="74" t="s">
        <v>4920</v>
      </c>
      <c r="H778" s="74" t="s">
        <v>5712</v>
      </c>
      <c r="I778" s="74" t="s">
        <v>63</v>
      </c>
      <c r="J778" s="74" t="s">
        <v>73</v>
      </c>
      <c r="K778" s="74" t="s">
        <v>6750</v>
      </c>
      <c r="L778" s="74" t="s">
        <v>3002</v>
      </c>
    </row>
    <row r="779" spans="1:12" ht="21.95" customHeight="1">
      <c r="A779" s="149" t="s">
        <v>3210</v>
      </c>
      <c r="B779" s="147"/>
      <c r="C779" s="148"/>
      <c r="D779" s="147"/>
      <c r="E779" s="147"/>
      <c r="F779" s="74"/>
      <c r="G779" s="74" t="s">
        <v>6748</v>
      </c>
      <c r="H779" s="74" t="s">
        <v>5713</v>
      </c>
      <c r="I779" s="74" t="s">
        <v>174</v>
      </c>
      <c r="J779" s="74" t="s">
        <v>36</v>
      </c>
      <c r="K779" s="74" t="s">
        <v>6750</v>
      </c>
      <c r="L779" s="74" t="s">
        <v>3208</v>
      </c>
    </row>
    <row r="780" spans="1:12" ht="21.95" customHeight="1">
      <c r="A780" s="149" t="s">
        <v>3215</v>
      </c>
      <c r="B780" s="147" t="s">
        <v>4893</v>
      </c>
      <c r="C780" s="148">
        <v>46067</v>
      </c>
      <c r="D780" s="147" t="s">
        <v>4894</v>
      </c>
      <c r="E780" s="147"/>
      <c r="F780" s="74" t="s">
        <v>5987</v>
      </c>
      <c r="G780" s="74" t="s">
        <v>4920</v>
      </c>
      <c r="H780" s="74" t="s">
        <v>5714</v>
      </c>
      <c r="I780" s="74" t="s">
        <v>63</v>
      </c>
      <c r="J780" s="74" t="s">
        <v>243</v>
      </c>
      <c r="K780" s="74" t="s">
        <v>387</v>
      </c>
      <c r="L780" s="74" t="s">
        <v>3002</v>
      </c>
    </row>
    <row r="781" spans="1:12" ht="21.95" customHeight="1">
      <c r="A781" s="149" t="s">
        <v>3217</v>
      </c>
      <c r="B781" s="147"/>
      <c r="C781" s="148"/>
      <c r="D781" s="147"/>
      <c r="E781" s="147"/>
      <c r="F781" s="74"/>
      <c r="G781" s="74" t="s">
        <v>6748</v>
      </c>
      <c r="H781" s="74" t="s">
        <v>5715</v>
      </c>
      <c r="I781" s="74" t="s">
        <v>1816</v>
      </c>
      <c r="J781" s="74" t="s">
        <v>36</v>
      </c>
      <c r="K781" s="74" t="s">
        <v>6750</v>
      </c>
      <c r="L781" s="74" t="s">
        <v>3002</v>
      </c>
    </row>
    <row r="782" spans="1:12" ht="21.95" customHeight="1">
      <c r="A782" s="149" t="s">
        <v>3218</v>
      </c>
      <c r="B782" s="147" t="s">
        <v>4893</v>
      </c>
      <c r="C782" s="148">
        <v>46067</v>
      </c>
      <c r="D782" s="147" t="s">
        <v>4894</v>
      </c>
      <c r="E782" s="147"/>
      <c r="F782" s="74" t="s">
        <v>5987</v>
      </c>
      <c r="G782" s="74" t="s">
        <v>4920</v>
      </c>
      <c r="H782" s="74" t="s">
        <v>5716</v>
      </c>
      <c r="I782" s="74" t="s">
        <v>202</v>
      </c>
      <c r="J782" s="74" t="s">
        <v>36</v>
      </c>
      <c r="K782" s="74" t="s">
        <v>6750</v>
      </c>
      <c r="L782" s="74" t="s">
        <v>3002</v>
      </c>
    </row>
    <row r="783" spans="1:12" ht="21.95" customHeight="1">
      <c r="A783" s="149" t="s">
        <v>3222</v>
      </c>
      <c r="B783" s="147"/>
      <c r="C783" s="148"/>
      <c r="D783" s="147"/>
      <c r="E783" s="147"/>
      <c r="F783" s="74"/>
      <c r="G783" s="74" t="s">
        <v>6748</v>
      </c>
      <c r="H783" s="74" t="s">
        <v>5717</v>
      </c>
      <c r="I783" s="74" t="s">
        <v>174</v>
      </c>
      <c r="J783" s="74" t="s">
        <v>3223</v>
      </c>
      <c r="K783" s="74" t="s">
        <v>387</v>
      </c>
      <c r="L783" s="74" t="s">
        <v>3002</v>
      </c>
    </row>
    <row r="784" spans="1:12" ht="21.95" customHeight="1">
      <c r="A784" s="149" t="s">
        <v>3238</v>
      </c>
      <c r="B784" s="147" t="s">
        <v>4893</v>
      </c>
      <c r="C784" s="148">
        <v>46067</v>
      </c>
      <c r="D784" s="147" t="s">
        <v>4894</v>
      </c>
      <c r="E784" s="147"/>
      <c r="F784" s="74" t="s">
        <v>5987</v>
      </c>
      <c r="G784" s="74" t="s">
        <v>4920</v>
      </c>
      <c r="H784" s="74" t="s">
        <v>5718</v>
      </c>
      <c r="I784" s="74" t="s">
        <v>63</v>
      </c>
      <c r="J784" s="74" t="s">
        <v>36</v>
      </c>
      <c r="K784" s="74" t="s">
        <v>6750</v>
      </c>
      <c r="L784" s="74" t="s">
        <v>3237</v>
      </c>
    </row>
    <row r="785" spans="1:12" ht="21.95" customHeight="1">
      <c r="A785" s="149" t="s">
        <v>3248</v>
      </c>
      <c r="B785" s="147"/>
      <c r="C785" s="148"/>
      <c r="D785" s="147"/>
      <c r="E785" s="147"/>
      <c r="F785" s="74"/>
      <c r="G785" s="74" t="s">
        <v>6748</v>
      </c>
      <c r="H785" s="74" t="s">
        <v>5719</v>
      </c>
      <c r="I785" s="74" t="s">
        <v>695</v>
      </c>
      <c r="J785" s="74" t="s">
        <v>538</v>
      </c>
      <c r="K785" s="74" t="s">
        <v>387</v>
      </c>
      <c r="L785" s="74" t="s">
        <v>3246</v>
      </c>
    </row>
    <row r="786" spans="1:12" ht="21.95" customHeight="1">
      <c r="A786" s="149" t="s">
        <v>3258</v>
      </c>
      <c r="B786" s="147" t="s">
        <v>4893</v>
      </c>
      <c r="C786" s="148">
        <v>46067</v>
      </c>
      <c r="D786" s="147" t="s">
        <v>4871</v>
      </c>
      <c r="E786" s="147" t="s">
        <v>4904</v>
      </c>
      <c r="F786" s="74"/>
      <c r="G786" s="74" t="s">
        <v>4920</v>
      </c>
      <c r="H786" s="74" t="s">
        <v>5720</v>
      </c>
      <c r="I786" s="74" t="s">
        <v>30</v>
      </c>
      <c r="J786" s="74" t="s">
        <v>126</v>
      </c>
      <c r="K786" s="74" t="s">
        <v>6750</v>
      </c>
      <c r="L786" s="74" t="s">
        <v>3257</v>
      </c>
    </row>
    <row r="787" spans="1:12" ht="21.95" customHeight="1">
      <c r="A787" s="149" t="s">
        <v>3263</v>
      </c>
      <c r="B787" s="147"/>
      <c r="C787" s="148"/>
      <c r="D787" s="147"/>
      <c r="E787" s="147"/>
      <c r="F787" s="74"/>
      <c r="G787" s="74" t="s">
        <v>6748</v>
      </c>
      <c r="H787" s="74" t="s">
        <v>5721</v>
      </c>
      <c r="I787" s="74" t="s">
        <v>24</v>
      </c>
      <c r="J787" s="74" t="s">
        <v>46</v>
      </c>
      <c r="K787" s="74" t="s">
        <v>6750</v>
      </c>
      <c r="L787" s="74" t="s">
        <v>3002</v>
      </c>
    </row>
    <row r="788" spans="1:12" ht="21.95" customHeight="1">
      <c r="A788" s="149" t="s">
        <v>3273</v>
      </c>
      <c r="B788" s="147" t="s">
        <v>4893</v>
      </c>
      <c r="C788" s="148">
        <v>46067</v>
      </c>
      <c r="D788" s="147" t="s">
        <v>4894</v>
      </c>
      <c r="E788" s="147"/>
      <c r="F788" s="74" t="s">
        <v>5987</v>
      </c>
      <c r="G788" s="74" t="s">
        <v>4920</v>
      </c>
      <c r="H788" s="74" t="s">
        <v>5722</v>
      </c>
      <c r="I788" s="74" t="s">
        <v>63</v>
      </c>
      <c r="J788" s="74" t="s">
        <v>36</v>
      </c>
      <c r="K788" s="74" t="s">
        <v>6750</v>
      </c>
      <c r="L788" s="74" t="s">
        <v>3272</v>
      </c>
    </row>
    <row r="789" spans="1:12" ht="21.95" customHeight="1">
      <c r="A789" s="149" t="s">
        <v>3276</v>
      </c>
      <c r="B789" s="147"/>
      <c r="C789" s="148"/>
      <c r="D789" s="147"/>
      <c r="E789" s="147"/>
      <c r="F789" s="74"/>
      <c r="G789" s="74" t="s">
        <v>6748</v>
      </c>
      <c r="H789" s="74" t="s">
        <v>5723</v>
      </c>
      <c r="I789" s="74" t="s">
        <v>734</v>
      </c>
      <c r="J789" s="74" t="s">
        <v>538</v>
      </c>
      <c r="K789" s="74" t="s">
        <v>387</v>
      </c>
      <c r="L789" s="74" t="s">
        <v>3275</v>
      </c>
    </row>
    <row r="790" spans="1:12" ht="21.95" customHeight="1">
      <c r="A790" s="149" t="s">
        <v>3281</v>
      </c>
      <c r="B790" s="147" t="s">
        <v>4893</v>
      </c>
      <c r="C790" s="148">
        <v>46067</v>
      </c>
      <c r="D790" s="147" t="s">
        <v>4871</v>
      </c>
      <c r="E790" s="147" t="s">
        <v>4905</v>
      </c>
      <c r="F790" s="74" t="s">
        <v>6810</v>
      </c>
      <c r="G790" s="74" t="s">
        <v>4920</v>
      </c>
      <c r="H790" s="74" t="s">
        <v>5724</v>
      </c>
      <c r="I790" s="74" t="s">
        <v>68</v>
      </c>
      <c r="J790" s="74" t="s">
        <v>36</v>
      </c>
      <c r="K790" s="74" t="s">
        <v>6750</v>
      </c>
      <c r="L790" s="74" t="s">
        <v>3279</v>
      </c>
    </row>
    <row r="791" spans="1:12" ht="21.95" customHeight="1">
      <c r="A791" s="149" t="s">
        <v>3318</v>
      </c>
      <c r="B791" s="147"/>
      <c r="C791" s="148"/>
      <c r="D791" s="147"/>
      <c r="E791" s="147"/>
      <c r="F791" s="74"/>
      <c r="G791" s="74" t="s">
        <v>6748</v>
      </c>
      <c r="H791" s="74" t="s">
        <v>5725</v>
      </c>
      <c r="I791" s="74" t="s">
        <v>24</v>
      </c>
      <c r="J791" s="74" t="s">
        <v>36</v>
      </c>
      <c r="K791" s="74" t="s">
        <v>6750</v>
      </c>
      <c r="L791" s="74" t="s">
        <v>3317</v>
      </c>
    </row>
    <row r="792" spans="1:12" ht="21.95" customHeight="1">
      <c r="A792" s="149" t="s">
        <v>3336</v>
      </c>
      <c r="B792" s="147"/>
      <c r="C792" s="148"/>
      <c r="D792" s="147"/>
      <c r="E792" s="147"/>
      <c r="F792" s="74"/>
      <c r="G792" s="74" t="s">
        <v>6748</v>
      </c>
      <c r="H792" s="74" t="s">
        <v>5726</v>
      </c>
      <c r="I792" s="74" t="s">
        <v>63</v>
      </c>
      <c r="J792" s="74" t="s">
        <v>126</v>
      </c>
      <c r="K792" s="74" t="s">
        <v>6750</v>
      </c>
      <c r="L792" s="74" t="s">
        <v>3335</v>
      </c>
    </row>
    <row r="793" spans="1:12" ht="21.95" customHeight="1">
      <c r="A793" s="149" t="s">
        <v>6404</v>
      </c>
      <c r="B793" s="147"/>
      <c r="C793" s="148"/>
      <c r="D793" s="147"/>
      <c r="E793" s="147"/>
      <c r="F793" s="74"/>
      <c r="G793" s="74" t="s">
        <v>6748</v>
      </c>
      <c r="H793" s="74" t="s">
        <v>5727</v>
      </c>
      <c r="I793" s="74" t="s">
        <v>112</v>
      </c>
      <c r="J793" s="74" t="s">
        <v>126</v>
      </c>
      <c r="K793" s="74" t="s">
        <v>6750</v>
      </c>
      <c r="L793" s="74" t="s">
        <v>3339</v>
      </c>
    </row>
    <row r="794" spans="1:12" ht="21.95" customHeight="1">
      <c r="A794" s="149" t="s">
        <v>6405</v>
      </c>
      <c r="B794" s="147"/>
      <c r="C794" s="148"/>
      <c r="D794" s="147"/>
      <c r="E794" s="147"/>
      <c r="F794" s="74"/>
      <c r="G794" s="74" t="s">
        <v>6748</v>
      </c>
      <c r="H794" s="74" t="s">
        <v>5728</v>
      </c>
      <c r="I794" s="74" t="s">
        <v>125</v>
      </c>
      <c r="J794" s="74" t="s">
        <v>36</v>
      </c>
      <c r="K794" s="74" t="s">
        <v>6750</v>
      </c>
      <c r="L794" s="74" t="s">
        <v>3342</v>
      </c>
    </row>
    <row r="795" spans="1:12" ht="21.95" customHeight="1">
      <c r="A795" s="149" t="s">
        <v>6406</v>
      </c>
      <c r="B795" s="147"/>
      <c r="C795" s="148"/>
      <c r="D795" s="147"/>
      <c r="E795" s="147"/>
      <c r="F795" s="74"/>
      <c r="G795" s="74" t="s">
        <v>6748</v>
      </c>
      <c r="H795" s="74" t="s">
        <v>5729</v>
      </c>
      <c r="I795" s="74" t="s">
        <v>807</v>
      </c>
      <c r="J795" s="74" t="s">
        <v>46</v>
      </c>
      <c r="K795" s="74" t="s">
        <v>6750</v>
      </c>
      <c r="L795" s="74" t="s">
        <v>3351</v>
      </c>
    </row>
    <row r="796" spans="1:12" ht="21.95" customHeight="1">
      <c r="A796" s="149" t="s">
        <v>6407</v>
      </c>
      <c r="B796" s="147" t="s">
        <v>4893</v>
      </c>
      <c r="C796" s="148">
        <v>46067</v>
      </c>
      <c r="D796" s="147" t="s">
        <v>4894</v>
      </c>
      <c r="E796" s="147"/>
      <c r="F796" s="74" t="s">
        <v>5987</v>
      </c>
      <c r="G796" s="74" t="s">
        <v>4920</v>
      </c>
      <c r="H796" s="74" t="s">
        <v>5730</v>
      </c>
      <c r="I796" s="74" t="s">
        <v>129</v>
      </c>
      <c r="J796" s="74" t="s">
        <v>3357</v>
      </c>
      <c r="K796" s="74" t="s">
        <v>387</v>
      </c>
      <c r="L796" s="74" t="s">
        <v>3355</v>
      </c>
    </row>
    <row r="797" spans="1:12" ht="21.95" customHeight="1">
      <c r="A797" s="149" t="s">
        <v>6408</v>
      </c>
      <c r="B797" s="147"/>
      <c r="C797" s="148"/>
      <c r="D797" s="147"/>
      <c r="E797" s="147"/>
      <c r="F797" s="74"/>
      <c r="G797" s="74" t="s">
        <v>6748</v>
      </c>
      <c r="H797" s="74" t="s">
        <v>5731</v>
      </c>
      <c r="I797" s="74" t="s">
        <v>169</v>
      </c>
      <c r="J797" s="74" t="s">
        <v>36</v>
      </c>
      <c r="K797" s="74" t="s">
        <v>6750</v>
      </c>
      <c r="L797" s="74" t="s">
        <v>3372</v>
      </c>
    </row>
    <row r="798" spans="1:12" ht="21.95" customHeight="1">
      <c r="A798" s="149" t="s">
        <v>6409</v>
      </c>
      <c r="B798" s="147" t="s">
        <v>4893</v>
      </c>
      <c r="C798" s="148">
        <v>46067</v>
      </c>
      <c r="D798" s="147" t="s">
        <v>4894</v>
      </c>
      <c r="E798" s="147"/>
      <c r="F798" s="74" t="s">
        <v>5987</v>
      </c>
      <c r="G798" s="74" t="s">
        <v>4920</v>
      </c>
      <c r="H798" s="74" t="s">
        <v>5732</v>
      </c>
      <c r="I798" s="74" t="s">
        <v>202</v>
      </c>
      <c r="J798" s="74" t="s">
        <v>3376</v>
      </c>
      <c r="K798" s="74" t="s">
        <v>6750</v>
      </c>
      <c r="L798" s="74" t="s">
        <v>3375</v>
      </c>
    </row>
    <row r="799" spans="1:12" ht="21.95" customHeight="1">
      <c r="A799" s="149" t="s">
        <v>6410</v>
      </c>
      <c r="B799" s="147"/>
      <c r="C799" s="148"/>
      <c r="D799" s="147"/>
      <c r="E799" s="147"/>
      <c r="F799" s="74"/>
      <c r="G799" s="74" t="s">
        <v>6748</v>
      </c>
      <c r="H799" s="74" t="s">
        <v>5733</v>
      </c>
      <c r="I799" s="74" t="s">
        <v>93</v>
      </c>
      <c r="J799" s="74" t="s">
        <v>36</v>
      </c>
      <c r="K799" s="74" t="s">
        <v>6750</v>
      </c>
      <c r="L799" s="74" t="s">
        <v>804</v>
      </c>
    </row>
    <row r="800" spans="1:12" ht="21.95" customHeight="1">
      <c r="A800" s="149" t="s">
        <v>6411</v>
      </c>
      <c r="B800" s="147" t="s">
        <v>4893</v>
      </c>
      <c r="C800" s="148">
        <v>46060</v>
      </c>
      <c r="D800" s="147" t="s">
        <v>4871</v>
      </c>
      <c r="E800" s="147"/>
      <c r="F800" s="74" t="s">
        <v>6808</v>
      </c>
      <c r="G800" s="74" t="s">
        <v>4920</v>
      </c>
      <c r="H800" s="74" t="s">
        <v>5734</v>
      </c>
      <c r="I800" s="74" t="s">
        <v>169</v>
      </c>
      <c r="J800" s="74" t="s">
        <v>36</v>
      </c>
      <c r="K800" s="74" t="s">
        <v>6750</v>
      </c>
      <c r="L800" s="74" t="s">
        <v>3384</v>
      </c>
    </row>
    <row r="801" spans="1:12" ht="21.95" customHeight="1">
      <c r="A801" s="149" t="s">
        <v>6412</v>
      </c>
      <c r="B801" s="147"/>
      <c r="C801" s="148"/>
      <c r="D801" s="147"/>
      <c r="E801" s="147"/>
      <c r="F801" s="74"/>
      <c r="G801" s="74" t="s">
        <v>6748</v>
      </c>
      <c r="H801" s="74" t="s">
        <v>5735</v>
      </c>
      <c r="I801" s="74" t="s">
        <v>202</v>
      </c>
      <c r="J801" s="74" t="s">
        <v>3389</v>
      </c>
      <c r="K801" s="74" t="s">
        <v>387</v>
      </c>
      <c r="L801" s="74" t="s">
        <v>3388</v>
      </c>
    </row>
    <row r="802" spans="1:12" ht="21.95" customHeight="1">
      <c r="A802" s="149" t="s">
        <v>6413</v>
      </c>
      <c r="B802" s="147" t="s">
        <v>4893</v>
      </c>
      <c r="C802" s="148">
        <v>46060</v>
      </c>
      <c r="D802" s="147" t="s">
        <v>4894</v>
      </c>
      <c r="E802" s="147"/>
      <c r="F802" s="74" t="s">
        <v>5987</v>
      </c>
      <c r="G802" s="74" t="s">
        <v>4920</v>
      </c>
      <c r="H802" s="74" t="s">
        <v>5736</v>
      </c>
      <c r="I802" s="74" t="s">
        <v>112</v>
      </c>
      <c r="J802" s="74" t="s">
        <v>36</v>
      </c>
      <c r="K802" s="74" t="s">
        <v>6750</v>
      </c>
      <c r="L802" s="74" t="s">
        <v>3392</v>
      </c>
    </row>
    <row r="803" spans="1:12" ht="21.95" customHeight="1">
      <c r="A803" s="149" t="s">
        <v>6414</v>
      </c>
      <c r="B803" s="147"/>
      <c r="C803" s="148"/>
      <c r="D803" s="147"/>
      <c r="E803" s="147"/>
      <c r="F803" s="74"/>
      <c r="G803" s="74" t="s">
        <v>6748</v>
      </c>
      <c r="H803" s="74" t="s">
        <v>5737</v>
      </c>
      <c r="I803" s="74" t="s">
        <v>112</v>
      </c>
      <c r="J803" s="74" t="s">
        <v>538</v>
      </c>
      <c r="K803" s="74" t="s">
        <v>387</v>
      </c>
      <c r="L803" s="74" t="s">
        <v>3226</v>
      </c>
    </row>
    <row r="804" spans="1:12" ht="21.95" customHeight="1">
      <c r="A804" s="149" t="s">
        <v>6415</v>
      </c>
      <c r="B804" s="147" t="s">
        <v>4893</v>
      </c>
      <c r="C804" s="148">
        <v>46060</v>
      </c>
      <c r="D804" s="147" t="s">
        <v>4871</v>
      </c>
      <c r="E804" s="147" t="s">
        <v>4904</v>
      </c>
      <c r="F804" s="74"/>
      <c r="G804" s="74" t="s">
        <v>4920</v>
      </c>
      <c r="H804" s="74" t="s">
        <v>5738</v>
      </c>
      <c r="I804" s="74" t="s">
        <v>112</v>
      </c>
      <c r="J804" s="74" t="s">
        <v>36</v>
      </c>
      <c r="K804" s="74" t="s">
        <v>6750</v>
      </c>
      <c r="L804" s="74" t="s">
        <v>3397</v>
      </c>
    </row>
    <row r="805" spans="1:12" ht="21.95" customHeight="1">
      <c r="A805" s="149" t="s">
        <v>6416</v>
      </c>
      <c r="B805" s="147" t="s">
        <v>4893</v>
      </c>
      <c r="C805" s="148">
        <v>46067</v>
      </c>
      <c r="D805" s="147" t="s">
        <v>4871</v>
      </c>
      <c r="E805" s="147" t="s">
        <v>4904</v>
      </c>
      <c r="F805" s="74"/>
      <c r="G805" s="74" t="s">
        <v>4920</v>
      </c>
      <c r="H805" s="74" t="s">
        <v>5739</v>
      </c>
      <c r="I805" s="74" t="s">
        <v>24</v>
      </c>
      <c r="J805" s="74" t="s">
        <v>250</v>
      </c>
      <c r="K805" s="74" t="s">
        <v>6750</v>
      </c>
      <c r="L805" s="74" t="s">
        <v>3412</v>
      </c>
    </row>
    <row r="806" spans="1:12" ht="21.95" customHeight="1">
      <c r="A806" s="149" t="s">
        <v>6417</v>
      </c>
      <c r="B806" s="147"/>
      <c r="C806" s="148"/>
      <c r="D806" s="147"/>
      <c r="E806" s="147"/>
      <c r="F806" s="74"/>
      <c r="G806" s="74" t="s">
        <v>6748</v>
      </c>
      <c r="H806" s="74" t="s">
        <v>5740</v>
      </c>
      <c r="I806" s="74" t="s">
        <v>112</v>
      </c>
      <c r="J806" s="74" t="s">
        <v>36</v>
      </c>
      <c r="K806" s="74" t="s">
        <v>6750</v>
      </c>
      <c r="L806" s="74" t="s">
        <v>3414</v>
      </c>
    </row>
    <row r="807" spans="1:12" ht="21.95" customHeight="1">
      <c r="A807" s="149" t="s">
        <v>6418</v>
      </c>
      <c r="B807" s="147"/>
      <c r="C807" s="148"/>
      <c r="D807" s="147"/>
      <c r="E807" s="147"/>
      <c r="F807" s="74"/>
      <c r="G807" s="74" t="s">
        <v>6748</v>
      </c>
      <c r="H807" s="74" t="s">
        <v>5741</v>
      </c>
      <c r="I807" s="74" t="s">
        <v>174</v>
      </c>
      <c r="J807" s="74" t="s">
        <v>46</v>
      </c>
      <c r="K807" s="74" t="s">
        <v>6750</v>
      </c>
      <c r="L807" s="74" t="s">
        <v>3419</v>
      </c>
    </row>
    <row r="808" spans="1:12" ht="21.95" customHeight="1">
      <c r="A808" s="149" t="s">
        <v>6419</v>
      </c>
      <c r="B808" s="147" t="s">
        <v>4893</v>
      </c>
      <c r="C808" s="148">
        <v>46067</v>
      </c>
      <c r="D808" s="147" t="s">
        <v>4871</v>
      </c>
      <c r="E808" s="147" t="s">
        <v>4904</v>
      </c>
      <c r="F808" s="74"/>
      <c r="G808" s="74" t="s">
        <v>4920</v>
      </c>
      <c r="H808" s="74" t="s">
        <v>5742</v>
      </c>
      <c r="I808" s="74" t="s">
        <v>426</v>
      </c>
      <c r="J808" s="74" t="s">
        <v>46</v>
      </c>
      <c r="K808" s="74" t="s">
        <v>6750</v>
      </c>
      <c r="L808" s="74" t="s">
        <v>3423</v>
      </c>
    </row>
    <row r="809" spans="1:12" ht="21.95" customHeight="1">
      <c r="A809" s="149" t="s">
        <v>3430</v>
      </c>
      <c r="B809" s="147"/>
      <c r="C809" s="148"/>
      <c r="D809" s="147"/>
      <c r="E809" s="147"/>
      <c r="F809" s="74"/>
      <c r="G809" s="74" t="s">
        <v>6748</v>
      </c>
      <c r="H809" s="74" t="s">
        <v>5743</v>
      </c>
      <c r="I809" s="74" t="s">
        <v>202</v>
      </c>
      <c r="J809" s="74" t="s">
        <v>126</v>
      </c>
      <c r="K809" s="74" t="s">
        <v>6750</v>
      </c>
      <c r="L809" s="74" t="s">
        <v>3428</v>
      </c>
    </row>
    <row r="810" spans="1:12" ht="21.95" customHeight="1">
      <c r="A810" s="149" t="s">
        <v>3468</v>
      </c>
      <c r="B810" s="147"/>
      <c r="C810" s="148"/>
      <c r="D810" s="147"/>
      <c r="E810" s="147"/>
      <c r="F810" s="74"/>
      <c r="G810" s="74" t="s">
        <v>6748</v>
      </c>
      <c r="H810" s="74" t="s">
        <v>5744</v>
      </c>
      <c r="I810" s="74" t="s">
        <v>112</v>
      </c>
      <c r="J810" s="74" t="s">
        <v>36</v>
      </c>
      <c r="K810" s="74" t="s">
        <v>6750</v>
      </c>
      <c r="L810" s="74" t="s">
        <v>3467</v>
      </c>
    </row>
    <row r="811" spans="1:12" ht="21.95" customHeight="1">
      <c r="A811" s="149" t="s">
        <v>3506</v>
      </c>
      <c r="B811" s="147"/>
      <c r="C811" s="148"/>
      <c r="D811" s="147"/>
      <c r="E811" s="147"/>
      <c r="F811" s="74"/>
      <c r="G811" s="74" t="s">
        <v>6748</v>
      </c>
      <c r="H811" s="74" t="s">
        <v>5745</v>
      </c>
      <c r="I811" s="74" t="s">
        <v>68</v>
      </c>
      <c r="J811" s="74" t="s">
        <v>36</v>
      </c>
      <c r="K811" s="74" t="s">
        <v>6750</v>
      </c>
      <c r="L811" s="74" t="s">
        <v>3505</v>
      </c>
    </row>
    <row r="812" spans="1:12" ht="21.95" customHeight="1">
      <c r="A812" s="149" t="s">
        <v>3539</v>
      </c>
      <c r="B812" s="147"/>
      <c r="C812" s="148"/>
      <c r="D812" s="147"/>
      <c r="E812" s="147"/>
      <c r="F812" s="74"/>
      <c r="G812" s="74" t="s">
        <v>6748</v>
      </c>
      <c r="H812" s="74" t="s">
        <v>5746</v>
      </c>
      <c r="I812" s="74" t="s">
        <v>174</v>
      </c>
      <c r="J812" s="74" t="s">
        <v>250</v>
      </c>
      <c r="K812" s="74" t="s">
        <v>6750</v>
      </c>
      <c r="L812" s="74" t="s">
        <v>3538</v>
      </c>
    </row>
    <row r="813" spans="1:12" ht="21.95" customHeight="1">
      <c r="A813" s="149" t="s">
        <v>3543</v>
      </c>
      <c r="B813" s="147" t="s">
        <v>4893</v>
      </c>
      <c r="C813" s="148">
        <v>46060</v>
      </c>
      <c r="D813" s="147" t="s">
        <v>4894</v>
      </c>
      <c r="E813" s="147"/>
      <c r="F813" s="74" t="s">
        <v>5987</v>
      </c>
      <c r="G813" s="74" t="s">
        <v>4920</v>
      </c>
      <c r="H813" s="74" t="s">
        <v>5747</v>
      </c>
      <c r="I813" s="74" t="s">
        <v>174</v>
      </c>
      <c r="J813" s="74" t="s">
        <v>3544</v>
      </c>
      <c r="K813" s="74" t="s">
        <v>6750</v>
      </c>
      <c r="L813" s="74" t="s">
        <v>3542</v>
      </c>
    </row>
    <row r="814" spans="1:12" ht="21.95" customHeight="1">
      <c r="A814" s="149" t="s">
        <v>3547</v>
      </c>
      <c r="B814" s="147"/>
      <c r="C814" s="148"/>
      <c r="D814" s="147"/>
      <c r="E814" s="147"/>
      <c r="F814" s="74"/>
      <c r="G814" s="74" t="s">
        <v>6748</v>
      </c>
      <c r="H814" s="74" t="s">
        <v>5748</v>
      </c>
      <c r="I814" s="74" t="s">
        <v>174</v>
      </c>
      <c r="J814" s="74" t="s">
        <v>3548</v>
      </c>
      <c r="K814" s="74" t="s">
        <v>387</v>
      </c>
      <c r="L814" s="74" t="s">
        <v>3546</v>
      </c>
    </row>
    <row r="815" spans="1:12" ht="21.95" customHeight="1">
      <c r="A815" s="149" t="s">
        <v>3553</v>
      </c>
      <c r="B815" s="147" t="s">
        <v>4893</v>
      </c>
      <c r="C815" s="148">
        <v>46060</v>
      </c>
      <c r="D815" s="147" t="s">
        <v>4894</v>
      </c>
      <c r="E815" s="147"/>
      <c r="F815" s="74" t="s">
        <v>5987</v>
      </c>
      <c r="G815" s="74" t="s">
        <v>4920</v>
      </c>
      <c r="H815" s="74" t="s">
        <v>5749</v>
      </c>
      <c r="I815" s="74" t="s">
        <v>85</v>
      </c>
      <c r="J815" s="74" t="s">
        <v>126</v>
      </c>
      <c r="K815" s="74" t="s">
        <v>6750</v>
      </c>
      <c r="L815" s="74" t="s">
        <v>3551</v>
      </c>
    </row>
    <row r="816" spans="1:12" ht="21.95" customHeight="1">
      <c r="A816" s="149" t="s">
        <v>6420</v>
      </c>
      <c r="B816" s="147"/>
      <c r="C816" s="148"/>
      <c r="D816" s="147"/>
      <c r="E816" s="147"/>
      <c r="F816" s="74"/>
      <c r="G816" s="74" t="s">
        <v>6748</v>
      </c>
      <c r="H816" s="74" t="s">
        <v>5750</v>
      </c>
      <c r="I816" s="74" t="s">
        <v>63</v>
      </c>
      <c r="J816" s="74" t="s">
        <v>126</v>
      </c>
      <c r="K816" s="74" t="s">
        <v>6750</v>
      </c>
      <c r="L816" s="74" t="s">
        <v>3335</v>
      </c>
    </row>
    <row r="817" spans="1:12" ht="21.95" customHeight="1">
      <c r="A817" s="149" t="s">
        <v>3581</v>
      </c>
      <c r="B817" s="147" t="s">
        <v>4893</v>
      </c>
      <c r="C817" s="148">
        <v>46060</v>
      </c>
      <c r="D817" s="147" t="s">
        <v>4894</v>
      </c>
      <c r="E817" s="147"/>
      <c r="F817" s="74" t="s">
        <v>5987</v>
      </c>
      <c r="G817" s="74" t="s">
        <v>4920</v>
      </c>
      <c r="H817" s="74" t="s">
        <v>5751</v>
      </c>
      <c r="I817" s="74" t="s">
        <v>2207</v>
      </c>
      <c r="J817" s="74" t="s">
        <v>3544</v>
      </c>
      <c r="K817" s="74" t="s">
        <v>6750</v>
      </c>
      <c r="L817" s="74" t="s">
        <v>3335</v>
      </c>
    </row>
    <row r="818" spans="1:12" ht="21.95" customHeight="1">
      <c r="A818" s="149" t="s">
        <v>3594</v>
      </c>
      <c r="B818" s="147"/>
      <c r="C818" s="148"/>
      <c r="D818" s="147"/>
      <c r="E818" s="147"/>
      <c r="F818" s="74"/>
      <c r="G818" s="74" t="s">
        <v>6748</v>
      </c>
      <c r="H818" s="74" t="s">
        <v>5752</v>
      </c>
      <c r="I818" s="74" t="s">
        <v>63</v>
      </c>
      <c r="J818" s="74" t="s">
        <v>36</v>
      </c>
      <c r="K818" s="74" t="s">
        <v>6750</v>
      </c>
      <c r="L818" s="74" t="s">
        <v>3593</v>
      </c>
    </row>
    <row r="819" spans="1:12" ht="21.95" customHeight="1">
      <c r="A819" s="149" t="s">
        <v>3598</v>
      </c>
      <c r="B819" s="147"/>
      <c r="C819" s="148"/>
      <c r="D819" s="147"/>
      <c r="E819" s="147"/>
      <c r="F819" s="74"/>
      <c r="G819" s="74" t="s">
        <v>6748</v>
      </c>
      <c r="H819" s="74" t="s">
        <v>5753</v>
      </c>
      <c r="I819" s="74" t="s">
        <v>63</v>
      </c>
      <c r="J819" s="74" t="s">
        <v>126</v>
      </c>
      <c r="K819" s="74" t="s">
        <v>6750</v>
      </c>
      <c r="L819" s="74" t="s">
        <v>3335</v>
      </c>
    </row>
    <row r="820" spans="1:12" ht="21.95" customHeight="1">
      <c r="A820" s="149" t="s">
        <v>3600</v>
      </c>
      <c r="B820" s="147"/>
      <c r="C820" s="148"/>
      <c r="D820" s="147"/>
      <c r="E820" s="147"/>
      <c r="F820" s="74"/>
      <c r="G820" s="74" t="s">
        <v>6748</v>
      </c>
      <c r="H820" s="74" t="s">
        <v>5754</v>
      </c>
      <c r="I820" s="74" t="s">
        <v>202</v>
      </c>
      <c r="J820" s="74" t="s">
        <v>36</v>
      </c>
      <c r="K820" s="74" t="s">
        <v>6750</v>
      </c>
      <c r="L820" s="74" t="s">
        <v>3335</v>
      </c>
    </row>
    <row r="821" spans="1:12" ht="21.95" customHeight="1">
      <c r="A821" s="149" t="s">
        <v>3602</v>
      </c>
      <c r="B821" s="147"/>
      <c r="C821" s="148"/>
      <c r="D821" s="147"/>
      <c r="E821" s="147"/>
      <c r="F821" s="74"/>
      <c r="G821" s="74" t="s">
        <v>6748</v>
      </c>
      <c r="H821" s="74" t="s">
        <v>5755</v>
      </c>
      <c r="I821" s="74" t="s">
        <v>63</v>
      </c>
      <c r="J821" s="74" t="s">
        <v>3544</v>
      </c>
      <c r="K821" s="74" t="s">
        <v>6750</v>
      </c>
      <c r="L821" s="74" t="s">
        <v>3335</v>
      </c>
    </row>
    <row r="822" spans="1:12" ht="21.95" customHeight="1">
      <c r="A822" s="149" t="s">
        <v>3696</v>
      </c>
      <c r="B822" s="147"/>
      <c r="C822" s="148"/>
      <c r="D822" s="147"/>
      <c r="E822" s="147"/>
      <c r="F822" s="74"/>
      <c r="G822" s="74" t="s">
        <v>6748</v>
      </c>
      <c r="H822" s="74" t="s">
        <v>5756</v>
      </c>
      <c r="I822" s="74" t="s">
        <v>202</v>
      </c>
      <c r="J822" s="74" t="s">
        <v>36</v>
      </c>
      <c r="K822" s="74" t="s">
        <v>6750</v>
      </c>
      <c r="L822" s="74" t="s">
        <v>3607</v>
      </c>
    </row>
    <row r="823" spans="1:12" ht="21.95" customHeight="1">
      <c r="A823" s="149" t="s">
        <v>6421</v>
      </c>
      <c r="B823" s="147"/>
      <c r="C823" s="148"/>
      <c r="D823" s="147"/>
      <c r="E823" s="147"/>
      <c r="F823" s="74"/>
      <c r="G823" s="74" t="s">
        <v>6748</v>
      </c>
      <c r="H823" s="74" t="s">
        <v>5757</v>
      </c>
      <c r="I823" s="74" t="s">
        <v>125</v>
      </c>
      <c r="J823" s="74" t="s">
        <v>73</v>
      </c>
      <c r="K823" s="74" t="s">
        <v>6750</v>
      </c>
      <c r="L823" s="74" t="s">
        <v>3335</v>
      </c>
    </row>
    <row r="824" spans="1:12" ht="21.95" customHeight="1">
      <c r="A824" s="149" t="s">
        <v>3612</v>
      </c>
      <c r="B824" s="147"/>
      <c r="C824" s="148"/>
      <c r="D824" s="147"/>
      <c r="E824" s="147"/>
      <c r="F824" s="74"/>
      <c r="G824" s="74" t="s">
        <v>6748</v>
      </c>
      <c r="H824" s="74" t="s">
        <v>5758</v>
      </c>
      <c r="I824" s="74" t="s">
        <v>63</v>
      </c>
      <c r="J824" s="74" t="s">
        <v>36</v>
      </c>
      <c r="K824" s="74" t="s">
        <v>6750</v>
      </c>
      <c r="L824" s="74" t="s">
        <v>3335</v>
      </c>
    </row>
    <row r="825" spans="1:12" ht="21.95" customHeight="1">
      <c r="A825" s="149" t="s">
        <v>3623</v>
      </c>
      <c r="B825" s="147"/>
      <c r="C825" s="148"/>
      <c r="D825" s="147"/>
      <c r="E825" s="147"/>
      <c r="F825" s="74"/>
      <c r="G825" s="74" t="s">
        <v>6748</v>
      </c>
      <c r="H825" s="74" t="s">
        <v>5759</v>
      </c>
      <c r="I825" s="74" t="s">
        <v>63</v>
      </c>
      <c r="J825" s="74" t="s">
        <v>81</v>
      </c>
      <c r="K825" s="74" t="s">
        <v>387</v>
      </c>
      <c r="L825" s="74" t="s">
        <v>3335</v>
      </c>
    </row>
    <row r="826" spans="1:12" ht="21.95" customHeight="1">
      <c r="A826" s="149" t="s">
        <v>3625</v>
      </c>
      <c r="B826" s="147"/>
      <c r="C826" s="148"/>
      <c r="D826" s="147"/>
      <c r="E826" s="147"/>
      <c r="F826" s="74"/>
      <c r="G826" s="74" t="s">
        <v>6748</v>
      </c>
      <c r="H826" s="74" t="s">
        <v>5760</v>
      </c>
      <c r="I826" s="74" t="s">
        <v>261</v>
      </c>
      <c r="J826" s="74" t="s">
        <v>196</v>
      </c>
      <c r="K826" s="74" t="s">
        <v>6750</v>
      </c>
      <c r="L826" s="74" t="s">
        <v>3335</v>
      </c>
    </row>
    <row r="827" spans="1:12" ht="21.95" customHeight="1">
      <c r="A827" s="149" t="s">
        <v>3633</v>
      </c>
      <c r="B827" s="147"/>
      <c r="C827" s="148"/>
      <c r="D827" s="147"/>
      <c r="E827" s="147"/>
      <c r="F827" s="74"/>
      <c r="G827" s="74" t="s">
        <v>6748</v>
      </c>
      <c r="H827" s="74" t="s">
        <v>5761</v>
      </c>
      <c r="I827" s="74" t="s">
        <v>63</v>
      </c>
      <c r="J827" s="74" t="s">
        <v>36</v>
      </c>
      <c r="K827" s="74" t="s">
        <v>6750</v>
      </c>
      <c r="L827" s="74" t="s">
        <v>3335</v>
      </c>
    </row>
    <row r="828" spans="1:12" ht="21.95" customHeight="1">
      <c r="A828" s="149" t="s">
        <v>3640</v>
      </c>
      <c r="B828" s="147"/>
      <c r="C828" s="148"/>
      <c r="D828" s="147"/>
      <c r="E828" s="147"/>
      <c r="F828" s="74"/>
      <c r="G828" s="74" t="s">
        <v>6748</v>
      </c>
      <c r="H828" s="74" t="s">
        <v>5762</v>
      </c>
      <c r="I828" s="74" t="s">
        <v>63</v>
      </c>
      <c r="J828" s="74" t="s">
        <v>538</v>
      </c>
      <c r="K828" s="74" t="s">
        <v>387</v>
      </c>
      <c r="L828" s="74" t="s">
        <v>3335</v>
      </c>
    </row>
    <row r="829" spans="1:12" ht="21.95" customHeight="1">
      <c r="A829" s="149" t="s">
        <v>3647</v>
      </c>
      <c r="B829" s="147"/>
      <c r="C829" s="148"/>
      <c r="D829" s="147"/>
      <c r="E829" s="147"/>
      <c r="F829" s="74"/>
      <c r="G829" s="74" t="s">
        <v>6748</v>
      </c>
      <c r="H829" s="74" t="s">
        <v>5763</v>
      </c>
      <c r="I829" s="74" t="s">
        <v>2052</v>
      </c>
      <c r="J829" s="74" t="s">
        <v>1352</v>
      </c>
      <c r="K829" s="74" t="s">
        <v>387</v>
      </c>
      <c r="L829" s="74" t="s">
        <v>3335</v>
      </c>
    </row>
    <row r="830" spans="1:12" ht="21.95" customHeight="1">
      <c r="A830" s="149" t="s">
        <v>3652</v>
      </c>
      <c r="B830" s="147"/>
      <c r="C830" s="148"/>
      <c r="D830" s="147"/>
      <c r="E830" s="147"/>
      <c r="F830" s="74"/>
      <c r="G830" s="74" t="s">
        <v>6748</v>
      </c>
      <c r="H830" s="74" t="s">
        <v>5764</v>
      </c>
      <c r="I830" s="74" t="s">
        <v>63</v>
      </c>
      <c r="J830" s="74" t="s">
        <v>36</v>
      </c>
      <c r="K830" s="74" t="s">
        <v>6750</v>
      </c>
      <c r="L830" s="74" t="s">
        <v>3335</v>
      </c>
    </row>
    <row r="831" spans="1:12" ht="21.95" customHeight="1">
      <c r="A831" s="149" t="s">
        <v>3657</v>
      </c>
      <c r="B831" s="147"/>
      <c r="C831" s="148"/>
      <c r="D831" s="147"/>
      <c r="E831" s="147"/>
      <c r="F831" s="74"/>
      <c r="G831" s="74" t="s">
        <v>6748</v>
      </c>
      <c r="H831" s="74" t="s">
        <v>5765</v>
      </c>
      <c r="I831" s="74" t="s">
        <v>501</v>
      </c>
      <c r="J831" s="74" t="s">
        <v>36</v>
      </c>
      <c r="K831" s="74" t="s">
        <v>6750</v>
      </c>
      <c r="L831" s="74" t="s">
        <v>3335</v>
      </c>
    </row>
    <row r="832" spans="1:12" ht="21.95" customHeight="1">
      <c r="A832" s="149" t="s">
        <v>6422</v>
      </c>
      <c r="B832" s="147"/>
      <c r="C832" s="148"/>
      <c r="D832" s="147"/>
      <c r="E832" s="147"/>
      <c r="F832" s="74"/>
      <c r="G832" s="74" t="s">
        <v>6748</v>
      </c>
      <c r="H832" s="74" t="s">
        <v>5766</v>
      </c>
      <c r="I832" s="74" t="s">
        <v>202</v>
      </c>
      <c r="J832" s="74" t="s">
        <v>36</v>
      </c>
      <c r="K832" s="74" t="s">
        <v>6750</v>
      </c>
      <c r="L832" s="74" t="s">
        <v>3335</v>
      </c>
    </row>
    <row r="833" spans="1:12" ht="21.95" customHeight="1">
      <c r="A833" s="149" t="s">
        <v>3667</v>
      </c>
      <c r="B833" s="147"/>
      <c r="C833" s="148"/>
      <c r="D833" s="147"/>
      <c r="E833" s="147"/>
      <c r="F833" s="74"/>
      <c r="G833" s="74" t="s">
        <v>6748</v>
      </c>
      <c r="H833" s="74" t="s">
        <v>5767</v>
      </c>
      <c r="I833" s="74" t="s">
        <v>63</v>
      </c>
      <c r="J833" s="74" t="s">
        <v>36</v>
      </c>
      <c r="K833" s="74" t="s">
        <v>6750</v>
      </c>
      <c r="L833" s="74" t="s">
        <v>3335</v>
      </c>
    </row>
    <row r="834" spans="1:12" ht="21.95" customHeight="1">
      <c r="A834" s="149" t="s">
        <v>3669</v>
      </c>
      <c r="B834" s="147"/>
      <c r="C834" s="148"/>
      <c r="D834" s="147"/>
      <c r="E834" s="147"/>
      <c r="F834" s="74"/>
      <c r="G834" s="74" t="s">
        <v>6748</v>
      </c>
      <c r="H834" s="74" t="s">
        <v>5768</v>
      </c>
      <c r="I834" s="74" t="s">
        <v>24</v>
      </c>
      <c r="J834" s="74" t="s">
        <v>36</v>
      </c>
      <c r="K834" s="74" t="s">
        <v>6750</v>
      </c>
      <c r="L834" s="74" t="s">
        <v>3335</v>
      </c>
    </row>
    <row r="835" spans="1:12" ht="21.95" customHeight="1">
      <c r="A835" s="149" t="s">
        <v>3674</v>
      </c>
      <c r="B835" s="147"/>
      <c r="C835" s="148"/>
      <c r="D835" s="147"/>
      <c r="E835" s="147"/>
      <c r="F835" s="74"/>
      <c r="G835" s="74" t="s">
        <v>6748</v>
      </c>
      <c r="H835" s="74" t="s">
        <v>5769</v>
      </c>
      <c r="I835" s="74" t="s">
        <v>63</v>
      </c>
      <c r="J835" s="74" t="s">
        <v>36</v>
      </c>
      <c r="K835" s="74" t="s">
        <v>6750</v>
      </c>
      <c r="L835" s="74" t="s">
        <v>3335</v>
      </c>
    </row>
    <row r="836" spans="1:12" ht="21.95" customHeight="1">
      <c r="A836" s="149" t="s">
        <v>3677</v>
      </c>
      <c r="B836" s="147"/>
      <c r="C836" s="148"/>
      <c r="D836" s="147"/>
      <c r="E836" s="147"/>
      <c r="F836" s="74"/>
      <c r="G836" s="74" t="s">
        <v>6748</v>
      </c>
      <c r="H836" s="74" t="s">
        <v>5770</v>
      </c>
      <c r="I836" s="74" t="s">
        <v>63</v>
      </c>
      <c r="J836" s="74" t="s">
        <v>73</v>
      </c>
      <c r="K836" s="74" t="s">
        <v>6750</v>
      </c>
      <c r="L836" s="74" t="s">
        <v>3676</v>
      </c>
    </row>
    <row r="837" spans="1:12" ht="21.95" customHeight="1">
      <c r="A837" s="149" t="s">
        <v>3681</v>
      </c>
      <c r="B837" s="147"/>
      <c r="C837" s="148"/>
      <c r="D837" s="147"/>
      <c r="E837" s="147"/>
      <c r="F837" s="74"/>
      <c r="G837" s="74" t="s">
        <v>6748</v>
      </c>
      <c r="H837" s="74" t="s">
        <v>5771</v>
      </c>
      <c r="I837" s="74" t="s">
        <v>169</v>
      </c>
      <c r="J837" s="74" t="s">
        <v>3682</v>
      </c>
      <c r="K837" s="74" t="s">
        <v>387</v>
      </c>
      <c r="L837" s="74" t="s">
        <v>3680</v>
      </c>
    </row>
    <row r="838" spans="1:12" ht="21.95" customHeight="1">
      <c r="A838" s="149" t="s">
        <v>3687</v>
      </c>
      <c r="B838" s="147"/>
      <c r="C838" s="148"/>
      <c r="D838" s="147"/>
      <c r="E838" s="147"/>
      <c r="F838" s="74"/>
      <c r="G838" s="74" t="s">
        <v>6748</v>
      </c>
      <c r="H838" s="74" t="s">
        <v>5772</v>
      </c>
      <c r="I838" s="74" t="s">
        <v>89</v>
      </c>
      <c r="J838" s="74" t="s">
        <v>3682</v>
      </c>
      <c r="K838" s="74" t="s">
        <v>387</v>
      </c>
      <c r="L838" s="74" t="s">
        <v>3685</v>
      </c>
    </row>
    <row r="839" spans="1:12" ht="21.95" customHeight="1">
      <c r="A839" s="149" t="s">
        <v>3693</v>
      </c>
      <c r="B839" s="147"/>
      <c r="C839" s="148"/>
      <c r="D839" s="147"/>
      <c r="E839" s="147"/>
      <c r="F839" s="74"/>
      <c r="G839" s="74" t="s">
        <v>6748</v>
      </c>
      <c r="H839" s="74" t="s">
        <v>5773</v>
      </c>
      <c r="I839" s="74" t="s">
        <v>734</v>
      </c>
      <c r="J839" s="74" t="s">
        <v>73</v>
      </c>
      <c r="K839" s="74" t="s">
        <v>6750</v>
      </c>
      <c r="L839" s="74" t="s">
        <v>3692</v>
      </c>
    </row>
    <row r="840" spans="1:12" ht="21.95" customHeight="1">
      <c r="A840" s="149" t="s">
        <v>3696</v>
      </c>
      <c r="B840" s="147"/>
      <c r="C840" s="148"/>
      <c r="D840" s="147"/>
      <c r="E840" s="147"/>
      <c r="F840" s="74"/>
      <c r="G840" s="74" t="s">
        <v>6748</v>
      </c>
      <c r="H840" s="74" t="s">
        <v>5756</v>
      </c>
      <c r="I840" s="74" t="s">
        <v>202</v>
      </c>
      <c r="J840" s="74" t="s">
        <v>36</v>
      </c>
      <c r="K840" s="74" t="s">
        <v>6750</v>
      </c>
      <c r="L840" s="74" t="s">
        <v>3694</v>
      </c>
    </row>
    <row r="841" spans="1:12" ht="21.95" customHeight="1">
      <c r="A841" s="149" t="s">
        <v>3700</v>
      </c>
      <c r="B841" s="147"/>
      <c r="C841" s="148"/>
      <c r="D841" s="147"/>
      <c r="E841" s="147"/>
      <c r="F841" s="74"/>
      <c r="G841" s="74" t="s">
        <v>6748</v>
      </c>
      <c r="H841" s="74" t="s">
        <v>5774</v>
      </c>
      <c r="I841" s="74" t="s">
        <v>93</v>
      </c>
      <c r="J841" s="74" t="s">
        <v>196</v>
      </c>
      <c r="K841" s="74" t="s">
        <v>6750</v>
      </c>
      <c r="L841" s="74" t="s">
        <v>3699</v>
      </c>
    </row>
    <row r="842" spans="1:12" ht="21.95" customHeight="1">
      <c r="A842" s="149" t="s">
        <v>3711</v>
      </c>
      <c r="B842" s="147"/>
      <c r="C842" s="148"/>
      <c r="D842" s="147"/>
      <c r="E842" s="147"/>
      <c r="F842" s="74"/>
      <c r="G842" s="74" t="s">
        <v>6748</v>
      </c>
      <c r="H842" s="74" t="s">
        <v>5775</v>
      </c>
      <c r="I842" s="74" t="s">
        <v>63</v>
      </c>
      <c r="J842" s="74" t="s">
        <v>36</v>
      </c>
      <c r="K842" s="74" t="s">
        <v>6750</v>
      </c>
      <c r="L842" s="74" t="s">
        <v>3709</v>
      </c>
    </row>
    <row r="843" spans="1:12" ht="21.95" customHeight="1">
      <c r="A843" s="149" t="s">
        <v>6423</v>
      </c>
      <c r="B843" s="147"/>
      <c r="C843" s="148"/>
      <c r="D843" s="147"/>
      <c r="E843" s="147"/>
      <c r="F843" s="74"/>
      <c r="G843" s="74" t="s">
        <v>6748</v>
      </c>
      <c r="H843" s="74" t="s">
        <v>5776</v>
      </c>
      <c r="I843" s="74" t="s">
        <v>807</v>
      </c>
      <c r="J843" s="74" t="s">
        <v>126</v>
      </c>
      <c r="K843" s="74" t="s">
        <v>6750</v>
      </c>
      <c r="L843" s="74" t="s">
        <v>3717</v>
      </c>
    </row>
    <row r="844" spans="1:12" ht="21.95" customHeight="1">
      <c r="A844" s="149" t="s">
        <v>6424</v>
      </c>
      <c r="B844" s="147"/>
      <c r="C844" s="148"/>
      <c r="D844" s="147"/>
      <c r="E844" s="147"/>
      <c r="F844" s="74"/>
      <c r="G844" s="74" t="s">
        <v>6748</v>
      </c>
      <c r="H844" s="74" t="s">
        <v>5777</v>
      </c>
      <c r="I844" s="74" t="s">
        <v>240</v>
      </c>
      <c r="J844" s="74" t="s">
        <v>36</v>
      </c>
      <c r="K844" s="74" t="s">
        <v>6750</v>
      </c>
      <c r="L844" s="74" t="s">
        <v>3720</v>
      </c>
    </row>
    <row r="845" spans="1:12" ht="21.95" customHeight="1">
      <c r="A845" s="149" t="s">
        <v>6425</v>
      </c>
      <c r="B845" s="147"/>
      <c r="C845" s="148"/>
      <c r="D845" s="147"/>
      <c r="E845" s="147"/>
      <c r="F845" s="74"/>
      <c r="G845" s="74" t="s">
        <v>6748</v>
      </c>
      <c r="H845" s="74" t="s">
        <v>5778</v>
      </c>
      <c r="I845" s="74" t="s">
        <v>174</v>
      </c>
      <c r="J845" s="74" t="s">
        <v>538</v>
      </c>
      <c r="K845" s="74" t="s">
        <v>387</v>
      </c>
      <c r="L845" s="74" t="s">
        <v>3723</v>
      </c>
    </row>
    <row r="846" spans="1:12" ht="21.95" customHeight="1">
      <c r="A846" s="149" t="s">
        <v>6426</v>
      </c>
      <c r="B846" s="147"/>
      <c r="C846" s="148"/>
      <c r="D846" s="147"/>
      <c r="E846" s="147"/>
      <c r="F846" s="74"/>
      <c r="G846" s="74" t="s">
        <v>6748</v>
      </c>
      <c r="H846" s="74" t="s">
        <v>5779</v>
      </c>
      <c r="I846" s="74" t="s">
        <v>202</v>
      </c>
      <c r="J846" s="74" t="s">
        <v>1352</v>
      </c>
      <c r="K846" s="74" t="s">
        <v>387</v>
      </c>
      <c r="L846" s="74" t="s">
        <v>3725</v>
      </c>
    </row>
    <row r="847" spans="1:12" ht="21.95" customHeight="1">
      <c r="A847" s="149" t="s">
        <v>6181</v>
      </c>
      <c r="B847" s="147"/>
      <c r="C847" s="148"/>
      <c r="D847" s="147"/>
      <c r="E847" s="147"/>
      <c r="F847" s="74"/>
      <c r="G847" s="74" t="s">
        <v>6748</v>
      </c>
      <c r="H847" s="74" t="s">
        <v>5780</v>
      </c>
      <c r="I847" s="74" t="s">
        <v>169</v>
      </c>
      <c r="J847" s="74" t="s">
        <v>250</v>
      </c>
      <c r="K847" s="74" t="s">
        <v>6750</v>
      </c>
      <c r="L847" s="74" t="s">
        <v>3727</v>
      </c>
    </row>
    <row r="848" spans="1:12" ht="21.95" customHeight="1">
      <c r="A848" s="149" t="s">
        <v>6427</v>
      </c>
      <c r="B848" s="147"/>
      <c r="C848" s="148"/>
      <c r="D848" s="147"/>
      <c r="E848" s="147"/>
      <c r="F848" s="74"/>
      <c r="G848" s="74" t="s">
        <v>6748</v>
      </c>
      <c r="H848" s="74" t="s">
        <v>5781</v>
      </c>
      <c r="I848" s="74" t="s">
        <v>3729</v>
      </c>
      <c r="J848" s="74" t="s">
        <v>73</v>
      </c>
      <c r="K848" s="74" t="s">
        <v>6750</v>
      </c>
      <c r="L848" s="74" t="s">
        <v>3730</v>
      </c>
    </row>
    <row r="849" spans="1:12" ht="21.95" customHeight="1">
      <c r="A849" s="149" t="s">
        <v>6428</v>
      </c>
      <c r="B849" s="147"/>
      <c r="C849" s="148"/>
      <c r="D849" s="147"/>
      <c r="E849" s="147"/>
      <c r="F849" s="74"/>
      <c r="G849" s="74" t="s">
        <v>6748</v>
      </c>
      <c r="H849" s="74" t="s">
        <v>5782</v>
      </c>
      <c r="I849" s="74" t="s">
        <v>202</v>
      </c>
      <c r="J849" s="74" t="s">
        <v>46</v>
      </c>
      <c r="K849" s="74" t="s">
        <v>6750</v>
      </c>
      <c r="L849" s="74" t="s">
        <v>3732</v>
      </c>
    </row>
    <row r="850" spans="1:12" ht="21.95" customHeight="1">
      <c r="A850" s="149" t="s">
        <v>6383</v>
      </c>
      <c r="B850" s="147"/>
      <c r="C850" s="148"/>
      <c r="D850" s="147"/>
      <c r="E850" s="147"/>
      <c r="F850" s="74"/>
      <c r="G850" s="74" t="s">
        <v>6748</v>
      </c>
      <c r="H850" s="74" t="s">
        <v>5783</v>
      </c>
      <c r="I850" s="74" t="s">
        <v>112</v>
      </c>
      <c r="J850" s="74" t="s">
        <v>36</v>
      </c>
      <c r="K850" s="74" t="s">
        <v>6750</v>
      </c>
      <c r="L850" s="74" t="s">
        <v>3736</v>
      </c>
    </row>
    <row r="851" spans="1:12" ht="21.95" customHeight="1">
      <c r="A851" s="149" t="s">
        <v>6429</v>
      </c>
      <c r="B851" s="147"/>
      <c r="C851" s="148"/>
      <c r="D851" s="147"/>
      <c r="E851" s="147"/>
      <c r="F851" s="74"/>
      <c r="G851" s="74" t="s">
        <v>6748</v>
      </c>
      <c r="H851" s="74" t="s">
        <v>5784</v>
      </c>
      <c r="I851" s="74" t="s">
        <v>63</v>
      </c>
      <c r="J851" s="74" t="s">
        <v>36</v>
      </c>
      <c r="K851" s="74" t="s">
        <v>6750</v>
      </c>
      <c r="L851" s="74" t="s">
        <v>3740</v>
      </c>
    </row>
    <row r="852" spans="1:12" ht="21.95" customHeight="1">
      <c r="A852" s="149" t="s">
        <v>6430</v>
      </c>
      <c r="B852" s="147"/>
      <c r="C852" s="148"/>
      <c r="D852" s="147"/>
      <c r="E852" s="147"/>
      <c r="F852" s="74"/>
      <c r="G852" s="74" t="s">
        <v>6748</v>
      </c>
      <c r="H852" s="74" t="s">
        <v>5785</v>
      </c>
      <c r="I852" s="74" t="s">
        <v>125</v>
      </c>
      <c r="J852" s="74" t="s">
        <v>538</v>
      </c>
      <c r="K852" s="74" t="s">
        <v>387</v>
      </c>
      <c r="L852" s="74" t="s">
        <v>3747</v>
      </c>
    </row>
    <row r="853" spans="1:12" ht="21.95" customHeight="1">
      <c r="A853" s="149" t="s">
        <v>6373</v>
      </c>
      <c r="B853" s="147"/>
      <c r="C853" s="148"/>
      <c r="D853" s="147"/>
      <c r="E853" s="147"/>
      <c r="F853" s="74"/>
      <c r="G853" s="74" t="s">
        <v>6748</v>
      </c>
      <c r="H853" s="74" t="s">
        <v>5632</v>
      </c>
      <c r="I853" s="74" t="s">
        <v>169</v>
      </c>
      <c r="J853" s="74" t="s">
        <v>250</v>
      </c>
      <c r="K853" s="74" t="s">
        <v>6750</v>
      </c>
      <c r="L853" s="74" t="s">
        <v>3752</v>
      </c>
    </row>
    <row r="854" spans="1:12" ht="21.95" customHeight="1">
      <c r="A854" s="149" t="s">
        <v>6431</v>
      </c>
      <c r="B854" s="147"/>
      <c r="C854" s="148"/>
      <c r="D854" s="147"/>
      <c r="E854" s="147"/>
      <c r="F854" s="74"/>
      <c r="G854" s="74" t="s">
        <v>6748</v>
      </c>
      <c r="H854" s="74" t="s">
        <v>5786</v>
      </c>
      <c r="I854" s="74" t="s">
        <v>125</v>
      </c>
      <c r="J854" s="74" t="s">
        <v>126</v>
      </c>
      <c r="K854" s="74" t="s">
        <v>6750</v>
      </c>
      <c r="L854" s="74" t="s">
        <v>3754</v>
      </c>
    </row>
    <row r="855" spans="1:12" ht="21.95" customHeight="1">
      <c r="A855" s="149" t="s">
        <v>6432</v>
      </c>
      <c r="B855" s="147"/>
      <c r="C855" s="148"/>
      <c r="D855" s="147"/>
      <c r="E855" s="147"/>
      <c r="F855" s="74"/>
      <c r="G855" s="74" t="s">
        <v>6748</v>
      </c>
      <c r="H855" s="74" t="s">
        <v>5787</v>
      </c>
      <c r="I855" s="74" t="s">
        <v>695</v>
      </c>
      <c r="J855" s="74" t="s">
        <v>538</v>
      </c>
      <c r="K855" s="74" t="s">
        <v>387</v>
      </c>
      <c r="L855" s="74" t="s">
        <v>3757</v>
      </c>
    </row>
    <row r="856" spans="1:12" ht="21.95" customHeight="1">
      <c r="A856" s="149" t="s">
        <v>6433</v>
      </c>
      <c r="B856" s="147"/>
      <c r="C856" s="148"/>
      <c r="D856" s="147"/>
      <c r="E856" s="147"/>
      <c r="F856" s="74"/>
      <c r="G856" s="74" t="s">
        <v>6748</v>
      </c>
      <c r="H856" s="74" t="s">
        <v>5788</v>
      </c>
      <c r="I856" s="74" t="s">
        <v>63</v>
      </c>
      <c r="J856" s="74" t="s">
        <v>46</v>
      </c>
      <c r="K856" s="74" t="s">
        <v>6750</v>
      </c>
      <c r="L856" s="74" t="s">
        <v>3763</v>
      </c>
    </row>
    <row r="857" spans="1:12" ht="21.95" customHeight="1">
      <c r="A857" s="149" t="s">
        <v>6434</v>
      </c>
      <c r="B857" s="147"/>
      <c r="C857" s="148"/>
      <c r="D857" s="147"/>
      <c r="E857" s="147"/>
      <c r="F857" s="74"/>
      <c r="G857" s="74" t="s">
        <v>6748</v>
      </c>
      <c r="H857" s="74" t="s">
        <v>5789</v>
      </c>
      <c r="I857" s="74" t="s">
        <v>63</v>
      </c>
      <c r="J857" s="74" t="s">
        <v>46</v>
      </c>
      <c r="K857" s="74" t="s">
        <v>6750</v>
      </c>
      <c r="L857" s="74" t="s">
        <v>3768</v>
      </c>
    </row>
    <row r="858" spans="1:12" ht="21.95" customHeight="1">
      <c r="A858" s="149" t="s">
        <v>6435</v>
      </c>
      <c r="B858" s="147"/>
      <c r="C858" s="148"/>
      <c r="D858" s="147"/>
      <c r="E858" s="147"/>
      <c r="F858" s="74"/>
      <c r="G858" s="74" t="s">
        <v>6748</v>
      </c>
      <c r="H858" s="74" t="s">
        <v>5790</v>
      </c>
      <c r="I858" s="74" t="s">
        <v>169</v>
      </c>
      <c r="J858" s="74" t="s">
        <v>1352</v>
      </c>
      <c r="K858" s="74" t="s">
        <v>387</v>
      </c>
      <c r="L858" s="74" t="s">
        <v>3770</v>
      </c>
    </row>
    <row r="859" spans="1:12" ht="21.95" customHeight="1">
      <c r="A859" s="149" t="s">
        <v>6436</v>
      </c>
      <c r="B859" s="147"/>
      <c r="C859" s="148"/>
      <c r="D859" s="147"/>
      <c r="E859" s="147"/>
      <c r="F859" s="74"/>
      <c r="G859" s="74" t="s">
        <v>6748</v>
      </c>
      <c r="H859" s="74" t="s">
        <v>5791</v>
      </c>
      <c r="I859" s="74" t="s">
        <v>174</v>
      </c>
      <c r="J859" s="74" t="s">
        <v>3682</v>
      </c>
      <c r="K859" s="74" t="s">
        <v>387</v>
      </c>
      <c r="L859" s="74" t="s">
        <v>3774</v>
      </c>
    </row>
    <row r="860" spans="1:12" ht="21.95" customHeight="1">
      <c r="A860" s="149" t="s">
        <v>6437</v>
      </c>
      <c r="B860" s="147"/>
      <c r="C860" s="148"/>
      <c r="D860" s="147"/>
      <c r="E860" s="147"/>
      <c r="F860" s="74"/>
      <c r="G860" s="74" t="s">
        <v>6748</v>
      </c>
      <c r="H860" s="74" t="s">
        <v>5792</v>
      </c>
      <c r="I860" s="74" t="s">
        <v>63</v>
      </c>
      <c r="J860" s="74" t="s">
        <v>36</v>
      </c>
      <c r="K860" s="74" t="s">
        <v>6750</v>
      </c>
      <c r="L860" s="74" t="s">
        <v>3783</v>
      </c>
    </row>
    <row r="861" spans="1:12" ht="21.95" customHeight="1">
      <c r="A861" s="149" t="s">
        <v>6438</v>
      </c>
      <c r="B861" s="147"/>
      <c r="C861" s="148"/>
      <c r="D861" s="147"/>
      <c r="E861" s="147"/>
      <c r="F861" s="74"/>
      <c r="G861" s="74" t="s">
        <v>6748</v>
      </c>
      <c r="H861" s="74" t="s">
        <v>5793</v>
      </c>
      <c r="I861" s="74" t="s">
        <v>24</v>
      </c>
      <c r="J861" s="74" t="s">
        <v>126</v>
      </c>
      <c r="K861" s="74" t="s">
        <v>6750</v>
      </c>
      <c r="L861" s="74" t="s">
        <v>3786</v>
      </c>
    </row>
    <row r="862" spans="1:12" ht="21.95" customHeight="1">
      <c r="A862" s="149" t="s">
        <v>6439</v>
      </c>
      <c r="B862" s="147"/>
      <c r="C862" s="148"/>
      <c r="D862" s="147"/>
      <c r="E862" s="147"/>
      <c r="F862" s="74"/>
      <c r="G862" s="74" t="s">
        <v>6748</v>
      </c>
      <c r="H862" s="74" t="s">
        <v>5794</v>
      </c>
      <c r="I862" s="74" t="s">
        <v>125</v>
      </c>
      <c r="J862" s="74" t="s">
        <v>36</v>
      </c>
      <c r="K862" s="74" t="s">
        <v>6750</v>
      </c>
      <c r="L862" s="74" t="s">
        <v>3791</v>
      </c>
    </row>
    <row r="863" spans="1:12" ht="21.95" customHeight="1">
      <c r="A863" s="149" t="s">
        <v>6440</v>
      </c>
      <c r="B863" s="147"/>
      <c r="C863" s="148"/>
      <c r="D863" s="147"/>
      <c r="E863" s="147"/>
      <c r="F863" s="74"/>
      <c r="G863" s="74" t="s">
        <v>6748</v>
      </c>
      <c r="H863" s="74" t="s">
        <v>5795</v>
      </c>
      <c r="I863" s="74" t="s">
        <v>125</v>
      </c>
      <c r="J863" s="74" t="s">
        <v>3357</v>
      </c>
      <c r="K863" s="74" t="s">
        <v>387</v>
      </c>
      <c r="L863" s="74" t="s">
        <v>3794</v>
      </c>
    </row>
    <row r="864" spans="1:12" ht="21.95" customHeight="1">
      <c r="A864" s="149" t="s">
        <v>6441</v>
      </c>
      <c r="B864" s="147"/>
      <c r="C864" s="148"/>
      <c r="D864" s="147"/>
      <c r="E864" s="147"/>
      <c r="F864" s="74"/>
      <c r="G864" s="74" t="s">
        <v>6748</v>
      </c>
      <c r="H864" s="74" t="s">
        <v>5796</v>
      </c>
      <c r="I864" s="74" t="s">
        <v>2207</v>
      </c>
      <c r="J864" s="74" t="s">
        <v>36</v>
      </c>
      <c r="K864" s="74" t="s">
        <v>6750</v>
      </c>
      <c r="L864" s="74" t="s">
        <v>3796</v>
      </c>
    </row>
    <row r="865" spans="1:12" ht="21.95" customHeight="1">
      <c r="A865" s="149" t="s">
        <v>6442</v>
      </c>
      <c r="B865" s="147"/>
      <c r="C865" s="148"/>
      <c r="D865" s="147"/>
      <c r="E865" s="147"/>
      <c r="F865" s="74"/>
      <c r="G865" s="74" t="s">
        <v>6748</v>
      </c>
      <c r="H865" s="74" t="s">
        <v>5797</v>
      </c>
      <c r="I865" s="74" t="s">
        <v>63</v>
      </c>
      <c r="J865" s="74" t="s">
        <v>3779</v>
      </c>
      <c r="K865" s="74" t="s">
        <v>6750</v>
      </c>
      <c r="L865" s="74" t="s">
        <v>3798</v>
      </c>
    </row>
    <row r="866" spans="1:12" ht="21.95" customHeight="1">
      <c r="A866" s="149" t="s">
        <v>6443</v>
      </c>
      <c r="B866" s="147"/>
      <c r="C866" s="148"/>
      <c r="D866" s="147"/>
      <c r="E866" s="147"/>
      <c r="F866" s="74"/>
      <c r="G866" s="74" t="s">
        <v>6748</v>
      </c>
      <c r="H866" s="74" t="s">
        <v>5798</v>
      </c>
      <c r="I866" s="74" t="s">
        <v>2052</v>
      </c>
      <c r="J866" s="74" t="s">
        <v>36</v>
      </c>
      <c r="K866" s="74" t="s">
        <v>6750</v>
      </c>
      <c r="L866" s="74" t="s">
        <v>3800</v>
      </c>
    </row>
    <row r="867" spans="1:12" ht="21.95" customHeight="1">
      <c r="A867" s="149" t="s">
        <v>6444</v>
      </c>
      <c r="B867" s="147"/>
      <c r="C867" s="148"/>
      <c r="D867" s="147"/>
      <c r="E867" s="147"/>
      <c r="F867" s="74"/>
      <c r="G867" s="74" t="s">
        <v>6748</v>
      </c>
      <c r="H867" s="74" t="s">
        <v>5799</v>
      </c>
      <c r="I867" s="74" t="s">
        <v>112</v>
      </c>
      <c r="J867" s="74" t="s">
        <v>36</v>
      </c>
      <c r="K867" s="74" t="s">
        <v>6750</v>
      </c>
      <c r="L867" s="74" t="s">
        <v>3803</v>
      </c>
    </row>
    <row r="868" spans="1:12" ht="21.95" customHeight="1">
      <c r="A868" s="149" t="s">
        <v>6445</v>
      </c>
      <c r="B868" s="147"/>
      <c r="C868" s="148"/>
      <c r="D868" s="147"/>
      <c r="E868" s="147"/>
      <c r="F868" s="74"/>
      <c r="G868" s="74" t="s">
        <v>6748</v>
      </c>
      <c r="H868" s="74" t="s">
        <v>5800</v>
      </c>
      <c r="I868" s="74" t="s">
        <v>261</v>
      </c>
      <c r="J868" s="74" t="s">
        <v>73</v>
      </c>
      <c r="K868" s="74" t="s">
        <v>6750</v>
      </c>
      <c r="L868" s="74" t="s">
        <v>3806</v>
      </c>
    </row>
    <row r="869" spans="1:12" ht="21.95" customHeight="1">
      <c r="A869" s="149" t="s">
        <v>6446</v>
      </c>
      <c r="B869" s="147"/>
      <c r="C869" s="148"/>
      <c r="D869" s="147"/>
      <c r="E869" s="147"/>
      <c r="F869" s="74"/>
      <c r="G869" s="74" t="s">
        <v>6748</v>
      </c>
      <c r="H869" s="74" t="s">
        <v>5801</v>
      </c>
      <c r="I869" s="74" t="s">
        <v>2052</v>
      </c>
      <c r="J869" s="74" t="s">
        <v>36</v>
      </c>
      <c r="K869" s="74" t="s">
        <v>6750</v>
      </c>
      <c r="L869" s="74" t="s">
        <v>3808</v>
      </c>
    </row>
    <row r="870" spans="1:12" ht="21.95" customHeight="1">
      <c r="A870" s="149" t="s">
        <v>6447</v>
      </c>
      <c r="B870" s="147"/>
      <c r="C870" s="148"/>
      <c r="D870" s="147"/>
      <c r="E870" s="147"/>
      <c r="F870" s="74"/>
      <c r="G870" s="74" t="s">
        <v>6748</v>
      </c>
      <c r="H870" s="74" t="s">
        <v>5802</v>
      </c>
      <c r="I870" s="74" t="s">
        <v>63</v>
      </c>
      <c r="J870" s="74" t="s">
        <v>73</v>
      </c>
      <c r="K870" s="74" t="s">
        <v>6750</v>
      </c>
      <c r="L870" s="74" t="s">
        <v>3226</v>
      </c>
    </row>
    <row r="871" spans="1:12" ht="21.95" customHeight="1">
      <c r="A871" s="149" t="s">
        <v>6448</v>
      </c>
      <c r="B871" s="147"/>
      <c r="C871" s="148"/>
      <c r="D871" s="147"/>
      <c r="E871" s="147"/>
      <c r="F871" s="74"/>
      <c r="G871" s="74" t="s">
        <v>6748</v>
      </c>
      <c r="H871" s="74" t="s">
        <v>5803</v>
      </c>
      <c r="I871" s="74" t="s">
        <v>68</v>
      </c>
      <c r="J871" s="74" t="s">
        <v>36</v>
      </c>
      <c r="K871" s="74" t="s">
        <v>6750</v>
      </c>
      <c r="L871" s="74" t="s">
        <v>3814</v>
      </c>
    </row>
    <row r="872" spans="1:12" ht="21.95" customHeight="1">
      <c r="A872" s="149" t="s">
        <v>6449</v>
      </c>
      <c r="B872" s="147"/>
      <c r="C872" s="148"/>
      <c r="D872" s="147"/>
      <c r="E872" s="147"/>
      <c r="F872" s="74"/>
      <c r="G872" s="74" t="s">
        <v>6748</v>
      </c>
      <c r="H872" s="74" t="s">
        <v>5804</v>
      </c>
      <c r="I872" s="74" t="s">
        <v>63</v>
      </c>
      <c r="J872" s="74" t="s">
        <v>73</v>
      </c>
      <c r="K872" s="74" t="s">
        <v>6750</v>
      </c>
      <c r="L872" s="74" t="s">
        <v>3823</v>
      </c>
    </row>
    <row r="873" spans="1:12" ht="21.95" customHeight="1">
      <c r="A873" s="149" t="s">
        <v>6450</v>
      </c>
      <c r="B873" s="147"/>
      <c r="C873" s="148"/>
      <c r="D873" s="147"/>
      <c r="E873" s="147"/>
      <c r="F873" s="74"/>
      <c r="G873" s="74" t="s">
        <v>6748</v>
      </c>
      <c r="H873" s="74" t="s">
        <v>5805</v>
      </c>
      <c r="I873" s="74" t="s">
        <v>63</v>
      </c>
      <c r="J873" s="74" t="s">
        <v>73</v>
      </c>
      <c r="K873" s="74" t="s">
        <v>6750</v>
      </c>
      <c r="L873" s="74" t="s">
        <v>3831</v>
      </c>
    </row>
    <row r="874" spans="1:12" ht="21.95" customHeight="1">
      <c r="A874" s="149" t="s">
        <v>6451</v>
      </c>
      <c r="B874" s="147"/>
      <c r="C874" s="148"/>
      <c r="D874" s="147"/>
      <c r="E874" s="147"/>
      <c r="F874" s="74"/>
      <c r="G874" s="74" t="s">
        <v>6748</v>
      </c>
      <c r="H874" s="74" t="s">
        <v>5806</v>
      </c>
      <c r="I874" s="74" t="s">
        <v>202</v>
      </c>
      <c r="J874" s="74" t="s">
        <v>968</v>
      </c>
      <c r="K874" s="74" t="s">
        <v>6750</v>
      </c>
      <c r="L874" s="74" t="s">
        <v>3835</v>
      </c>
    </row>
    <row r="875" spans="1:12" ht="21.95" customHeight="1">
      <c r="A875" s="149" t="s">
        <v>6452</v>
      </c>
      <c r="B875" s="147"/>
      <c r="C875" s="148"/>
      <c r="D875" s="147"/>
      <c r="E875" s="147"/>
      <c r="F875" s="74"/>
      <c r="G875" s="74" t="s">
        <v>6748</v>
      </c>
      <c r="H875" s="74" t="s">
        <v>5807</v>
      </c>
      <c r="I875" s="74" t="s">
        <v>169</v>
      </c>
      <c r="J875" s="74" t="s">
        <v>250</v>
      </c>
      <c r="K875" s="74" t="s">
        <v>6750</v>
      </c>
      <c r="L875" s="74" t="s">
        <v>3838</v>
      </c>
    </row>
    <row r="876" spans="1:12" ht="21.95" customHeight="1">
      <c r="A876" s="149" t="s">
        <v>6453</v>
      </c>
      <c r="B876" s="147"/>
      <c r="C876" s="148"/>
      <c r="D876" s="147"/>
      <c r="E876" s="147"/>
      <c r="F876" s="74"/>
      <c r="G876" s="74" t="s">
        <v>6748</v>
      </c>
      <c r="H876" s="74" t="s">
        <v>5808</v>
      </c>
      <c r="I876" s="74" t="s">
        <v>112</v>
      </c>
      <c r="J876" s="74" t="s">
        <v>36</v>
      </c>
      <c r="K876" s="74" t="s">
        <v>6750</v>
      </c>
      <c r="L876" s="74" t="s">
        <v>3840</v>
      </c>
    </row>
    <row r="877" spans="1:12" ht="21.95" customHeight="1">
      <c r="A877" s="149" t="s">
        <v>6454</v>
      </c>
      <c r="B877" s="147"/>
      <c r="C877" s="148"/>
      <c r="D877" s="147"/>
      <c r="E877" s="147"/>
      <c r="F877" s="74"/>
      <c r="G877" s="74" t="s">
        <v>6748</v>
      </c>
      <c r="H877" s="74" t="s">
        <v>5809</v>
      </c>
      <c r="I877" s="74" t="s">
        <v>112</v>
      </c>
      <c r="J877" s="74" t="s">
        <v>3779</v>
      </c>
      <c r="K877" s="74" t="s">
        <v>6750</v>
      </c>
      <c r="L877" s="74" t="s">
        <v>3848</v>
      </c>
    </row>
    <row r="878" spans="1:12" ht="21.95" customHeight="1">
      <c r="A878" s="149" t="s">
        <v>6455</v>
      </c>
      <c r="B878" s="147"/>
      <c r="C878" s="148"/>
      <c r="D878" s="147"/>
      <c r="E878" s="147"/>
      <c r="F878" s="74"/>
      <c r="G878" s="74" t="s">
        <v>6748</v>
      </c>
      <c r="H878" s="74" t="s">
        <v>5810</v>
      </c>
      <c r="I878" s="74" t="s">
        <v>112</v>
      </c>
      <c r="J878" s="74" t="s">
        <v>36</v>
      </c>
      <c r="K878" s="74" t="s">
        <v>6750</v>
      </c>
      <c r="L878" s="74" t="s">
        <v>3857</v>
      </c>
    </row>
    <row r="879" spans="1:12" ht="21.95" customHeight="1">
      <c r="A879" s="149" t="s">
        <v>6456</v>
      </c>
      <c r="B879" s="147"/>
      <c r="C879" s="148"/>
      <c r="D879" s="147"/>
      <c r="E879" s="147"/>
      <c r="F879" s="74"/>
      <c r="G879" s="74" t="s">
        <v>6748</v>
      </c>
      <c r="H879" s="74" t="s">
        <v>5811</v>
      </c>
      <c r="I879" s="74" t="s">
        <v>2052</v>
      </c>
      <c r="J879" s="74" t="s">
        <v>3779</v>
      </c>
      <c r="K879" s="74" t="s">
        <v>6750</v>
      </c>
      <c r="L879" s="74" t="s">
        <v>3859</v>
      </c>
    </row>
    <row r="880" spans="1:12" ht="21.95" customHeight="1">
      <c r="A880" s="149" t="s">
        <v>6457</v>
      </c>
      <c r="B880" s="147"/>
      <c r="C880" s="148"/>
      <c r="D880" s="147"/>
      <c r="E880" s="147"/>
      <c r="F880" s="74"/>
      <c r="G880" s="74" t="s">
        <v>6748</v>
      </c>
      <c r="H880" s="74" t="s">
        <v>5812</v>
      </c>
      <c r="I880" s="74" t="s">
        <v>63</v>
      </c>
      <c r="J880" s="74" t="s">
        <v>3357</v>
      </c>
      <c r="K880" s="74" t="s">
        <v>6750</v>
      </c>
      <c r="L880" s="74" t="s">
        <v>3865</v>
      </c>
    </row>
    <row r="881" spans="1:12" ht="21.95" customHeight="1">
      <c r="A881" s="149" t="s">
        <v>6458</v>
      </c>
      <c r="B881" s="147"/>
      <c r="C881" s="148"/>
      <c r="D881" s="147"/>
      <c r="E881" s="147"/>
      <c r="F881" s="74"/>
      <c r="G881" s="74" t="s">
        <v>6748</v>
      </c>
      <c r="H881" s="74" t="s">
        <v>5813</v>
      </c>
      <c r="I881" s="74" t="s">
        <v>63</v>
      </c>
      <c r="J881" s="74" t="s">
        <v>36</v>
      </c>
      <c r="K881" s="74" t="s">
        <v>6750</v>
      </c>
      <c r="L881" s="74" t="s">
        <v>3868</v>
      </c>
    </row>
    <row r="882" spans="1:12" ht="21.95" customHeight="1">
      <c r="A882" s="149" t="s">
        <v>6459</v>
      </c>
      <c r="B882" s="147"/>
      <c r="C882" s="148"/>
      <c r="D882" s="147"/>
      <c r="E882" s="147"/>
      <c r="F882" s="74"/>
      <c r="G882" s="74" t="s">
        <v>6748</v>
      </c>
      <c r="H882" s="74" t="s">
        <v>5814</v>
      </c>
      <c r="I882" s="74" t="s">
        <v>169</v>
      </c>
      <c r="J882" s="74" t="s">
        <v>196</v>
      </c>
      <c r="K882" s="74" t="s">
        <v>6750</v>
      </c>
      <c r="L882" s="74" t="s">
        <v>3841</v>
      </c>
    </row>
    <row r="883" spans="1:12" ht="21.95" customHeight="1">
      <c r="A883" s="149" t="s">
        <v>6460</v>
      </c>
      <c r="B883" s="147"/>
      <c r="C883" s="148"/>
      <c r="D883" s="147"/>
      <c r="E883" s="147"/>
      <c r="F883" s="74"/>
      <c r="G883" s="74" t="s">
        <v>6748</v>
      </c>
      <c r="H883" s="74" t="s">
        <v>5815</v>
      </c>
      <c r="I883" s="74" t="s">
        <v>63</v>
      </c>
      <c r="J883" s="74" t="s">
        <v>196</v>
      </c>
      <c r="K883" s="74" t="s">
        <v>6750</v>
      </c>
      <c r="L883" s="74" t="s">
        <v>3902</v>
      </c>
    </row>
    <row r="884" spans="1:12" ht="21.95" customHeight="1">
      <c r="A884" s="149" t="s">
        <v>6461</v>
      </c>
      <c r="B884" s="147"/>
      <c r="C884" s="148"/>
      <c r="D884" s="147"/>
      <c r="E884" s="147"/>
      <c r="F884" s="74"/>
      <c r="G884" s="74" t="s">
        <v>6748</v>
      </c>
      <c r="H884" s="74" t="s">
        <v>5816</v>
      </c>
      <c r="I884" s="74" t="s">
        <v>63</v>
      </c>
      <c r="J884" s="74" t="s">
        <v>73</v>
      </c>
      <c r="K884" s="74" t="s">
        <v>6750</v>
      </c>
      <c r="L884" s="74" t="s">
        <v>3908</v>
      </c>
    </row>
    <row r="885" spans="1:12" ht="21.95" customHeight="1">
      <c r="A885" s="149" t="s">
        <v>6462</v>
      </c>
      <c r="B885" s="147"/>
      <c r="C885" s="148"/>
      <c r="D885" s="147"/>
      <c r="E885" s="147"/>
      <c r="F885" s="74"/>
      <c r="G885" s="74" t="s">
        <v>6748</v>
      </c>
      <c r="H885" s="74" t="s">
        <v>5817</v>
      </c>
      <c r="I885" s="74" t="s">
        <v>63</v>
      </c>
      <c r="J885" s="74" t="s">
        <v>73</v>
      </c>
      <c r="K885" s="74" t="s">
        <v>6750</v>
      </c>
      <c r="L885" s="74" t="s">
        <v>3917</v>
      </c>
    </row>
    <row r="886" spans="1:12" ht="21.95" customHeight="1">
      <c r="A886" s="149" t="s">
        <v>6463</v>
      </c>
      <c r="B886" s="147"/>
      <c r="C886" s="148"/>
      <c r="D886" s="147"/>
      <c r="E886" s="147"/>
      <c r="F886" s="74"/>
      <c r="G886" s="74" t="s">
        <v>6748</v>
      </c>
      <c r="H886" s="74" t="s">
        <v>5818</v>
      </c>
      <c r="I886" s="74" t="s">
        <v>695</v>
      </c>
      <c r="J886" s="74" t="s">
        <v>73</v>
      </c>
      <c r="K886" s="74" t="s">
        <v>6750</v>
      </c>
      <c r="L886" s="74" t="s">
        <v>3920</v>
      </c>
    </row>
    <row r="887" spans="1:12" ht="21.95" customHeight="1">
      <c r="A887" s="149" t="s">
        <v>6464</v>
      </c>
      <c r="B887" s="147"/>
      <c r="C887" s="148"/>
      <c r="D887" s="147"/>
      <c r="E887" s="147"/>
      <c r="F887" s="74"/>
      <c r="G887" s="74" t="s">
        <v>6748</v>
      </c>
      <c r="H887" s="74" t="s">
        <v>5819</v>
      </c>
      <c r="I887" s="74" t="s">
        <v>63</v>
      </c>
      <c r="J887" s="74" t="s">
        <v>196</v>
      </c>
      <c r="K887" s="74" t="s">
        <v>6750</v>
      </c>
      <c r="L887" s="74" t="s">
        <v>3923</v>
      </c>
    </row>
    <row r="888" spans="1:12" ht="21.95" customHeight="1">
      <c r="A888" s="149" t="s">
        <v>6465</v>
      </c>
      <c r="B888" s="147"/>
      <c r="C888" s="148"/>
      <c r="D888" s="147"/>
      <c r="E888" s="147"/>
      <c r="F888" s="74"/>
      <c r="G888" s="74" t="s">
        <v>6748</v>
      </c>
      <c r="H888" s="74" t="s">
        <v>5820</v>
      </c>
      <c r="I888" s="74" t="s">
        <v>24</v>
      </c>
      <c r="J888" s="74" t="s">
        <v>46</v>
      </c>
      <c r="K888" s="74" t="s">
        <v>6750</v>
      </c>
      <c r="L888" s="74" t="s">
        <v>3926</v>
      </c>
    </row>
    <row r="889" spans="1:12" ht="21.95" customHeight="1">
      <c r="A889" s="149" t="s">
        <v>6466</v>
      </c>
      <c r="B889" s="147"/>
      <c r="C889" s="148"/>
      <c r="D889" s="147"/>
      <c r="E889" s="147"/>
      <c r="F889" s="74"/>
      <c r="G889" s="74" t="s">
        <v>6748</v>
      </c>
      <c r="H889" s="74" t="s">
        <v>5821</v>
      </c>
      <c r="I889" s="74" t="s">
        <v>93</v>
      </c>
      <c r="J889" s="74" t="s">
        <v>3682</v>
      </c>
      <c r="K889" s="74" t="s">
        <v>387</v>
      </c>
      <c r="L889" s="74" t="s">
        <v>3931</v>
      </c>
    </row>
    <row r="890" spans="1:12" ht="21.95" customHeight="1">
      <c r="A890" s="149" t="s">
        <v>6467</v>
      </c>
      <c r="B890" s="147"/>
      <c r="C890" s="148"/>
      <c r="D890" s="147"/>
      <c r="E890" s="147"/>
      <c r="F890" s="74"/>
      <c r="G890" s="74" t="s">
        <v>6748</v>
      </c>
      <c r="H890" s="74" t="s">
        <v>5822</v>
      </c>
      <c r="I890" s="74" t="s">
        <v>2052</v>
      </c>
      <c r="J890" s="74" t="s">
        <v>3779</v>
      </c>
      <c r="K890" s="74" t="s">
        <v>6750</v>
      </c>
      <c r="L890" s="74" t="s">
        <v>3778</v>
      </c>
    </row>
    <row r="891" spans="1:12" ht="21.95" customHeight="1">
      <c r="A891" s="149" t="s">
        <v>6468</v>
      </c>
      <c r="B891" s="147"/>
      <c r="C891" s="148"/>
      <c r="D891" s="147"/>
      <c r="E891" s="147"/>
      <c r="F891" s="74"/>
      <c r="G891" s="74" t="s">
        <v>6748</v>
      </c>
      <c r="H891" s="74" t="s">
        <v>5823</v>
      </c>
      <c r="I891" s="74" t="s">
        <v>63</v>
      </c>
      <c r="J891" s="74" t="s">
        <v>3357</v>
      </c>
      <c r="K891" s="74" t="s">
        <v>387</v>
      </c>
      <c r="L891" s="74" t="s">
        <v>3940</v>
      </c>
    </row>
    <row r="892" spans="1:12" ht="21.95" customHeight="1">
      <c r="A892" s="149" t="s">
        <v>6469</v>
      </c>
      <c r="B892" s="147"/>
      <c r="C892" s="148"/>
      <c r="D892" s="147"/>
      <c r="E892" s="147"/>
      <c r="F892" s="74"/>
      <c r="G892" s="74" t="s">
        <v>6748</v>
      </c>
      <c r="H892" s="74" t="s">
        <v>5824</v>
      </c>
      <c r="I892" s="74" t="s">
        <v>112</v>
      </c>
      <c r="J892" s="74" t="s">
        <v>36</v>
      </c>
      <c r="K892" s="74" t="s">
        <v>6750</v>
      </c>
      <c r="L892" s="74" t="s">
        <v>3942</v>
      </c>
    </row>
    <row r="893" spans="1:12" ht="21.95" customHeight="1">
      <c r="A893" s="149" t="s">
        <v>6470</v>
      </c>
      <c r="B893" s="147"/>
      <c r="C893" s="148"/>
      <c r="D893" s="147"/>
      <c r="E893" s="147"/>
      <c r="F893" s="74"/>
      <c r="G893" s="74" t="s">
        <v>6748</v>
      </c>
      <c r="H893" s="74" t="s">
        <v>5825</v>
      </c>
      <c r="I893" s="74" t="s">
        <v>632</v>
      </c>
      <c r="J893" s="74" t="s">
        <v>36</v>
      </c>
      <c r="K893" s="74" t="s">
        <v>6750</v>
      </c>
      <c r="L893" s="74" t="s">
        <v>3949</v>
      </c>
    </row>
    <row r="894" spans="1:12" ht="21.95" customHeight="1">
      <c r="A894" s="149" t="s">
        <v>6471</v>
      </c>
      <c r="B894" s="147"/>
      <c r="C894" s="148"/>
      <c r="D894" s="147"/>
      <c r="E894" s="147"/>
      <c r="F894" s="74"/>
      <c r="G894" s="74" t="s">
        <v>6748</v>
      </c>
      <c r="H894" s="74" t="s">
        <v>5826</v>
      </c>
      <c r="I894" s="74" t="s">
        <v>125</v>
      </c>
      <c r="J894" s="74" t="s">
        <v>3682</v>
      </c>
      <c r="K894" s="74" t="s">
        <v>387</v>
      </c>
      <c r="L894" s="74" t="s">
        <v>3952</v>
      </c>
    </row>
    <row r="895" spans="1:12" ht="21.95" customHeight="1">
      <c r="A895" s="149" t="s">
        <v>6472</v>
      </c>
      <c r="B895" s="147"/>
      <c r="C895" s="148"/>
      <c r="D895" s="147"/>
      <c r="E895" s="147"/>
      <c r="F895" s="74"/>
      <c r="G895" s="74" t="s">
        <v>6748</v>
      </c>
      <c r="H895" s="74" t="s">
        <v>5827</v>
      </c>
      <c r="I895" s="74" t="s">
        <v>1776</v>
      </c>
      <c r="J895" s="74" t="s">
        <v>73</v>
      </c>
      <c r="K895" s="74" t="s">
        <v>6750</v>
      </c>
      <c r="L895" s="74" t="s">
        <v>3957</v>
      </c>
    </row>
    <row r="896" spans="1:12" ht="21.95" customHeight="1">
      <c r="A896" s="149" t="s">
        <v>6473</v>
      </c>
      <c r="B896" s="147"/>
      <c r="C896" s="148"/>
      <c r="D896" s="147"/>
      <c r="E896" s="147"/>
      <c r="F896" s="74"/>
      <c r="G896" s="74" t="s">
        <v>6748</v>
      </c>
      <c r="H896" s="74" t="s">
        <v>5828</v>
      </c>
      <c r="I896" s="74" t="s">
        <v>2207</v>
      </c>
      <c r="J896" s="74" t="s">
        <v>538</v>
      </c>
      <c r="K896" s="74" t="s">
        <v>387</v>
      </c>
      <c r="L896" s="74" t="s">
        <v>3962</v>
      </c>
    </row>
    <row r="897" spans="1:12" ht="21.95" customHeight="1">
      <c r="A897" s="149" t="s">
        <v>6474</v>
      </c>
      <c r="B897" s="147"/>
      <c r="C897" s="148"/>
      <c r="D897" s="147"/>
      <c r="E897" s="147"/>
      <c r="F897" s="74"/>
      <c r="G897" s="74" t="s">
        <v>6748</v>
      </c>
      <c r="H897" s="74" t="s">
        <v>5829</v>
      </c>
      <c r="I897" s="74" t="s">
        <v>63</v>
      </c>
      <c r="J897" s="74" t="s">
        <v>538</v>
      </c>
      <c r="K897" s="74" t="s">
        <v>387</v>
      </c>
      <c r="L897" s="74" t="s">
        <v>3966</v>
      </c>
    </row>
    <row r="898" spans="1:12" ht="21.95" customHeight="1">
      <c r="A898" s="149" t="s">
        <v>6475</v>
      </c>
      <c r="B898" s="147"/>
      <c r="C898" s="148"/>
      <c r="D898" s="147"/>
      <c r="E898" s="147"/>
      <c r="F898" s="74"/>
      <c r="G898" s="74" t="s">
        <v>6748</v>
      </c>
      <c r="H898" s="74" t="s">
        <v>5830</v>
      </c>
      <c r="I898" s="74" t="s">
        <v>125</v>
      </c>
      <c r="J898" s="74" t="s">
        <v>73</v>
      </c>
      <c r="K898" s="74" t="s">
        <v>6750</v>
      </c>
      <c r="L898" s="74" t="s">
        <v>3969</v>
      </c>
    </row>
    <row r="899" spans="1:12" ht="21.95" customHeight="1">
      <c r="A899" s="149" t="s">
        <v>6476</v>
      </c>
      <c r="B899" s="147"/>
      <c r="C899" s="148"/>
      <c r="D899" s="147"/>
      <c r="E899" s="147"/>
      <c r="F899" s="74"/>
      <c r="G899" s="74" t="s">
        <v>6748</v>
      </c>
      <c r="H899" s="74" t="s">
        <v>5831</v>
      </c>
      <c r="I899" s="74" t="s">
        <v>807</v>
      </c>
      <c r="J899" s="74" t="s">
        <v>126</v>
      </c>
      <c r="K899" s="74" t="s">
        <v>6750</v>
      </c>
      <c r="L899" s="74" t="s">
        <v>3980</v>
      </c>
    </row>
    <row r="900" spans="1:12" ht="21.95" customHeight="1">
      <c r="A900" s="149" t="s">
        <v>6233</v>
      </c>
      <c r="B900" s="147"/>
      <c r="C900" s="148"/>
      <c r="D900" s="147"/>
      <c r="E900" s="147"/>
      <c r="F900" s="74"/>
      <c r="G900" s="74" t="s">
        <v>6748</v>
      </c>
      <c r="H900" s="74" t="s">
        <v>5428</v>
      </c>
      <c r="I900" s="74" t="s">
        <v>63</v>
      </c>
      <c r="J900" s="74" t="s">
        <v>3779</v>
      </c>
      <c r="K900" s="74" t="s">
        <v>6750</v>
      </c>
      <c r="L900" s="74" t="s">
        <v>3981</v>
      </c>
    </row>
    <row r="901" spans="1:12" ht="21.95" customHeight="1">
      <c r="A901" s="149" t="s">
        <v>6089</v>
      </c>
      <c r="B901" s="147"/>
      <c r="C901" s="148"/>
      <c r="D901" s="147"/>
      <c r="E901" s="147"/>
      <c r="F901" s="74"/>
      <c r="G901" s="74" t="s">
        <v>6748</v>
      </c>
      <c r="H901" s="74" t="s">
        <v>5077</v>
      </c>
      <c r="I901" s="74" t="s">
        <v>24</v>
      </c>
      <c r="J901" s="74" t="s">
        <v>36</v>
      </c>
      <c r="K901" s="74" t="s">
        <v>6750</v>
      </c>
      <c r="L901" s="74" t="s">
        <v>3982</v>
      </c>
    </row>
    <row r="902" spans="1:12" ht="21.95" customHeight="1">
      <c r="A902" s="149" t="s">
        <v>6477</v>
      </c>
      <c r="B902" s="147"/>
      <c r="C902" s="148"/>
      <c r="D902" s="147"/>
      <c r="E902" s="147"/>
      <c r="F902" s="74"/>
      <c r="G902" s="74" t="s">
        <v>6748</v>
      </c>
      <c r="H902" s="74" t="s">
        <v>5832</v>
      </c>
      <c r="I902" s="74" t="s">
        <v>68</v>
      </c>
      <c r="J902" s="74" t="s">
        <v>538</v>
      </c>
      <c r="K902" s="74" t="s">
        <v>387</v>
      </c>
      <c r="L902" s="74" t="s">
        <v>3987</v>
      </c>
    </row>
    <row r="903" spans="1:12" ht="21.95" customHeight="1">
      <c r="A903" s="149" t="s">
        <v>6478</v>
      </c>
      <c r="B903" s="147"/>
      <c r="C903" s="148"/>
      <c r="D903" s="147"/>
      <c r="E903" s="147"/>
      <c r="F903" s="74"/>
      <c r="G903" s="74" t="s">
        <v>6748</v>
      </c>
      <c r="H903" s="74" t="s">
        <v>5833</v>
      </c>
      <c r="I903" s="74" t="s">
        <v>63</v>
      </c>
      <c r="J903" s="74" t="s">
        <v>126</v>
      </c>
      <c r="K903" s="74" t="s">
        <v>6750</v>
      </c>
      <c r="L903" s="74" t="s">
        <v>4000</v>
      </c>
    </row>
    <row r="904" spans="1:12" ht="21.95" customHeight="1">
      <c r="A904" s="149" t="s">
        <v>3258</v>
      </c>
      <c r="B904" s="147"/>
      <c r="C904" s="148"/>
      <c r="D904" s="147"/>
      <c r="E904" s="147"/>
      <c r="F904" s="74"/>
      <c r="G904" s="74" t="s">
        <v>6748</v>
      </c>
      <c r="H904" s="74" t="s">
        <v>5720</v>
      </c>
      <c r="I904" s="74" t="s">
        <v>63</v>
      </c>
      <c r="J904" s="74" t="s">
        <v>126</v>
      </c>
      <c r="K904" s="74" t="s">
        <v>6750</v>
      </c>
      <c r="L904" s="74" t="s">
        <v>4003</v>
      </c>
    </row>
    <row r="905" spans="1:12" ht="21.95" customHeight="1">
      <c r="A905" s="149" t="s">
        <v>6479</v>
      </c>
      <c r="B905" s="147"/>
      <c r="C905" s="148"/>
      <c r="D905" s="147"/>
      <c r="E905" s="147"/>
      <c r="F905" s="74"/>
      <c r="G905" s="74" t="s">
        <v>6748</v>
      </c>
      <c r="H905" s="74" t="s">
        <v>5834</v>
      </c>
      <c r="I905" s="74" t="s">
        <v>807</v>
      </c>
      <c r="J905" s="74" t="s">
        <v>73</v>
      </c>
      <c r="K905" s="74" t="s">
        <v>6750</v>
      </c>
      <c r="L905" s="74" t="s">
        <v>4019</v>
      </c>
    </row>
    <row r="906" spans="1:12" ht="21.95" customHeight="1">
      <c r="A906" s="149" t="s">
        <v>4023</v>
      </c>
      <c r="B906" s="147"/>
      <c r="C906" s="148"/>
      <c r="D906" s="147"/>
      <c r="E906" s="147"/>
      <c r="F906" s="74"/>
      <c r="G906" s="74" t="s">
        <v>6748</v>
      </c>
      <c r="H906" s="74" t="s">
        <v>5835</v>
      </c>
      <c r="I906" s="74" t="s">
        <v>1173</v>
      </c>
      <c r="J906" s="74" t="s">
        <v>73</v>
      </c>
      <c r="K906" s="74" t="s">
        <v>6750</v>
      </c>
      <c r="L906" s="74" t="s">
        <v>4022</v>
      </c>
    </row>
    <row r="907" spans="1:12" ht="21.95" customHeight="1">
      <c r="A907" s="149" t="s">
        <v>4033</v>
      </c>
      <c r="B907" s="147"/>
      <c r="C907" s="148"/>
      <c r="D907" s="147"/>
      <c r="E907" s="147"/>
      <c r="F907" s="74"/>
      <c r="G907" s="74" t="s">
        <v>6748</v>
      </c>
      <c r="H907" s="74" t="s">
        <v>5836</v>
      </c>
      <c r="I907" s="74" t="s">
        <v>1173</v>
      </c>
      <c r="J907" s="74" t="s">
        <v>36</v>
      </c>
      <c r="K907" s="74" t="s">
        <v>6750</v>
      </c>
      <c r="L907" s="74" t="s">
        <v>4032</v>
      </c>
    </row>
    <row r="908" spans="1:12" ht="21.95" customHeight="1">
      <c r="A908" s="149" t="s">
        <v>4046</v>
      </c>
      <c r="B908" s="147"/>
      <c r="C908" s="148"/>
      <c r="D908" s="147"/>
      <c r="E908" s="147"/>
      <c r="F908" s="74"/>
      <c r="G908" s="74" t="s">
        <v>6748</v>
      </c>
      <c r="H908" s="74" t="s">
        <v>5837</v>
      </c>
      <c r="I908" s="74" t="s">
        <v>93</v>
      </c>
      <c r="J908" s="74" t="s">
        <v>36</v>
      </c>
      <c r="K908" s="74" t="s">
        <v>6750</v>
      </c>
      <c r="L908" s="74" t="s">
        <v>4044</v>
      </c>
    </row>
    <row r="909" spans="1:12" ht="21.95" customHeight="1">
      <c r="A909" s="149" t="s">
        <v>4050</v>
      </c>
      <c r="B909" s="147"/>
      <c r="C909" s="148"/>
      <c r="D909" s="147"/>
      <c r="E909" s="147"/>
      <c r="F909" s="74"/>
      <c r="G909" s="74" t="s">
        <v>6748</v>
      </c>
      <c r="H909" s="74" t="s">
        <v>5838</v>
      </c>
      <c r="I909" s="74" t="s">
        <v>261</v>
      </c>
      <c r="J909" s="74" t="s">
        <v>3779</v>
      </c>
      <c r="K909" s="74" t="s">
        <v>6750</v>
      </c>
      <c r="L909" s="74" t="s">
        <v>4049</v>
      </c>
    </row>
    <row r="910" spans="1:12" ht="21.95" customHeight="1">
      <c r="A910" s="149" t="s">
        <v>4053</v>
      </c>
      <c r="B910" s="147"/>
      <c r="C910" s="148"/>
      <c r="D910" s="147"/>
      <c r="E910" s="147"/>
      <c r="F910" s="74"/>
      <c r="G910" s="74" t="s">
        <v>6748</v>
      </c>
      <c r="H910" s="74" t="s">
        <v>5839</v>
      </c>
      <c r="I910" s="74" t="s">
        <v>202</v>
      </c>
      <c r="J910" s="74" t="s">
        <v>36</v>
      </c>
      <c r="K910" s="74" t="s">
        <v>6750</v>
      </c>
      <c r="L910" s="74" t="s">
        <v>4052</v>
      </c>
    </row>
    <row r="911" spans="1:12" ht="21.95" customHeight="1">
      <c r="A911" s="149" t="s">
        <v>4061</v>
      </c>
      <c r="B911" s="147"/>
      <c r="C911" s="148"/>
      <c r="D911" s="147"/>
      <c r="E911" s="147"/>
      <c r="F911" s="74"/>
      <c r="G911" s="74" t="s">
        <v>6748</v>
      </c>
      <c r="H911" s="74" t="s">
        <v>5840</v>
      </c>
      <c r="I911" s="74" t="s">
        <v>125</v>
      </c>
      <c r="J911" s="74" t="s">
        <v>36</v>
      </c>
      <c r="K911" s="74" t="s">
        <v>6750</v>
      </c>
      <c r="L911" s="74" t="s">
        <v>4059</v>
      </c>
    </row>
    <row r="912" spans="1:12" ht="21.95" customHeight="1">
      <c r="A912" s="149" t="s">
        <v>4071</v>
      </c>
      <c r="B912" s="147"/>
      <c r="C912" s="148"/>
      <c r="D912" s="147"/>
      <c r="E912" s="147"/>
      <c r="F912" s="74"/>
      <c r="G912" s="74" t="s">
        <v>6748</v>
      </c>
      <c r="H912" s="74" t="s">
        <v>5841</v>
      </c>
      <c r="I912" s="74" t="s">
        <v>125</v>
      </c>
      <c r="J912" s="74" t="s">
        <v>36</v>
      </c>
      <c r="K912" s="74" t="s">
        <v>6750</v>
      </c>
      <c r="L912" s="74" t="s">
        <v>4069</v>
      </c>
    </row>
    <row r="913" spans="1:12" ht="21.95" customHeight="1">
      <c r="A913" s="149" t="s">
        <v>4081</v>
      </c>
      <c r="B913" s="147"/>
      <c r="C913" s="148"/>
      <c r="D913" s="147"/>
      <c r="E913" s="147"/>
      <c r="F913" s="74"/>
      <c r="G913" s="74" t="s">
        <v>6748</v>
      </c>
      <c r="H913" s="74" t="s">
        <v>5842</v>
      </c>
      <c r="I913" s="74" t="s">
        <v>63</v>
      </c>
      <c r="J913" s="74" t="s">
        <v>36</v>
      </c>
      <c r="K913" s="74" t="s">
        <v>6750</v>
      </c>
      <c r="L913" s="74" t="s">
        <v>4080</v>
      </c>
    </row>
    <row r="914" spans="1:12" ht="21.95" customHeight="1">
      <c r="A914" s="149" t="s">
        <v>4084</v>
      </c>
      <c r="B914" s="147"/>
      <c r="C914" s="148"/>
      <c r="D914" s="147"/>
      <c r="E914" s="147"/>
      <c r="F914" s="74"/>
      <c r="G914" s="74" t="s">
        <v>6748</v>
      </c>
      <c r="H914" s="74" t="s">
        <v>5843</v>
      </c>
      <c r="I914" s="74" t="s">
        <v>261</v>
      </c>
      <c r="J914" s="74" t="s">
        <v>126</v>
      </c>
      <c r="K914" s="74" t="s">
        <v>6750</v>
      </c>
      <c r="L914" s="74" t="s">
        <v>4083</v>
      </c>
    </row>
    <row r="915" spans="1:12" ht="21.95" customHeight="1">
      <c r="A915" s="149" t="s">
        <v>4097</v>
      </c>
      <c r="B915" s="147"/>
      <c r="C915" s="148"/>
      <c r="D915" s="147"/>
      <c r="E915" s="147"/>
      <c r="F915" s="74"/>
      <c r="G915" s="74" t="s">
        <v>6748</v>
      </c>
      <c r="H915" s="74" t="s">
        <v>5844</v>
      </c>
      <c r="I915" s="74" t="s">
        <v>63</v>
      </c>
      <c r="J915" s="74" t="s">
        <v>46</v>
      </c>
      <c r="K915" s="74" t="s">
        <v>6750</v>
      </c>
      <c r="L915" s="74" t="s">
        <v>4096</v>
      </c>
    </row>
    <row r="916" spans="1:12" ht="21.95" customHeight="1">
      <c r="A916" s="149" t="s">
        <v>4100</v>
      </c>
      <c r="B916" s="147"/>
      <c r="C916" s="148"/>
      <c r="D916" s="147"/>
      <c r="E916" s="147"/>
      <c r="F916" s="74"/>
      <c r="G916" s="74" t="s">
        <v>6748</v>
      </c>
      <c r="H916" s="74" t="s">
        <v>5845</v>
      </c>
      <c r="I916" s="74" t="s">
        <v>112</v>
      </c>
      <c r="J916" s="74" t="s">
        <v>73</v>
      </c>
      <c r="K916" s="74" t="s">
        <v>6750</v>
      </c>
      <c r="L916" s="74" t="s">
        <v>4099</v>
      </c>
    </row>
    <row r="917" spans="1:12" ht="21.95" customHeight="1">
      <c r="A917" s="149" t="s">
        <v>4106</v>
      </c>
      <c r="B917" s="147"/>
      <c r="C917" s="148"/>
      <c r="D917" s="147"/>
      <c r="E917" s="147"/>
      <c r="F917" s="74"/>
      <c r="G917" s="74" t="s">
        <v>6748</v>
      </c>
      <c r="H917" s="74" t="s">
        <v>5846</v>
      </c>
      <c r="I917" s="74" t="s">
        <v>202</v>
      </c>
      <c r="J917" s="74" t="s">
        <v>126</v>
      </c>
      <c r="K917" s="74" t="s">
        <v>6750</v>
      </c>
      <c r="L917" s="74" t="s">
        <v>4105</v>
      </c>
    </row>
    <row r="918" spans="1:12" ht="21.95" customHeight="1">
      <c r="A918" s="149" t="s">
        <v>4110</v>
      </c>
      <c r="B918" s="147"/>
      <c r="C918" s="148"/>
      <c r="D918" s="147"/>
      <c r="E918" s="147"/>
      <c r="F918" s="74"/>
      <c r="G918" s="74" t="s">
        <v>6748</v>
      </c>
      <c r="H918" s="74" t="s">
        <v>5847</v>
      </c>
      <c r="I918" s="74" t="s">
        <v>410</v>
      </c>
      <c r="J918" s="74" t="s">
        <v>3779</v>
      </c>
      <c r="K918" s="74" t="s">
        <v>6750</v>
      </c>
      <c r="L918" s="74" t="s">
        <v>4109</v>
      </c>
    </row>
    <row r="919" spans="1:12" ht="21.95" customHeight="1">
      <c r="A919" s="149" t="s">
        <v>4114</v>
      </c>
      <c r="B919" s="147"/>
      <c r="C919" s="148"/>
      <c r="D919" s="147"/>
      <c r="E919" s="147"/>
      <c r="F919" s="74"/>
      <c r="G919" s="74" t="s">
        <v>6748</v>
      </c>
      <c r="H919" s="74" t="s">
        <v>5848</v>
      </c>
      <c r="I919" s="74" t="s">
        <v>240</v>
      </c>
      <c r="J919" s="74" t="s">
        <v>4115</v>
      </c>
      <c r="K919" s="74" t="s">
        <v>387</v>
      </c>
      <c r="L919" s="74" t="s">
        <v>4113</v>
      </c>
    </row>
    <row r="920" spans="1:12" ht="21.95" customHeight="1">
      <c r="A920" s="149" t="s">
        <v>4121</v>
      </c>
      <c r="B920" s="147"/>
      <c r="C920" s="148"/>
      <c r="D920" s="147"/>
      <c r="E920" s="147"/>
      <c r="F920" s="74"/>
      <c r="G920" s="74" t="s">
        <v>6748</v>
      </c>
      <c r="H920" s="74" t="s">
        <v>5849</v>
      </c>
      <c r="I920" s="74" t="s">
        <v>112</v>
      </c>
      <c r="J920" s="74" t="s">
        <v>196</v>
      </c>
      <c r="K920" s="74" t="s">
        <v>6750</v>
      </c>
      <c r="L920" s="74" t="s">
        <v>4120</v>
      </c>
    </row>
    <row r="921" spans="1:12" ht="21.95" customHeight="1">
      <c r="A921" s="149" t="s">
        <v>4125</v>
      </c>
      <c r="B921" s="147"/>
      <c r="C921" s="148"/>
      <c r="D921" s="147"/>
      <c r="E921" s="147"/>
      <c r="F921" s="74"/>
      <c r="G921" s="74" t="s">
        <v>6748</v>
      </c>
      <c r="H921" s="74" t="s">
        <v>5850</v>
      </c>
      <c r="I921" s="74" t="s">
        <v>63</v>
      </c>
      <c r="J921" s="74" t="s">
        <v>196</v>
      </c>
      <c r="K921" s="74" t="s">
        <v>6750</v>
      </c>
      <c r="L921" s="74" t="s">
        <v>4124</v>
      </c>
    </row>
    <row r="922" spans="1:12" ht="21.95" customHeight="1">
      <c r="A922" s="149" t="s">
        <v>4134</v>
      </c>
      <c r="B922" s="147"/>
      <c r="C922" s="148"/>
      <c r="D922" s="147"/>
      <c r="E922" s="147"/>
      <c r="F922" s="74"/>
      <c r="G922" s="74" t="s">
        <v>6748</v>
      </c>
      <c r="H922" s="74" t="s">
        <v>5851</v>
      </c>
      <c r="I922" s="74" t="s">
        <v>1098</v>
      </c>
      <c r="J922" s="74" t="s">
        <v>36</v>
      </c>
      <c r="K922" s="74" t="s">
        <v>6750</v>
      </c>
      <c r="L922" s="74" t="s">
        <v>4133</v>
      </c>
    </row>
    <row r="923" spans="1:12" ht="21.95" customHeight="1">
      <c r="A923" s="149" t="s">
        <v>4140</v>
      </c>
      <c r="B923" s="147"/>
      <c r="C923" s="148"/>
      <c r="D923" s="147"/>
      <c r="E923" s="147"/>
      <c r="F923" s="74"/>
      <c r="G923" s="74" t="s">
        <v>6748</v>
      </c>
      <c r="H923" s="74" t="s">
        <v>5852</v>
      </c>
      <c r="I923" s="74" t="s">
        <v>63</v>
      </c>
      <c r="J923" s="74" t="s">
        <v>36</v>
      </c>
      <c r="K923" s="74" t="s">
        <v>6750</v>
      </c>
      <c r="L923" s="74" t="s">
        <v>4139</v>
      </c>
    </row>
    <row r="924" spans="1:12" ht="21.95" customHeight="1">
      <c r="A924" s="149" t="s">
        <v>4143</v>
      </c>
      <c r="B924" s="147"/>
      <c r="C924" s="148"/>
      <c r="D924" s="147"/>
      <c r="E924" s="147"/>
      <c r="F924" s="74"/>
      <c r="G924" s="74" t="s">
        <v>6748</v>
      </c>
      <c r="H924" s="74" t="s">
        <v>5853</v>
      </c>
      <c r="I924" s="74" t="s">
        <v>202</v>
      </c>
      <c r="J924" s="74" t="s">
        <v>36</v>
      </c>
      <c r="K924" s="74" t="s">
        <v>6750</v>
      </c>
      <c r="L924" s="74" t="s">
        <v>4142</v>
      </c>
    </row>
    <row r="925" spans="1:12" ht="21.95" customHeight="1">
      <c r="A925" s="149" t="s">
        <v>4147</v>
      </c>
      <c r="B925" s="147"/>
      <c r="C925" s="148"/>
      <c r="D925" s="147"/>
      <c r="E925" s="147"/>
      <c r="F925" s="74"/>
      <c r="G925" s="74" t="s">
        <v>6748</v>
      </c>
      <c r="H925" s="74" t="s">
        <v>5854</v>
      </c>
      <c r="I925" s="74" t="s">
        <v>63</v>
      </c>
      <c r="J925" s="74" t="s">
        <v>36</v>
      </c>
      <c r="K925" s="74" t="s">
        <v>6750</v>
      </c>
      <c r="L925" s="74" t="s">
        <v>4146</v>
      </c>
    </row>
    <row r="926" spans="1:12" ht="21.95" customHeight="1">
      <c r="A926" s="149" t="s">
        <v>4160</v>
      </c>
      <c r="B926" s="147"/>
      <c r="C926" s="148"/>
      <c r="D926" s="147"/>
      <c r="E926" s="147"/>
      <c r="F926" s="74"/>
      <c r="G926" s="74" t="s">
        <v>6748</v>
      </c>
      <c r="H926" s="74" t="s">
        <v>5855</v>
      </c>
      <c r="I926" s="74" t="s">
        <v>202</v>
      </c>
      <c r="J926" s="74" t="s">
        <v>73</v>
      </c>
      <c r="K926" s="74" t="s">
        <v>6750</v>
      </c>
      <c r="L926" s="74" t="s">
        <v>4159</v>
      </c>
    </row>
    <row r="927" spans="1:12" ht="21.95" customHeight="1">
      <c r="A927" s="149" t="s">
        <v>4174</v>
      </c>
      <c r="B927" s="147"/>
      <c r="C927" s="148"/>
      <c r="D927" s="147"/>
      <c r="E927" s="147"/>
      <c r="F927" s="74"/>
      <c r="G927" s="74" t="s">
        <v>6748</v>
      </c>
      <c r="H927" s="74" t="s">
        <v>5856</v>
      </c>
      <c r="I927" s="74" t="s">
        <v>2860</v>
      </c>
      <c r="J927" s="74" t="s">
        <v>46</v>
      </c>
      <c r="K927" s="74" t="s">
        <v>6750</v>
      </c>
      <c r="L927" s="74" t="s">
        <v>4173</v>
      </c>
    </row>
    <row r="928" spans="1:12" ht="21.95" customHeight="1">
      <c r="A928" s="149" t="s">
        <v>4183</v>
      </c>
      <c r="B928" s="147"/>
      <c r="C928" s="148"/>
      <c r="D928" s="147"/>
      <c r="E928" s="147"/>
      <c r="F928" s="74"/>
      <c r="G928" s="74" t="s">
        <v>6748</v>
      </c>
      <c r="H928" s="74" t="s">
        <v>5857</v>
      </c>
      <c r="I928" s="74" t="s">
        <v>63</v>
      </c>
      <c r="J928" s="74" t="s">
        <v>3682</v>
      </c>
      <c r="K928" s="74" t="s">
        <v>387</v>
      </c>
      <c r="L928" s="74" t="s">
        <v>4182</v>
      </c>
    </row>
    <row r="929" spans="1:12" ht="21.95" customHeight="1">
      <c r="A929" s="149" t="s">
        <v>4196</v>
      </c>
      <c r="B929" s="147"/>
      <c r="C929" s="148"/>
      <c r="D929" s="147"/>
      <c r="E929" s="147"/>
      <c r="F929" s="74"/>
      <c r="G929" s="74" t="s">
        <v>6748</v>
      </c>
      <c r="H929" s="74" t="s">
        <v>5858</v>
      </c>
      <c r="I929" s="74" t="s">
        <v>63</v>
      </c>
      <c r="J929" s="74" t="s">
        <v>36</v>
      </c>
      <c r="K929" s="74" t="s">
        <v>6750</v>
      </c>
      <c r="L929" s="74" t="s">
        <v>4195</v>
      </c>
    </row>
    <row r="930" spans="1:12" ht="21.95" customHeight="1">
      <c r="A930" s="149" t="s">
        <v>4201</v>
      </c>
      <c r="B930" s="147"/>
      <c r="C930" s="148"/>
      <c r="D930" s="147"/>
      <c r="E930" s="147"/>
      <c r="F930" s="74"/>
      <c r="G930" s="74" t="s">
        <v>6748</v>
      </c>
      <c r="H930" s="74" t="s">
        <v>5859</v>
      </c>
      <c r="I930" s="74" t="s">
        <v>112</v>
      </c>
      <c r="J930" s="74" t="s">
        <v>73</v>
      </c>
      <c r="K930" s="74" t="s">
        <v>6750</v>
      </c>
      <c r="L930" s="74" t="s">
        <v>4200</v>
      </c>
    </row>
    <row r="931" spans="1:12" ht="21.95" customHeight="1">
      <c r="A931" s="149" t="s">
        <v>4207</v>
      </c>
      <c r="B931" s="147"/>
      <c r="C931" s="148"/>
      <c r="D931" s="147"/>
      <c r="E931" s="147"/>
      <c r="F931" s="74"/>
      <c r="G931" s="74" t="s">
        <v>6748</v>
      </c>
      <c r="H931" s="74" t="s">
        <v>5860</v>
      </c>
      <c r="I931" s="74" t="s">
        <v>3073</v>
      </c>
      <c r="J931" s="74" t="s">
        <v>36</v>
      </c>
      <c r="K931" s="74" t="s">
        <v>6750</v>
      </c>
      <c r="L931" s="74" t="s">
        <v>4206</v>
      </c>
    </row>
    <row r="932" spans="1:12" ht="21.95" customHeight="1">
      <c r="A932" s="149" t="s">
        <v>4210</v>
      </c>
      <c r="B932" s="147"/>
      <c r="C932" s="148"/>
      <c r="D932" s="147"/>
      <c r="E932" s="147"/>
      <c r="F932" s="74"/>
      <c r="G932" s="74" t="s">
        <v>6748</v>
      </c>
      <c r="H932" s="74" t="s">
        <v>5861</v>
      </c>
      <c r="I932" s="74" t="s">
        <v>2002</v>
      </c>
      <c r="J932" s="74" t="s">
        <v>73</v>
      </c>
      <c r="K932" s="74" t="s">
        <v>6750</v>
      </c>
      <c r="L932" s="74" t="s">
        <v>4209</v>
      </c>
    </row>
    <row r="933" spans="1:12" ht="21.95" customHeight="1">
      <c r="A933" s="149" t="s">
        <v>4223</v>
      </c>
      <c r="B933" s="147"/>
      <c r="C933" s="148"/>
      <c r="D933" s="147"/>
      <c r="E933" s="147"/>
      <c r="F933" s="74"/>
      <c r="G933" s="74" t="s">
        <v>6748</v>
      </c>
      <c r="H933" s="74" t="s">
        <v>5862</v>
      </c>
      <c r="I933" s="74" t="s">
        <v>169</v>
      </c>
      <c r="J933" s="74" t="s">
        <v>4224</v>
      </c>
      <c r="K933" s="74" t="s">
        <v>387</v>
      </c>
      <c r="L933" s="74" t="s">
        <v>4222</v>
      </c>
    </row>
    <row r="934" spans="1:12" ht="21.95" customHeight="1">
      <c r="A934" s="149" t="s">
        <v>4230</v>
      </c>
      <c r="B934" s="147"/>
      <c r="C934" s="148"/>
      <c r="D934" s="147"/>
      <c r="E934" s="147"/>
      <c r="F934" s="74"/>
      <c r="G934" s="74" t="s">
        <v>6748</v>
      </c>
      <c r="H934" s="74" t="s">
        <v>5863</v>
      </c>
      <c r="I934" s="74" t="s">
        <v>112</v>
      </c>
      <c r="J934" s="74" t="s">
        <v>4224</v>
      </c>
      <c r="K934" s="74" t="s">
        <v>387</v>
      </c>
      <c r="L934" s="74" t="s">
        <v>4229</v>
      </c>
    </row>
    <row r="935" spans="1:12" ht="21.95" customHeight="1">
      <c r="A935" s="149" t="s">
        <v>4238</v>
      </c>
      <c r="B935" s="147"/>
      <c r="C935" s="148"/>
      <c r="D935" s="147"/>
      <c r="E935" s="147"/>
      <c r="F935" s="74"/>
      <c r="G935" s="74" t="s">
        <v>6748</v>
      </c>
      <c r="H935" s="74" t="s">
        <v>5864</v>
      </c>
      <c r="I935" s="74" t="s">
        <v>616</v>
      </c>
      <c r="J935" s="74" t="s">
        <v>250</v>
      </c>
      <c r="K935" s="74" t="s">
        <v>6750</v>
      </c>
      <c r="L935" s="74" t="s">
        <v>4237</v>
      </c>
    </row>
    <row r="936" spans="1:12" ht="21.95" customHeight="1">
      <c r="A936" s="149" t="s">
        <v>4252</v>
      </c>
      <c r="B936" s="147"/>
      <c r="C936" s="148"/>
      <c r="D936" s="147"/>
      <c r="E936" s="147"/>
      <c r="F936" s="74"/>
      <c r="G936" s="74" t="s">
        <v>6748</v>
      </c>
      <c r="H936" s="74" t="s">
        <v>5865</v>
      </c>
      <c r="I936" s="74" t="s">
        <v>112</v>
      </c>
      <c r="J936" s="74" t="s">
        <v>36</v>
      </c>
      <c r="K936" s="74" t="s">
        <v>6750</v>
      </c>
      <c r="L936" s="74" t="s">
        <v>4251</v>
      </c>
    </row>
    <row r="937" spans="1:12" ht="21.95" customHeight="1">
      <c r="A937" s="149" t="s">
        <v>4254</v>
      </c>
      <c r="B937" s="147"/>
      <c r="C937" s="148"/>
      <c r="D937" s="147"/>
      <c r="E937" s="147"/>
      <c r="F937" s="74"/>
      <c r="G937" s="74" t="s">
        <v>6748</v>
      </c>
      <c r="H937" s="74" t="s">
        <v>5866</v>
      </c>
      <c r="I937" s="74" t="s">
        <v>24</v>
      </c>
      <c r="J937" s="74" t="s">
        <v>4255</v>
      </c>
      <c r="K937" s="74" t="s">
        <v>6750</v>
      </c>
      <c r="L937" s="74" t="s">
        <v>4253</v>
      </c>
    </row>
    <row r="938" spans="1:12" ht="21.95" customHeight="1">
      <c r="A938" s="149" t="s">
        <v>4258</v>
      </c>
      <c r="B938" s="147"/>
      <c r="C938" s="148"/>
      <c r="D938" s="147"/>
      <c r="E938" s="147"/>
      <c r="F938" s="74"/>
      <c r="G938" s="74" t="s">
        <v>6748</v>
      </c>
      <c r="H938" s="74" t="s">
        <v>5867</v>
      </c>
      <c r="I938" s="74" t="s">
        <v>2630</v>
      </c>
      <c r="J938" s="74" t="s">
        <v>36</v>
      </c>
      <c r="K938" s="74" t="s">
        <v>6750</v>
      </c>
      <c r="L938" s="74" t="s">
        <v>4257</v>
      </c>
    </row>
    <row r="939" spans="1:12" ht="21.95" customHeight="1">
      <c r="A939" s="149" t="s">
        <v>4261</v>
      </c>
      <c r="B939" s="147"/>
      <c r="C939" s="148"/>
      <c r="D939" s="147"/>
      <c r="E939" s="147"/>
      <c r="F939" s="74"/>
      <c r="G939" s="74" t="s">
        <v>6748</v>
      </c>
      <c r="H939" s="74" t="s">
        <v>5868</v>
      </c>
      <c r="I939" s="74" t="s">
        <v>112</v>
      </c>
      <c r="J939" s="74" t="s">
        <v>36</v>
      </c>
      <c r="K939" s="74" t="s">
        <v>6750</v>
      </c>
      <c r="L939" s="74" t="s">
        <v>4260</v>
      </c>
    </row>
    <row r="940" spans="1:12" ht="21.95" customHeight="1">
      <c r="A940" s="149" t="s">
        <v>4268</v>
      </c>
      <c r="B940" s="147"/>
      <c r="C940" s="148"/>
      <c r="D940" s="147"/>
      <c r="E940" s="147"/>
      <c r="F940" s="74"/>
      <c r="G940" s="74" t="s">
        <v>6748</v>
      </c>
      <c r="H940" s="74" t="s">
        <v>5869</v>
      </c>
      <c r="I940" s="74" t="s">
        <v>24</v>
      </c>
      <c r="J940" s="74" t="s">
        <v>36</v>
      </c>
      <c r="K940" s="74" t="s">
        <v>6750</v>
      </c>
      <c r="L940" s="74" t="s">
        <v>4267</v>
      </c>
    </row>
    <row r="941" spans="1:12" ht="21.95" customHeight="1">
      <c r="A941" s="149" t="s">
        <v>4277</v>
      </c>
      <c r="B941" s="147"/>
      <c r="C941" s="148"/>
      <c r="D941" s="147"/>
      <c r="E941" s="147"/>
      <c r="F941" s="74"/>
      <c r="G941" s="74" t="s">
        <v>6748</v>
      </c>
      <c r="H941" s="74" t="s">
        <v>5870</v>
      </c>
      <c r="I941" s="74" t="s">
        <v>93</v>
      </c>
      <c r="J941" s="74" t="s">
        <v>538</v>
      </c>
      <c r="K941" s="74" t="s">
        <v>387</v>
      </c>
      <c r="L941" s="74" t="s">
        <v>4276</v>
      </c>
    </row>
    <row r="942" spans="1:12" ht="21.95" customHeight="1">
      <c r="A942" s="149" t="s">
        <v>4286</v>
      </c>
      <c r="B942" s="147"/>
      <c r="C942" s="148"/>
      <c r="D942" s="147"/>
      <c r="E942" s="147"/>
      <c r="F942" s="74"/>
      <c r="G942" s="74" t="s">
        <v>6748</v>
      </c>
      <c r="H942" s="74" t="s">
        <v>5871</v>
      </c>
      <c r="I942" s="74" t="s">
        <v>807</v>
      </c>
      <c r="J942" s="74" t="s">
        <v>73</v>
      </c>
      <c r="K942" s="74" t="s">
        <v>6750</v>
      </c>
      <c r="L942" s="74" t="s">
        <v>4285</v>
      </c>
    </row>
    <row r="943" spans="1:12" ht="21.95" customHeight="1">
      <c r="A943" s="149" t="s">
        <v>4289</v>
      </c>
      <c r="B943" s="147"/>
      <c r="C943" s="148"/>
      <c r="D943" s="147"/>
      <c r="E943" s="147"/>
      <c r="F943" s="74"/>
      <c r="G943" s="74" t="s">
        <v>6748</v>
      </c>
      <c r="H943" s="74" t="s">
        <v>5872</v>
      </c>
      <c r="I943" s="74" t="s">
        <v>63</v>
      </c>
      <c r="J943" s="74" t="s">
        <v>36</v>
      </c>
      <c r="K943" s="74" t="s">
        <v>6750</v>
      </c>
      <c r="L943" s="74" t="s">
        <v>4288</v>
      </c>
    </row>
    <row r="944" spans="1:12" ht="21.95" customHeight="1">
      <c r="A944" s="149" t="s">
        <v>4296</v>
      </c>
      <c r="B944" s="147"/>
      <c r="C944" s="148"/>
      <c r="D944" s="147"/>
      <c r="E944" s="147"/>
      <c r="F944" s="74"/>
      <c r="G944" s="74" t="s">
        <v>6748</v>
      </c>
      <c r="H944" s="74" t="s">
        <v>5873</v>
      </c>
      <c r="I944" s="74" t="s">
        <v>63</v>
      </c>
      <c r="J944" s="74" t="s">
        <v>73</v>
      </c>
      <c r="K944" s="74" t="s">
        <v>6750</v>
      </c>
      <c r="L944" s="74" t="s">
        <v>4295</v>
      </c>
    </row>
    <row r="945" spans="1:12" ht="21.95" customHeight="1">
      <c r="A945" s="149" t="s">
        <v>4301</v>
      </c>
      <c r="B945" s="147"/>
      <c r="C945" s="148"/>
      <c r="D945" s="147"/>
      <c r="E945" s="147"/>
      <c r="F945" s="74"/>
      <c r="G945" s="74" t="s">
        <v>6748</v>
      </c>
      <c r="H945" s="74" t="s">
        <v>5874</v>
      </c>
      <c r="I945" s="74" t="s">
        <v>169</v>
      </c>
      <c r="J945" s="74" t="s">
        <v>538</v>
      </c>
      <c r="K945" s="74" t="s">
        <v>387</v>
      </c>
      <c r="L945" s="74" t="s">
        <v>4300</v>
      </c>
    </row>
    <row r="946" spans="1:12" ht="21.95" customHeight="1">
      <c r="A946" s="149" t="s">
        <v>4305</v>
      </c>
      <c r="B946" s="147"/>
      <c r="C946" s="148"/>
      <c r="D946" s="147"/>
      <c r="E946" s="147"/>
      <c r="F946" s="74"/>
      <c r="G946" s="74" t="s">
        <v>6748</v>
      </c>
      <c r="H946" s="74" t="s">
        <v>5875</v>
      </c>
      <c r="I946" s="74" t="s">
        <v>169</v>
      </c>
      <c r="J946" s="74" t="s">
        <v>196</v>
      </c>
      <c r="K946" s="74" t="s">
        <v>6750</v>
      </c>
      <c r="L946" s="74" t="s">
        <v>4304</v>
      </c>
    </row>
    <row r="947" spans="1:12" ht="21.95" customHeight="1">
      <c r="A947" s="149" t="s">
        <v>4308</v>
      </c>
      <c r="B947" s="147"/>
      <c r="C947" s="148"/>
      <c r="D947" s="147"/>
      <c r="E947" s="147"/>
      <c r="F947" s="74"/>
      <c r="G947" s="74" t="s">
        <v>6748</v>
      </c>
      <c r="H947" s="74" t="s">
        <v>5876</v>
      </c>
      <c r="I947" s="74" t="s">
        <v>886</v>
      </c>
      <c r="J947" s="74" t="s">
        <v>73</v>
      </c>
      <c r="K947" s="74" t="s">
        <v>6750</v>
      </c>
      <c r="L947" s="74" t="s">
        <v>4307</v>
      </c>
    </row>
    <row r="948" spans="1:12" ht="21.95" customHeight="1">
      <c r="A948" s="149" t="s">
        <v>4310</v>
      </c>
      <c r="B948" s="147"/>
      <c r="C948" s="148"/>
      <c r="D948" s="147"/>
      <c r="E948" s="147"/>
      <c r="F948" s="74"/>
      <c r="G948" s="74" t="s">
        <v>6748</v>
      </c>
      <c r="H948" s="74" t="s">
        <v>5877</v>
      </c>
      <c r="I948" s="74" t="s">
        <v>24</v>
      </c>
      <c r="J948" s="74" t="s">
        <v>3682</v>
      </c>
      <c r="K948" s="74" t="s">
        <v>387</v>
      </c>
      <c r="L948" s="74" t="s">
        <v>4309</v>
      </c>
    </row>
    <row r="949" spans="1:12" ht="21.95" customHeight="1">
      <c r="A949" s="149" t="s">
        <v>4320</v>
      </c>
      <c r="B949" s="147"/>
      <c r="C949" s="148"/>
      <c r="D949" s="147"/>
      <c r="E949" s="147"/>
      <c r="F949" s="74"/>
      <c r="G949" s="74" t="s">
        <v>6748</v>
      </c>
      <c r="H949" s="74" t="s">
        <v>5878</v>
      </c>
      <c r="I949" s="74" t="s">
        <v>202</v>
      </c>
      <c r="J949" s="74" t="s">
        <v>538</v>
      </c>
      <c r="K949" s="74" t="s">
        <v>387</v>
      </c>
      <c r="L949" s="74" t="s">
        <v>4319</v>
      </c>
    </row>
    <row r="950" spans="1:12" ht="21.95" customHeight="1">
      <c r="A950" s="149" t="s">
        <v>4331</v>
      </c>
      <c r="B950" s="147"/>
      <c r="C950" s="148"/>
      <c r="D950" s="147"/>
      <c r="E950" s="147"/>
      <c r="F950" s="74"/>
      <c r="G950" s="74" t="s">
        <v>6748</v>
      </c>
      <c r="H950" s="74" t="s">
        <v>5879</v>
      </c>
      <c r="I950" s="74" t="s">
        <v>63</v>
      </c>
      <c r="J950" s="74" t="s">
        <v>3682</v>
      </c>
      <c r="K950" s="74" t="s">
        <v>387</v>
      </c>
      <c r="L950" s="74" t="s">
        <v>4330</v>
      </c>
    </row>
    <row r="951" spans="1:12" ht="21.95" customHeight="1">
      <c r="A951" s="149" t="s">
        <v>4337</v>
      </c>
      <c r="B951" s="147"/>
      <c r="C951" s="148"/>
      <c r="D951" s="147"/>
      <c r="E951" s="147"/>
      <c r="F951" s="74"/>
      <c r="G951" s="74" t="s">
        <v>6748</v>
      </c>
      <c r="H951" s="74" t="s">
        <v>5880</v>
      </c>
      <c r="I951" s="74" t="s">
        <v>63</v>
      </c>
      <c r="J951" s="74" t="s">
        <v>46</v>
      </c>
      <c r="K951" s="74" t="s">
        <v>6750</v>
      </c>
      <c r="L951" s="74" t="s">
        <v>4336</v>
      </c>
    </row>
    <row r="952" spans="1:12" ht="21.95" customHeight="1">
      <c r="A952" s="149" t="s">
        <v>4341</v>
      </c>
      <c r="B952" s="147"/>
      <c r="C952" s="148"/>
      <c r="D952" s="147"/>
      <c r="E952" s="147"/>
      <c r="F952" s="74"/>
      <c r="G952" s="74" t="s">
        <v>6748</v>
      </c>
      <c r="H952" s="74" t="s">
        <v>5881</v>
      </c>
      <c r="I952" s="74" t="s">
        <v>202</v>
      </c>
      <c r="J952" s="74" t="s">
        <v>3682</v>
      </c>
      <c r="K952" s="74" t="s">
        <v>387</v>
      </c>
      <c r="L952" s="74" t="s">
        <v>4340</v>
      </c>
    </row>
    <row r="953" spans="1:12" ht="21.95" customHeight="1">
      <c r="A953" s="149" t="s">
        <v>6480</v>
      </c>
      <c r="B953" s="147"/>
      <c r="C953" s="148"/>
      <c r="D953" s="147"/>
      <c r="E953" s="147"/>
      <c r="F953" s="74"/>
      <c r="G953" s="74" t="s">
        <v>6748</v>
      </c>
      <c r="H953" s="74" t="s">
        <v>5882</v>
      </c>
      <c r="I953" s="74" t="s">
        <v>63</v>
      </c>
      <c r="J953" s="74" t="s">
        <v>36</v>
      </c>
      <c r="K953" s="74" t="s">
        <v>6750</v>
      </c>
      <c r="L953" s="74" t="s">
        <v>4343</v>
      </c>
    </row>
    <row r="954" spans="1:12" ht="21.95" customHeight="1">
      <c r="A954" s="149" t="s">
        <v>4346</v>
      </c>
      <c r="B954" s="147"/>
      <c r="C954" s="148"/>
      <c r="D954" s="147"/>
      <c r="E954" s="147"/>
      <c r="F954" s="74"/>
      <c r="G954" s="74" t="s">
        <v>6748</v>
      </c>
      <c r="H954" s="74" t="s">
        <v>5883</v>
      </c>
      <c r="I954" s="74" t="s">
        <v>426</v>
      </c>
      <c r="J954" s="74" t="s">
        <v>4255</v>
      </c>
      <c r="K954" s="74" t="s">
        <v>6750</v>
      </c>
      <c r="L954" s="74" t="s">
        <v>4345</v>
      </c>
    </row>
    <row r="955" spans="1:12" ht="21.95" customHeight="1">
      <c r="A955" s="149" t="s">
        <v>4350</v>
      </c>
      <c r="B955" s="147"/>
      <c r="C955" s="148"/>
      <c r="D955" s="147"/>
      <c r="E955" s="147"/>
      <c r="F955" s="74"/>
      <c r="G955" s="74" t="s">
        <v>6748</v>
      </c>
      <c r="H955" s="74" t="s">
        <v>5884</v>
      </c>
      <c r="I955" s="74" t="s">
        <v>616</v>
      </c>
      <c r="J955" s="74" t="s">
        <v>46</v>
      </c>
      <c r="K955" s="74" t="s">
        <v>6750</v>
      </c>
      <c r="L955" s="74" t="s">
        <v>4349</v>
      </c>
    </row>
    <row r="956" spans="1:12" ht="21.95" customHeight="1">
      <c r="A956" s="149" t="s">
        <v>4353</v>
      </c>
      <c r="B956" s="147"/>
      <c r="C956" s="148"/>
      <c r="D956" s="147"/>
      <c r="E956" s="147"/>
      <c r="F956" s="74"/>
      <c r="G956" s="74" t="s">
        <v>6748</v>
      </c>
      <c r="H956" s="74" t="s">
        <v>5885</v>
      </c>
      <c r="I956" s="74" t="s">
        <v>695</v>
      </c>
      <c r="J956" s="74" t="s">
        <v>46</v>
      </c>
      <c r="K956" s="74" t="s">
        <v>6750</v>
      </c>
      <c r="L956" s="74" t="s">
        <v>4352</v>
      </c>
    </row>
    <row r="957" spans="1:12" ht="21.95" customHeight="1">
      <c r="A957" s="149" t="s">
        <v>4357</v>
      </c>
      <c r="B957" s="147"/>
      <c r="C957" s="148"/>
      <c r="D957" s="147"/>
      <c r="E957" s="147"/>
      <c r="F957" s="74"/>
      <c r="G957" s="74" t="s">
        <v>6748</v>
      </c>
      <c r="H957" s="74" t="s">
        <v>5886</v>
      </c>
      <c r="I957" s="74" t="s">
        <v>4355</v>
      </c>
      <c r="J957" s="74" t="s">
        <v>36</v>
      </c>
      <c r="K957" s="74" t="s">
        <v>6750</v>
      </c>
      <c r="L957" s="74" t="s">
        <v>4356</v>
      </c>
    </row>
    <row r="958" spans="1:12" ht="21.95" customHeight="1">
      <c r="A958" s="149" t="s">
        <v>4366</v>
      </c>
      <c r="B958" s="147"/>
      <c r="C958" s="148"/>
      <c r="D958" s="147"/>
      <c r="E958" s="147"/>
      <c r="F958" s="74"/>
      <c r="G958" s="74" t="s">
        <v>6748</v>
      </c>
      <c r="H958" s="74" t="s">
        <v>5887</v>
      </c>
      <c r="I958" s="74" t="s">
        <v>426</v>
      </c>
      <c r="J958" s="74" t="s">
        <v>46</v>
      </c>
      <c r="K958" s="74" t="s">
        <v>6750</v>
      </c>
      <c r="L958" s="74" t="s">
        <v>4365</v>
      </c>
    </row>
    <row r="959" spans="1:12" ht="21.95" customHeight="1">
      <c r="A959" s="149" t="s">
        <v>4370</v>
      </c>
      <c r="B959" s="147"/>
      <c r="C959" s="148"/>
      <c r="D959" s="147"/>
      <c r="E959" s="147"/>
      <c r="F959" s="74"/>
      <c r="G959" s="74" t="s">
        <v>6748</v>
      </c>
      <c r="H959" s="74" t="s">
        <v>5888</v>
      </c>
      <c r="I959" s="74" t="s">
        <v>2002</v>
      </c>
      <c r="J959" s="74" t="s">
        <v>196</v>
      </c>
      <c r="K959" s="74" t="s">
        <v>6750</v>
      </c>
      <c r="L959" s="74" t="s">
        <v>4369</v>
      </c>
    </row>
    <row r="960" spans="1:12" ht="21.95" customHeight="1">
      <c r="A960" s="149" t="s">
        <v>4374</v>
      </c>
      <c r="B960" s="147"/>
      <c r="C960" s="148"/>
      <c r="D960" s="147"/>
      <c r="E960" s="147"/>
      <c r="F960" s="74"/>
      <c r="G960" s="74" t="s">
        <v>6748</v>
      </c>
      <c r="H960" s="74" t="s">
        <v>5889</v>
      </c>
      <c r="I960" s="74" t="s">
        <v>63</v>
      </c>
      <c r="J960" s="74" t="s">
        <v>36</v>
      </c>
      <c r="K960" s="74" t="s">
        <v>6750</v>
      </c>
      <c r="L960" s="74" t="s">
        <v>4373</v>
      </c>
    </row>
    <row r="961" spans="1:12" ht="21.95" customHeight="1">
      <c r="A961" s="149" t="s">
        <v>4383</v>
      </c>
      <c r="B961" s="147"/>
      <c r="C961" s="148"/>
      <c r="D961" s="147"/>
      <c r="E961" s="147"/>
      <c r="F961" s="74"/>
      <c r="G961" s="74" t="s">
        <v>6748</v>
      </c>
      <c r="H961" s="74" t="s">
        <v>5890</v>
      </c>
      <c r="I961" s="74" t="s">
        <v>169</v>
      </c>
      <c r="J961" s="74" t="s">
        <v>36</v>
      </c>
      <c r="K961" s="74" t="s">
        <v>6750</v>
      </c>
      <c r="L961" s="74" t="s">
        <v>4382</v>
      </c>
    </row>
    <row r="962" spans="1:12" ht="21.95" customHeight="1">
      <c r="A962" s="149" t="s">
        <v>4386</v>
      </c>
      <c r="B962" s="147"/>
      <c r="C962" s="148"/>
      <c r="D962" s="147"/>
      <c r="E962" s="147"/>
      <c r="F962" s="74"/>
      <c r="G962" s="74" t="s">
        <v>6748</v>
      </c>
      <c r="H962" s="74" t="s">
        <v>5891</v>
      </c>
      <c r="I962" s="74" t="s">
        <v>125</v>
      </c>
      <c r="J962" s="74" t="s">
        <v>36</v>
      </c>
      <c r="K962" s="74" t="s">
        <v>6750</v>
      </c>
      <c r="L962" s="74" t="s">
        <v>4385</v>
      </c>
    </row>
    <row r="963" spans="1:12" ht="21.95" customHeight="1">
      <c r="A963" s="149" t="s">
        <v>4389</v>
      </c>
      <c r="B963" s="147"/>
      <c r="C963" s="148"/>
      <c r="D963" s="147"/>
      <c r="E963" s="147"/>
      <c r="F963" s="74"/>
      <c r="G963" s="74" t="s">
        <v>6748</v>
      </c>
      <c r="H963" s="74" t="s">
        <v>5892</v>
      </c>
      <c r="I963" s="74" t="s">
        <v>616</v>
      </c>
      <c r="J963" s="74" t="s">
        <v>538</v>
      </c>
      <c r="K963" s="74" t="s">
        <v>387</v>
      </c>
      <c r="L963" s="74" t="s">
        <v>4388</v>
      </c>
    </row>
    <row r="964" spans="1:12" ht="21.95" customHeight="1">
      <c r="A964" s="149" t="s">
        <v>4392</v>
      </c>
      <c r="B964" s="147"/>
      <c r="C964" s="148"/>
      <c r="D964" s="147"/>
      <c r="E964" s="147"/>
      <c r="F964" s="74"/>
      <c r="G964" s="74" t="s">
        <v>6748</v>
      </c>
      <c r="H964" s="74" t="s">
        <v>5893</v>
      </c>
      <c r="I964" s="74" t="s">
        <v>24</v>
      </c>
      <c r="J964" s="74" t="s">
        <v>36</v>
      </c>
      <c r="K964" s="74" t="s">
        <v>6750</v>
      </c>
      <c r="L964" s="74" t="s">
        <v>4391</v>
      </c>
    </row>
    <row r="965" spans="1:12" ht="21.95" customHeight="1">
      <c r="A965" s="149" t="s">
        <v>4403</v>
      </c>
      <c r="B965" s="147"/>
      <c r="C965" s="148"/>
      <c r="D965" s="147"/>
      <c r="E965" s="147"/>
      <c r="F965" s="74"/>
      <c r="G965" s="74" t="s">
        <v>6748</v>
      </c>
      <c r="H965" s="74" t="s">
        <v>5894</v>
      </c>
      <c r="I965" s="74" t="s">
        <v>63</v>
      </c>
      <c r="J965" s="74" t="s">
        <v>36</v>
      </c>
      <c r="K965" s="74" t="s">
        <v>6750</v>
      </c>
      <c r="L965" s="74" t="s">
        <v>4402</v>
      </c>
    </row>
    <row r="966" spans="1:12" ht="21.95" customHeight="1">
      <c r="A966" s="149" t="s">
        <v>6481</v>
      </c>
      <c r="B966" s="147"/>
      <c r="C966" s="148"/>
      <c r="D966" s="147"/>
      <c r="E966" s="147"/>
      <c r="F966" s="74"/>
      <c r="G966" s="74" t="s">
        <v>6748</v>
      </c>
      <c r="H966" s="74" t="s">
        <v>5895</v>
      </c>
      <c r="I966" s="74" t="s">
        <v>261</v>
      </c>
      <c r="J966" s="74" t="s">
        <v>73</v>
      </c>
      <c r="K966" s="74" t="s">
        <v>6750</v>
      </c>
      <c r="L966" s="74" t="s">
        <v>4406</v>
      </c>
    </row>
    <row r="967" spans="1:12" ht="21.95" customHeight="1">
      <c r="A967" s="149" t="s">
        <v>4408</v>
      </c>
      <c r="B967" s="147"/>
      <c r="C967" s="148"/>
      <c r="D967" s="147"/>
      <c r="E967" s="147"/>
      <c r="F967" s="74"/>
      <c r="G967" s="74" t="s">
        <v>6748</v>
      </c>
      <c r="H967" s="74" t="s">
        <v>5896</v>
      </c>
      <c r="I967" s="74" t="s">
        <v>616</v>
      </c>
      <c r="J967" s="74" t="s">
        <v>36</v>
      </c>
      <c r="K967" s="74" t="s">
        <v>6750</v>
      </c>
      <c r="L967" s="74" t="s">
        <v>4407</v>
      </c>
    </row>
    <row r="968" spans="1:12" ht="21.95" customHeight="1">
      <c r="A968" s="149" t="s">
        <v>4414</v>
      </c>
      <c r="B968" s="147"/>
      <c r="C968" s="148"/>
      <c r="D968" s="147"/>
      <c r="E968" s="147"/>
      <c r="F968" s="74"/>
      <c r="G968" s="74" t="s">
        <v>6748</v>
      </c>
      <c r="H968" s="74" t="s">
        <v>5897</v>
      </c>
      <c r="I968" s="74" t="s">
        <v>1903</v>
      </c>
      <c r="J968" s="74" t="s">
        <v>73</v>
      </c>
      <c r="K968" s="74" t="s">
        <v>6750</v>
      </c>
      <c r="L968" s="74" t="s">
        <v>4413</v>
      </c>
    </row>
    <row r="969" spans="1:12" ht="21.95" customHeight="1">
      <c r="A969" s="149" t="s">
        <v>6482</v>
      </c>
      <c r="B969" s="147"/>
      <c r="C969" s="148"/>
      <c r="D969" s="147"/>
      <c r="E969" s="147"/>
      <c r="F969" s="74"/>
      <c r="G969" s="74" t="s">
        <v>6748</v>
      </c>
      <c r="H969" s="74" t="s">
        <v>5898</v>
      </c>
      <c r="I969" s="74" t="s">
        <v>410</v>
      </c>
      <c r="J969" s="74" t="s">
        <v>36</v>
      </c>
      <c r="K969" s="74" t="s">
        <v>6750</v>
      </c>
      <c r="L969" s="74" t="s">
        <v>4416</v>
      </c>
    </row>
    <row r="970" spans="1:12" ht="21.95" customHeight="1">
      <c r="A970" s="149" t="s">
        <v>4418</v>
      </c>
      <c r="B970" s="147"/>
      <c r="C970" s="148"/>
      <c r="D970" s="147"/>
      <c r="E970" s="147"/>
      <c r="F970" s="74"/>
      <c r="G970" s="74" t="s">
        <v>6748</v>
      </c>
      <c r="H970" s="74" t="s">
        <v>5899</v>
      </c>
      <c r="I970" s="74" t="s">
        <v>112</v>
      </c>
      <c r="J970" s="74" t="s">
        <v>36</v>
      </c>
      <c r="K970" s="74" t="s">
        <v>6750</v>
      </c>
      <c r="L970" s="74" t="s">
        <v>4417</v>
      </c>
    </row>
    <row r="971" spans="1:12" ht="21.95" customHeight="1">
      <c r="A971" s="149" t="s">
        <v>4421</v>
      </c>
      <c r="B971" s="147"/>
      <c r="C971" s="148"/>
      <c r="D971" s="147"/>
      <c r="E971" s="147"/>
      <c r="F971" s="74"/>
      <c r="G971" s="74" t="s">
        <v>6748</v>
      </c>
      <c r="H971" s="74" t="s">
        <v>5900</v>
      </c>
      <c r="I971" s="74" t="s">
        <v>4419</v>
      </c>
      <c r="J971" s="74" t="s">
        <v>46</v>
      </c>
      <c r="K971" s="74" t="s">
        <v>6750</v>
      </c>
      <c r="L971" s="74" t="s">
        <v>4420</v>
      </c>
    </row>
    <row r="972" spans="1:12" ht="21.95" customHeight="1">
      <c r="A972" s="149" t="s">
        <v>4424</v>
      </c>
      <c r="B972" s="147"/>
      <c r="C972" s="148"/>
      <c r="D972" s="147"/>
      <c r="E972" s="147"/>
      <c r="F972" s="74"/>
      <c r="G972" s="74" t="s">
        <v>6748</v>
      </c>
      <c r="H972" s="74" t="s">
        <v>5901</v>
      </c>
      <c r="I972" s="74" t="s">
        <v>63</v>
      </c>
      <c r="J972" s="74" t="s">
        <v>36</v>
      </c>
      <c r="K972" s="74" t="s">
        <v>6750</v>
      </c>
      <c r="L972" s="74" t="s">
        <v>4423</v>
      </c>
    </row>
    <row r="973" spans="1:12" ht="21.95" customHeight="1">
      <c r="A973" s="149" t="s">
        <v>4432</v>
      </c>
      <c r="B973" s="147"/>
      <c r="C973" s="148"/>
      <c r="D973" s="147"/>
      <c r="E973" s="147"/>
      <c r="F973" s="74"/>
      <c r="G973" s="74" t="s">
        <v>6748</v>
      </c>
      <c r="H973" s="74" t="s">
        <v>5902</v>
      </c>
      <c r="I973" s="74" t="s">
        <v>112</v>
      </c>
      <c r="J973" s="74" t="s">
        <v>36</v>
      </c>
      <c r="K973" s="74" t="s">
        <v>6750</v>
      </c>
      <c r="L973" s="74" t="s">
        <v>4431</v>
      </c>
    </row>
    <row r="974" spans="1:12" ht="21.95" customHeight="1">
      <c r="A974" s="149" t="s">
        <v>4441</v>
      </c>
      <c r="B974" s="147"/>
      <c r="C974" s="148"/>
      <c r="D974" s="147"/>
      <c r="E974" s="147"/>
      <c r="F974" s="74"/>
      <c r="G974" s="74" t="s">
        <v>6748</v>
      </c>
      <c r="H974" s="74" t="s">
        <v>5903</v>
      </c>
      <c r="I974" s="74" t="s">
        <v>93</v>
      </c>
      <c r="J974" s="74" t="s">
        <v>3682</v>
      </c>
      <c r="K974" s="74" t="s">
        <v>387</v>
      </c>
      <c r="L974" s="74" t="s">
        <v>4440</v>
      </c>
    </row>
    <row r="975" spans="1:12" ht="21.95" customHeight="1">
      <c r="A975" s="149" t="s">
        <v>4444</v>
      </c>
      <c r="B975" s="147"/>
      <c r="C975" s="148"/>
      <c r="D975" s="147"/>
      <c r="E975" s="147"/>
      <c r="F975" s="74"/>
      <c r="G975" s="74" t="s">
        <v>6748</v>
      </c>
      <c r="H975" s="74" t="s">
        <v>5904</v>
      </c>
      <c r="I975" s="74" t="s">
        <v>3632</v>
      </c>
      <c r="J975" s="74" t="s">
        <v>36</v>
      </c>
      <c r="K975" s="74" t="s">
        <v>6750</v>
      </c>
      <c r="L975" s="74" t="s">
        <v>4443</v>
      </c>
    </row>
    <row r="976" spans="1:12" ht="21.95" customHeight="1">
      <c r="A976" s="149" t="s">
        <v>6483</v>
      </c>
      <c r="B976" s="147"/>
      <c r="C976" s="148"/>
      <c r="D976" s="147"/>
      <c r="E976" s="147"/>
      <c r="F976" s="74"/>
      <c r="G976" s="74" t="s">
        <v>6748</v>
      </c>
      <c r="H976" s="74" t="s">
        <v>5905</v>
      </c>
      <c r="I976" s="74" t="s">
        <v>501</v>
      </c>
      <c r="J976" s="74" t="s">
        <v>73</v>
      </c>
      <c r="K976" s="74" t="s">
        <v>6750</v>
      </c>
      <c r="L976" s="74" t="s">
        <v>4446</v>
      </c>
    </row>
    <row r="977" spans="1:12" ht="21.95" customHeight="1">
      <c r="A977" s="149" t="s">
        <v>4452</v>
      </c>
      <c r="B977" s="147"/>
      <c r="C977" s="148"/>
      <c r="D977" s="147"/>
      <c r="E977" s="147"/>
      <c r="F977" s="74"/>
      <c r="G977" s="74" t="s">
        <v>6748</v>
      </c>
      <c r="H977" s="74" t="s">
        <v>5906</v>
      </c>
      <c r="I977" s="74" t="s">
        <v>93</v>
      </c>
      <c r="J977" s="74" t="s">
        <v>3357</v>
      </c>
      <c r="K977" s="74" t="s">
        <v>387</v>
      </c>
      <c r="L977" s="74" t="s">
        <v>4451</v>
      </c>
    </row>
    <row r="978" spans="1:12" ht="21.95" customHeight="1">
      <c r="A978" s="149" t="s">
        <v>4459</v>
      </c>
      <c r="B978" s="147"/>
      <c r="C978" s="148"/>
      <c r="D978" s="147"/>
      <c r="E978" s="147"/>
      <c r="F978" s="74"/>
      <c r="G978" s="74" t="s">
        <v>6748</v>
      </c>
      <c r="H978" s="74" t="s">
        <v>5907</v>
      </c>
      <c r="I978" s="74" t="s">
        <v>112</v>
      </c>
      <c r="J978" s="74" t="s">
        <v>36</v>
      </c>
      <c r="K978" s="74" t="s">
        <v>6750</v>
      </c>
      <c r="L978" s="74" t="s">
        <v>4458</v>
      </c>
    </row>
    <row r="979" spans="1:12" ht="21.95" customHeight="1">
      <c r="A979" s="149" t="s">
        <v>4462</v>
      </c>
      <c r="B979" s="147"/>
      <c r="C979" s="148"/>
      <c r="D979" s="147"/>
      <c r="E979" s="147"/>
      <c r="F979" s="74"/>
      <c r="G979" s="74" t="s">
        <v>6748</v>
      </c>
      <c r="H979" s="74" t="s">
        <v>5908</v>
      </c>
      <c r="I979" s="74" t="s">
        <v>174</v>
      </c>
      <c r="J979" s="74" t="s">
        <v>3682</v>
      </c>
      <c r="K979" s="74" t="s">
        <v>387</v>
      </c>
      <c r="L979" s="74" t="s">
        <v>4461</v>
      </c>
    </row>
    <row r="980" spans="1:12" ht="21.95" customHeight="1">
      <c r="A980" s="149" t="s">
        <v>4470</v>
      </c>
      <c r="B980" s="147"/>
      <c r="C980" s="148"/>
      <c r="D980" s="147"/>
      <c r="E980" s="147"/>
      <c r="F980" s="74"/>
      <c r="G980" s="74" t="s">
        <v>6748</v>
      </c>
      <c r="H980" s="74" t="s">
        <v>5909</v>
      </c>
      <c r="I980" s="74" t="s">
        <v>112</v>
      </c>
      <c r="J980" s="74" t="s">
        <v>46</v>
      </c>
      <c r="K980" s="74" t="s">
        <v>6750</v>
      </c>
      <c r="L980" s="74" t="s">
        <v>4469</v>
      </c>
    </row>
    <row r="981" spans="1:12" ht="21.95" customHeight="1">
      <c r="A981" s="149" t="s">
        <v>4476</v>
      </c>
      <c r="B981" s="147"/>
      <c r="C981" s="148"/>
      <c r="D981" s="147"/>
      <c r="E981" s="147"/>
      <c r="F981" s="74"/>
      <c r="G981" s="74" t="s">
        <v>6748</v>
      </c>
      <c r="H981" s="74" t="s">
        <v>5910</v>
      </c>
      <c r="I981" s="74" t="s">
        <v>63</v>
      </c>
      <c r="J981" s="74" t="s">
        <v>73</v>
      </c>
      <c r="K981" s="74" t="s">
        <v>6750</v>
      </c>
      <c r="L981" s="74" t="s">
        <v>4475</v>
      </c>
    </row>
    <row r="982" spans="1:12" ht="21.95" customHeight="1">
      <c r="A982" s="149" t="s">
        <v>4489</v>
      </c>
      <c r="B982" s="147"/>
      <c r="C982" s="148"/>
      <c r="D982" s="147"/>
      <c r="E982" s="147"/>
      <c r="F982" s="74"/>
      <c r="G982" s="74" t="s">
        <v>6748</v>
      </c>
      <c r="H982" s="74" t="s">
        <v>5911</v>
      </c>
      <c r="I982" s="74" t="s">
        <v>63</v>
      </c>
      <c r="J982" s="74" t="s">
        <v>126</v>
      </c>
      <c r="K982" s="74" t="s">
        <v>6750</v>
      </c>
      <c r="L982" s="74" t="s">
        <v>4488</v>
      </c>
    </row>
    <row r="983" spans="1:12" ht="21.95" customHeight="1">
      <c r="A983" s="149" t="s">
        <v>4492</v>
      </c>
      <c r="B983" s="147"/>
      <c r="C983" s="148"/>
      <c r="D983" s="147"/>
      <c r="E983" s="147"/>
      <c r="F983" s="74"/>
      <c r="G983" s="74" t="s">
        <v>6748</v>
      </c>
      <c r="H983" s="74" t="s">
        <v>5912</v>
      </c>
      <c r="I983" s="74" t="s">
        <v>264</v>
      </c>
      <c r="J983" s="74" t="s">
        <v>73</v>
      </c>
      <c r="K983" s="74" t="s">
        <v>6750</v>
      </c>
      <c r="L983" s="74" t="s">
        <v>4491</v>
      </c>
    </row>
    <row r="984" spans="1:12" ht="21.95" customHeight="1">
      <c r="A984" s="149" t="s">
        <v>4503</v>
      </c>
      <c r="B984" s="147"/>
      <c r="C984" s="148"/>
      <c r="D984" s="147"/>
      <c r="E984" s="147"/>
      <c r="F984" s="74"/>
      <c r="G984" s="74" t="s">
        <v>6748</v>
      </c>
      <c r="H984" s="74" t="s">
        <v>5913</v>
      </c>
      <c r="I984" s="74" t="s">
        <v>174</v>
      </c>
      <c r="J984" s="74" t="s">
        <v>36</v>
      </c>
      <c r="K984" s="74" t="s">
        <v>6750</v>
      </c>
      <c r="L984" s="74" t="s">
        <v>4502</v>
      </c>
    </row>
    <row r="985" spans="1:12" ht="21.95" customHeight="1">
      <c r="A985" s="149" t="s">
        <v>4509</v>
      </c>
      <c r="B985" s="147"/>
      <c r="C985" s="148"/>
      <c r="D985" s="147"/>
      <c r="E985" s="147"/>
      <c r="F985" s="74"/>
      <c r="G985" s="74" t="s">
        <v>6748</v>
      </c>
      <c r="H985" s="74" t="s">
        <v>5914</v>
      </c>
      <c r="I985" s="74" t="s">
        <v>695</v>
      </c>
      <c r="J985" s="74" t="s">
        <v>538</v>
      </c>
      <c r="K985" s="74" t="s">
        <v>387</v>
      </c>
      <c r="L985" s="74" t="s">
        <v>4508</v>
      </c>
    </row>
    <row r="986" spans="1:12" ht="21.95" customHeight="1">
      <c r="A986" s="149" t="s">
        <v>4515</v>
      </c>
      <c r="B986" s="147"/>
      <c r="C986" s="148"/>
      <c r="D986" s="147"/>
      <c r="E986" s="147"/>
      <c r="F986" s="74"/>
      <c r="G986" s="74" t="s">
        <v>6748</v>
      </c>
      <c r="H986" s="74" t="s">
        <v>5915</v>
      </c>
      <c r="I986" s="74" t="s">
        <v>63</v>
      </c>
      <c r="J986" s="74" t="s">
        <v>36</v>
      </c>
      <c r="K986" s="74" t="s">
        <v>6750</v>
      </c>
      <c r="L986" s="74" t="s">
        <v>4514</v>
      </c>
    </row>
    <row r="987" spans="1:12" ht="21.95" customHeight="1">
      <c r="A987" s="149" t="s">
        <v>4524</v>
      </c>
      <c r="B987" s="147"/>
      <c r="C987" s="148"/>
      <c r="D987" s="147"/>
      <c r="E987" s="147"/>
      <c r="F987" s="74"/>
      <c r="G987" s="74" t="s">
        <v>6748</v>
      </c>
      <c r="H987" s="74" t="s">
        <v>5916</v>
      </c>
      <c r="I987" s="74" t="s">
        <v>695</v>
      </c>
      <c r="J987" s="74" t="s">
        <v>46</v>
      </c>
      <c r="K987" s="74" t="s">
        <v>6750</v>
      </c>
      <c r="L987" s="74" t="s">
        <v>4523</v>
      </c>
    </row>
    <row r="988" spans="1:12" ht="21.95" customHeight="1">
      <c r="A988" s="149" t="s">
        <v>4527</v>
      </c>
      <c r="B988" s="147"/>
      <c r="C988" s="148"/>
      <c r="D988" s="147"/>
      <c r="E988" s="147"/>
      <c r="F988" s="74"/>
      <c r="G988" s="74" t="s">
        <v>6748</v>
      </c>
      <c r="H988" s="74" t="s">
        <v>5917</v>
      </c>
      <c r="I988" s="74" t="s">
        <v>85</v>
      </c>
      <c r="J988" s="74" t="s">
        <v>73</v>
      </c>
      <c r="K988" s="74" t="s">
        <v>6750</v>
      </c>
      <c r="L988" s="74" t="s">
        <v>4526</v>
      </c>
    </row>
    <row r="989" spans="1:12" ht="21.95" customHeight="1">
      <c r="A989" s="149" t="s">
        <v>4541</v>
      </c>
      <c r="B989" s="147"/>
      <c r="C989" s="148"/>
      <c r="D989" s="147"/>
      <c r="E989" s="147"/>
      <c r="F989" s="74"/>
      <c r="G989" s="74" t="s">
        <v>6748</v>
      </c>
      <c r="H989" s="74" t="s">
        <v>5918</v>
      </c>
      <c r="I989" s="74" t="s">
        <v>129</v>
      </c>
      <c r="J989" s="74" t="s">
        <v>538</v>
      </c>
      <c r="K989" s="74" t="s">
        <v>387</v>
      </c>
      <c r="L989" s="74" t="s">
        <v>4540</v>
      </c>
    </row>
    <row r="990" spans="1:12" ht="21.95" customHeight="1">
      <c r="A990" s="149" t="s">
        <v>4545</v>
      </c>
      <c r="B990" s="147"/>
      <c r="C990" s="148"/>
      <c r="D990" s="147"/>
      <c r="E990" s="147"/>
      <c r="F990" s="74"/>
      <c r="G990" s="74" t="s">
        <v>6748</v>
      </c>
      <c r="H990" s="74" t="s">
        <v>5919</v>
      </c>
      <c r="I990" s="74" t="s">
        <v>1816</v>
      </c>
      <c r="J990" s="74" t="s">
        <v>46</v>
      </c>
      <c r="K990" s="74" t="s">
        <v>6750</v>
      </c>
      <c r="L990" s="74" t="s">
        <v>4544</v>
      </c>
    </row>
    <row r="991" spans="1:12" ht="21.95" customHeight="1">
      <c r="A991" s="149" t="s">
        <v>4389</v>
      </c>
      <c r="B991" s="147"/>
      <c r="C991" s="148"/>
      <c r="D991" s="147"/>
      <c r="E991" s="147"/>
      <c r="F991" s="74"/>
      <c r="G991" s="74" t="s">
        <v>6748</v>
      </c>
      <c r="H991" s="74" t="s">
        <v>5892</v>
      </c>
      <c r="I991" s="74" t="s">
        <v>616</v>
      </c>
      <c r="J991" s="74" t="s">
        <v>538</v>
      </c>
      <c r="K991" s="74" t="s">
        <v>387</v>
      </c>
      <c r="L991" s="74" t="s">
        <v>4546</v>
      </c>
    </row>
    <row r="992" spans="1:12" ht="21.95" customHeight="1">
      <c r="A992" s="149" t="s">
        <v>4553</v>
      </c>
      <c r="B992" s="147"/>
      <c r="C992" s="148"/>
      <c r="D992" s="147"/>
      <c r="E992" s="147"/>
      <c r="F992" s="74"/>
      <c r="G992" s="74" t="s">
        <v>6748</v>
      </c>
      <c r="H992" s="74" t="s">
        <v>5920</v>
      </c>
      <c r="I992" s="74" t="s">
        <v>410</v>
      </c>
      <c r="J992" s="74" t="s">
        <v>36</v>
      </c>
      <c r="K992" s="74" t="s">
        <v>6750</v>
      </c>
      <c r="L992" s="74" t="s">
        <v>4552</v>
      </c>
    </row>
    <row r="993" spans="1:12" ht="21.95" customHeight="1">
      <c r="A993" s="149" t="s">
        <v>4046</v>
      </c>
      <c r="B993" s="147"/>
      <c r="C993" s="148"/>
      <c r="D993" s="147"/>
      <c r="E993" s="147"/>
      <c r="F993" s="74"/>
      <c r="G993" s="74" t="s">
        <v>6748</v>
      </c>
      <c r="H993" s="74" t="s">
        <v>5837</v>
      </c>
      <c r="I993" s="74" t="s">
        <v>93</v>
      </c>
      <c r="J993" s="74" t="s">
        <v>36</v>
      </c>
      <c r="K993" s="74" t="s">
        <v>6750</v>
      </c>
      <c r="L993" s="74" t="s">
        <v>4557</v>
      </c>
    </row>
    <row r="994" spans="1:12" ht="21.95" customHeight="1">
      <c r="A994" s="149" t="s">
        <v>4559</v>
      </c>
      <c r="B994" s="147"/>
      <c r="C994" s="148"/>
      <c r="D994" s="147"/>
      <c r="E994" s="147"/>
      <c r="F994" s="74"/>
      <c r="G994" s="74" t="s">
        <v>6748</v>
      </c>
      <c r="H994" s="74" t="s">
        <v>5921</v>
      </c>
      <c r="I994" s="74" t="s">
        <v>63</v>
      </c>
      <c r="J994" s="74" t="s">
        <v>36</v>
      </c>
      <c r="K994" s="74" t="s">
        <v>6750</v>
      </c>
      <c r="L994" s="74" t="s">
        <v>4558</v>
      </c>
    </row>
    <row r="995" spans="1:12" ht="21.95" customHeight="1">
      <c r="A995" s="149" t="s">
        <v>4569</v>
      </c>
      <c r="B995" s="147"/>
      <c r="C995" s="148"/>
      <c r="D995" s="147"/>
      <c r="E995" s="147"/>
      <c r="F995" s="74"/>
      <c r="G995" s="74" t="s">
        <v>6748</v>
      </c>
      <c r="H995" s="74" t="s">
        <v>5922</v>
      </c>
      <c r="I995" s="74" t="s">
        <v>501</v>
      </c>
      <c r="J995" s="74" t="s">
        <v>196</v>
      </c>
      <c r="K995" s="74" t="s">
        <v>6750</v>
      </c>
      <c r="L995" s="74" t="s">
        <v>4568</v>
      </c>
    </row>
    <row r="996" spans="1:12" ht="21.95" customHeight="1">
      <c r="A996" s="149" t="s">
        <v>4577</v>
      </c>
      <c r="B996" s="147"/>
      <c r="C996" s="148"/>
      <c r="D996" s="147"/>
      <c r="E996" s="147"/>
      <c r="F996" s="74"/>
      <c r="G996" s="74" t="s">
        <v>6748</v>
      </c>
      <c r="H996" s="74" t="s">
        <v>5923</v>
      </c>
      <c r="I996" s="74" t="s">
        <v>63</v>
      </c>
      <c r="J996" s="74" t="s">
        <v>73</v>
      </c>
      <c r="K996" s="74" t="s">
        <v>6750</v>
      </c>
      <c r="L996" s="74" t="s">
        <v>4576</v>
      </c>
    </row>
    <row r="997" spans="1:12" ht="21.95" customHeight="1">
      <c r="A997" s="149" t="s">
        <v>4583</v>
      </c>
      <c r="B997" s="147"/>
      <c r="C997" s="148"/>
      <c r="D997" s="147"/>
      <c r="E997" s="147"/>
      <c r="F997" s="74"/>
      <c r="G997" s="74" t="s">
        <v>6748</v>
      </c>
      <c r="H997" s="74" t="s">
        <v>5924</v>
      </c>
      <c r="I997" s="74" t="s">
        <v>85</v>
      </c>
      <c r="J997" s="74" t="s">
        <v>73</v>
      </c>
      <c r="K997" s="74" t="s">
        <v>6750</v>
      </c>
      <c r="L997" s="74" t="s">
        <v>4582</v>
      </c>
    </row>
    <row r="998" spans="1:12" ht="21.95" customHeight="1">
      <c r="A998" s="149" t="s">
        <v>4586</v>
      </c>
      <c r="B998" s="147"/>
      <c r="C998" s="148"/>
      <c r="D998" s="147"/>
      <c r="E998" s="147"/>
      <c r="F998" s="74"/>
      <c r="G998" s="74" t="s">
        <v>6748</v>
      </c>
      <c r="H998" s="74" t="s">
        <v>5925</v>
      </c>
      <c r="I998" s="74" t="s">
        <v>501</v>
      </c>
      <c r="J998" s="74" t="s">
        <v>73</v>
      </c>
      <c r="K998" s="74" t="s">
        <v>6750</v>
      </c>
      <c r="L998" s="74" t="s">
        <v>4585</v>
      </c>
    </row>
    <row r="999" spans="1:12" ht="21.95" customHeight="1">
      <c r="A999" s="149" t="s">
        <v>4590</v>
      </c>
      <c r="B999" s="147"/>
      <c r="C999" s="148"/>
      <c r="D999" s="147"/>
      <c r="E999" s="147"/>
      <c r="F999" s="74"/>
      <c r="G999" s="74" t="s">
        <v>6748</v>
      </c>
      <c r="H999" s="74" t="s">
        <v>5926</v>
      </c>
      <c r="I999" s="74" t="s">
        <v>125</v>
      </c>
      <c r="J999" s="74" t="s">
        <v>196</v>
      </c>
      <c r="K999" s="74" t="s">
        <v>6750</v>
      </c>
      <c r="L999" s="74" t="s">
        <v>4589</v>
      </c>
    </row>
    <row r="1000" spans="1:12" ht="21.95" customHeight="1">
      <c r="A1000" s="149" t="s">
        <v>4593</v>
      </c>
      <c r="B1000" s="147"/>
      <c r="C1000" s="148"/>
      <c r="D1000" s="147"/>
      <c r="E1000" s="147"/>
      <c r="F1000" s="74"/>
      <c r="G1000" s="74" t="s">
        <v>6748</v>
      </c>
      <c r="H1000" s="74" t="s">
        <v>5927</v>
      </c>
      <c r="I1000" s="74" t="s">
        <v>734</v>
      </c>
      <c r="J1000" s="74" t="s">
        <v>46</v>
      </c>
      <c r="K1000" s="74" t="s">
        <v>6750</v>
      </c>
      <c r="L1000" s="74" t="s">
        <v>4592</v>
      </c>
    </row>
    <row r="1001" spans="1:12" ht="21.95" customHeight="1">
      <c r="A1001" s="149" t="s">
        <v>4600</v>
      </c>
      <c r="B1001" s="147"/>
      <c r="C1001" s="148"/>
      <c r="D1001" s="147"/>
      <c r="E1001" s="147"/>
      <c r="F1001" s="74"/>
      <c r="G1001" s="74" t="s">
        <v>6748</v>
      </c>
      <c r="H1001" s="74" t="s">
        <v>5928</v>
      </c>
      <c r="I1001" s="74" t="s">
        <v>1098</v>
      </c>
      <c r="J1001" s="74" t="s">
        <v>36</v>
      </c>
      <c r="K1001" s="74" t="s">
        <v>6750</v>
      </c>
      <c r="L1001" s="74" t="s">
        <v>4599</v>
      </c>
    </row>
    <row r="1002" spans="1:12" ht="21.95" customHeight="1">
      <c r="A1002" s="149" t="s">
        <v>4053</v>
      </c>
      <c r="B1002" s="147"/>
      <c r="C1002" s="148"/>
      <c r="D1002" s="147"/>
      <c r="E1002" s="147"/>
      <c r="F1002" s="74"/>
      <c r="G1002" s="74" t="s">
        <v>6748</v>
      </c>
      <c r="H1002" s="74" t="s">
        <v>5839</v>
      </c>
      <c r="I1002" s="74" t="s">
        <v>202</v>
      </c>
      <c r="J1002" s="74" t="s">
        <v>36</v>
      </c>
      <c r="K1002" s="74" t="s">
        <v>6750</v>
      </c>
      <c r="L1002" s="74" t="s">
        <v>4605</v>
      </c>
    </row>
    <row r="1003" spans="1:12" ht="21.95" customHeight="1">
      <c r="A1003" s="149" t="s">
        <v>4607</v>
      </c>
      <c r="B1003" s="147"/>
      <c r="C1003" s="148"/>
      <c r="D1003" s="147"/>
      <c r="E1003" s="147"/>
      <c r="F1003" s="74"/>
      <c r="G1003" s="74" t="s">
        <v>6748</v>
      </c>
      <c r="H1003" s="74" t="s">
        <v>5569</v>
      </c>
      <c r="I1003" s="74" t="s">
        <v>63</v>
      </c>
      <c r="J1003" s="74" t="s">
        <v>538</v>
      </c>
      <c r="K1003" s="74" t="s">
        <v>387</v>
      </c>
      <c r="L1003" s="74" t="s">
        <v>4606</v>
      </c>
    </row>
    <row r="1004" spans="1:12" ht="21.95" customHeight="1">
      <c r="A1004" s="149" t="s">
        <v>4611</v>
      </c>
      <c r="B1004" s="147"/>
      <c r="C1004" s="148"/>
      <c r="D1004" s="147"/>
      <c r="E1004" s="147"/>
      <c r="F1004" s="74"/>
      <c r="G1004" s="74" t="s">
        <v>6748</v>
      </c>
      <c r="H1004" s="74" t="s">
        <v>5929</v>
      </c>
      <c r="I1004" s="74" t="s">
        <v>125</v>
      </c>
      <c r="J1004" s="74" t="s">
        <v>250</v>
      </c>
      <c r="K1004" s="74" t="s">
        <v>6750</v>
      </c>
      <c r="L1004" s="74" t="s">
        <v>4610</v>
      </c>
    </row>
    <row r="1005" spans="1:12" ht="21.95" customHeight="1">
      <c r="A1005" s="149" t="s">
        <v>6484</v>
      </c>
      <c r="B1005" s="147"/>
      <c r="C1005" s="148"/>
      <c r="D1005" s="147"/>
      <c r="E1005" s="147"/>
      <c r="F1005" s="74"/>
      <c r="G1005" s="74" t="s">
        <v>6748</v>
      </c>
      <c r="H1005" s="74" t="s">
        <v>5930</v>
      </c>
      <c r="I1005" s="74" t="s">
        <v>695</v>
      </c>
      <c r="J1005" s="74" t="s">
        <v>46</v>
      </c>
      <c r="K1005" s="74" t="s">
        <v>6750</v>
      </c>
      <c r="L1005" s="74" t="s">
        <v>4623</v>
      </c>
    </row>
    <row r="1006" spans="1:12" ht="21.95" customHeight="1">
      <c r="A1006" s="149" t="s">
        <v>6485</v>
      </c>
      <c r="B1006" s="147"/>
      <c r="C1006" s="148"/>
      <c r="D1006" s="147"/>
      <c r="E1006" s="147"/>
      <c r="F1006" s="74"/>
      <c r="G1006" s="74" t="s">
        <v>6748</v>
      </c>
      <c r="H1006" s="74" t="s">
        <v>5931</v>
      </c>
      <c r="I1006" s="74" t="s">
        <v>174</v>
      </c>
      <c r="J1006" s="74" t="s">
        <v>126</v>
      </c>
      <c r="K1006" s="74" t="s">
        <v>6750</v>
      </c>
      <c r="L1006" s="74" t="s">
        <v>4628</v>
      </c>
    </row>
    <row r="1007" spans="1:12" ht="21.95" customHeight="1">
      <c r="A1007" s="149" t="s">
        <v>6486</v>
      </c>
      <c r="B1007" s="147"/>
      <c r="C1007" s="148"/>
      <c r="D1007" s="147"/>
      <c r="E1007" s="147"/>
      <c r="F1007" s="74"/>
      <c r="G1007" s="74" t="s">
        <v>6748</v>
      </c>
      <c r="H1007" s="74" t="s">
        <v>5932</v>
      </c>
      <c r="I1007" s="74" t="s">
        <v>807</v>
      </c>
      <c r="J1007" s="74" t="s">
        <v>36</v>
      </c>
      <c r="K1007" s="74" t="s">
        <v>6750</v>
      </c>
      <c r="L1007" s="74" t="s">
        <v>4638</v>
      </c>
    </row>
    <row r="1008" spans="1:12" ht="21.95" customHeight="1">
      <c r="A1008" s="149" t="s">
        <v>6487</v>
      </c>
      <c r="B1008" s="147"/>
      <c r="C1008" s="148"/>
      <c r="D1008" s="147"/>
      <c r="E1008" s="147"/>
      <c r="F1008" s="74"/>
      <c r="G1008" s="74" t="s">
        <v>6748</v>
      </c>
      <c r="H1008" s="74" t="s">
        <v>5933</v>
      </c>
      <c r="I1008" s="74" t="s">
        <v>656</v>
      </c>
      <c r="J1008" s="74" t="s">
        <v>538</v>
      </c>
      <c r="K1008" s="74" t="s">
        <v>387</v>
      </c>
      <c r="L1008" s="74" t="s">
        <v>4641</v>
      </c>
    </row>
    <row r="1009" spans="1:12" ht="21.95" customHeight="1">
      <c r="A1009" s="149" t="s">
        <v>6488</v>
      </c>
      <c r="B1009" s="147"/>
      <c r="C1009" s="148"/>
      <c r="D1009" s="147"/>
      <c r="E1009" s="147"/>
      <c r="F1009" s="74"/>
      <c r="G1009" s="74" t="s">
        <v>6748</v>
      </c>
      <c r="H1009" s="74" t="s">
        <v>5934</v>
      </c>
      <c r="I1009" s="74" t="s">
        <v>63</v>
      </c>
      <c r="J1009" s="74" t="s">
        <v>36</v>
      </c>
      <c r="K1009" s="74" t="s">
        <v>6750</v>
      </c>
      <c r="L1009" s="74" t="s">
        <v>4648</v>
      </c>
    </row>
    <row r="1010" spans="1:12" ht="21.95" customHeight="1">
      <c r="A1010" s="149" t="s">
        <v>6489</v>
      </c>
      <c r="B1010" s="147"/>
      <c r="C1010" s="148"/>
      <c r="D1010" s="147"/>
      <c r="E1010" s="147"/>
      <c r="F1010" s="74"/>
      <c r="G1010" s="74" t="s">
        <v>6748</v>
      </c>
      <c r="H1010" s="74" t="s">
        <v>5935</v>
      </c>
      <c r="I1010" s="74" t="s">
        <v>369</v>
      </c>
      <c r="J1010" s="74" t="s">
        <v>73</v>
      </c>
      <c r="K1010" s="74" t="s">
        <v>6750</v>
      </c>
      <c r="L1010" s="74" t="s">
        <v>4655</v>
      </c>
    </row>
    <row r="1011" spans="1:12" ht="21.95" customHeight="1">
      <c r="A1011" s="149" t="s">
        <v>6490</v>
      </c>
      <c r="B1011" s="147"/>
      <c r="C1011" s="148"/>
      <c r="D1011" s="147"/>
      <c r="E1011" s="147"/>
      <c r="F1011" s="74"/>
      <c r="G1011" s="74" t="s">
        <v>6748</v>
      </c>
      <c r="H1011" s="74" t="s">
        <v>5936</v>
      </c>
      <c r="I1011" s="74" t="s">
        <v>63</v>
      </c>
      <c r="J1011" s="74" t="s">
        <v>36</v>
      </c>
      <c r="K1011" s="74" t="s">
        <v>6750</v>
      </c>
      <c r="L1011" s="74" t="s">
        <v>4657</v>
      </c>
    </row>
    <row r="1012" spans="1:12" ht="21.95" customHeight="1">
      <c r="A1012" s="149" t="s">
        <v>6491</v>
      </c>
      <c r="B1012" s="147"/>
      <c r="C1012" s="148"/>
      <c r="D1012" s="147"/>
      <c r="E1012" s="147"/>
      <c r="F1012" s="74"/>
      <c r="G1012" s="74" t="s">
        <v>6748</v>
      </c>
      <c r="H1012" s="74" t="s">
        <v>5937</v>
      </c>
      <c r="I1012" s="74" t="s">
        <v>93</v>
      </c>
      <c r="J1012" s="74" t="s">
        <v>36</v>
      </c>
      <c r="K1012" s="74" t="s">
        <v>6750</v>
      </c>
      <c r="L1012" s="74" t="s">
        <v>4659</v>
      </c>
    </row>
    <row r="1013" spans="1:12" ht="21.95" customHeight="1">
      <c r="A1013" s="149" t="s">
        <v>6492</v>
      </c>
      <c r="B1013" s="147"/>
      <c r="C1013" s="148"/>
      <c r="D1013" s="147"/>
      <c r="E1013" s="147"/>
      <c r="F1013" s="74"/>
      <c r="G1013" s="74" t="s">
        <v>6748</v>
      </c>
      <c r="H1013" s="74" t="s">
        <v>5938</v>
      </c>
      <c r="I1013" s="74" t="s">
        <v>807</v>
      </c>
      <c r="J1013" s="74" t="s">
        <v>73</v>
      </c>
      <c r="K1013" s="74" t="s">
        <v>6750</v>
      </c>
      <c r="L1013" s="74" t="s">
        <v>4662</v>
      </c>
    </row>
    <row r="1014" spans="1:12" ht="21.95" customHeight="1">
      <c r="A1014" s="149" t="s">
        <v>6493</v>
      </c>
      <c r="B1014" s="147"/>
      <c r="C1014" s="148"/>
      <c r="D1014" s="147"/>
      <c r="E1014" s="147"/>
      <c r="F1014" s="74"/>
      <c r="G1014" s="74" t="s">
        <v>6748</v>
      </c>
      <c r="H1014" s="74" t="s">
        <v>5939</v>
      </c>
      <c r="I1014" s="74" t="s">
        <v>93</v>
      </c>
      <c r="J1014" s="74" t="s">
        <v>1352</v>
      </c>
      <c r="K1014" s="74" t="s">
        <v>387</v>
      </c>
      <c r="L1014" s="74" t="s">
        <v>4670</v>
      </c>
    </row>
    <row r="1015" spans="1:12" ht="21.95" customHeight="1">
      <c r="A1015" s="149" t="s">
        <v>6494</v>
      </c>
      <c r="B1015" s="147"/>
      <c r="C1015" s="148"/>
      <c r="D1015" s="147"/>
      <c r="E1015" s="147"/>
      <c r="F1015" s="74"/>
      <c r="G1015" s="74" t="s">
        <v>6748</v>
      </c>
      <c r="H1015" s="74" t="s">
        <v>5940</v>
      </c>
      <c r="I1015" s="74" t="s">
        <v>734</v>
      </c>
      <c r="J1015" s="74" t="s">
        <v>3389</v>
      </c>
      <c r="K1015" s="74" t="s">
        <v>387</v>
      </c>
      <c r="L1015" s="74" t="s">
        <v>4688</v>
      </c>
    </row>
    <row r="1016" spans="1:12" ht="21.95" customHeight="1">
      <c r="A1016" s="149" t="s">
        <v>6495</v>
      </c>
      <c r="B1016" s="147"/>
      <c r="C1016" s="148"/>
      <c r="D1016" s="147"/>
      <c r="E1016" s="147"/>
      <c r="F1016" s="74"/>
      <c r="G1016" s="74" t="s">
        <v>6748</v>
      </c>
      <c r="H1016" s="74" t="s">
        <v>5941</v>
      </c>
      <c r="I1016" s="74" t="s">
        <v>63</v>
      </c>
      <c r="J1016" s="74" t="s">
        <v>46</v>
      </c>
      <c r="K1016" s="74" t="s">
        <v>6750</v>
      </c>
      <c r="L1016" s="74" t="s">
        <v>4695</v>
      </c>
    </row>
    <row r="1017" spans="1:12" ht="21.95" customHeight="1">
      <c r="A1017" s="149" t="s">
        <v>6496</v>
      </c>
      <c r="B1017" s="147"/>
      <c r="C1017" s="148"/>
      <c r="D1017" s="147"/>
      <c r="E1017" s="147"/>
      <c r="F1017" s="74"/>
      <c r="G1017" s="74" t="s">
        <v>6748</v>
      </c>
      <c r="H1017" s="74" t="s">
        <v>5942</v>
      </c>
      <c r="I1017" s="74" t="s">
        <v>616</v>
      </c>
      <c r="J1017" s="74" t="s">
        <v>36</v>
      </c>
      <c r="K1017" s="74" t="s">
        <v>6750</v>
      </c>
      <c r="L1017" s="74" t="s">
        <v>4699</v>
      </c>
    </row>
    <row r="1018" spans="1:12" ht="21.95" customHeight="1">
      <c r="A1018" s="149" t="s">
        <v>6497</v>
      </c>
      <c r="B1018" s="147"/>
      <c r="C1018" s="148"/>
      <c r="D1018" s="147"/>
      <c r="E1018" s="147"/>
      <c r="F1018" s="74"/>
      <c r="G1018" s="74" t="s">
        <v>6748</v>
      </c>
      <c r="H1018" s="74" t="s">
        <v>5943</v>
      </c>
      <c r="I1018" s="74" t="s">
        <v>174</v>
      </c>
      <c r="J1018" s="74" t="s">
        <v>46</v>
      </c>
      <c r="K1018" s="74" t="s">
        <v>6750</v>
      </c>
      <c r="L1018" s="74" t="s">
        <v>4702</v>
      </c>
    </row>
    <row r="1019" spans="1:12" ht="21.95" customHeight="1">
      <c r="A1019" s="149" t="s">
        <v>6498</v>
      </c>
      <c r="B1019" s="147"/>
      <c r="C1019" s="148"/>
      <c r="D1019" s="147"/>
      <c r="E1019" s="147"/>
      <c r="F1019" s="74"/>
      <c r="G1019" s="74" t="s">
        <v>6748</v>
      </c>
      <c r="H1019" s="74" t="s">
        <v>5944</v>
      </c>
      <c r="I1019" s="74" t="s">
        <v>63</v>
      </c>
      <c r="J1019" s="74" t="s">
        <v>36</v>
      </c>
      <c r="K1019" s="74" t="s">
        <v>6750</v>
      </c>
      <c r="L1019" s="74" t="s">
        <v>4709</v>
      </c>
    </row>
    <row r="1020" spans="1:12" ht="21.95" customHeight="1">
      <c r="A1020" s="149" t="s">
        <v>6499</v>
      </c>
      <c r="B1020" s="147"/>
      <c r="C1020" s="148"/>
      <c r="D1020" s="147"/>
      <c r="E1020" s="147"/>
      <c r="F1020" s="74"/>
      <c r="G1020" s="74" t="s">
        <v>6748</v>
      </c>
      <c r="H1020" s="74" t="s">
        <v>5945</v>
      </c>
      <c r="I1020" s="74" t="s">
        <v>807</v>
      </c>
      <c r="J1020" s="74" t="s">
        <v>73</v>
      </c>
      <c r="K1020" s="74" t="s">
        <v>6750</v>
      </c>
      <c r="L1020" s="74" t="s">
        <v>4711</v>
      </c>
    </row>
    <row r="1021" spans="1:12" ht="21.95" customHeight="1">
      <c r="A1021" s="149" t="s">
        <v>6500</v>
      </c>
      <c r="B1021" s="147"/>
      <c r="C1021" s="148"/>
      <c r="D1021" s="147"/>
      <c r="E1021" s="147"/>
      <c r="F1021" s="74"/>
      <c r="G1021" s="74" t="s">
        <v>6748</v>
      </c>
      <c r="H1021" s="74" t="s">
        <v>5946</v>
      </c>
      <c r="I1021" s="74" t="s">
        <v>89</v>
      </c>
      <c r="J1021" s="74" t="s">
        <v>46</v>
      </c>
      <c r="K1021" s="74" t="s">
        <v>6750</v>
      </c>
      <c r="L1021" s="74" t="s">
        <v>4714</v>
      </c>
    </row>
    <row r="1022" spans="1:12" ht="21.95" customHeight="1">
      <c r="A1022" s="149" t="s">
        <v>6501</v>
      </c>
      <c r="B1022" s="147"/>
      <c r="C1022" s="148"/>
      <c r="D1022" s="147"/>
      <c r="E1022" s="147"/>
      <c r="F1022" s="74"/>
      <c r="G1022" s="74" t="s">
        <v>6748</v>
      </c>
      <c r="H1022" s="74" t="s">
        <v>5947</v>
      </c>
      <c r="I1022" s="74" t="s">
        <v>89</v>
      </c>
      <c r="J1022" s="74" t="s">
        <v>36</v>
      </c>
      <c r="K1022" s="74" t="s">
        <v>6750</v>
      </c>
      <c r="L1022" s="74" t="s">
        <v>4717</v>
      </c>
    </row>
    <row r="1023" spans="1:12" ht="21.95" customHeight="1">
      <c r="A1023" s="149" t="s">
        <v>6502</v>
      </c>
      <c r="B1023" s="147"/>
      <c r="C1023" s="148"/>
      <c r="D1023" s="147"/>
      <c r="E1023" s="147"/>
      <c r="F1023" s="74"/>
      <c r="G1023" s="74" t="s">
        <v>6748</v>
      </c>
      <c r="H1023" s="74" t="s">
        <v>5948</v>
      </c>
      <c r="I1023" s="74" t="s">
        <v>501</v>
      </c>
      <c r="J1023" s="74" t="s">
        <v>73</v>
      </c>
      <c r="K1023" s="74" t="s">
        <v>6750</v>
      </c>
      <c r="L1023" s="74" t="s">
        <v>4719</v>
      </c>
    </row>
    <row r="1024" spans="1:12" ht="21.95" customHeight="1">
      <c r="A1024" s="149" t="s">
        <v>6503</v>
      </c>
      <c r="B1024" s="147"/>
      <c r="C1024" s="148"/>
      <c r="D1024" s="147"/>
      <c r="E1024" s="147"/>
      <c r="F1024" s="74"/>
      <c r="G1024" s="74" t="s">
        <v>6748</v>
      </c>
      <c r="H1024" s="74" t="s">
        <v>5949</v>
      </c>
      <c r="I1024" s="74" t="s">
        <v>129</v>
      </c>
      <c r="J1024" s="74" t="s">
        <v>538</v>
      </c>
      <c r="K1024" s="74" t="s">
        <v>387</v>
      </c>
      <c r="L1024" s="74" t="s">
        <v>4721</v>
      </c>
    </row>
    <row r="1025" spans="1:12" ht="21.95" customHeight="1">
      <c r="A1025" s="149" t="s">
        <v>6504</v>
      </c>
      <c r="B1025" s="147"/>
      <c r="C1025" s="148"/>
      <c r="D1025" s="147"/>
      <c r="E1025" s="147"/>
      <c r="F1025" s="74"/>
      <c r="G1025" s="74" t="s">
        <v>6748</v>
      </c>
      <c r="H1025" s="74" t="s">
        <v>5950</v>
      </c>
      <c r="I1025" s="74" t="s">
        <v>89</v>
      </c>
      <c r="J1025" s="74" t="s">
        <v>73</v>
      </c>
      <c r="K1025" s="74" t="s">
        <v>6750</v>
      </c>
      <c r="L1025" s="74" t="s">
        <v>4723</v>
      </c>
    </row>
    <row r="1026" spans="1:12" ht="21.95" customHeight="1">
      <c r="A1026" s="149" t="s">
        <v>6505</v>
      </c>
      <c r="B1026" s="147"/>
      <c r="C1026" s="148"/>
      <c r="D1026" s="147"/>
      <c r="E1026" s="147"/>
      <c r="F1026" s="74"/>
      <c r="G1026" s="74" t="s">
        <v>6748</v>
      </c>
      <c r="H1026" s="74" t="s">
        <v>5951</v>
      </c>
      <c r="I1026" s="74" t="s">
        <v>89</v>
      </c>
      <c r="J1026" s="74" t="s">
        <v>3779</v>
      </c>
      <c r="K1026" s="74" t="s">
        <v>6750</v>
      </c>
      <c r="L1026" s="74" t="s">
        <v>4726</v>
      </c>
    </row>
    <row r="1027" spans="1:12" ht="21.95" customHeight="1">
      <c r="A1027" s="149" t="s">
        <v>6506</v>
      </c>
      <c r="B1027" s="147"/>
      <c r="C1027" s="148"/>
      <c r="D1027" s="147"/>
      <c r="E1027" s="147"/>
      <c r="F1027" s="74"/>
      <c r="G1027" s="74" t="s">
        <v>6748</v>
      </c>
      <c r="H1027" s="74" t="s">
        <v>5952</v>
      </c>
      <c r="I1027" s="74" t="s">
        <v>112</v>
      </c>
      <c r="J1027" s="74" t="s">
        <v>36</v>
      </c>
      <c r="K1027" s="74" t="s">
        <v>6750</v>
      </c>
      <c r="L1027" s="74" t="s">
        <v>4733</v>
      </c>
    </row>
    <row r="1028" spans="1:12" ht="21.95" customHeight="1">
      <c r="A1028" s="149" t="s">
        <v>6507</v>
      </c>
      <c r="B1028" s="147"/>
      <c r="C1028" s="148"/>
      <c r="D1028" s="147"/>
      <c r="E1028" s="147"/>
      <c r="F1028" s="74"/>
      <c r="G1028" s="74" t="s">
        <v>6748</v>
      </c>
      <c r="H1028" s="74" t="s">
        <v>5953</v>
      </c>
      <c r="I1028" s="74" t="s">
        <v>112</v>
      </c>
      <c r="J1028" s="74" t="s">
        <v>46</v>
      </c>
      <c r="K1028" s="74" t="s">
        <v>6750</v>
      </c>
      <c r="L1028" s="74" t="s">
        <v>4744</v>
      </c>
    </row>
    <row r="1029" spans="1:12" ht="21.95" customHeight="1">
      <c r="A1029" s="149" t="s">
        <v>6508</v>
      </c>
      <c r="B1029" s="147"/>
      <c r="C1029" s="148"/>
      <c r="D1029" s="147"/>
      <c r="E1029" s="147"/>
      <c r="F1029" s="74"/>
      <c r="G1029" s="74" t="s">
        <v>6748</v>
      </c>
      <c r="H1029" s="74" t="s">
        <v>5954</v>
      </c>
      <c r="I1029" s="74" t="s">
        <v>501</v>
      </c>
      <c r="J1029" s="74" t="s">
        <v>250</v>
      </c>
      <c r="K1029" s="74" t="s">
        <v>6750</v>
      </c>
      <c r="L1029" s="74" t="s">
        <v>4746</v>
      </c>
    </row>
    <row r="1030" spans="1:12" ht="21.95" customHeight="1">
      <c r="A1030" s="149" t="s">
        <v>6509</v>
      </c>
      <c r="B1030" s="147"/>
      <c r="C1030" s="148"/>
      <c r="D1030" s="147"/>
      <c r="E1030" s="147"/>
      <c r="F1030" s="74"/>
      <c r="G1030" s="74" t="s">
        <v>6748</v>
      </c>
      <c r="H1030" s="74" t="s">
        <v>5955</v>
      </c>
      <c r="I1030" s="74" t="s">
        <v>24</v>
      </c>
      <c r="J1030" s="74" t="s">
        <v>3357</v>
      </c>
      <c r="K1030" s="74" t="s">
        <v>387</v>
      </c>
      <c r="L1030" s="74" t="s">
        <v>4749</v>
      </c>
    </row>
    <row r="1031" spans="1:12" ht="21.95" customHeight="1">
      <c r="A1031" s="149" t="s">
        <v>6510</v>
      </c>
      <c r="B1031" s="147"/>
      <c r="C1031" s="148"/>
      <c r="D1031" s="147"/>
      <c r="E1031" s="147"/>
      <c r="F1031" s="74"/>
      <c r="G1031" s="74" t="s">
        <v>6748</v>
      </c>
      <c r="H1031" s="74" t="s">
        <v>5956</v>
      </c>
      <c r="I1031" s="74" t="s">
        <v>536</v>
      </c>
      <c r="J1031" s="74" t="s">
        <v>3779</v>
      </c>
      <c r="K1031" s="74" t="s">
        <v>6750</v>
      </c>
      <c r="L1031" s="74" t="s">
        <v>4752</v>
      </c>
    </row>
    <row r="1032" spans="1:12" ht="21.95" customHeight="1">
      <c r="A1032" s="149" t="s">
        <v>6511</v>
      </c>
      <c r="B1032" s="147"/>
      <c r="C1032" s="148"/>
      <c r="D1032" s="147"/>
      <c r="E1032" s="147"/>
      <c r="F1032" s="74"/>
      <c r="G1032" s="74" t="s">
        <v>6748</v>
      </c>
      <c r="H1032" s="74" t="s">
        <v>5957</v>
      </c>
      <c r="I1032" s="74" t="s">
        <v>63</v>
      </c>
      <c r="J1032" s="74" t="s">
        <v>3779</v>
      </c>
      <c r="K1032" s="74" t="s">
        <v>6750</v>
      </c>
      <c r="L1032" s="74" t="s">
        <v>4753</v>
      </c>
    </row>
    <row r="1033" spans="1:12" ht="21.95" customHeight="1">
      <c r="A1033" s="149" t="s">
        <v>6512</v>
      </c>
      <c r="B1033" s="147"/>
      <c r="C1033" s="148"/>
      <c r="D1033" s="147"/>
      <c r="E1033" s="147"/>
      <c r="F1033" s="74"/>
      <c r="G1033" s="74" t="s">
        <v>6748</v>
      </c>
      <c r="H1033" s="74" t="s">
        <v>5958</v>
      </c>
      <c r="I1033" s="74" t="s">
        <v>3308</v>
      </c>
      <c r="J1033" s="74" t="s">
        <v>46</v>
      </c>
      <c r="K1033" s="74" t="s">
        <v>6750</v>
      </c>
      <c r="L1033" s="74" t="s">
        <v>4758</v>
      </c>
    </row>
    <row r="1034" spans="1:12" ht="21.95" customHeight="1">
      <c r="A1034" s="149" t="s">
        <v>6513</v>
      </c>
      <c r="B1034" s="147"/>
      <c r="C1034" s="148"/>
      <c r="D1034" s="147"/>
      <c r="E1034" s="147"/>
      <c r="F1034" s="74"/>
      <c r="G1034" s="74" t="s">
        <v>6748</v>
      </c>
      <c r="H1034" s="74" t="s">
        <v>5959</v>
      </c>
      <c r="I1034" s="74" t="s">
        <v>501</v>
      </c>
      <c r="J1034" s="74" t="s">
        <v>73</v>
      </c>
      <c r="K1034" s="74" t="s">
        <v>6750</v>
      </c>
      <c r="L1034" s="74" t="s">
        <v>4771</v>
      </c>
    </row>
    <row r="1035" spans="1:12" ht="21.95" customHeight="1">
      <c r="A1035" s="149" t="s">
        <v>6514</v>
      </c>
      <c r="B1035" s="147"/>
      <c r="C1035" s="148"/>
      <c r="D1035" s="147"/>
      <c r="E1035" s="147"/>
      <c r="F1035" s="74"/>
      <c r="G1035" s="74" t="s">
        <v>6748</v>
      </c>
      <c r="H1035" s="74" t="s">
        <v>5960</v>
      </c>
      <c r="I1035" s="74" t="s">
        <v>1432</v>
      </c>
      <c r="J1035" s="74" t="s">
        <v>36</v>
      </c>
      <c r="K1035" s="74" t="s">
        <v>6750</v>
      </c>
      <c r="L1035" s="74" t="s">
        <v>4772</v>
      </c>
    </row>
    <row r="1036" spans="1:12" ht="21.95" customHeight="1">
      <c r="A1036" s="149" t="s">
        <v>6515</v>
      </c>
      <c r="B1036" s="147"/>
      <c r="C1036" s="148"/>
      <c r="D1036" s="147"/>
      <c r="E1036" s="147"/>
      <c r="F1036" s="74"/>
      <c r="G1036" s="74" t="s">
        <v>6748</v>
      </c>
      <c r="H1036" s="74" t="s">
        <v>5961</v>
      </c>
      <c r="I1036" s="74" t="s">
        <v>501</v>
      </c>
      <c r="J1036" s="74" t="s">
        <v>3389</v>
      </c>
      <c r="K1036" s="74" t="s">
        <v>387</v>
      </c>
      <c r="L1036" s="74" t="s">
        <v>4777</v>
      </c>
    </row>
    <row r="1037" spans="1:12" ht="21.95" customHeight="1">
      <c r="A1037" s="149" t="s">
        <v>6516</v>
      </c>
      <c r="B1037" s="147"/>
      <c r="C1037" s="148"/>
      <c r="D1037" s="147"/>
      <c r="E1037" s="147"/>
      <c r="F1037" s="74"/>
      <c r="G1037" s="74" t="s">
        <v>6748</v>
      </c>
      <c r="H1037" s="74" t="s">
        <v>5962</v>
      </c>
      <c r="I1037" s="74" t="s">
        <v>202</v>
      </c>
      <c r="J1037" s="74" t="s">
        <v>36</v>
      </c>
      <c r="K1037" s="74" t="s">
        <v>6750</v>
      </c>
      <c r="L1037" s="74" t="s">
        <v>4779</v>
      </c>
    </row>
    <row r="1038" spans="1:12" ht="21.95" customHeight="1">
      <c r="A1038" s="149" t="s">
        <v>6517</v>
      </c>
      <c r="B1038" s="147"/>
      <c r="C1038" s="148"/>
      <c r="D1038" s="147"/>
      <c r="E1038" s="147"/>
      <c r="F1038" s="74"/>
      <c r="G1038" s="74" t="s">
        <v>6748</v>
      </c>
      <c r="H1038" s="74" t="s">
        <v>5963</v>
      </c>
      <c r="I1038" s="74" t="s">
        <v>63</v>
      </c>
      <c r="J1038" s="74" t="s">
        <v>250</v>
      </c>
      <c r="K1038" s="74" t="s">
        <v>6750</v>
      </c>
      <c r="L1038" s="74" t="s">
        <v>4785</v>
      </c>
    </row>
    <row r="1039" spans="1:12" ht="21.95" customHeight="1">
      <c r="A1039" s="149" t="s">
        <v>6518</v>
      </c>
      <c r="B1039" s="147"/>
      <c r="C1039" s="148"/>
      <c r="D1039" s="147"/>
      <c r="E1039" s="147"/>
      <c r="F1039" s="74"/>
      <c r="G1039" s="74" t="s">
        <v>6748</v>
      </c>
      <c r="H1039" s="74" t="s">
        <v>5964</v>
      </c>
      <c r="I1039" s="74" t="s">
        <v>3084</v>
      </c>
      <c r="J1039" s="74" t="s">
        <v>538</v>
      </c>
      <c r="K1039" s="74" t="s">
        <v>387</v>
      </c>
      <c r="L1039" s="74" t="s">
        <v>4797</v>
      </c>
    </row>
    <row r="1040" spans="1:12" ht="21.95" customHeight="1">
      <c r="A1040" s="149" t="s">
        <v>6519</v>
      </c>
      <c r="B1040" s="147"/>
      <c r="C1040" s="148"/>
      <c r="D1040" s="147"/>
      <c r="E1040" s="147"/>
      <c r="F1040" s="74"/>
      <c r="G1040" s="74" t="s">
        <v>6748</v>
      </c>
      <c r="H1040" s="74" t="s">
        <v>5965</v>
      </c>
      <c r="I1040" s="74" t="s">
        <v>807</v>
      </c>
      <c r="J1040" s="74" t="s">
        <v>46</v>
      </c>
      <c r="K1040" s="74" t="s">
        <v>6750</v>
      </c>
      <c r="L1040" s="74" t="s">
        <v>4799</v>
      </c>
    </row>
    <row r="1041" spans="1:12" ht="21.95" customHeight="1">
      <c r="A1041" s="149" t="s">
        <v>6520</v>
      </c>
      <c r="B1041" s="147"/>
      <c r="C1041" s="148"/>
      <c r="D1041" s="147"/>
      <c r="E1041" s="147"/>
      <c r="F1041" s="74"/>
      <c r="G1041" s="74" t="s">
        <v>6748</v>
      </c>
      <c r="H1041" s="74" t="s">
        <v>5966</v>
      </c>
      <c r="I1041" s="74" t="s">
        <v>63</v>
      </c>
      <c r="J1041" s="74" t="s">
        <v>3389</v>
      </c>
      <c r="K1041" s="74" t="s">
        <v>387</v>
      </c>
      <c r="L1041" s="74" t="s">
        <v>4802</v>
      </c>
    </row>
    <row r="1042" spans="1:12" ht="21.95" customHeight="1">
      <c r="A1042" s="149" t="s">
        <v>6521</v>
      </c>
      <c r="B1042" s="147"/>
      <c r="C1042" s="148"/>
      <c r="D1042" s="147"/>
      <c r="E1042" s="147"/>
      <c r="F1042" s="74"/>
      <c r="G1042" s="74" t="s">
        <v>6748</v>
      </c>
      <c r="H1042" s="74" t="s">
        <v>5967</v>
      </c>
      <c r="I1042" s="74" t="s">
        <v>24</v>
      </c>
      <c r="J1042" s="74" t="s">
        <v>250</v>
      </c>
      <c r="K1042" s="74" t="s">
        <v>6750</v>
      </c>
      <c r="L1042" s="74" t="s">
        <v>4809</v>
      </c>
    </row>
    <row r="1043" spans="1:12" ht="21.95" customHeight="1">
      <c r="A1043" s="149" t="s">
        <v>6522</v>
      </c>
      <c r="B1043" s="147"/>
      <c r="C1043" s="148"/>
      <c r="D1043" s="147"/>
      <c r="E1043" s="147"/>
      <c r="F1043" s="74"/>
      <c r="G1043" s="74" t="s">
        <v>6748</v>
      </c>
      <c r="H1043" s="74" t="s">
        <v>5968</v>
      </c>
      <c r="I1043" s="74" t="s">
        <v>2052</v>
      </c>
      <c r="J1043" s="74" t="s">
        <v>46</v>
      </c>
      <c r="K1043" s="74" t="s">
        <v>6750</v>
      </c>
      <c r="L1043" s="74" t="s">
        <v>4811</v>
      </c>
    </row>
    <row r="1044" spans="1:12" ht="21.95" customHeight="1">
      <c r="A1044" s="149" t="s">
        <v>6523</v>
      </c>
      <c r="B1044" s="147"/>
      <c r="C1044" s="148"/>
      <c r="D1044" s="147"/>
      <c r="E1044" s="147"/>
      <c r="F1044" s="74"/>
      <c r="G1044" s="74" t="s">
        <v>6748</v>
      </c>
      <c r="H1044" s="74" t="s">
        <v>5969</v>
      </c>
      <c r="I1044" s="74" t="s">
        <v>2701</v>
      </c>
      <c r="J1044" s="74" t="s">
        <v>4816</v>
      </c>
      <c r="K1044" s="74" t="s">
        <v>6750</v>
      </c>
      <c r="L1044" s="74" t="s">
        <v>4815</v>
      </c>
    </row>
    <row r="1045" spans="1:12" ht="21.95" customHeight="1">
      <c r="A1045" s="149" t="s">
        <v>6524</v>
      </c>
      <c r="B1045" s="147"/>
      <c r="C1045" s="148"/>
      <c r="D1045" s="147"/>
      <c r="E1045" s="147"/>
      <c r="F1045" s="74"/>
      <c r="G1045" s="74" t="s">
        <v>6748</v>
      </c>
      <c r="H1045" s="74" t="s">
        <v>5970</v>
      </c>
      <c r="I1045" s="74" t="s">
        <v>63</v>
      </c>
      <c r="J1045" s="74" t="s">
        <v>3389</v>
      </c>
      <c r="K1045" s="74" t="s">
        <v>387</v>
      </c>
      <c r="L1045" s="74" t="s">
        <v>4821</v>
      </c>
    </row>
    <row r="1046" spans="1:12" ht="21.95" customHeight="1">
      <c r="A1046" s="149" t="s">
        <v>6525</v>
      </c>
      <c r="B1046" s="147"/>
      <c r="C1046" s="148"/>
      <c r="D1046" s="147"/>
      <c r="E1046" s="147"/>
      <c r="F1046" s="74"/>
      <c r="G1046" s="74" t="s">
        <v>6748</v>
      </c>
      <c r="H1046" s="74" t="s">
        <v>5971</v>
      </c>
      <c r="I1046" s="74" t="s">
        <v>261</v>
      </c>
      <c r="J1046" s="74" t="s">
        <v>73</v>
      </c>
      <c r="K1046" s="74" t="s">
        <v>6750</v>
      </c>
      <c r="L1046" s="74" t="s">
        <v>4826</v>
      </c>
    </row>
    <row r="1047" spans="1:12" ht="21.95" customHeight="1">
      <c r="A1047" s="149" t="s">
        <v>6526</v>
      </c>
      <c r="B1047" s="147"/>
      <c r="C1047" s="148"/>
      <c r="D1047" s="147"/>
      <c r="E1047" s="147"/>
      <c r="F1047" s="74"/>
      <c r="G1047" s="74" t="s">
        <v>6748</v>
      </c>
      <c r="H1047" s="74" t="s">
        <v>5972</v>
      </c>
      <c r="I1047" s="74" t="s">
        <v>807</v>
      </c>
      <c r="J1047" s="74" t="s">
        <v>46</v>
      </c>
      <c r="K1047" s="74" t="s">
        <v>6750</v>
      </c>
      <c r="L1047" s="74" t="s">
        <v>4832</v>
      </c>
    </row>
    <row r="1048" spans="1:12" ht="21.95" customHeight="1">
      <c r="A1048" s="149" t="s">
        <v>6527</v>
      </c>
      <c r="B1048" s="147"/>
      <c r="C1048" s="148"/>
      <c r="D1048" s="147"/>
      <c r="E1048" s="147"/>
      <c r="F1048" s="74"/>
      <c r="G1048" s="74" t="s">
        <v>6748</v>
      </c>
      <c r="H1048" s="74" t="s">
        <v>5973</v>
      </c>
      <c r="I1048" s="74" t="s">
        <v>2860</v>
      </c>
      <c r="J1048" s="74" t="s">
        <v>73</v>
      </c>
      <c r="K1048" s="74" t="s">
        <v>6750</v>
      </c>
      <c r="L1048" s="74" t="s">
        <v>4838</v>
      </c>
    </row>
    <row r="1049" spans="1:12" ht="21.95" customHeight="1">
      <c r="A1049" s="149" t="s">
        <v>6528</v>
      </c>
      <c r="B1049" s="147"/>
      <c r="C1049" s="148"/>
      <c r="D1049" s="147"/>
      <c r="E1049" s="147"/>
      <c r="F1049" s="74"/>
      <c r="G1049" s="74" t="s">
        <v>6748</v>
      </c>
      <c r="H1049" s="74" t="s">
        <v>5974</v>
      </c>
      <c r="I1049" s="74" t="s">
        <v>169</v>
      </c>
      <c r="J1049" s="74" t="s">
        <v>36</v>
      </c>
      <c r="K1049" s="74" t="s">
        <v>6750</v>
      </c>
      <c r="L1049" s="74" t="s">
        <v>4841</v>
      </c>
    </row>
    <row r="1050" spans="1:12" ht="21.95" customHeight="1">
      <c r="A1050" s="149" t="s">
        <v>6529</v>
      </c>
      <c r="B1050" s="147"/>
      <c r="C1050" s="148"/>
      <c r="D1050" s="147"/>
      <c r="E1050" s="147"/>
      <c r="F1050" s="74"/>
      <c r="G1050" s="74" t="s">
        <v>6748</v>
      </c>
      <c r="H1050" s="74" t="s">
        <v>5975</v>
      </c>
      <c r="I1050" s="74" t="s">
        <v>63</v>
      </c>
      <c r="J1050" s="74" t="s">
        <v>3357</v>
      </c>
      <c r="K1050" s="74" t="s">
        <v>387</v>
      </c>
      <c r="L1050" s="74" t="s">
        <v>4842</v>
      </c>
    </row>
    <row r="1051" spans="1:12" ht="21.95" customHeight="1">
      <c r="A1051" s="149" t="s">
        <v>6530</v>
      </c>
      <c r="B1051" s="147"/>
      <c r="C1051" s="148"/>
      <c r="D1051" s="147"/>
      <c r="E1051" s="147"/>
      <c r="F1051" s="74"/>
      <c r="G1051" s="74" t="s">
        <v>6748</v>
      </c>
      <c r="H1051" s="74" t="s">
        <v>5976</v>
      </c>
      <c r="I1051" s="74" t="s">
        <v>63</v>
      </c>
      <c r="J1051" s="74" t="s">
        <v>36</v>
      </c>
      <c r="K1051" s="74" t="s">
        <v>6750</v>
      </c>
      <c r="L1051" s="74" t="s">
        <v>4844</v>
      </c>
    </row>
    <row r="1052" spans="1:12" ht="21.95" customHeight="1">
      <c r="A1052" s="149" t="s">
        <v>6531</v>
      </c>
      <c r="B1052" s="147"/>
      <c r="C1052" s="148"/>
      <c r="D1052" s="147"/>
      <c r="E1052" s="147"/>
      <c r="F1052" s="74"/>
      <c r="G1052" s="74" t="s">
        <v>6748</v>
      </c>
      <c r="H1052" s="74" t="s">
        <v>5977</v>
      </c>
      <c r="I1052" s="74" t="s">
        <v>93</v>
      </c>
      <c r="J1052" s="74" t="s">
        <v>126</v>
      </c>
      <c r="K1052" s="74" t="s">
        <v>6750</v>
      </c>
      <c r="L1052" s="74" t="s">
        <v>4860</v>
      </c>
    </row>
    <row r="1053" spans="1:12" ht="21.95" customHeight="1">
      <c r="A1053" s="149" t="s">
        <v>6532</v>
      </c>
      <c r="B1053" s="147"/>
      <c r="C1053" s="148"/>
      <c r="D1053" s="147"/>
      <c r="E1053" s="147"/>
      <c r="F1053" s="74"/>
      <c r="G1053" s="74" t="s">
        <v>6748</v>
      </c>
      <c r="H1053" s="74" t="s">
        <v>5978</v>
      </c>
      <c r="I1053" s="74" t="s">
        <v>63</v>
      </c>
      <c r="J1053" s="74" t="s">
        <v>4255</v>
      </c>
      <c r="K1053" s="74" t="s">
        <v>6750</v>
      </c>
      <c r="L1053" s="74" t="s">
        <v>4865</v>
      </c>
    </row>
    <row r="1054" spans="1:12" ht="21.95" customHeight="1">
      <c r="A1054" s="149" t="s">
        <v>6533</v>
      </c>
      <c r="B1054" s="147"/>
      <c r="C1054" s="148"/>
      <c r="D1054" s="147"/>
      <c r="E1054" s="147"/>
      <c r="F1054" s="74"/>
      <c r="G1054" s="74" t="s">
        <v>6748</v>
      </c>
      <c r="H1054" s="74" t="s">
        <v>5979</v>
      </c>
      <c r="I1054" s="74" t="s">
        <v>89</v>
      </c>
      <c r="J1054" s="74" t="s">
        <v>73</v>
      </c>
      <c r="K1054" s="74" t="s">
        <v>6750</v>
      </c>
      <c r="L1054" s="74" t="s">
        <v>4869</v>
      </c>
    </row>
    <row r="1055" spans="1:12" ht="21.95" customHeight="1">
      <c r="A1055" s="149" t="s">
        <v>6534</v>
      </c>
      <c r="B1055" s="147"/>
      <c r="C1055" s="148"/>
      <c r="D1055" s="147"/>
      <c r="E1055" s="147"/>
      <c r="F1055" s="74"/>
      <c r="G1055" s="74" t="s">
        <v>6748</v>
      </c>
      <c r="H1055" s="74" t="s">
        <v>5980</v>
      </c>
      <c r="I1055" s="74" t="s">
        <v>501</v>
      </c>
      <c r="J1055" s="74" t="s">
        <v>73</v>
      </c>
      <c r="K1055" s="74" t="s">
        <v>6750</v>
      </c>
      <c r="L1055" s="74" t="s">
        <v>4873</v>
      </c>
    </row>
    <row r="1056" spans="1:12" ht="21.95" customHeight="1">
      <c r="A1056" s="149" t="s">
        <v>6535</v>
      </c>
      <c r="B1056" s="147"/>
      <c r="C1056" s="148"/>
      <c r="D1056" s="147"/>
      <c r="E1056" s="147"/>
      <c r="F1056" s="74"/>
      <c r="G1056" s="74" t="s">
        <v>6748</v>
      </c>
      <c r="H1056" s="74" t="s">
        <v>5981</v>
      </c>
      <c r="I1056" s="74" t="s">
        <v>202</v>
      </c>
      <c r="J1056" s="74" t="s">
        <v>4255</v>
      </c>
      <c r="K1056" s="74" t="s">
        <v>6750</v>
      </c>
      <c r="L1056" s="74" t="s">
        <v>4878</v>
      </c>
    </row>
    <row r="1057" spans="1:12" ht="21.95" customHeight="1">
      <c r="A1057" s="149" t="s">
        <v>6536</v>
      </c>
      <c r="B1057" s="147" t="s">
        <v>117</v>
      </c>
      <c r="C1057" s="148">
        <v>45997</v>
      </c>
      <c r="D1057" s="147" t="s">
        <v>4894</v>
      </c>
      <c r="E1057" s="147"/>
      <c r="F1057" s="74"/>
      <c r="G1057" s="74" t="s">
        <v>4920</v>
      </c>
      <c r="H1057" s="74"/>
      <c r="I1057" s="74"/>
      <c r="J1057" s="74"/>
      <c r="K1057" s="74"/>
      <c r="L1057" s="74"/>
    </row>
    <row r="1058" spans="1:12" ht="21.95" customHeight="1">
      <c r="A1058" s="149" t="s">
        <v>1332</v>
      </c>
      <c r="B1058" s="147" t="s">
        <v>117</v>
      </c>
      <c r="C1058" s="148">
        <v>45997</v>
      </c>
      <c r="D1058" s="147" t="s">
        <v>4871</v>
      </c>
      <c r="E1058" s="147"/>
      <c r="F1058" s="74" t="s">
        <v>5998</v>
      </c>
      <c r="G1058" s="74" t="s">
        <v>4920</v>
      </c>
      <c r="H1058" s="74"/>
      <c r="I1058" s="74"/>
      <c r="J1058" s="74"/>
      <c r="K1058" s="74"/>
      <c r="L1058" s="74"/>
    </row>
    <row r="1059" spans="1:12" ht="21.95" customHeight="1">
      <c r="A1059" s="149" t="s">
        <v>6537</v>
      </c>
      <c r="B1059" s="147" t="s">
        <v>4893</v>
      </c>
      <c r="C1059" s="148">
        <v>46011</v>
      </c>
      <c r="D1059" s="147" t="s">
        <v>4894</v>
      </c>
      <c r="E1059" s="147"/>
      <c r="F1059" s="74" t="s">
        <v>5983</v>
      </c>
      <c r="G1059" s="74" t="s">
        <v>4920</v>
      </c>
      <c r="H1059" s="74"/>
      <c r="I1059" s="74"/>
      <c r="J1059" s="74"/>
      <c r="K1059" s="74"/>
      <c r="L1059" s="74"/>
    </row>
    <row r="1060" spans="1:12" ht="21.95" customHeight="1">
      <c r="A1060" s="149" t="s">
        <v>191</v>
      </c>
      <c r="B1060" s="147" t="s">
        <v>4893</v>
      </c>
      <c r="C1060" s="148">
        <v>46011</v>
      </c>
      <c r="D1060" s="147" t="s">
        <v>4894</v>
      </c>
      <c r="E1060" s="147"/>
      <c r="F1060" s="74" t="s">
        <v>5987</v>
      </c>
      <c r="G1060" s="74" t="s">
        <v>4920</v>
      </c>
      <c r="H1060" s="74"/>
      <c r="I1060" s="74"/>
      <c r="J1060" s="74"/>
      <c r="K1060" s="74"/>
      <c r="L1060" s="74"/>
    </row>
    <row r="1061" spans="1:12" ht="21.95" customHeight="1">
      <c r="A1061" s="149" t="s">
        <v>406</v>
      </c>
      <c r="B1061" s="147" t="s">
        <v>4893</v>
      </c>
      <c r="C1061" s="148">
        <v>46011</v>
      </c>
      <c r="D1061" s="147" t="s">
        <v>4894</v>
      </c>
      <c r="E1061" s="147"/>
      <c r="F1061" s="74"/>
      <c r="G1061" s="74" t="s">
        <v>4920</v>
      </c>
      <c r="H1061" s="74"/>
      <c r="I1061" s="74"/>
      <c r="J1061" s="74"/>
      <c r="K1061" s="74"/>
      <c r="L1061" s="74"/>
    </row>
    <row r="1062" spans="1:12" ht="21.95" customHeight="1">
      <c r="A1062" s="149" t="s">
        <v>2986</v>
      </c>
      <c r="B1062" s="147" t="s">
        <v>4893</v>
      </c>
      <c r="C1062" s="148">
        <v>45997</v>
      </c>
      <c r="D1062" s="147" t="s">
        <v>4894</v>
      </c>
      <c r="E1062" s="147"/>
      <c r="F1062" s="74" t="s">
        <v>5986</v>
      </c>
      <c r="G1062" s="74" t="s">
        <v>4920</v>
      </c>
      <c r="H1062" s="74"/>
      <c r="I1062" s="74"/>
      <c r="J1062" s="74"/>
      <c r="K1062" s="74"/>
      <c r="L1062" s="74"/>
    </row>
    <row r="1063" spans="1:12" ht="21.95" customHeight="1">
      <c r="A1063" s="149" t="s">
        <v>118</v>
      </c>
      <c r="B1063" s="147" t="s">
        <v>4893</v>
      </c>
      <c r="C1063" s="148">
        <v>45997</v>
      </c>
      <c r="D1063" s="147" t="s">
        <v>4894</v>
      </c>
      <c r="E1063" s="147"/>
      <c r="F1063" s="74" t="s">
        <v>5997</v>
      </c>
      <c r="G1063" s="74" t="s">
        <v>4920</v>
      </c>
      <c r="H1063" s="74"/>
      <c r="I1063" s="74"/>
      <c r="J1063" s="74"/>
      <c r="K1063" s="74"/>
      <c r="L1063" s="74"/>
    </row>
    <row r="1064" spans="1:12" ht="21.95" customHeight="1">
      <c r="A1064" s="149" t="s">
        <v>579</v>
      </c>
      <c r="B1064" s="147" t="s">
        <v>4893</v>
      </c>
      <c r="C1064" s="148">
        <v>46011</v>
      </c>
      <c r="D1064" s="147" t="s">
        <v>4894</v>
      </c>
      <c r="E1064" s="147"/>
      <c r="F1064" s="74" t="s">
        <v>5987</v>
      </c>
      <c r="G1064" s="74" t="s">
        <v>4920</v>
      </c>
      <c r="H1064" s="74"/>
      <c r="I1064" s="74"/>
      <c r="J1064" s="74"/>
      <c r="K1064" s="74"/>
      <c r="L1064" s="74"/>
    </row>
    <row r="1065" spans="1:12" ht="21.95" customHeight="1">
      <c r="A1065" s="149" t="s">
        <v>402</v>
      </c>
      <c r="B1065" s="147" t="s">
        <v>4893</v>
      </c>
      <c r="C1065" s="148">
        <v>46011</v>
      </c>
      <c r="D1065" s="147" t="s">
        <v>4894</v>
      </c>
      <c r="E1065" s="147"/>
      <c r="F1065" s="74"/>
      <c r="G1065" s="74" t="s">
        <v>4920</v>
      </c>
      <c r="H1065" s="74"/>
      <c r="I1065" s="74"/>
      <c r="J1065" s="74"/>
      <c r="K1065" s="74"/>
      <c r="L1065" s="74"/>
    </row>
    <row r="1066" spans="1:12" ht="21.95" customHeight="1">
      <c r="A1066" s="149" t="s">
        <v>571</v>
      </c>
      <c r="B1066" s="147" t="s">
        <v>117</v>
      </c>
      <c r="C1066" s="148">
        <v>45997</v>
      </c>
      <c r="D1066" s="147" t="s">
        <v>4894</v>
      </c>
      <c r="E1066" s="147"/>
      <c r="F1066" s="74" t="s">
        <v>4907</v>
      </c>
      <c r="G1066" s="74" t="s">
        <v>4920</v>
      </c>
      <c r="H1066" s="74"/>
      <c r="I1066" s="74"/>
      <c r="J1066" s="74"/>
      <c r="K1066" s="74"/>
      <c r="L1066" s="74"/>
    </row>
    <row r="1067" spans="1:12" ht="21.95" customHeight="1">
      <c r="A1067" s="149" t="s">
        <v>6538</v>
      </c>
      <c r="B1067" s="147" t="s">
        <v>4893</v>
      </c>
      <c r="C1067" s="148">
        <v>45997</v>
      </c>
      <c r="D1067" s="147"/>
      <c r="E1067" s="147"/>
      <c r="F1067" s="74" t="s">
        <v>5996</v>
      </c>
      <c r="G1067" s="74" t="s">
        <v>4920</v>
      </c>
      <c r="H1067" s="74"/>
      <c r="I1067" s="74"/>
      <c r="J1067" s="74"/>
      <c r="K1067" s="74"/>
      <c r="L1067" s="74"/>
    </row>
    <row r="1068" spans="1:12" ht="21.95" customHeight="1">
      <c r="A1068" s="149" t="s">
        <v>45</v>
      </c>
      <c r="B1068" s="147" t="s">
        <v>4893</v>
      </c>
      <c r="C1068" s="148">
        <v>45997</v>
      </c>
      <c r="D1068" s="147"/>
      <c r="E1068" s="147"/>
      <c r="F1068" s="74" t="s">
        <v>5985</v>
      </c>
      <c r="G1068" s="74" t="s">
        <v>4920</v>
      </c>
      <c r="H1068" s="74"/>
      <c r="I1068" s="74"/>
      <c r="J1068" s="74"/>
      <c r="K1068" s="74"/>
      <c r="L1068" s="74"/>
    </row>
    <row r="1069" spans="1:12" ht="21.95" customHeight="1">
      <c r="A1069" s="149" t="s">
        <v>321</v>
      </c>
      <c r="B1069" s="147" t="s">
        <v>4893</v>
      </c>
      <c r="C1069" s="148">
        <v>46011</v>
      </c>
      <c r="D1069" s="147" t="s">
        <v>4894</v>
      </c>
      <c r="E1069" s="147"/>
      <c r="F1069" s="74" t="s">
        <v>5989</v>
      </c>
      <c r="G1069" s="74" t="s">
        <v>4920</v>
      </c>
      <c r="H1069" s="74"/>
      <c r="I1069" s="74"/>
      <c r="J1069" s="74"/>
      <c r="K1069" s="74"/>
      <c r="L1069" s="74"/>
    </row>
    <row r="1070" spans="1:12" ht="21.95" customHeight="1">
      <c r="A1070" s="149" t="s">
        <v>599</v>
      </c>
      <c r="B1070" s="147" t="s">
        <v>4893</v>
      </c>
      <c r="C1070" s="148">
        <v>46011</v>
      </c>
      <c r="D1070" s="147" t="s">
        <v>4894</v>
      </c>
      <c r="E1070" s="147"/>
      <c r="F1070" s="74" t="s">
        <v>5987</v>
      </c>
      <c r="G1070" s="74" t="s">
        <v>4920</v>
      </c>
      <c r="H1070" s="74"/>
      <c r="I1070" s="74"/>
      <c r="J1070" s="74"/>
      <c r="K1070" s="74"/>
      <c r="L1070" s="74"/>
    </row>
    <row r="1071" spans="1:12" ht="21.95" customHeight="1">
      <c r="A1071" s="149" t="s">
        <v>278</v>
      </c>
      <c r="B1071" s="147" t="s">
        <v>4893</v>
      </c>
      <c r="C1071" s="148">
        <v>46011</v>
      </c>
      <c r="D1071" s="147" t="s">
        <v>4871</v>
      </c>
      <c r="E1071" s="147"/>
      <c r="F1071" s="74" t="s">
        <v>5991</v>
      </c>
      <c r="G1071" s="74" t="s">
        <v>4920</v>
      </c>
      <c r="H1071" s="74"/>
      <c r="I1071" s="74"/>
      <c r="J1071" s="74"/>
      <c r="K1071" s="74"/>
      <c r="L1071" s="74"/>
    </row>
    <row r="1072" spans="1:12" ht="21.95" customHeight="1">
      <c r="A1072" s="149" t="s">
        <v>376</v>
      </c>
      <c r="B1072" s="147" t="s">
        <v>4893</v>
      </c>
      <c r="C1072" s="148">
        <v>46011</v>
      </c>
      <c r="D1072" s="147" t="s">
        <v>4894</v>
      </c>
      <c r="E1072" s="147"/>
      <c r="F1072" s="74" t="s">
        <v>5992</v>
      </c>
      <c r="G1072" s="74" t="s">
        <v>4920</v>
      </c>
      <c r="H1072" s="74"/>
      <c r="I1072" s="74"/>
      <c r="J1072" s="74"/>
      <c r="K1072" s="74"/>
      <c r="L1072" s="74"/>
    </row>
    <row r="1073" spans="1:12" ht="21.95" customHeight="1">
      <c r="A1073" s="149" t="s">
        <v>479</v>
      </c>
      <c r="B1073" s="147" t="s">
        <v>4893</v>
      </c>
      <c r="C1073" s="148">
        <v>46011</v>
      </c>
      <c r="D1073" s="147" t="s">
        <v>4894</v>
      </c>
      <c r="E1073" s="147"/>
      <c r="F1073" s="74" t="s">
        <v>6754</v>
      </c>
      <c r="G1073" s="74" t="s">
        <v>4920</v>
      </c>
      <c r="H1073" s="74"/>
      <c r="I1073" s="74"/>
      <c r="J1073" s="74"/>
      <c r="K1073" s="74"/>
      <c r="L1073" s="74"/>
    </row>
    <row r="1074" spans="1:12" ht="21.95" customHeight="1">
      <c r="A1074" s="149" t="s">
        <v>515</v>
      </c>
      <c r="B1074" s="147" t="s">
        <v>4893</v>
      </c>
      <c r="C1074" s="148">
        <v>46011</v>
      </c>
      <c r="D1074" s="147" t="s">
        <v>4871</v>
      </c>
      <c r="E1074" s="147" t="s">
        <v>4905</v>
      </c>
      <c r="F1074" s="74" t="s">
        <v>4906</v>
      </c>
      <c r="G1074" s="74" t="s">
        <v>4920</v>
      </c>
      <c r="H1074" s="74"/>
      <c r="I1074" s="74"/>
      <c r="J1074" s="74"/>
      <c r="K1074" s="74"/>
      <c r="L1074" s="74"/>
    </row>
    <row r="1075" spans="1:12" ht="21.95" customHeight="1">
      <c r="A1075" s="149" t="s">
        <v>6539</v>
      </c>
      <c r="B1075" s="147" t="s">
        <v>117</v>
      </c>
      <c r="C1075" s="148">
        <v>45997</v>
      </c>
      <c r="D1075" s="147" t="s">
        <v>4894</v>
      </c>
      <c r="E1075" s="147"/>
      <c r="F1075" s="74" t="s">
        <v>4910</v>
      </c>
      <c r="G1075" s="74" t="s">
        <v>4920</v>
      </c>
      <c r="H1075" s="74"/>
      <c r="I1075" s="74"/>
      <c r="J1075" s="74"/>
      <c r="K1075" s="74"/>
      <c r="L1075" s="74"/>
    </row>
    <row r="1076" spans="1:12" ht="21.95" customHeight="1">
      <c r="A1076" s="149" t="s">
        <v>146</v>
      </c>
      <c r="B1076" s="147" t="s">
        <v>117</v>
      </c>
      <c r="C1076" s="148">
        <v>45997</v>
      </c>
      <c r="D1076" s="147" t="s">
        <v>4871</v>
      </c>
      <c r="E1076" s="147"/>
      <c r="F1076" s="74" t="s">
        <v>4898</v>
      </c>
      <c r="G1076" s="74" t="s">
        <v>4920</v>
      </c>
      <c r="H1076" s="74"/>
      <c r="I1076" s="74"/>
      <c r="J1076" s="74"/>
      <c r="K1076" s="74"/>
      <c r="L1076" s="74"/>
    </row>
    <row r="1077" spans="1:12" ht="21.95" customHeight="1">
      <c r="A1077" s="149" t="s">
        <v>154</v>
      </c>
      <c r="B1077" s="147" t="s">
        <v>117</v>
      </c>
      <c r="C1077" s="148">
        <v>45997</v>
      </c>
      <c r="D1077" s="147" t="s">
        <v>4871</v>
      </c>
      <c r="E1077" s="147"/>
      <c r="F1077" s="74" t="s">
        <v>4899</v>
      </c>
      <c r="G1077" s="74" t="s">
        <v>4920</v>
      </c>
      <c r="H1077" s="74"/>
      <c r="I1077" s="74"/>
      <c r="J1077" s="74"/>
      <c r="K1077" s="74"/>
      <c r="L1077" s="74"/>
    </row>
    <row r="1078" spans="1:12" ht="21.95" customHeight="1">
      <c r="A1078" s="149" t="s">
        <v>350</v>
      </c>
      <c r="B1078" s="147" t="s">
        <v>4893</v>
      </c>
      <c r="C1078" s="148">
        <v>46011</v>
      </c>
      <c r="D1078" s="147" t="s">
        <v>4871</v>
      </c>
      <c r="E1078" s="147" t="s">
        <v>4903</v>
      </c>
      <c r="F1078" s="74" t="s">
        <v>5984</v>
      </c>
      <c r="G1078" s="74" t="s">
        <v>4920</v>
      </c>
      <c r="H1078" s="74"/>
      <c r="I1078" s="74"/>
      <c r="J1078" s="74"/>
      <c r="K1078" s="74"/>
      <c r="L1078" s="74"/>
    </row>
    <row r="1079" spans="1:12" ht="21.95" customHeight="1">
      <c r="A1079" s="149" t="s">
        <v>56</v>
      </c>
      <c r="B1079" s="147" t="s">
        <v>4893</v>
      </c>
      <c r="C1079" s="148">
        <v>45997</v>
      </c>
      <c r="D1079" s="147"/>
      <c r="E1079" s="147"/>
      <c r="F1079" s="74" t="s">
        <v>4895</v>
      </c>
      <c r="G1079" s="74" t="s">
        <v>4920</v>
      </c>
      <c r="H1079" s="74"/>
      <c r="I1079" s="74"/>
      <c r="J1079" s="74"/>
      <c r="K1079" s="74"/>
      <c r="L1079" s="74"/>
    </row>
    <row r="1080" spans="1:12" ht="21.95" customHeight="1">
      <c r="A1080" s="149" t="s">
        <v>98</v>
      </c>
      <c r="B1080" s="147" t="s">
        <v>4893</v>
      </c>
      <c r="C1080" s="148">
        <v>45997</v>
      </c>
      <c r="D1080" s="147" t="s">
        <v>4894</v>
      </c>
      <c r="E1080" s="147"/>
      <c r="F1080" s="74" t="s">
        <v>5986</v>
      </c>
      <c r="G1080" s="74" t="s">
        <v>4920</v>
      </c>
      <c r="H1080" s="74"/>
      <c r="I1080" s="74"/>
      <c r="J1080" s="74"/>
      <c r="K1080" s="74"/>
      <c r="L1080" s="74"/>
    </row>
    <row r="1081" spans="1:12" ht="21.95" customHeight="1">
      <c r="A1081" s="149" t="s">
        <v>140</v>
      </c>
      <c r="B1081" s="147" t="s">
        <v>4893</v>
      </c>
      <c r="C1081" s="148">
        <v>46011</v>
      </c>
      <c r="D1081" s="147" t="s">
        <v>4871</v>
      </c>
      <c r="E1081" s="147"/>
      <c r="F1081" s="74" t="s">
        <v>6756</v>
      </c>
      <c r="G1081" s="74" t="s">
        <v>4920</v>
      </c>
      <c r="H1081" s="74"/>
      <c r="I1081" s="74"/>
      <c r="J1081" s="74"/>
      <c r="K1081" s="74"/>
      <c r="L1081" s="74"/>
    </row>
    <row r="1082" spans="1:12" ht="21.95" customHeight="1">
      <c r="A1082" s="149" t="s">
        <v>163</v>
      </c>
      <c r="B1082" s="147" t="s">
        <v>4893</v>
      </c>
      <c r="C1082" s="148">
        <v>46011</v>
      </c>
      <c r="D1082" s="147" t="s">
        <v>4894</v>
      </c>
      <c r="E1082" s="147"/>
      <c r="F1082" s="74" t="s">
        <v>5987</v>
      </c>
      <c r="G1082" s="74" t="s">
        <v>4920</v>
      </c>
      <c r="H1082" s="74"/>
      <c r="I1082" s="74"/>
      <c r="J1082" s="74"/>
      <c r="K1082" s="74"/>
      <c r="L1082" s="74"/>
    </row>
    <row r="1083" spans="1:12" ht="21.95" customHeight="1">
      <c r="A1083" s="149" t="s">
        <v>195</v>
      </c>
      <c r="B1083" s="147" t="s">
        <v>4893</v>
      </c>
      <c r="C1083" s="148">
        <v>46011</v>
      </c>
      <c r="D1083" s="147" t="s">
        <v>4894</v>
      </c>
      <c r="E1083" s="147"/>
      <c r="F1083" s="74" t="s">
        <v>5987</v>
      </c>
      <c r="G1083" s="74" t="s">
        <v>4920</v>
      </c>
      <c r="H1083" s="74"/>
      <c r="I1083" s="74"/>
      <c r="J1083" s="74"/>
      <c r="K1083" s="74"/>
      <c r="L1083" s="74"/>
    </row>
    <row r="1084" spans="1:12" ht="21.95" customHeight="1">
      <c r="A1084" s="149" t="s">
        <v>235</v>
      </c>
      <c r="B1084" s="147" t="s">
        <v>4893</v>
      </c>
      <c r="C1084" s="148">
        <v>46011</v>
      </c>
      <c r="D1084" s="147"/>
      <c r="E1084" s="147" t="s">
        <v>4900</v>
      </c>
      <c r="F1084" s="74" t="s">
        <v>5988</v>
      </c>
      <c r="G1084" s="74" t="s">
        <v>4920</v>
      </c>
      <c r="H1084" s="74"/>
      <c r="I1084" s="74"/>
      <c r="J1084" s="74"/>
      <c r="K1084" s="74"/>
      <c r="L1084" s="74"/>
    </row>
    <row r="1085" spans="1:12" ht="21.95" customHeight="1">
      <c r="A1085" s="149" t="s">
        <v>266</v>
      </c>
      <c r="B1085" s="147" t="s">
        <v>4893</v>
      </c>
      <c r="C1085" s="148">
        <v>46011</v>
      </c>
      <c r="D1085" s="147" t="s">
        <v>4894</v>
      </c>
      <c r="E1085" s="147"/>
      <c r="F1085" s="74" t="s">
        <v>5989</v>
      </c>
      <c r="G1085" s="74" t="s">
        <v>4920</v>
      </c>
      <c r="H1085" s="74"/>
      <c r="I1085" s="74"/>
      <c r="J1085" s="74"/>
      <c r="K1085" s="74"/>
      <c r="L1085" s="74"/>
    </row>
    <row r="1086" spans="1:12" ht="21.95" customHeight="1">
      <c r="A1086" s="149" t="s">
        <v>273</v>
      </c>
      <c r="B1086" s="147" t="s">
        <v>4893</v>
      </c>
      <c r="C1086" s="148">
        <v>46011</v>
      </c>
      <c r="D1086" s="147"/>
      <c r="E1086" s="147" t="s">
        <v>4900</v>
      </c>
      <c r="F1086" s="74" t="s">
        <v>5990</v>
      </c>
      <c r="G1086" s="74" t="s">
        <v>4920</v>
      </c>
      <c r="H1086" s="74"/>
      <c r="I1086" s="74"/>
      <c r="J1086" s="74"/>
      <c r="K1086" s="74"/>
      <c r="L1086" s="74"/>
    </row>
    <row r="1087" spans="1:12" ht="21.95" customHeight="1">
      <c r="A1087" s="149" t="s">
        <v>299</v>
      </c>
      <c r="B1087" s="147" t="s">
        <v>117</v>
      </c>
      <c r="C1087" s="148">
        <v>45997</v>
      </c>
      <c r="D1087" s="147" t="s">
        <v>4871</v>
      </c>
      <c r="E1087" s="147"/>
      <c r="F1087" s="74" t="s">
        <v>4901</v>
      </c>
      <c r="G1087" s="74" t="s">
        <v>4920</v>
      </c>
      <c r="H1087" s="74"/>
      <c r="I1087" s="74"/>
      <c r="J1087" s="74"/>
      <c r="K1087" s="74"/>
      <c r="L1087" s="74"/>
    </row>
    <row r="1088" spans="1:12" ht="21.95" customHeight="1">
      <c r="A1088" s="149" t="s">
        <v>330</v>
      </c>
      <c r="B1088" s="147" t="s">
        <v>4893</v>
      </c>
      <c r="C1088" s="148">
        <v>46011</v>
      </c>
      <c r="D1088" s="147" t="s">
        <v>4894</v>
      </c>
      <c r="E1088" s="147"/>
      <c r="F1088" s="74" t="s">
        <v>4902</v>
      </c>
      <c r="G1088" s="74" t="s">
        <v>4920</v>
      </c>
      <c r="H1088" s="74"/>
      <c r="I1088" s="74"/>
      <c r="J1088" s="74"/>
      <c r="K1088" s="74"/>
      <c r="L1088" s="74"/>
    </row>
    <row r="1089" spans="1:12" ht="21.95" customHeight="1">
      <c r="A1089" s="149" t="s">
        <v>337</v>
      </c>
      <c r="B1089" s="147" t="s">
        <v>4893</v>
      </c>
      <c r="C1089" s="148">
        <v>46011</v>
      </c>
      <c r="D1089" s="147" t="s">
        <v>4894</v>
      </c>
      <c r="E1089" s="147"/>
      <c r="F1089" s="74"/>
      <c r="G1089" s="74" t="s">
        <v>4920</v>
      </c>
      <c r="H1089" s="74"/>
      <c r="I1089" s="74"/>
      <c r="J1089" s="74"/>
      <c r="K1089" s="74"/>
      <c r="L1089" s="74"/>
    </row>
    <row r="1090" spans="1:12" ht="21.95" customHeight="1">
      <c r="A1090" s="149" t="s">
        <v>359</v>
      </c>
      <c r="B1090" s="147" t="s">
        <v>4893</v>
      </c>
      <c r="C1090" s="148">
        <v>46011</v>
      </c>
      <c r="D1090" s="147" t="s">
        <v>4894</v>
      </c>
      <c r="E1090" s="147"/>
      <c r="F1090" s="74"/>
      <c r="G1090" s="74" t="s">
        <v>4920</v>
      </c>
      <c r="H1090" s="74"/>
      <c r="I1090" s="74"/>
      <c r="J1090" s="74"/>
      <c r="K1090" s="74"/>
      <c r="L1090" s="74"/>
    </row>
    <row r="1091" spans="1:12" ht="21.95" customHeight="1">
      <c r="A1091" s="149" t="s">
        <v>411</v>
      </c>
      <c r="B1091" s="147" t="s">
        <v>4893</v>
      </c>
      <c r="C1091" s="148">
        <v>46011</v>
      </c>
      <c r="D1091" s="147" t="s">
        <v>4894</v>
      </c>
      <c r="E1091" s="147"/>
      <c r="F1091" s="74"/>
      <c r="G1091" s="74" t="s">
        <v>4920</v>
      </c>
      <c r="H1091" s="74"/>
      <c r="I1091" s="74"/>
      <c r="J1091" s="74"/>
      <c r="K1091" s="74"/>
      <c r="L1091" s="74"/>
    </row>
    <row r="1092" spans="1:12" ht="21.95" customHeight="1">
      <c r="A1092" s="149" t="s">
        <v>507</v>
      </c>
      <c r="B1092" s="147" t="s">
        <v>4893</v>
      </c>
      <c r="C1092" s="148">
        <v>46011</v>
      </c>
      <c r="D1092" s="147" t="s">
        <v>4894</v>
      </c>
      <c r="E1092" s="147"/>
      <c r="F1092" s="74"/>
      <c r="G1092" s="74" t="s">
        <v>4920</v>
      </c>
      <c r="H1092" s="74"/>
      <c r="I1092" s="74"/>
      <c r="J1092" s="74"/>
      <c r="K1092" s="74"/>
      <c r="L1092" s="74"/>
    </row>
    <row r="1093" spans="1:12" ht="21.95" customHeight="1">
      <c r="A1093" s="149" t="s">
        <v>556</v>
      </c>
      <c r="B1093" s="147" t="s">
        <v>4893</v>
      </c>
      <c r="C1093" s="148">
        <v>46011</v>
      </c>
      <c r="D1093" s="147" t="s">
        <v>4894</v>
      </c>
      <c r="E1093" s="147"/>
      <c r="F1093" s="74" t="s">
        <v>5993</v>
      </c>
      <c r="G1093" s="74" t="s">
        <v>4920</v>
      </c>
      <c r="H1093" s="74"/>
      <c r="I1093" s="74"/>
      <c r="J1093" s="74"/>
      <c r="K1093" s="74"/>
      <c r="L1093" s="74"/>
    </row>
    <row r="1094" spans="1:12" ht="21.95" customHeight="1">
      <c r="A1094" s="149" t="s">
        <v>6540</v>
      </c>
      <c r="B1094" s="147" t="s">
        <v>117</v>
      </c>
      <c r="C1094" s="148">
        <v>45997</v>
      </c>
      <c r="D1094" s="147" t="s">
        <v>4894</v>
      </c>
      <c r="E1094" s="147"/>
      <c r="F1094" s="74" t="s">
        <v>4909</v>
      </c>
      <c r="G1094" s="74" t="s">
        <v>4920</v>
      </c>
      <c r="H1094" s="74"/>
      <c r="I1094" s="74"/>
      <c r="J1094" s="74"/>
      <c r="K1094" s="74"/>
      <c r="L1094" s="74"/>
    </row>
    <row r="1095" spans="1:12" ht="21.95" customHeight="1">
      <c r="A1095" s="149" t="s">
        <v>6541</v>
      </c>
      <c r="B1095" s="147" t="s">
        <v>4893</v>
      </c>
      <c r="C1095" s="148">
        <v>46011</v>
      </c>
      <c r="D1095" s="147" t="s">
        <v>4894</v>
      </c>
      <c r="E1095" s="147"/>
      <c r="F1095" s="74"/>
      <c r="G1095" s="74" t="s">
        <v>4920</v>
      </c>
      <c r="H1095" s="74"/>
      <c r="I1095" s="74"/>
      <c r="J1095" s="74"/>
      <c r="K1095" s="74"/>
      <c r="L1095" s="74"/>
    </row>
    <row r="1096" spans="1:12" ht="21.95" customHeight="1">
      <c r="A1096" s="149" t="s">
        <v>491</v>
      </c>
      <c r="B1096" s="147" t="s">
        <v>4893</v>
      </c>
      <c r="C1096" s="148">
        <v>46011</v>
      </c>
      <c r="D1096" s="147" t="s">
        <v>4871</v>
      </c>
      <c r="E1096" s="147" t="s">
        <v>4904</v>
      </c>
      <c r="F1096" s="74" t="s">
        <v>5994</v>
      </c>
      <c r="G1096" s="74" t="s">
        <v>4920</v>
      </c>
      <c r="H1096" s="74"/>
      <c r="I1096" s="74"/>
      <c r="J1096" s="74"/>
      <c r="K1096" s="74"/>
      <c r="L1096" s="74"/>
    </row>
    <row r="1097" spans="1:12" ht="21.95" customHeight="1">
      <c r="A1097" s="149" t="s">
        <v>4616</v>
      </c>
      <c r="B1097" s="147" t="s">
        <v>4893</v>
      </c>
      <c r="C1097" s="148">
        <v>45997</v>
      </c>
      <c r="D1097" s="147" t="s">
        <v>4894</v>
      </c>
      <c r="E1097" s="147"/>
      <c r="F1097" s="74" t="s">
        <v>5995</v>
      </c>
      <c r="G1097" s="74" t="s">
        <v>4920</v>
      </c>
      <c r="H1097" s="74"/>
      <c r="I1097" s="74"/>
      <c r="J1097" s="74"/>
      <c r="K1097" s="74"/>
      <c r="L1097" s="74"/>
    </row>
    <row r="1098" spans="1:12" ht="21.95" customHeight="1">
      <c r="A1098" s="149" t="s">
        <v>6542</v>
      </c>
      <c r="B1098" s="147" t="s">
        <v>4893</v>
      </c>
      <c r="C1098" s="148">
        <v>45997</v>
      </c>
      <c r="D1098" s="147" t="s">
        <v>4894</v>
      </c>
      <c r="E1098" s="147"/>
      <c r="F1098" s="74" t="s">
        <v>5995</v>
      </c>
      <c r="G1098" s="74" t="s">
        <v>4920</v>
      </c>
      <c r="H1098" s="74"/>
      <c r="I1098" s="74"/>
      <c r="J1098" s="74"/>
      <c r="K1098" s="74"/>
      <c r="L1098" s="74"/>
    </row>
    <row r="1099" spans="1:12" ht="21.95" customHeight="1">
      <c r="A1099" s="149" t="s">
        <v>80</v>
      </c>
      <c r="B1099" s="147" t="s">
        <v>4893</v>
      </c>
      <c r="C1099" s="148">
        <v>45997</v>
      </c>
      <c r="D1099" s="147" t="s">
        <v>4894</v>
      </c>
      <c r="E1099" s="147"/>
      <c r="F1099" s="74"/>
      <c r="G1099" s="74" t="s">
        <v>4920</v>
      </c>
      <c r="H1099" s="74"/>
      <c r="I1099" s="74"/>
      <c r="J1099" s="74"/>
      <c r="K1099" s="74"/>
      <c r="L1099" s="74"/>
    </row>
    <row r="1100" spans="1:12" ht="21.95" customHeight="1">
      <c r="A1100" s="149" t="s">
        <v>6543</v>
      </c>
      <c r="B1100" s="147" t="s">
        <v>117</v>
      </c>
      <c r="C1100" s="148">
        <v>45997</v>
      </c>
      <c r="D1100" s="147" t="s">
        <v>4871</v>
      </c>
      <c r="E1100" s="147"/>
      <c r="F1100" s="74" t="s">
        <v>4897</v>
      </c>
      <c r="G1100" s="74" t="s">
        <v>4920</v>
      </c>
      <c r="H1100" s="74"/>
      <c r="I1100" s="74"/>
      <c r="J1100" s="74"/>
      <c r="K1100" s="74"/>
      <c r="L1100" s="74"/>
    </row>
    <row r="1101" spans="1:12" ht="21.95" customHeight="1">
      <c r="A1101" s="149" t="s">
        <v>1358</v>
      </c>
      <c r="B1101" s="147" t="s">
        <v>117</v>
      </c>
      <c r="C1101" s="148">
        <v>45997</v>
      </c>
      <c r="D1101" s="147" t="s">
        <v>4894</v>
      </c>
      <c r="E1101" s="147"/>
      <c r="F1101" s="74" t="s">
        <v>4908</v>
      </c>
      <c r="G1101" s="74" t="s">
        <v>4920</v>
      </c>
      <c r="H1101" s="74"/>
      <c r="I1101" s="74"/>
      <c r="J1101" s="74"/>
      <c r="K1101" s="74"/>
      <c r="L1101" s="74"/>
    </row>
    <row r="1102" spans="1:12" ht="21.95" customHeight="1"/>
    <row r="1103" spans="1:12" ht="21.95" customHeight="1"/>
    <row r="1104" spans="1:12" ht="21.95" customHeight="1"/>
    <row r="1105" ht="21.95" customHeight="1"/>
    <row r="1106" ht="21.95" customHeight="1"/>
    <row r="1107" ht="21.95" customHeight="1"/>
    <row r="1108" ht="21.95" customHeight="1"/>
    <row r="1109" ht="21.95" customHeight="1"/>
    <row r="1110" ht="21.95" customHeight="1"/>
    <row r="1111" ht="21.95" customHeight="1"/>
    <row r="1112" ht="21.95" customHeight="1"/>
    <row r="1113" ht="21.95" customHeight="1"/>
    <row r="1114" ht="21.95" customHeight="1"/>
    <row r="1115" ht="21.95" customHeight="1"/>
    <row r="1116" ht="21.95" customHeight="1"/>
    <row r="1117" ht="21.95" customHeight="1"/>
    <row r="1118" ht="21.95" customHeight="1"/>
    <row r="1119" ht="21.95" customHeight="1"/>
    <row r="1120" ht="21.95" customHeight="1"/>
    <row r="1121" ht="21.95" customHeight="1"/>
    <row r="1122" ht="21.95" customHeight="1"/>
    <row r="1123" ht="21.95" customHeight="1"/>
    <row r="1124" ht="21.95" customHeight="1"/>
    <row r="1125" ht="21.95" customHeight="1"/>
    <row r="1126" ht="21.95" customHeight="1"/>
    <row r="1127" ht="21.95" customHeight="1"/>
    <row r="1128" ht="21.95" customHeight="1"/>
    <row r="1129" ht="21.95" customHeight="1"/>
    <row r="1130" ht="21.95" customHeight="1"/>
    <row r="1131" ht="21.95" customHeight="1"/>
    <row r="1132" ht="21.95" customHeight="1"/>
    <row r="1133" ht="21.95" customHeight="1"/>
    <row r="1134" ht="21.95" customHeight="1"/>
    <row r="1135" ht="21.95" customHeight="1"/>
    <row r="1136" ht="21.95" customHeight="1"/>
    <row r="1137" ht="21.95" customHeight="1"/>
    <row r="1138" ht="21.95" customHeight="1"/>
    <row r="1139" ht="21.95" customHeight="1"/>
    <row r="1140" ht="21.95" customHeight="1"/>
    <row r="1141" ht="21.95" customHeight="1"/>
    <row r="1142" ht="21.95" customHeight="1"/>
    <row r="1143" ht="21.95" customHeight="1"/>
    <row r="1144" ht="21.95" customHeight="1"/>
    <row r="1145" ht="21.95" customHeight="1"/>
    <row r="1146" ht="21.95" customHeight="1"/>
    <row r="1147" ht="21.95" customHeight="1"/>
    <row r="1148" ht="21.95" customHeight="1"/>
    <row r="1149" ht="21.95" customHeight="1"/>
    <row r="1150" ht="21.95" customHeight="1"/>
    <row r="1151" ht="21.95" customHeight="1"/>
    <row r="1152" ht="21.95" customHeight="1"/>
    <row r="1153" ht="21.95" customHeight="1"/>
    <row r="1154" ht="21.95" customHeight="1"/>
    <row r="1155" ht="21.95" customHeight="1"/>
    <row r="1156" ht="21.95" customHeight="1"/>
    <row r="1157" ht="21.95" customHeight="1"/>
    <row r="1158" ht="21.95" customHeight="1"/>
    <row r="1159" ht="21.95" customHeight="1"/>
    <row r="1160" ht="21.95" customHeight="1"/>
    <row r="1161" ht="21.95" customHeight="1"/>
    <row r="1162" ht="21.95" customHeight="1"/>
    <row r="1163" ht="21.95" customHeight="1"/>
    <row r="1164" ht="21.95" customHeight="1"/>
    <row r="1165" ht="21.95" customHeight="1"/>
    <row r="1166" ht="21.95" customHeight="1"/>
    <row r="1167" ht="21.95" customHeight="1"/>
    <row r="1168" ht="21.95" customHeight="1"/>
    <row r="1169" ht="21.95" customHeight="1"/>
    <row r="1170" ht="21.95" customHeight="1"/>
    <row r="1171" ht="21.95" customHeight="1"/>
    <row r="1172" ht="21.95" customHeight="1"/>
    <row r="1173" ht="21.95" customHeight="1"/>
    <row r="1174" ht="21.95" customHeight="1"/>
    <row r="1175" ht="21.95" customHeight="1"/>
    <row r="1176" ht="21.95" customHeight="1"/>
    <row r="1177" ht="21.95" customHeight="1"/>
    <row r="1178" ht="21.95" customHeight="1"/>
    <row r="1179" ht="21.95" customHeight="1"/>
    <row r="1180" ht="21.95" customHeight="1"/>
    <row r="1181" ht="21.95" customHeight="1"/>
    <row r="1182" ht="21.95" customHeight="1"/>
    <row r="1183" ht="21.95" customHeight="1"/>
    <row r="1184" ht="21.95" customHeight="1"/>
    <row r="1185" ht="21.95" customHeight="1"/>
    <row r="1186" ht="21.95" customHeight="1"/>
    <row r="1187" ht="21.95" customHeight="1"/>
    <row r="1188" ht="21.95" customHeight="1"/>
    <row r="1189" ht="21.95" customHeight="1"/>
    <row r="1190" ht="21.95" customHeight="1"/>
    <row r="1191" ht="21.95" customHeight="1"/>
    <row r="1192" ht="21.95" customHeight="1"/>
    <row r="1193" ht="21.95" customHeight="1"/>
    <row r="1194" ht="21.95" customHeight="1"/>
    <row r="1195" ht="21.95" customHeight="1"/>
    <row r="1196" ht="21.95" customHeight="1"/>
    <row r="1197" ht="21.95" customHeight="1"/>
    <row r="1198" ht="21.95" customHeight="1"/>
    <row r="1199" ht="21.95" customHeight="1"/>
    <row r="1200" ht="21.95" customHeight="1"/>
    <row r="1201" ht="21.95" customHeight="1"/>
    <row r="1202" ht="21.95" customHeight="1"/>
    <row r="1203" ht="21.95" customHeight="1"/>
    <row r="1204" ht="21.95" customHeight="1"/>
    <row r="1205" ht="21.95" customHeight="1"/>
    <row r="1206" ht="21.95" customHeight="1"/>
    <row r="1207" ht="21.95" customHeight="1"/>
    <row r="1208" ht="21.95" customHeight="1"/>
    <row r="1209" ht="21.95" customHeight="1"/>
    <row r="1210" ht="21.95" customHeight="1"/>
    <row r="1211" ht="21.95" customHeight="1"/>
    <row r="1212" ht="21.95" customHeight="1"/>
    <row r="1213" ht="21.95" customHeight="1"/>
    <row r="1214" ht="21.95" customHeight="1"/>
    <row r="1215" ht="21.95" customHeight="1"/>
    <row r="1216" ht="21.95" customHeight="1"/>
    <row r="1217" ht="21.95" customHeight="1"/>
    <row r="1218" ht="21.95" customHeight="1"/>
    <row r="1219" ht="21.95" customHeight="1"/>
    <row r="1220" ht="21.95" customHeight="1"/>
    <row r="1221" ht="21.95" customHeight="1"/>
    <row r="1222" ht="21.95" customHeight="1"/>
    <row r="1223" ht="21.95" customHeight="1"/>
    <row r="1224" ht="21.95" customHeight="1"/>
    <row r="1225" ht="21.95" customHeight="1"/>
    <row r="1226" ht="21.95" customHeight="1"/>
    <row r="1227" ht="21.95" customHeight="1"/>
    <row r="1228" ht="21.95" customHeight="1"/>
    <row r="1229" ht="21.95" customHeight="1"/>
    <row r="1230" ht="21.95" customHeight="1"/>
    <row r="1231" ht="21.95" customHeight="1"/>
    <row r="1232" ht="21.95" customHeight="1"/>
    <row r="1233" ht="21.95" customHeight="1"/>
    <row r="1234" ht="21.95" customHeight="1"/>
    <row r="1235" ht="21.95" customHeight="1"/>
    <row r="1236" ht="21.95" customHeight="1"/>
    <row r="1237" ht="21.95" customHeight="1"/>
    <row r="1238" ht="21.95" customHeight="1"/>
    <row r="1239" ht="21.95" customHeight="1"/>
    <row r="1240" ht="21.95" customHeight="1"/>
    <row r="1241" ht="21.95" customHeight="1"/>
    <row r="1242" ht="21.95" customHeight="1"/>
    <row r="1243" ht="21.95" customHeight="1"/>
    <row r="1244" ht="21.95" customHeight="1"/>
    <row r="1245" ht="21.95" customHeight="1"/>
    <row r="1246" ht="21.95" customHeight="1"/>
    <row r="1247" ht="21.95" customHeight="1"/>
    <row r="1248" ht="21.95" customHeight="1"/>
    <row r="1249" ht="21.95" customHeight="1"/>
    <row r="1250" ht="21.95" customHeight="1"/>
    <row r="1251" ht="21.95" customHeight="1"/>
    <row r="1252" ht="21.95" customHeight="1"/>
    <row r="1253" ht="21.95" customHeight="1"/>
    <row r="1254" ht="21.95" customHeight="1"/>
    <row r="1255" ht="21.95" customHeight="1"/>
    <row r="1256" ht="21.95" customHeight="1"/>
    <row r="1257" ht="21.95" customHeight="1"/>
    <row r="1258" ht="21.95" customHeight="1"/>
    <row r="1259" ht="21.95" customHeight="1"/>
    <row r="1260" ht="21.95" customHeight="1"/>
    <row r="1261" ht="21.95" customHeight="1"/>
    <row r="1262" ht="21.95" customHeight="1"/>
    <row r="1263" ht="21.95" customHeight="1"/>
    <row r="1264" ht="21.95" customHeight="1"/>
    <row r="1265" ht="21.95" customHeight="1"/>
    <row r="1266" ht="21.95" customHeight="1"/>
    <row r="1267" ht="21.95" customHeight="1"/>
    <row r="1268" ht="21.95" customHeight="1"/>
    <row r="1269" ht="21.95" customHeight="1"/>
    <row r="1270" ht="21.95" customHeight="1"/>
    <row r="1271" ht="21.95" customHeight="1"/>
    <row r="1272" ht="21.95" customHeight="1"/>
    <row r="1273" ht="21.95" customHeight="1"/>
    <row r="1274" ht="21.95" customHeight="1"/>
    <row r="1275" ht="21.95" customHeight="1"/>
    <row r="1276" ht="21.95" customHeight="1"/>
    <row r="1277" ht="21.95" customHeight="1"/>
    <row r="1278" ht="21.95" customHeight="1"/>
    <row r="1279" ht="21.95" customHeight="1"/>
    <row r="1280" ht="21.95" customHeight="1"/>
    <row r="1281" ht="21.95" customHeight="1"/>
    <row r="1282" ht="21.95" customHeight="1"/>
    <row r="1283" ht="21.95" customHeight="1"/>
    <row r="1284" ht="21.95" customHeight="1"/>
    <row r="1285" ht="21.95" customHeight="1"/>
    <row r="1286" ht="21.95" customHeight="1"/>
    <row r="1287" ht="21.95" customHeight="1"/>
    <row r="1288" ht="21.95" customHeight="1"/>
    <row r="1289" ht="21.95" customHeight="1"/>
    <row r="1290" ht="21.95" customHeight="1"/>
    <row r="1291" ht="21.95" customHeight="1"/>
    <row r="1292" ht="21.95" customHeight="1"/>
    <row r="1293" ht="21.95" customHeight="1"/>
    <row r="1294" ht="21.95" customHeight="1"/>
    <row r="1295" ht="21.95" customHeight="1"/>
    <row r="1296" ht="21.95" customHeight="1"/>
    <row r="1297" ht="21.95" customHeight="1"/>
    <row r="1298" ht="21.95" customHeight="1"/>
    <row r="1299" ht="21.95" customHeight="1"/>
    <row r="1300" ht="21.95" customHeight="1"/>
    <row r="1301" ht="21.95" customHeight="1"/>
    <row r="1302" ht="21.95" customHeight="1"/>
    <row r="1303" ht="21.95" customHeight="1"/>
  </sheetData>
  <conditionalFormatting sqref="A2:L1101">
    <cfRule type="expression" dxfId="17" priority="1">
      <formula>$B2&lt;&gt;""</formula>
    </cfRule>
  </conditionalFormatting>
  <conditionalFormatting sqref="A2:L1101">
    <cfRule type="expression" dxfId="16" priority="2">
      <formula>AND($G2="P1 🔴",$B2="")</formula>
    </cfRule>
  </conditionalFormatting>
  <dataValidations count="3">
    <dataValidation type="list" allowBlank="1" showInputMessage="1" showErrorMessage="1" sqref="D2:D2000" xr:uid="{C4891DA4-D66E-4000-9285-2E35B9668E8D}">
      <formula1>"YES,NO"</formula1>
    </dataValidation>
    <dataValidation type="list" allowBlank="1" showInputMessage="1" showErrorMessage="1" sqref="E2:E2000" xr:uid="{13E7A186-D854-49D5-9D98-AFF5CDB69A3E}">
      <formula1>"General Education,Rate Change,Updated/New PA,Utility Assistance,E3/E4,Other (fill in)"</formula1>
    </dataValidation>
    <dataValidation type="list" allowBlank="1" showInputMessage="1" showErrorMessage="1" sqref="B2:B2000" xr:uid="{35646595-0586-4E93-B9B9-B21E7FBF6674}">
      <formula1>"Michelle,Joaquin"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6AD5-41D1-4D4E-B1EF-F251580D972B}">
  <sheetPr>
    <tabColor rgb="FFBF360C"/>
  </sheetPr>
  <dimension ref="A1:N60"/>
  <sheetViews>
    <sheetView workbookViewId="0">
      <selection activeCell="D26" sqref="D26"/>
    </sheetView>
  </sheetViews>
  <sheetFormatPr defaultColWidth="8.85546875" defaultRowHeight="15" outlineLevelCol="1"/>
  <cols>
    <col min="1" max="1" width="2.85546875" customWidth="1"/>
    <col min="2" max="7" width="22.85546875" customWidth="1"/>
    <col min="8" max="8" width="2.85546875" customWidth="1"/>
    <col min="9" max="9" width="20" bestFit="1" customWidth="1"/>
    <col min="10" max="10" width="20.28515625" hidden="1" customWidth="1" outlineLevel="1"/>
    <col min="11" max="11" width="7.42578125" hidden="1" customWidth="1" outlineLevel="1"/>
    <col min="12" max="12" width="15.42578125" hidden="1" customWidth="1" outlineLevel="1"/>
    <col min="13" max="13" width="21.85546875" hidden="1" customWidth="1" outlineLevel="1"/>
    <col min="14" max="14" width="14.42578125" bestFit="1" customWidth="1" collapsed="1"/>
    <col min="16" max="16" width="26.140625" bestFit="1" customWidth="1"/>
  </cols>
  <sheetData>
    <row r="1" spans="1:8" ht="6" customHeight="1">
      <c r="A1" s="75"/>
      <c r="B1" s="75"/>
      <c r="C1" s="75"/>
      <c r="D1" s="75"/>
      <c r="E1" s="75"/>
      <c r="F1" s="75"/>
      <c r="G1" s="75"/>
      <c r="H1" s="75"/>
    </row>
    <row r="2" spans="1:8" ht="38.1" customHeight="1">
      <c r="A2" s="75"/>
      <c r="B2" s="177" t="s">
        <v>6846</v>
      </c>
      <c r="C2" s="178"/>
      <c r="D2" s="178"/>
      <c r="E2" s="178"/>
      <c r="F2" s="178"/>
      <c r="G2" s="178"/>
      <c r="H2" s="75"/>
    </row>
    <row r="3" spans="1:8" ht="6" customHeight="1">
      <c r="A3" s="75"/>
      <c r="B3" s="75"/>
      <c r="C3" s="75"/>
      <c r="D3" s="75"/>
      <c r="E3" s="75"/>
      <c r="F3" s="75"/>
      <c r="G3" s="75"/>
      <c r="H3" s="75"/>
    </row>
    <row r="4" spans="1:8" ht="20.100000000000001" customHeight="1">
      <c r="A4" s="75"/>
      <c r="B4" s="189" t="s">
        <v>6847</v>
      </c>
      <c r="C4" s="192" t="s">
        <v>6848</v>
      </c>
      <c r="D4" s="197" t="s">
        <v>6849</v>
      </c>
      <c r="E4" s="199" t="s">
        <v>4921</v>
      </c>
      <c r="F4" s="212" t="s">
        <v>6850</v>
      </c>
      <c r="G4" s="208" t="s">
        <v>6977</v>
      </c>
      <c r="H4" s="75"/>
    </row>
    <row r="5" spans="1:8" ht="42" customHeight="1">
      <c r="A5" s="75"/>
      <c r="B5" s="188">
        <f>COUNTA('Docketed Comments'!B2:B1949)</f>
        <v>1946</v>
      </c>
      <c r="C5" s="191" cm="1">
        <f t="array" ref="C5">SUMPRODUCT(('Call Queue'!H2:H1310&lt;&gt;"")*1)</f>
        <v>1309</v>
      </c>
      <c r="D5" s="194">
        <f>COUNTA('📞 Call Tracker'!B2:B2000)</f>
        <v>399</v>
      </c>
      <c r="E5" s="221">
        <f>C5-D5</f>
        <v>910</v>
      </c>
      <c r="F5" s="201">
        <f>D5/C5</f>
        <v>0.30481283422459893</v>
      </c>
      <c r="G5" s="223">
        <f>COUNTIF('📞 Call Tracker'!D2:D2000,"YES")</f>
        <v>244</v>
      </c>
      <c r="H5" s="75"/>
    </row>
    <row r="6" spans="1:8" ht="15.95" customHeight="1">
      <c r="A6" s="75"/>
      <c r="B6" s="190" t="s">
        <v>6851</v>
      </c>
      <c r="C6" s="193" t="s">
        <v>6852</v>
      </c>
      <c r="D6" s="198" t="s">
        <v>4925</v>
      </c>
      <c r="E6" s="200" t="s">
        <v>6853</v>
      </c>
      <c r="F6" s="213" t="s">
        <v>6854</v>
      </c>
      <c r="G6" s="209" t="s">
        <v>6978</v>
      </c>
      <c r="H6" s="75"/>
    </row>
    <row r="7" spans="1:8" ht="8.1" customHeight="1">
      <c r="A7" s="75"/>
      <c r="B7" s="75"/>
      <c r="C7" s="75"/>
      <c r="D7" s="75"/>
      <c r="E7" s="75"/>
      <c r="F7" s="75"/>
      <c r="G7" s="75"/>
      <c r="H7" s="75"/>
    </row>
    <row r="8" spans="1:8" ht="39.950000000000003" customHeight="1">
      <c r="A8" s="75"/>
      <c r="B8" s="179" t="s">
        <v>6855</v>
      </c>
      <c r="C8" s="180"/>
      <c r="D8" s="180"/>
      <c r="E8" s="180"/>
      <c r="F8" s="180"/>
      <c r="G8" s="180"/>
      <c r="H8" s="75"/>
    </row>
    <row r="9" spans="1:8" ht="39.950000000000003" customHeight="1">
      <c r="A9" s="75"/>
      <c r="B9" s="216" t="s">
        <v>6856</v>
      </c>
      <c r="C9" s="217" t="s">
        <v>6857</v>
      </c>
      <c r="D9" s="218" t="s">
        <v>6858</v>
      </c>
      <c r="E9" s="219" t="s">
        <v>4922</v>
      </c>
      <c r="F9" s="220" t="s">
        <v>6859</v>
      </c>
      <c r="G9" s="195" t="s">
        <v>4923</v>
      </c>
      <c r="H9" s="75"/>
    </row>
    <row r="10" spans="1:8" ht="38.1" customHeight="1">
      <c r="A10" s="75"/>
      <c r="B10" s="202">
        <f>COUNTIFS('Call Queue'!V2:V1310,"❌ Not on Best Plan")-COUNTIFS('Call Queue'!V2:V1310,"❌ Not on Best Plan",'Call Queue'!X2:X1310,"&gt;0")</f>
        <v>229</v>
      </c>
      <c r="C10" s="222">
        <f>COUNTIFS('Call Queue'!N2:N1310,"&lt;&gt;No",'Call Queue'!N2:N1310,"&lt;&gt;")-COUNTIFS('Call Queue'!N2:N1310,"&lt;&gt;No",'Call Queue'!N2:N1310,"&lt;&gt;",'Call Queue'!X2:X1310,"&gt;0")</f>
        <v>58</v>
      </c>
      <c r="D10" s="205">
        <f>COUNTIFS('Call Queue'!V2:V1310,"✅ On Best Plan")+COUNTIFS('Call Queue'!V2:V1310,"❄ Frozen Rate")</f>
        <v>936</v>
      </c>
      <c r="E10" s="207">
        <f ca="1">IFERROR(ROUND(D5/MAX(1,(NETWORKDAYS(MIN('📞 Call Tracker'!C:C),TODAY())/5)),1),"-")</f>
        <v>31.7</v>
      </c>
      <c r="F10" s="211">
        <f>COUNTIF('Docketed Comments'!H2:H1949,"Unable to Locate Acct")+COUNTBLANK('Docketed Comments'!H2:H1949)</f>
        <v>478</v>
      </c>
      <c r="G10" s="215">
        <f>COUNTIF('📞 Call Tracker'!D2:D2000,"NO")</f>
        <v>133</v>
      </c>
      <c r="H10" s="75"/>
    </row>
    <row r="11" spans="1:8" ht="15.95" customHeight="1">
      <c r="A11" s="75"/>
      <c r="B11" s="203" t="str">
        <f>COUNTIFS('Call Queue'!V2:V1310,"❌ Not on Best Plan",'Call Queue'!X2:X1310,"&gt;0")&amp;" of "&amp;COUNTIFS('Call Queue'!V2:V1310,"❌ Not on Best Plan")&amp;" contacted"</f>
        <v>113 of 342 contacted</v>
      </c>
      <c r="C11" s="204" t="str">
        <f>COUNTIFS('Call Queue'!N2:N1310,"&lt;&gt;No",'Call Queue'!N2:N1310,"&lt;&gt;",'Call Queue'!X2:X1310,"&gt;0")&amp;" of "&amp;COUNTIFS('Call Queue'!N2:N1310,"&lt;&gt;No",'Call Queue'!N2:N1310,"&lt;&gt;")&amp;" contacted"</f>
        <v>36 of 94 contacted</v>
      </c>
      <c r="D11" s="206" t="s">
        <v>6860</v>
      </c>
      <c r="E11" s="210" t="s">
        <v>6861</v>
      </c>
      <c r="F11" s="214" t="s">
        <v>6862</v>
      </c>
      <c r="G11" s="196" t="s">
        <v>6979</v>
      </c>
      <c r="H11" s="75"/>
    </row>
    <row r="12" spans="1:8" ht="8.1" customHeight="1">
      <c r="A12" s="75"/>
      <c r="B12" s="75"/>
      <c r="C12" s="75"/>
      <c r="D12" s="75"/>
      <c r="E12" s="75"/>
      <c r="F12" s="75"/>
      <c r="G12" s="75"/>
      <c r="H12" s="75"/>
    </row>
    <row r="13" spans="1:8" ht="15.95" customHeight="1">
      <c r="A13" s="75"/>
      <c r="B13" s="179" t="s">
        <v>6863</v>
      </c>
      <c r="C13" s="180"/>
      <c r="D13" s="180"/>
      <c r="E13" s="180"/>
      <c r="F13" s="180"/>
      <c r="G13" s="75"/>
      <c r="H13" s="75"/>
    </row>
    <row r="14" spans="1:8" ht="15.95" customHeight="1">
      <c r="A14" s="75"/>
      <c r="B14" s="181" t="s">
        <v>4931</v>
      </c>
      <c r="C14" s="181" t="s">
        <v>4932</v>
      </c>
      <c r="D14" s="181" t="s">
        <v>4916</v>
      </c>
      <c r="E14" s="181" t="s">
        <v>4926</v>
      </c>
      <c r="F14" s="181" t="s">
        <v>117</v>
      </c>
      <c r="G14" s="181" t="s">
        <v>4893</v>
      </c>
      <c r="H14" s="75"/>
    </row>
    <row r="15" spans="1:8" ht="15.95" customHeight="1">
      <c r="A15" s="75"/>
      <c r="B15" s="184" cm="1">
        <f t="array" ref="B15:B26">IFERROR(_xlfn._xlws.SORT(_xlfn.UNIQUE(_xlfn._xlws.FILTER('📞 Call Tracker'!C2:C2000,'📞 Call Tracker'!C2:C2000&gt;0))),"")</f>
        <v>45997</v>
      </c>
      <c r="C15" s="185">
        <f>IF(B15="","",COUNTIFS('📞 Call Tracker'!$C:$C,"&gt;="&amp;B15,'📞 Call Tracker'!$C:$C,"&lt;"&amp;B15+1))</f>
        <v>46</v>
      </c>
      <c r="D15" s="185">
        <f>IF(B15="","",COUNTIFS('📞 Call Tracker'!$C:$C,"&gt;="&amp;B15,'📞 Call Tracker'!$C:$C,"&lt;"&amp;B15+1,'📞 Call Tracker'!$D:$D,"YES"))</f>
        <v>27</v>
      </c>
      <c r="E15" s="185">
        <f>IF(B15="","",COUNTIFS('📞 Call Tracker'!$C:$C,"&gt;="&amp;B15,'📞 Call Tracker'!$C:$C,"&lt;"&amp;B15+1,'📞 Call Tracker'!$D:$D,"NO"))</f>
        <v>9</v>
      </c>
      <c r="F15" s="185">
        <f>IF(B15="","",COUNTIFS('📞 Call Tracker'!$C:$C,"&gt;="&amp;B15,'📞 Call Tracker'!$C:$C,"&lt;"&amp;B15+1,'📞 Call Tracker'!$B:$B,"Michelle"))</f>
        <v>15</v>
      </c>
      <c r="G15" s="185">
        <f>IF(B15="","",COUNTIFS('📞 Call Tracker'!$C:$C,"&gt;="&amp;B15,'📞 Call Tracker'!$C:$C,"&lt;"&amp;B15+1,'📞 Call Tracker'!$B:$B,"Joaquin"))</f>
        <v>31</v>
      </c>
      <c r="H15" s="75"/>
    </row>
    <row r="16" spans="1:8" ht="15.95" customHeight="1">
      <c r="A16" s="75"/>
      <c r="B16" s="168">
        <v>46011</v>
      </c>
      <c r="C16" s="169">
        <f>IF(B16="","",COUNTIFS('📞 Call Tracker'!$C:$C,"&gt;="&amp;B16,'📞 Call Tracker'!$C:$C,"&lt;"&amp;B16+1))</f>
        <v>26</v>
      </c>
      <c r="D16" s="169">
        <f>IF(B16="","",COUNTIFS('📞 Call Tracker'!$C:$C,"&gt;="&amp;B16,'📞 Call Tracker'!$C:$C,"&lt;"&amp;B16+1,'📞 Call Tracker'!$D:$D,"YES"))</f>
        <v>19</v>
      </c>
      <c r="E16" s="169">
        <f>IF(B16="","",COUNTIFS('📞 Call Tracker'!$C:$C,"&gt;="&amp;B16,'📞 Call Tracker'!$C:$C,"&lt;"&amp;B16+1,'📞 Call Tracker'!$D:$D,"NO"))</f>
        <v>5</v>
      </c>
      <c r="F16" s="169">
        <f>IF(B16="","",COUNTIFS('📞 Call Tracker'!$C:$C,"&gt;="&amp;B16,'📞 Call Tracker'!$C:$C,"&lt;"&amp;B16+1,'📞 Call Tracker'!$B:$B,"Michelle"))</f>
        <v>0</v>
      </c>
      <c r="G16" s="169">
        <f>IF(B16="","",COUNTIFS('📞 Call Tracker'!$C:$C,"&gt;="&amp;B16,'📞 Call Tracker'!$C:$C,"&lt;"&amp;B16+1,'📞 Call Tracker'!$B:$B,"Joaquin"))</f>
        <v>26</v>
      </c>
      <c r="H16" s="75"/>
    </row>
    <row r="17" spans="1:8" ht="15.95" customHeight="1">
      <c r="A17" s="75"/>
      <c r="B17" s="184">
        <v>46018</v>
      </c>
      <c r="C17" s="185">
        <f>IF(B17="","",COUNTIFS('📞 Call Tracker'!$C:$C,"&gt;="&amp;B17,'📞 Call Tracker'!$C:$C,"&lt;"&amp;B17+1))</f>
        <v>11</v>
      </c>
      <c r="D17" s="185">
        <f>IF(B17="","",COUNTIFS('📞 Call Tracker'!$C:$C,"&gt;="&amp;B17,'📞 Call Tracker'!$C:$C,"&lt;"&amp;B17+1,'📞 Call Tracker'!$D:$D,"YES"))</f>
        <v>4</v>
      </c>
      <c r="E17" s="185">
        <f>IF(B17="","",COUNTIFS('📞 Call Tracker'!$C:$C,"&gt;="&amp;B17,'📞 Call Tracker'!$C:$C,"&lt;"&amp;B17+1,'📞 Call Tracker'!$D:$D,"NO"))</f>
        <v>7</v>
      </c>
      <c r="F17" s="185">
        <f>IF(B17="","",COUNTIFS('📞 Call Tracker'!$C:$C,"&gt;="&amp;B17,'📞 Call Tracker'!$C:$C,"&lt;"&amp;B17+1,'📞 Call Tracker'!$B:$B,"Michelle"))</f>
        <v>2</v>
      </c>
      <c r="G17" s="185">
        <f>IF(B17="","",COUNTIFS('📞 Call Tracker'!$C:$C,"&gt;="&amp;B17,'📞 Call Tracker'!$C:$C,"&lt;"&amp;B17+1,'📞 Call Tracker'!$B:$B,"Joaquin"))</f>
        <v>9</v>
      </c>
      <c r="H17" s="75"/>
    </row>
    <row r="18" spans="1:8" ht="9.9499999999999993" customHeight="1">
      <c r="A18" s="75"/>
      <c r="B18" s="168">
        <v>46025</v>
      </c>
      <c r="C18" s="169">
        <f>IF(B18="","",COUNTIFS('📞 Call Tracker'!$C:$C,"&gt;="&amp;B18,'📞 Call Tracker'!$C:$C,"&lt;"&amp;B18+1))</f>
        <v>37</v>
      </c>
      <c r="D18" s="169">
        <f>IF(B18="","",COUNTIFS('📞 Call Tracker'!$C:$C,"&gt;="&amp;B18,'📞 Call Tracker'!$C:$C,"&lt;"&amp;B18+1,'📞 Call Tracker'!$D:$D,"YES"))</f>
        <v>27</v>
      </c>
      <c r="E18" s="169">
        <f>IF(B18="","",COUNTIFS('📞 Call Tracker'!$C:$C,"&gt;="&amp;B18,'📞 Call Tracker'!$C:$C,"&lt;"&amp;B18+1,'📞 Call Tracker'!$D:$D,"NO"))</f>
        <v>6</v>
      </c>
      <c r="F18" s="169">
        <f>IF(B18="","",COUNTIFS('📞 Call Tracker'!$C:$C,"&gt;="&amp;B18,'📞 Call Tracker'!$C:$C,"&lt;"&amp;B18+1,'📞 Call Tracker'!$B:$B,"Michelle"))</f>
        <v>2</v>
      </c>
      <c r="G18" s="169">
        <f>IF(B18="","",COUNTIFS('📞 Call Tracker'!$C:$C,"&gt;="&amp;B18,'📞 Call Tracker'!$C:$C,"&lt;"&amp;B18+1,'📞 Call Tracker'!$B:$B,"Joaquin"))</f>
        <v>35</v>
      </c>
      <c r="H18" s="75"/>
    </row>
    <row r="19" spans="1:8">
      <c r="A19" s="75"/>
      <c r="B19" s="184">
        <v>46032</v>
      </c>
      <c r="C19" s="185">
        <f>IF(B19="","",COUNTIFS('📞 Call Tracker'!$C:$C,"&gt;="&amp;B19,'📞 Call Tracker'!$C:$C,"&lt;"&amp;B19+1))</f>
        <v>20</v>
      </c>
      <c r="D19" s="185">
        <f>IF(B19="","",COUNTIFS('📞 Call Tracker'!$C:$C,"&gt;="&amp;B19,'📞 Call Tracker'!$C:$C,"&lt;"&amp;B19+1,'📞 Call Tracker'!$D:$D,"YES"))</f>
        <v>13</v>
      </c>
      <c r="E19" s="185">
        <f>IF(B19="","",COUNTIFS('📞 Call Tracker'!$C:$C,"&gt;="&amp;B19,'📞 Call Tracker'!$C:$C,"&lt;"&amp;B19+1,'📞 Call Tracker'!$D:$D,"NO"))</f>
        <v>2</v>
      </c>
      <c r="F19" s="185">
        <f>IF(B19="","",COUNTIFS('📞 Call Tracker'!$C:$C,"&gt;="&amp;B19,'📞 Call Tracker'!$C:$C,"&lt;"&amp;B19+1,'📞 Call Tracker'!$B:$B,"Michelle"))</f>
        <v>4</v>
      </c>
      <c r="G19" s="185">
        <f>IF(B19="","",COUNTIFS('📞 Call Tracker'!$C:$C,"&gt;="&amp;B19,'📞 Call Tracker'!$C:$C,"&lt;"&amp;B19+1,'📞 Call Tracker'!$B:$B,"Joaquin"))</f>
        <v>16</v>
      </c>
      <c r="H19" s="75"/>
    </row>
    <row r="20" spans="1:8">
      <c r="A20" s="75"/>
      <c r="B20" s="168">
        <v>46039</v>
      </c>
      <c r="C20" s="169">
        <f>IF(B20="","",COUNTIFS('📞 Call Tracker'!$C:$C,"&gt;="&amp;B20,'📞 Call Tracker'!$C:$C,"&lt;"&amp;B20+1))</f>
        <v>28</v>
      </c>
      <c r="D20" s="169">
        <f>IF(B20="","",COUNTIFS('📞 Call Tracker'!$C:$C,"&gt;="&amp;B20,'📞 Call Tracker'!$C:$C,"&lt;"&amp;B20+1,'📞 Call Tracker'!$D:$D,"YES"))</f>
        <v>19</v>
      </c>
      <c r="E20" s="169">
        <f>IF(B20="","",COUNTIFS('📞 Call Tracker'!$C:$C,"&gt;="&amp;B20,'📞 Call Tracker'!$C:$C,"&lt;"&amp;B20+1,'📞 Call Tracker'!$D:$D,"NO"))</f>
        <v>9</v>
      </c>
      <c r="F20" s="169">
        <f>IF(B20="","",COUNTIFS('📞 Call Tracker'!$C:$C,"&gt;="&amp;B20,'📞 Call Tracker'!$C:$C,"&lt;"&amp;B20+1,'📞 Call Tracker'!$B:$B,"Michelle"))</f>
        <v>9</v>
      </c>
      <c r="G20" s="169">
        <f>IF(B20="","",COUNTIFS('📞 Call Tracker'!$C:$C,"&gt;="&amp;B20,'📞 Call Tracker'!$C:$C,"&lt;"&amp;B20+1,'📞 Call Tracker'!$B:$B,"Joaquin"))</f>
        <v>19</v>
      </c>
      <c r="H20" s="75"/>
    </row>
    <row r="21" spans="1:8">
      <c r="A21" s="75"/>
      <c r="B21" s="184">
        <v>46046</v>
      </c>
      <c r="C21" s="185">
        <f>IF(B21="","",COUNTIFS('📞 Call Tracker'!$C:$C,"&gt;="&amp;B21,'📞 Call Tracker'!$C:$C,"&lt;"&amp;B21+1))</f>
        <v>41</v>
      </c>
      <c r="D21" s="185">
        <f>IF(B21="","",COUNTIFS('📞 Call Tracker'!$C:$C,"&gt;="&amp;B21,'📞 Call Tracker'!$C:$C,"&lt;"&amp;B21+1,'📞 Call Tracker'!$D:$D,"YES"))</f>
        <v>23</v>
      </c>
      <c r="E21" s="185">
        <f>IF(B21="","",COUNTIFS('📞 Call Tracker'!$C:$C,"&gt;="&amp;B21,'📞 Call Tracker'!$C:$C,"&lt;"&amp;B21+1,'📞 Call Tracker'!$D:$D,"NO"))</f>
        <v>18</v>
      </c>
      <c r="F21" s="185">
        <f>IF(B21="","",COUNTIFS('📞 Call Tracker'!$C:$C,"&gt;="&amp;B21,'📞 Call Tracker'!$C:$C,"&lt;"&amp;B21+1,'📞 Call Tracker'!$B:$B,"Michelle"))</f>
        <v>10</v>
      </c>
      <c r="G21" s="185">
        <f>IF(B21="","",COUNTIFS('📞 Call Tracker'!$C:$C,"&gt;="&amp;B21,'📞 Call Tracker'!$C:$C,"&lt;"&amp;B21+1,'📞 Call Tracker'!$B:$B,"Joaquin"))</f>
        <v>31</v>
      </c>
      <c r="H21" s="75"/>
    </row>
    <row r="22" spans="1:8">
      <c r="A22" s="75"/>
      <c r="B22" s="168">
        <v>46053</v>
      </c>
      <c r="C22" s="169">
        <f>IF(B22="","",COUNTIFS('📞 Call Tracker'!$C:$C,"&gt;="&amp;B22,'📞 Call Tracker'!$C:$C,"&lt;"&amp;B22+1))</f>
        <v>38</v>
      </c>
      <c r="D22" s="169">
        <f>IF(B22="","",COUNTIFS('📞 Call Tracker'!$C:$C,"&gt;="&amp;B22,'📞 Call Tracker'!$C:$C,"&lt;"&amp;B22+1,'📞 Call Tracker'!$D:$D,"YES"))</f>
        <v>22</v>
      </c>
      <c r="E22" s="169">
        <f>IF(B22="","",COUNTIFS('📞 Call Tracker'!$C:$C,"&gt;="&amp;B22,'📞 Call Tracker'!$C:$C,"&lt;"&amp;B22+1,'📞 Call Tracker'!$D:$D,"NO"))</f>
        <v>16</v>
      </c>
      <c r="F22" s="169">
        <f>IF(B22="","",COUNTIFS('📞 Call Tracker'!$C:$C,"&gt;="&amp;B22,'📞 Call Tracker'!$C:$C,"&lt;"&amp;B22+1,'📞 Call Tracker'!$B:$B,"Michelle"))</f>
        <v>10</v>
      </c>
      <c r="G22" s="169">
        <f>IF(B22="","",COUNTIFS('📞 Call Tracker'!$C:$C,"&gt;="&amp;B22,'📞 Call Tracker'!$C:$C,"&lt;"&amp;B22+1,'📞 Call Tracker'!$B:$B,"Joaquin"))</f>
        <v>28</v>
      </c>
      <c r="H22" s="75"/>
    </row>
    <row r="23" spans="1:8">
      <c r="A23" s="75"/>
      <c r="B23" s="184">
        <v>46060</v>
      </c>
      <c r="C23" s="185">
        <f>IF(B23="","",COUNTIFS('📞 Call Tracker'!$C:$C,"&gt;="&amp;B23,'📞 Call Tracker'!$C:$C,"&lt;"&amp;B23+1))</f>
        <v>38</v>
      </c>
      <c r="D23" s="185">
        <f>IF(B23="","",COUNTIFS('📞 Call Tracker'!$C:$C,"&gt;="&amp;B23,'📞 Call Tracker'!$C:$C,"&lt;"&amp;B23+1,'📞 Call Tracker'!$D:$D,"YES"))</f>
        <v>23</v>
      </c>
      <c r="E23" s="185">
        <f>IF(B23="","",COUNTIFS('📞 Call Tracker'!$C:$C,"&gt;="&amp;B23,'📞 Call Tracker'!$C:$C,"&lt;"&amp;B23+1,'📞 Call Tracker'!$D:$D,"NO"))</f>
        <v>14</v>
      </c>
      <c r="F23" s="185">
        <f>IF(B23="","",COUNTIFS('📞 Call Tracker'!$C:$C,"&gt;="&amp;B23,'📞 Call Tracker'!$C:$C,"&lt;"&amp;B23+1,'📞 Call Tracker'!$B:$B,"Michelle"))</f>
        <v>12</v>
      </c>
      <c r="G23" s="185">
        <f>IF(B23="","",COUNTIFS('📞 Call Tracker'!$C:$C,"&gt;="&amp;B23,'📞 Call Tracker'!$C:$C,"&lt;"&amp;B23+1,'📞 Call Tracker'!$B:$B,"Joaquin"))</f>
        <v>26</v>
      </c>
      <c r="H23" s="75"/>
    </row>
    <row r="24" spans="1:8">
      <c r="A24" s="75"/>
      <c r="B24" s="168">
        <v>46067</v>
      </c>
      <c r="C24" s="169">
        <f>IF(B24="","",COUNTIFS('📞 Call Tracker'!$C:$C,"&gt;="&amp;B24,'📞 Call Tracker'!$C:$C,"&lt;"&amp;B24+1))</f>
        <v>46</v>
      </c>
      <c r="D24" s="169">
        <f>IF(B24="","",COUNTIFS('📞 Call Tracker'!$C:$C,"&gt;="&amp;B24,'📞 Call Tracker'!$C:$C,"&lt;"&amp;B24+1,'📞 Call Tracker'!$D:$D,"YES"))</f>
        <v>28</v>
      </c>
      <c r="E24" s="169">
        <f>IF(B24="","",COUNTIFS('📞 Call Tracker'!$C:$C,"&gt;="&amp;B24,'📞 Call Tracker'!$C:$C,"&lt;"&amp;B24+1,'📞 Call Tracker'!$D:$D,"NO"))</f>
        <v>18</v>
      </c>
      <c r="F24" s="169">
        <f>IF(B24="","",COUNTIFS('📞 Call Tracker'!$C:$C,"&gt;="&amp;B24,'📞 Call Tracker'!$C:$C,"&lt;"&amp;B24+1,'📞 Call Tracker'!$B:$B,"Michelle"))</f>
        <v>22</v>
      </c>
      <c r="G24" s="169">
        <f>IF(B24="","",COUNTIFS('📞 Call Tracker'!$C:$C,"&gt;="&amp;B24,'📞 Call Tracker'!$C:$C,"&lt;"&amp;B24+1,'📞 Call Tracker'!$B:$B,"Joaquin"))</f>
        <v>24</v>
      </c>
      <c r="H24" s="75"/>
    </row>
    <row r="25" spans="1:8">
      <c r="A25" s="75"/>
      <c r="B25" s="184">
        <v>46074</v>
      </c>
      <c r="C25" s="185">
        <f>IF(B25="","",COUNTIFS('📞 Call Tracker'!$C:$C,"&gt;="&amp;B25,'📞 Call Tracker'!$C:$C,"&lt;"&amp;B25+1))</f>
        <v>42</v>
      </c>
      <c r="D25" s="185">
        <f>IF(B25="","",COUNTIFS('📞 Call Tracker'!$C:$C,"&gt;="&amp;B25,'📞 Call Tracker'!$C:$C,"&lt;"&amp;B25+1,'📞 Call Tracker'!$D:$D,"YES"))</f>
        <v>28</v>
      </c>
      <c r="E25" s="185">
        <f>IF(B25="","",COUNTIFS('📞 Call Tracker'!$C:$C,"&gt;="&amp;B25,'📞 Call Tracker'!$C:$C,"&lt;"&amp;B25+1,'📞 Call Tracker'!$D:$D,"NO"))</f>
        <v>14</v>
      </c>
      <c r="F25" s="185">
        <f>IF(B25="","",COUNTIFS('📞 Call Tracker'!$C:$C,"&gt;="&amp;B25,'📞 Call Tracker'!$C:$C,"&lt;"&amp;B25+1,'📞 Call Tracker'!$B:$B,"Michelle"))</f>
        <v>16</v>
      </c>
      <c r="G25" s="185">
        <f>IF(B25="","",COUNTIFS('📞 Call Tracker'!$C:$C,"&gt;="&amp;B25,'📞 Call Tracker'!$C:$C,"&lt;"&amp;B25+1,'📞 Call Tracker'!$B:$B,"Joaquin"))</f>
        <v>26</v>
      </c>
      <c r="H25" s="75"/>
    </row>
    <row r="26" spans="1:8">
      <c r="A26" s="75"/>
      <c r="B26" s="168">
        <v>46081</v>
      </c>
      <c r="C26" s="169">
        <f>IF(B26="","",COUNTIFS('📞 Call Tracker'!$C:$C,"&gt;="&amp;B26,'📞 Call Tracker'!$C:$C,"&lt;"&amp;B26+1))</f>
        <v>26</v>
      </c>
      <c r="D26" s="169"/>
      <c r="E26" s="169">
        <f>IF(B26="","",COUNTIFS('📞 Call Tracker'!$C:$C,"&gt;="&amp;B26,'📞 Call Tracker'!$C:$C,"&lt;"&amp;B26+1,'📞 Call Tracker'!$D:$D,"NO"))</f>
        <v>15</v>
      </c>
      <c r="F26" s="169">
        <f>IF(B26="","",COUNTIFS('📞 Call Tracker'!$C:$C,"&gt;="&amp;B26,'📞 Call Tracker'!$C:$C,"&lt;"&amp;B26+1,'📞 Call Tracker'!$B:$B,"Michelle"))</f>
        <v>1</v>
      </c>
      <c r="G26" s="169">
        <f>IF(B26="","",COUNTIFS('📞 Call Tracker'!$C:$C,"&gt;="&amp;B26,'📞 Call Tracker'!$C:$C,"&lt;"&amp;B26+1,'📞 Call Tracker'!$B:$B,"Joaquin"))</f>
        <v>25</v>
      </c>
      <c r="H26" s="75"/>
    </row>
    <row r="27" spans="1:8">
      <c r="A27" s="75"/>
      <c r="B27" s="184"/>
      <c r="C27" s="185" t="str">
        <f>IF(B27="","",COUNTIFS('📞 Call Tracker'!$C:$C,"&gt;="&amp;B27,'📞 Call Tracker'!$C:$C,"&lt;"&amp;B27+1))</f>
        <v/>
      </c>
      <c r="D27" s="185" t="str">
        <f>IF(B27="","",COUNTIFS('📞 Call Tracker'!$C:$C,"&gt;="&amp;B27,'📞 Call Tracker'!$C:$C,"&lt;"&amp;B27+1,'📞 Call Tracker'!$D:$D,"YES"))</f>
        <v/>
      </c>
      <c r="E27" s="185" t="str">
        <f>IF(B27="","",COUNTIFS('📞 Call Tracker'!$C:$C,"&gt;="&amp;B27,'📞 Call Tracker'!$C:$C,"&lt;"&amp;B27+1,'📞 Call Tracker'!$D:$D,"NO"))</f>
        <v/>
      </c>
      <c r="F27" s="185" t="str">
        <f>IF(B27="","",COUNTIFS('📞 Call Tracker'!$C:$C,"&gt;="&amp;B27,'📞 Call Tracker'!$C:$C,"&lt;"&amp;B27+1,'📞 Call Tracker'!$B:$B,"Michelle"))</f>
        <v/>
      </c>
      <c r="G27" s="185" t="str">
        <f>IF(B27="","",COUNTIFS('📞 Call Tracker'!$C:$C,"&gt;="&amp;B27,'📞 Call Tracker'!$C:$C,"&lt;"&amp;B27+1,'📞 Call Tracker'!$B:$B,"Joaquin"))</f>
        <v/>
      </c>
      <c r="H27" s="75"/>
    </row>
    <row r="28" spans="1:8" ht="15.95" customHeight="1">
      <c r="A28" s="75"/>
      <c r="B28" s="75"/>
      <c r="C28" s="75"/>
      <c r="D28" s="75"/>
      <c r="E28" s="75"/>
      <c r="F28" s="75"/>
      <c r="G28" s="75"/>
      <c r="H28" s="75"/>
    </row>
    <row r="29" spans="1:8" ht="8.1" customHeight="1">
      <c r="A29" s="75"/>
      <c r="B29" s="75"/>
      <c r="C29" s="75"/>
      <c r="D29" s="75"/>
      <c r="E29" s="75"/>
      <c r="F29" s="75"/>
      <c r="G29" s="75"/>
      <c r="H29" s="75"/>
    </row>
    <row r="30" spans="1:8">
      <c r="A30" s="75"/>
      <c r="B30" s="179" t="s">
        <v>4924</v>
      </c>
      <c r="C30" s="180"/>
      <c r="D30" s="180"/>
      <c r="E30" s="75"/>
      <c r="F30" s="179" t="s">
        <v>4927</v>
      </c>
      <c r="G30" s="180"/>
      <c r="H30" s="75"/>
    </row>
    <row r="31" spans="1:8">
      <c r="A31" s="75"/>
      <c r="B31" s="181" t="s">
        <v>4919</v>
      </c>
      <c r="C31" s="181" t="s">
        <v>6864</v>
      </c>
      <c r="D31" s="181" t="s">
        <v>4926</v>
      </c>
      <c r="E31" s="75"/>
      <c r="F31" s="181" t="s">
        <v>4891</v>
      </c>
      <c r="G31" s="181" t="s">
        <v>4928</v>
      </c>
      <c r="H31" s="75"/>
    </row>
    <row r="32" spans="1:8">
      <c r="A32" s="75"/>
      <c r="B32" s="186" t="s">
        <v>117</v>
      </c>
      <c r="C32" s="187">
        <f>COUNTIF('📞 Call Tracker'!B2:B2000,"Michelle")</f>
        <v>103</v>
      </c>
      <c r="D32" s="187">
        <f>COUNTIFS('📞 Call Tracker'!B2:B2000,"Michelle",'📞 Call Tracker'!D2:D2000,"NO")</f>
        <v>36</v>
      </c>
      <c r="E32" s="75"/>
      <c r="F32" s="186" t="s">
        <v>4904</v>
      </c>
      <c r="G32" s="187">
        <f>COUNTIF('📞 Call Tracker'!E2:E2000,"General Education")</f>
        <v>75</v>
      </c>
      <c r="H32" s="75"/>
    </row>
    <row r="33" spans="1:8">
      <c r="A33" s="75"/>
      <c r="B33" s="75" t="s">
        <v>4893</v>
      </c>
      <c r="C33" s="167">
        <f>COUNTIF('📞 Call Tracker'!B2:B2000,"Joaquin")</f>
        <v>296</v>
      </c>
      <c r="D33" s="167">
        <f>COUNTIFS('📞 Call Tracker'!B2:B2000,"Joaquin",'📞 Call Tracker'!D2:D2000,"NO")</f>
        <v>97</v>
      </c>
      <c r="E33" s="75"/>
      <c r="F33" s="75" t="s">
        <v>4900</v>
      </c>
      <c r="G33" s="167">
        <f>COUNTIF('📞 Call Tracker'!E2:E2000,"Rate Change")</f>
        <v>10</v>
      </c>
      <c r="H33" s="75"/>
    </row>
    <row r="34" spans="1:8">
      <c r="A34" s="75"/>
      <c r="B34" s="182" t="s">
        <v>4933</v>
      </c>
      <c r="C34" s="183">
        <f>SUM(C32:C33)</f>
        <v>399</v>
      </c>
      <c r="D34" s="183">
        <f>SUM(D32:D33)</f>
        <v>133</v>
      </c>
      <c r="E34" s="75"/>
      <c r="F34" s="186" t="s">
        <v>4914</v>
      </c>
      <c r="G34" s="187">
        <f>COUNTIF('📞 Call Tracker'!E2:E2000,"Updated/New PA")</f>
        <v>1</v>
      </c>
      <c r="H34" s="75"/>
    </row>
    <row r="35" spans="1:8">
      <c r="A35" s="75"/>
      <c r="B35" s="75"/>
      <c r="C35" s="75"/>
      <c r="D35" s="75"/>
      <c r="E35" s="75"/>
      <c r="F35" s="75" t="s">
        <v>4915</v>
      </c>
      <c r="G35" s="167">
        <f>COUNTIF('📞 Call Tracker'!E2:E2000,"Utility Assistance")</f>
        <v>3</v>
      </c>
      <c r="H35" s="75"/>
    </row>
    <row r="36" spans="1:8">
      <c r="A36" s="75"/>
      <c r="B36" s="75"/>
      <c r="C36" s="75"/>
      <c r="D36" s="75"/>
      <c r="E36" s="75"/>
      <c r="F36" s="186" t="s">
        <v>4903</v>
      </c>
      <c r="G36" s="187">
        <f>COUNTIF('📞 Call Tracker'!E2:E2000,"E3/E4")</f>
        <v>7</v>
      </c>
      <c r="H36" s="75"/>
    </row>
    <row r="37" spans="1:8">
      <c r="A37" s="75"/>
      <c r="B37" s="75"/>
      <c r="C37" s="75"/>
      <c r="D37" s="75"/>
      <c r="E37" s="75"/>
      <c r="F37" s="75" t="s">
        <v>4929</v>
      </c>
      <c r="G37" s="167">
        <f>COUNTIF('📞 Call Tracker'!E2:E2000,"Other (fill in)")</f>
        <v>9</v>
      </c>
      <c r="H37" s="75"/>
    </row>
    <row r="38" spans="1:8">
      <c r="A38" s="75"/>
      <c r="B38" s="75"/>
      <c r="C38" s="75"/>
      <c r="D38" s="75"/>
      <c r="E38" s="75"/>
      <c r="F38" s="186" t="s">
        <v>4930</v>
      </c>
      <c r="G38" s="187">
        <f>COUNTIF('📞 Call Tracker'!D2:D2000,"YES")</f>
        <v>244</v>
      </c>
      <c r="H38" s="75"/>
    </row>
    <row r="39" spans="1:8">
      <c r="A39" s="75"/>
      <c r="B39" s="75"/>
      <c r="C39" s="75"/>
      <c r="D39" s="75"/>
      <c r="E39" s="75"/>
      <c r="F39" s="75"/>
      <c r="G39" s="75"/>
      <c r="H39" s="75"/>
    </row>
    <row r="40" spans="1:8">
      <c r="A40" s="75"/>
      <c r="B40" s="170" t="str">
        <f ca="1">"Last updated: "&amp;TEXT(TODAY(),"mmmm d, yyyy")</f>
        <v>Last updated: March 4, 2026</v>
      </c>
      <c r="C40" s="75"/>
      <c r="D40" s="75"/>
      <c r="E40" s="75"/>
      <c r="F40" s="75"/>
      <c r="G40" s="75"/>
      <c r="H40" s="75"/>
    </row>
    <row r="41" spans="1:8">
      <c r="A41" s="75"/>
      <c r="B41" s="171" t="str">
        <f>_xlfn.LET(_xlpm.trackerTotal,COUNTA('📞 Call Tracker'!A2:A2000),"✅ "&amp;_xlpm.trackerTotal&amp;" customers in tracker ("&amp;COUNTA('📞 Call Tracker'!B2:B2000)&amp;" called, "&amp;_xlpm.trackerTotal-COUNTA('📞 Call Tracker'!B2:B2000)&amp;" remaining)")</f>
        <v>✅ 1100 customers in tracker (399 called, 701 remaining)</v>
      </c>
      <c r="C41" s="75"/>
      <c r="D41" s="75"/>
      <c r="E41" s="75"/>
      <c r="F41" s="75"/>
      <c r="G41" s="75"/>
      <c r="H41" s="75"/>
    </row>
    <row r="42" spans="1:8">
      <c r="A42" s="75"/>
      <c r="B42" s="75"/>
      <c r="C42" s="75"/>
      <c r="D42" s="75"/>
      <c r="E42" s="75"/>
      <c r="F42" s="75"/>
      <c r="G42" s="75"/>
      <c r="H42" s="75"/>
    </row>
    <row r="43" spans="1:8">
      <c r="A43" s="75"/>
      <c r="B43" s="75"/>
      <c r="C43" s="75"/>
      <c r="D43" s="75"/>
      <c r="E43" s="75"/>
      <c r="F43" s="75"/>
      <c r="G43" s="75"/>
      <c r="H43" s="75"/>
    </row>
    <row r="44" spans="1:8">
      <c r="A44" s="75"/>
      <c r="B44" s="75"/>
      <c r="C44" s="75"/>
      <c r="D44" s="75"/>
      <c r="E44" s="75"/>
      <c r="F44" s="75"/>
      <c r="G44" s="75"/>
      <c r="H44" s="75"/>
    </row>
    <row r="45" spans="1:8">
      <c r="A45" s="75"/>
      <c r="B45" s="75"/>
      <c r="C45" s="75"/>
      <c r="D45" s="75"/>
      <c r="E45" s="75"/>
      <c r="F45" s="75"/>
      <c r="G45" s="75"/>
      <c r="H45" s="75"/>
    </row>
    <row r="46" spans="1:8">
      <c r="A46" s="75"/>
      <c r="B46" s="75"/>
      <c r="C46" s="75"/>
      <c r="D46" s="75"/>
      <c r="E46" s="75"/>
      <c r="F46" s="75"/>
      <c r="G46" s="75"/>
      <c r="H46" s="75"/>
    </row>
    <row r="47" spans="1:8">
      <c r="A47" s="75"/>
      <c r="B47" s="75"/>
      <c r="C47" s="75"/>
      <c r="D47" s="75"/>
      <c r="E47" s="75"/>
      <c r="F47" s="75"/>
      <c r="G47" s="75"/>
      <c r="H47" s="75"/>
    </row>
    <row r="48" spans="1:8">
      <c r="A48" s="75"/>
      <c r="B48" s="75"/>
      <c r="C48" s="75"/>
      <c r="D48" s="75"/>
      <c r="E48" s="75"/>
      <c r="F48" s="75"/>
      <c r="G48" s="75"/>
      <c r="H48" s="75"/>
    </row>
    <row r="49" spans="1:8">
      <c r="A49" s="75"/>
      <c r="B49" s="75"/>
      <c r="C49" s="75"/>
      <c r="D49" s="75"/>
      <c r="E49" s="75"/>
      <c r="F49" s="75"/>
      <c r="G49" s="75"/>
      <c r="H49" s="75"/>
    </row>
    <row r="50" spans="1:8">
      <c r="A50" s="75"/>
      <c r="B50" s="75"/>
      <c r="C50" s="75"/>
      <c r="D50" s="75"/>
      <c r="E50" s="75"/>
      <c r="F50" s="75"/>
      <c r="G50" s="75"/>
      <c r="H50" s="75"/>
    </row>
    <row r="51" spans="1:8">
      <c r="A51" s="75"/>
      <c r="B51" s="75"/>
      <c r="C51" s="75"/>
      <c r="D51" s="75"/>
      <c r="E51" s="75"/>
      <c r="F51" s="75"/>
      <c r="G51" s="75"/>
      <c r="H51" s="75"/>
    </row>
    <row r="52" spans="1:8">
      <c r="A52" s="75"/>
      <c r="B52" s="75"/>
      <c r="C52" s="75"/>
      <c r="D52" s="75"/>
      <c r="E52" s="75"/>
      <c r="F52" s="75"/>
      <c r="G52" s="75"/>
      <c r="H52" s="75"/>
    </row>
    <row r="53" spans="1:8">
      <c r="A53" s="75"/>
      <c r="B53" s="75"/>
      <c r="C53" s="75"/>
      <c r="D53" s="75"/>
      <c r="E53" s="75"/>
      <c r="F53" s="75"/>
      <c r="G53" s="75"/>
      <c r="H53" s="75"/>
    </row>
    <row r="54" spans="1:8">
      <c r="A54" s="75"/>
      <c r="B54" s="75"/>
      <c r="C54" s="75"/>
      <c r="D54" s="75"/>
      <c r="E54" s="75"/>
      <c r="F54" s="75"/>
      <c r="G54" s="75"/>
      <c r="H54" s="75"/>
    </row>
    <row r="55" spans="1:8">
      <c r="A55" s="75"/>
      <c r="B55" s="75"/>
      <c r="C55" s="75"/>
      <c r="D55" s="75"/>
      <c r="E55" s="75"/>
      <c r="F55" s="75"/>
      <c r="G55" s="75"/>
      <c r="H55" s="75"/>
    </row>
    <row r="56" spans="1:8">
      <c r="A56" s="75"/>
      <c r="B56" s="75"/>
      <c r="C56" s="75"/>
      <c r="D56" s="75"/>
      <c r="E56" s="75"/>
      <c r="F56" s="75"/>
      <c r="G56" s="75"/>
      <c r="H56" s="75"/>
    </row>
    <row r="57" spans="1:8">
      <c r="A57" s="75"/>
      <c r="B57" s="75"/>
      <c r="C57" s="75"/>
      <c r="D57" s="75"/>
      <c r="E57" s="75"/>
      <c r="F57" s="75"/>
      <c r="G57" s="75"/>
      <c r="H57" s="75"/>
    </row>
    <row r="58" spans="1:8">
      <c r="A58" s="75"/>
      <c r="B58" s="75"/>
      <c r="C58" s="75"/>
      <c r="D58" s="75"/>
      <c r="E58" s="75"/>
      <c r="F58" s="75"/>
      <c r="G58" s="75"/>
      <c r="H58" s="75"/>
    </row>
    <row r="59" spans="1:8">
      <c r="A59" s="75"/>
      <c r="B59" s="75"/>
      <c r="C59" s="75"/>
      <c r="D59" s="75"/>
      <c r="E59" s="75"/>
      <c r="F59" s="75"/>
      <c r="G59" s="75"/>
      <c r="H59" s="75"/>
    </row>
    <row r="60" spans="1:8">
      <c r="A60" s="75"/>
      <c r="B60" s="75"/>
      <c r="C60" s="75"/>
      <c r="D60" s="75"/>
      <c r="E60" s="75"/>
      <c r="F60" s="75"/>
      <c r="G60" s="75"/>
      <c r="H60" s="75"/>
    </row>
  </sheetData>
  <mergeCells count="1">
    <mergeCell ref="B2:G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F9853-09AE-4EF9-A42C-C1B72D126E34}">
  <dimension ref="A1:W1949"/>
  <sheetViews>
    <sheetView topLeftCell="G1" workbookViewId="0">
      <selection activeCell="A1883" sqref="A1883:XFD1949"/>
    </sheetView>
  </sheetViews>
  <sheetFormatPr defaultColWidth="11.42578125" defaultRowHeight="12"/>
  <cols>
    <col min="1" max="1" width="13" style="22" bestFit="1" customWidth="1"/>
    <col min="2" max="2" width="17.140625" style="1" customWidth="1"/>
    <col min="3" max="3" width="18.7109375" style="1" bestFit="1" customWidth="1"/>
    <col min="4" max="4" width="14.7109375" style="1" customWidth="1"/>
    <col min="5" max="5" width="11.42578125" style="1"/>
    <col min="6" max="6" width="37.85546875" style="1" customWidth="1"/>
    <col min="7" max="7" width="24.85546875" style="1" customWidth="1"/>
    <col min="8" max="8" width="19" style="4" bestFit="1" customWidth="1"/>
    <col min="9" max="9" width="13.28515625" style="5" customWidth="1"/>
    <col min="10" max="10" width="9.42578125" style="5" customWidth="1"/>
    <col min="11" max="11" width="9.7109375" style="5" bestFit="1" customWidth="1"/>
    <col min="12" max="12" width="18.85546875" style="5" customWidth="1"/>
    <col min="13" max="13" width="11.140625" style="5" customWidth="1"/>
    <col min="14" max="14" width="13.42578125" style="5" customWidth="1"/>
    <col min="15" max="15" width="14.140625" style="5" customWidth="1"/>
    <col min="16" max="16" width="17" style="5" customWidth="1"/>
    <col min="17" max="17" width="22.42578125" style="5" customWidth="1"/>
    <col min="18" max="18" width="56.28515625" style="1" bestFit="1" customWidth="1"/>
    <col min="19" max="19" width="19.28515625" style="1" customWidth="1"/>
    <col min="20" max="20" width="14.42578125" style="1" customWidth="1"/>
    <col min="21" max="21" width="163.42578125" style="1" bestFit="1" customWidth="1"/>
    <col min="22" max="16384" width="11.42578125" style="1"/>
  </cols>
  <sheetData>
    <row r="1" spans="1:22">
      <c r="A1" s="66" t="s">
        <v>0</v>
      </c>
      <c r="B1" s="46" t="s">
        <v>1</v>
      </c>
      <c r="C1" s="46" t="s">
        <v>2</v>
      </c>
      <c r="D1" s="46" t="s">
        <v>3</v>
      </c>
      <c r="E1" s="46" t="s">
        <v>4</v>
      </c>
      <c r="F1" s="46" t="s">
        <v>5</v>
      </c>
      <c r="G1" s="47" t="s">
        <v>6</v>
      </c>
      <c r="H1" s="48" t="s">
        <v>7</v>
      </c>
      <c r="I1" s="49" t="s">
        <v>8</v>
      </c>
      <c r="J1" s="50" t="s">
        <v>9</v>
      </c>
      <c r="K1" s="50" t="s">
        <v>10</v>
      </c>
      <c r="L1" s="50" t="s">
        <v>11</v>
      </c>
      <c r="M1" s="50" t="s">
        <v>12</v>
      </c>
      <c r="N1" s="51" t="s">
        <v>13</v>
      </c>
      <c r="O1" s="51" t="s">
        <v>14</v>
      </c>
      <c r="P1" s="51" t="s">
        <v>15</v>
      </c>
      <c r="Q1" s="51" t="s">
        <v>16</v>
      </c>
      <c r="R1" s="52" t="s">
        <v>17</v>
      </c>
      <c r="S1" s="52" t="s">
        <v>18</v>
      </c>
      <c r="T1" s="52" t="s">
        <v>19</v>
      </c>
      <c r="U1" s="46" t="s">
        <v>20</v>
      </c>
      <c r="V1" s="52" t="s">
        <v>21</v>
      </c>
    </row>
    <row r="2" spans="1:22" hidden="1">
      <c r="A2" s="2">
        <v>45796</v>
      </c>
      <c r="B2" s="1" t="s">
        <v>22</v>
      </c>
      <c r="C2" s="1" t="s">
        <v>23</v>
      </c>
      <c r="D2" s="1" t="s">
        <v>24</v>
      </c>
      <c r="E2" s="1">
        <v>85308</v>
      </c>
      <c r="F2" s="3" t="s">
        <v>25</v>
      </c>
      <c r="G2" s="1" t="s">
        <v>26</v>
      </c>
      <c r="H2" s="4" t="s">
        <v>27</v>
      </c>
      <c r="V2" s="45">
        <f>IF(
  OR(
    ISNUMBER(SEARCH("unable to locate acct", tblDocketedComments[[#This Row],[Docketed Consumer Comments]])),
    ISNUMBER(SEARCH("unknown", tblDocketedComments[[#This Row],[Docketed Consumer Comments]])),
    ISNUMBER(SEARCH("inactive", tblDocketedComments[[#This Row],[Docketed Consumer Comments]]))
  ),
  0,
  1
)</f>
        <v>1</v>
      </c>
    </row>
    <row r="3" spans="1:22" hidden="1">
      <c r="A3" s="2">
        <v>45797</v>
      </c>
      <c r="B3" s="1" t="s">
        <v>28</v>
      </c>
      <c r="C3" s="1" t="s">
        <v>29</v>
      </c>
      <c r="D3" s="1" t="s">
        <v>30</v>
      </c>
      <c r="E3" s="1" t="s">
        <v>30</v>
      </c>
      <c r="F3" s="3" t="s">
        <v>31</v>
      </c>
      <c r="G3" s="1" t="s">
        <v>32</v>
      </c>
      <c r="H3" s="4" t="s">
        <v>27</v>
      </c>
      <c r="V3" s="45">
        <f>IF(
  OR(
    ISNUMBER(SEARCH("unable to locate acct", tblDocketedComments[[#This Row],[Docketed Consumer Comments]])),
    ISNUMBER(SEARCH("unknown", tblDocketedComments[[#This Row],[Docketed Consumer Comments]])),
    ISNUMBER(SEARCH("inactive", tblDocketedComments[[#This Row],[Docketed Consumer Comments]]))
  ),
  0,
  1
)</f>
        <v>1</v>
      </c>
    </row>
    <row r="4" spans="1:22" hidden="1">
      <c r="A4" s="2">
        <v>45797</v>
      </c>
      <c r="B4" s="1" t="s">
        <v>33</v>
      </c>
      <c r="C4" s="1" t="s">
        <v>34</v>
      </c>
      <c r="D4" s="1" t="s">
        <v>24</v>
      </c>
      <c r="E4" s="1" t="s">
        <v>30</v>
      </c>
      <c r="F4" s="3" t="s">
        <v>31</v>
      </c>
      <c r="G4" s="1" t="s">
        <v>35</v>
      </c>
      <c r="H4" s="4" t="s">
        <v>4616</v>
      </c>
      <c r="I4" s="6" t="s">
        <v>36</v>
      </c>
      <c r="J4" s="5" t="s">
        <v>37</v>
      </c>
      <c r="K4" s="5" t="s">
        <v>37</v>
      </c>
      <c r="L4" s="5" t="s">
        <v>38</v>
      </c>
      <c r="M4" s="5" t="s">
        <v>37</v>
      </c>
      <c r="N4" s="5" t="s">
        <v>37</v>
      </c>
      <c r="O4" s="5" t="s">
        <v>38</v>
      </c>
      <c r="P4" s="5" t="s">
        <v>39</v>
      </c>
      <c r="Q4" s="2">
        <v>45589</v>
      </c>
      <c r="U4" s="1" t="s">
        <v>40</v>
      </c>
      <c r="V4" s="45">
        <f>IF(
  OR(
    ISNUMBER(SEARCH("unable to locate acct", tblDocketedComments[[#This Row],[Docketed Consumer Comments]])),
    ISNUMBER(SEARCH("unknown", tblDocketedComments[[#This Row],[Docketed Consumer Comments]])),
    ISNUMBER(SEARCH("inactive", tblDocketedComments[[#This Row],[Docketed Consumer Comments]]))
  ),
  0,
  1
)</f>
        <v>1</v>
      </c>
    </row>
    <row r="5" spans="1:22" hidden="1">
      <c r="A5" s="2">
        <v>45798</v>
      </c>
      <c r="B5" s="1" t="s">
        <v>41</v>
      </c>
      <c r="C5" s="1" t="s">
        <v>42</v>
      </c>
      <c r="D5" s="1" t="s">
        <v>43</v>
      </c>
      <c r="E5" s="1">
        <v>85363</v>
      </c>
      <c r="F5" s="3" t="s">
        <v>31</v>
      </c>
      <c r="G5" s="1" t="s">
        <v>44</v>
      </c>
      <c r="H5" s="4" t="s">
        <v>45</v>
      </c>
      <c r="I5" s="6" t="s">
        <v>46</v>
      </c>
      <c r="J5" s="5" t="s">
        <v>37</v>
      </c>
      <c r="K5" s="5" t="s">
        <v>37</v>
      </c>
      <c r="L5" s="5" t="s">
        <v>47</v>
      </c>
      <c r="M5" s="5" t="s">
        <v>37</v>
      </c>
      <c r="N5" s="5" t="s">
        <v>37</v>
      </c>
      <c r="O5" s="5" t="s">
        <v>38</v>
      </c>
      <c r="P5" s="5" t="s">
        <v>39</v>
      </c>
      <c r="Q5" s="2">
        <v>45589</v>
      </c>
      <c r="R5" s="1" t="s">
        <v>48</v>
      </c>
      <c r="V5" s="45">
        <f>IF(
  OR(
    ISNUMBER(SEARCH("unable to locate acct", tblDocketedComments[[#This Row],[Docketed Consumer Comments]])),
    ISNUMBER(SEARCH("unknown", tblDocketedComments[[#This Row],[Docketed Consumer Comments]])),
    ISNUMBER(SEARCH("inactive", tblDocketedComments[[#This Row],[Docketed Consumer Comments]]))
  ),
  0,
  1
)</f>
        <v>1</v>
      </c>
    </row>
    <row r="6" spans="1:22" hidden="1">
      <c r="A6" s="2">
        <v>45798</v>
      </c>
      <c r="B6" s="1" t="s">
        <v>49</v>
      </c>
      <c r="C6" s="1" t="s">
        <v>50</v>
      </c>
      <c r="D6" s="1" t="s">
        <v>51</v>
      </c>
      <c r="E6" s="1">
        <v>85554</v>
      </c>
      <c r="F6" s="3" t="s">
        <v>31</v>
      </c>
      <c r="G6" s="1" t="s">
        <v>44</v>
      </c>
      <c r="H6" s="4" t="s">
        <v>6542</v>
      </c>
      <c r="I6" s="5" t="s">
        <v>36</v>
      </c>
      <c r="J6" s="5" t="s">
        <v>37</v>
      </c>
      <c r="K6" s="5" t="s">
        <v>37</v>
      </c>
      <c r="L6" s="5" t="s">
        <v>38</v>
      </c>
      <c r="M6" s="5" t="s">
        <v>37</v>
      </c>
      <c r="N6" s="5" t="s">
        <v>37</v>
      </c>
      <c r="O6" s="5" t="s">
        <v>38</v>
      </c>
      <c r="P6" s="5" t="s">
        <v>39</v>
      </c>
      <c r="Q6" s="2">
        <v>45589</v>
      </c>
      <c r="V6" s="45">
        <f>IF(
  OR(
    ISNUMBER(SEARCH("unable to locate acct", tblDocketedComments[[#This Row],[Docketed Consumer Comments]])),
    ISNUMBER(SEARCH("unknown", tblDocketedComments[[#This Row],[Docketed Consumer Comments]])),
    ISNUMBER(SEARCH("inactive", tblDocketedComments[[#This Row],[Docketed Consumer Comments]]))
  ),
  0,
  1
)</f>
        <v>1</v>
      </c>
    </row>
    <row r="7" spans="1:22" hidden="1">
      <c r="A7" s="2">
        <v>45799</v>
      </c>
      <c r="B7" s="1" t="s">
        <v>52</v>
      </c>
      <c r="C7" s="1" t="s">
        <v>53</v>
      </c>
      <c r="D7" s="1" t="s">
        <v>30</v>
      </c>
      <c r="E7" s="1" t="s">
        <v>30</v>
      </c>
      <c r="F7" s="3" t="s">
        <v>54</v>
      </c>
      <c r="G7" s="1" t="s">
        <v>55</v>
      </c>
      <c r="H7" s="4" t="s">
        <v>56</v>
      </c>
      <c r="I7" s="5" t="s">
        <v>57</v>
      </c>
      <c r="J7" s="5" t="s">
        <v>37</v>
      </c>
      <c r="K7" s="5" t="s">
        <v>37</v>
      </c>
      <c r="L7" s="7" t="s">
        <v>58</v>
      </c>
      <c r="M7" s="5" t="s">
        <v>37</v>
      </c>
      <c r="N7" s="5" t="s">
        <v>37</v>
      </c>
      <c r="O7" s="5" t="s">
        <v>38</v>
      </c>
      <c r="P7" s="2">
        <v>45964</v>
      </c>
      <c r="Q7" s="2">
        <v>45954</v>
      </c>
      <c r="R7" s="1" t="s">
        <v>59</v>
      </c>
      <c r="U7" s="1" t="s">
        <v>60</v>
      </c>
      <c r="V7" s="45">
        <f>IF(
  OR(
    ISNUMBER(SEARCH("unable to locate acct", tblDocketedComments[[#This Row],[Docketed Consumer Comments]])),
    ISNUMBER(SEARCH("unknown", tblDocketedComments[[#This Row],[Docketed Consumer Comments]])),
    ISNUMBER(SEARCH("inactive", tblDocketedComments[[#This Row],[Docketed Consumer Comments]]))
  ),
  0,
  1
)</f>
        <v>1</v>
      </c>
    </row>
    <row r="8" spans="1:22" hidden="1">
      <c r="A8" s="2">
        <v>45800</v>
      </c>
      <c r="B8" s="1" t="s">
        <v>61</v>
      </c>
      <c r="C8" s="1" t="s">
        <v>62</v>
      </c>
      <c r="D8" s="1" t="s">
        <v>63</v>
      </c>
      <c r="E8" s="1">
        <v>85009</v>
      </c>
      <c r="F8" s="3" t="s">
        <v>31</v>
      </c>
      <c r="G8" s="1" t="s">
        <v>64</v>
      </c>
      <c r="H8" s="4" t="s">
        <v>30</v>
      </c>
      <c r="U8" s="1" t="s">
        <v>65</v>
      </c>
      <c r="V8" s="45">
        <f>IF(
  OR(
    ISNUMBER(SEARCH("unable to locate acct", tblDocketedComments[[#This Row],[Docketed Consumer Comments]])),
    ISNUMBER(SEARCH("unknown", tblDocketedComments[[#This Row],[Docketed Consumer Comments]])),
    ISNUMBER(SEARCH("inactive", tblDocketedComments[[#This Row],[Docketed Consumer Comments]]))
  ),
  0,
  1
)</f>
        <v>1</v>
      </c>
    </row>
    <row r="9" spans="1:22" hidden="1">
      <c r="A9" s="2">
        <v>45804</v>
      </c>
      <c r="B9" s="1" t="s">
        <v>66</v>
      </c>
      <c r="C9" s="1" t="s">
        <v>67</v>
      </c>
      <c r="D9" s="1" t="s">
        <v>68</v>
      </c>
      <c r="E9" s="1">
        <v>85331</v>
      </c>
      <c r="F9" s="3" t="s">
        <v>31</v>
      </c>
      <c r="G9" s="1" t="s">
        <v>69</v>
      </c>
      <c r="H9" s="4" t="s">
        <v>6166</v>
      </c>
      <c r="I9" s="6" t="s">
        <v>36</v>
      </c>
      <c r="J9" s="5" t="s">
        <v>37</v>
      </c>
      <c r="K9" s="5" t="s">
        <v>37</v>
      </c>
      <c r="L9" s="5" t="s">
        <v>38</v>
      </c>
      <c r="M9" s="5" t="s">
        <v>37</v>
      </c>
      <c r="N9" s="5" t="s">
        <v>37</v>
      </c>
      <c r="O9" s="5" t="s">
        <v>38</v>
      </c>
      <c r="P9" s="5" t="s">
        <v>39</v>
      </c>
      <c r="Q9" s="2">
        <v>45954</v>
      </c>
      <c r="V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 spans="1:22" hidden="1">
      <c r="A10" s="2">
        <v>45805</v>
      </c>
      <c r="B10" s="1" t="s">
        <v>70</v>
      </c>
      <c r="C10" s="1" t="s">
        <v>71</v>
      </c>
      <c r="D10" s="1" t="s">
        <v>30</v>
      </c>
      <c r="E10" s="1" t="s">
        <v>30</v>
      </c>
      <c r="F10" s="3" t="s">
        <v>31</v>
      </c>
      <c r="G10" s="1" t="s">
        <v>72</v>
      </c>
      <c r="H10" s="4" t="s">
        <v>6167</v>
      </c>
      <c r="I10" s="5" t="s">
        <v>73</v>
      </c>
      <c r="J10" s="5" t="s">
        <v>37</v>
      </c>
      <c r="K10" s="5" t="s">
        <v>37</v>
      </c>
      <c r="L10" s="5" t="s">
        <v>38</v>
      </c>
      <c r="M10" s="5" t="s">
        <v>37</v>
      </c>
      <c r="N10" s="5" t="s">
        <v>37</v>
      </c>
      <c r="O10" s="5" t="s">
        <v>38</v>
      </c>
      <c r="P10" s="5" t="s">
        <v>39</v>
      </c>
      <c r="Q10" s="2">
        <v>45954</v>
      </c>
      <c r="V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 spans="1:22" hidden="1">
      <c r="A11" s="2">
        <v>45812</v>
      </c>
      <c r="B11" s="1" t="s">
        <v>74</v>
      </c>
      <c r="C11" s="1" t="s">
        <v>75</v>
      </c>
      <c r="D11" s="1" t="s">
        <v>30</v>
      </c>
      <c r="E11" s="1" t="s">
        <v>30</v>
      </c>
      <c r="F11" s="3" t="s">
        <v>31</v>
      </c>
      <c r="G11" s="1" t="s">
        <v>76</v>
      </c>
      <c r="H11" s="4" t="s">
        <v>27</v>
      </c>
      <c r="U11" s="1" t="s">
        <v>77</v>
      </c>
      <c r="V11" s="53">
        <f>IF(
  OR(
    ISNUMBER(SEARCH("unable to locate acct", tblDocketedComments[[#This Row],[Docketed Consumer Comments]])),
    ISNUMBER(SEARCH("unknown", tblDocketedComments[[#This Row],[Docketed Consumer Comments]])),
    ISNUMBER(SEARCH("inactive", tblDocketedComments[[#This Row],[Docketed Consumer Comments]]))
  ),
  0,
  1
)</f>
        <v>1</v>
      </c>
    </row>
    <row r="12" spans="1:22" hidden="1">
      <c r="A12" s="2">
        <v>45812</v>
      </c>
      <c r="B12" s="1" t="s">
        <v>78</v>
      </c>
      <c r="C12" s="1" t="s">
        <v>79</v>
      </c>
      <c r="D12" s="1" t="s">
        <v>30</v>
      </c>
      <c r="E12" s="1" t="s">
        <v>30</v>
      </c>
      <c r="F12" s="3" t="s">
        <v>31</v>
      </c>
      <c r="G12" s="1" t="s">
        <v>76</v>
      </c>
      <c r="H12" s="4" t="s">
        <v>80</v>
      </c>
      <c r="I12" s="5" t="s">
        <v>81</v>
      </c>
      <c r="J12" s="5" t="s">
        <v>37</v>
      </c>
      <c r="K12" s="5" t="s">
        <v>37</v>
      </c>
      <c r="L12" s="5" t="s">
        <v>82</v>
      </c>
      <c r="M12" s="5" t="s">
        <v>37</v>
      </c>
      <c r="N12" s="5" t="s">
        <v>37</v>
      </c>
      <c r="O12" s="5" t="s">
        <v>38</v>
      </c>
      <c r="P12" s="5" t="s">
        <v>39</v>
      </c>
      <c r="Q12" s="2">
        <v>45957</v>
      </c>
      <c r="V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 spans="1:22" hidden="1">
      <c r="A13" s="2">
        <v>45813</v>
      </c>
      <c r="B13" s="1" t="s">
        <v>83</v>
      </c>
      <c r="C13" s="1" t="s">
        <v>84</v>
      </c>
      <c r="D13" s="1" t="s">
        <v>85</v>
      </c>
      <c r="E13" s="1" t="s">
        <v>30</v>
      </c>
      <c r="F13" s="3" t="s">
        <v>31</v>
      </c>
      <c r="G13" s="1" t="s">
        <v>86</v>
      </c>
      <c r="H13" s="4" t="s">
        <v>6538</v>
      </c>
      <c r="I13" s="6" t="s">
        <v>46</v>
      </c>
      <c r="J13" s="5" t="s">
        <v>37</v>
      </c>
      <c r="K13" s="5" t="s">
        <v>37</v>
      </c>
      <c r="L13" s="5" t="s">
        <v>38</v>
      </c>
      <c r="M13" s="5" t="s">
        <v>37</v>
      </c>
      <c r="N13" s="5" t="s">
        <v>37</v>
      </c>
      <c r="O13" s="5" t="s">
        <v>38</v>
      </c>
      <c r="P13" s="5" t="s">
        <v>39</v>
      </c>
      <c r="Q13" s="2">
        <v>45957</v>
      </c>
      <c r="V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4" spans="1:22" hidden="1">
      <c r="A14" s="2">
        <v>45813</v>
      </c>
      <c r="B14" s="1" t="s">
        <v>87</v>
      </c>
      <c r="C14" s="1" t="s">
        <v>88</v>
      </c>
      <c r="D14" s="1" t="s">
        <v>89</v>
      </c>
      <c r="E14" s="1">
        <v>86336</v>
      </c>
      <c r="F14" s="3" t="s">
        <v>31</v>
      </c>
      <c r="G14" s="1" t="s">
        <v>86</v>
      </c>
      <c r="H14" s="4" t="s">
        <v>90</v>
      </c>
      <c r="J14" s="5" t="s">
        <v>37</v>
      </c>
      <c r="V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5" spans="1:22" hidden="1">
      <c r="A15" s="2">
        <v>45814</v>
      </c>
      <c r="B15" s="1" t="s">
        <v>91</v>
      </c>
      <c r="C15" s="1" t="s">
        <v>92</v>
      </c>
      <c r="D15" s="1" t="s">
        <v>93</v>
      </c>
      <c r="E15" s="1">
        <v>85351</v>
      </c>
      <c r="F15" s="3" t="s">
        <v>31</v>
      </c>
      <c r="G15" s="1" t="s">
        <v>94</v>
      </c>
      <c r="H15" s="4" t="s">
        <v>2986</v>
      </c>
      <c r="I15" s="5" t="s">
        <v>73</v>
      </c>
      <c r="J15" s="5" t="s">
        <v>37</v>
      </c>
      <c r="K15" s="5" t="s">
        <v>37</v>
      </c>
      <c r="L15" s="5" t="s">
        <v>38</v>
      </c>
      <c r="M15" s="5" t="s">
        <v>37</v>
      </c>
      <c r="N15" s="5" t="s">
        <v>37</v>
      </c>
      <c r="O15" s="5" t="s">
        <v>38</v>
      </c>
      <c r="P15" s="5" t="s">
        <v>39</v>
      </c>
      <c r="Q15" s="2">
        <v>45957</v>
      </c>
      <c r="V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6" spans="1:22" hidden="1">
      <c r="A16" s="2">
        <v>45821</v>
      </c>
      <c r="B16" s="1" t="s">
        <v>95</v>
      </c>
      <c r="C16" s="1" t="s">
        <v>96</v>
      </c>
      <c r="D16" s="1" t="s">
        <v>30</v>
      </c>
      <c r="E16" s="1" t="s">
        <v>30</v>
      </c>
      <c r="F16" s="3" t="s">
        <v>31</v>
      </c>
      <c r="G16" s="1" t="s">
        <v>97</v>
      </c>
      <c r="H16" s="4" t="s">
        <v>98</v>
      </c>
      <c r="I16" s="6" t="s">
        <v>46</v>
      </c>
      <c r="J16" s="5" t="s">
        <v>37</v>
      </c>
      <c r="K16" s="5" t="s">
        <v>37</v>
      </c>
      <c r="L16" s="7" t="s">
        <v>99</v>
      </c>
      <c r="M16" s="5" t="s">
        <v>37</v>
      </c>
      <c r="N16" s="5" t="s">
        <v>37</v>
      </c>
      <c r="O16" s="5" t="s">
        <v>38</v>
      </c>
      <c r="P16" s="5" t="s">
        <v>39</v>
      </c>
      <c r="Q16" s="2">
        <v>45957</v>
      </c>
      <c r="R16" s="1" t="s">
        <v>100</v>
      </c>
      <c r="V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7" spans="1:22" ht="10.35" hidden="1" customHeight="1">
      <c r="A17" s="2">
        <v>45824</v>
      </c>
      <c r="B17" s="1" t="s">
        <v>101</v>
      </c>
      <c r="C17" s="1" t="s">
        <v>102</v>
      </c>
      <c r="D17" s="1" t="s">
        <v>30</v>
      </c>
      <c r="E17" s="1" t="s">
        <v>30</v>
      </c>
      <c r="F17" s="3" t="s">
        <v>31</v>
      </c>
      <c r="G17" s="3" t="s">
        <v>103</v>
      </c>
      <c r="H17" s="4" t="s">
        <v>27</v>
      </c>
      <c r="I17" s="6"/>
      <c r="U17" s="1" t="s">
        <v>104</v>
      </c>
      <c r="V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8" spans="1:22" hidden="1">
      <c r="A18" s="2">
        <v>45824</v>
      </c>
      <c r="B18" s="1" t="s">
        <v>105</v>
      </c>
      <c r="C18" s="1" t="s">
        <v>106</v>
      </c>
      <c r="D18" s="1" t="s">
        <v>30</v>
      </c>
      <c r="E18" s="1" t="s">
        <v>30</v>
      </c>
      <c r="F18" s="3" t="s">
        <v>31</v>
      </c>
      <c r="G18" s="1" t="s">
        <v>107</v>
      </c>
      <c r="H18" s="4" t="s">
        <v>27</v>
      </c>
      <c r="I18" s="6"/>
      <c r="V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9" spans="1:22" hidden="1">
      <c r="A19" s="2">
        <v>45824</v>
      </c>
      <c r="B19" s="1" t="s">
        <v>28</v>
      </c>
      <c r="C19" s="1" t="s">
        <v>29</v>
      </c>
      <c r="D19" s="1" t="s">
        <v>30</v>
      </c>
      <c r="E19" s="1" t="s">
        <v>30</v>
      </c>
      <c r="F19" s="3" t="s">
        <v>31</v>
      </c>
      <c r="G19" s="1" t="s">
        <v>108</v>
      </c>
      <c r="H19" s="4" t="s">
        <v>27</v>
      </c>
      <c r="I19" s="6"/>
      <c r="U19" s="1" t="s">
        <v>109</v>
      </c>
      <c r="V19" s="45">
        <f>IF(
  OR(
    ISNUMBER(SEARCH("unable to locate acct", tblDocketedComments[[#This Row],[Docketed Consumer Comments]])),
    ISNUMBER(SEARCH("unknown", tblDocketedComments[[#This Row],[Docketed Consumer Comments]])),
    ISNUMBER(SEARCH("inactive", tblDocketedComments[[#This Row],[Docketed Consumer Comments]]))
  ),
  0,
  1
)</f>
        <v>1</v>
      </c>
    </row>
    <row r="20" spans="1:22" hidden="1">
      <c r="A20" s="2">
        <v>45825</v>
      </c>
      <c r="B20" s="1" t="s">
        <v>110</v>
      </c>
      <c r="C20" s="1" t="s">
        <v>111</v>
      </c>
      <c r="D20" s="1" t="s">
        <v>112</v>
      </c>
      <c r="E20" s="1">
        <v>85379</v>
      </c>
      <c r="F20" s="3" t="s">
        <v>31</v>
      </c>
      <c r="G20" s="1" t="s">
        <v>113</v>
      </c>
      <c r="H20" s="4" t="s">
        <v>27</v>
      </c>
      <c r="I20" s="6"/>
      <c r="V20" s="45">
        <f>IF(
  OR(
    ISNUMBER(SEARCH("unable to locate acct", tblDocketedComments[[#This Row],[Docketed Consumer Comments]])),
    ISNUMBER(SEARCH("unknown", tblDocketedComments[[#This Row],[Docketed Consumer Comments]])),
    ISNUMBER(SEARCH("inactive", tblDocketedComments[[#This Row],[Docketed Consumer Comments]]))
  ),
  0,
  1
)</f>
        <v>1</v>
      </c>
    </row>
    <row r="21" spans="1:22" hidden="1">
      <c r="A21" s="2">
        <v>45825</v>
      </c>
      <c r="B21" s="1" t="s">
        <v>114</v>
      </c>
      <c r="C21" s="1" t="s">
        <v>115</v>
      </c>
      <c r="D21" s="1" t="s">
        <v>112</v>
      </c>
      <c r="E21" s="1">
        <v>85387</v>
      </c>
      <c r="F21" s="3" t="s">
        <v>31</v>
      </c>
      <c r="G21" s="1" t="s">
        <v>113</v>
      </c>
      <c r="H21" s="4" t="s">
        <v>27</v>
      </c>
      <c r="I21" s="6"/>
      <c r="V21" s="45">
        <f>IF(
  OR(
    ISNUMBER(SEARCH("unable to locate acct", tblDocketedComments[[#This Row],[Docketed Consumer Comments]])),
    ISNUMBER(SEARCH("unknown", tblDocketedComments[[#This Row],[Docketed Consumer Comments]])),
    ISNUMBER(SEARCH("inactive", tblDocketedComments[[#This Row],[Docketed Consumer Comments]]))
  ),
  0,
  1
)</f>
        <v>1</v>
      </c>
    </row>
    <row r="22" spans="1:22" hidden="1">
      <c r="A22" s="2">
        <v>45825</v>
      </c>
      <c r="B22" s="1" t="s">
        <v>116</v>
      </c>
      <c r="C22" s="1" t="s">
        <v>117</v>
      </c>
      <c r="D22" s="1" t="s">
        <v>24</v>
      </c>
      <c r="E22" s="1">
        <v>85308</v>
      </c>
      <c r="F22" s="3" t="s">
        <v>31</v>
      </c>
      <c r="G22" s="1" t="s">
        <v>113</v>
      </c>
      <c r="H22" s="4" t="s">
        <v>118</v>
      </c>
      <c r="I22" s="6" t="s">
        <v>36</v>
      </c>
      <c r="J22" s="5" t="s">
        <v>37</v>
      </c>
      <c r="K22" s="5" t="s">
        <v>37</v>
      </c>
      <c r="L22" s="4" t="s">
        <v>38</v>
      </c>
      <c r="M22" s="4" t="s">
        <v>37</v>
      </c>
      <c r="N22" s="4" t="s">
        <v>37</v>
      </c>
      <c r="O22" s="5" t="s">
        <v>38</v>
      </c>
      <c r="P22" s="5" t="s">
        <v>39</v>
      </c>
      <c r="Q22" s="2">
        <v>45957</v>
      </c>
      <c r="V22" s="45">
        <f>IF(
  OR(
    ISNUMBER(SEARCH("unable to locate acct", tblDocketedComments[[#This Row],[Docketed Consumer Comments]])),
    ISNUMBER(SEARCH("unknown", tblDocketedComments[[#This Row],[Docketed Consumer Comments]])),
    ISNUMBER(SEARCH("inactive", tblDocketedComments[[#This Row],[Docketed Consumer Comments]]))
  ),
  0,
  1
)</f>
        <v>1</v>
      </c>
    </row>
    <row r="23" spans="1:22" hidden="1">
      <c r="A23" s="2">
        <v>45826</v>
      </c>
      <c r="B23" s="1" t="s">
        <v>119</v>
      </c>
      <c r="C23" s="1" t="s">
        <v>120</v>
      </c>
      <c r="D23" s="1" t="s">
        <v>63</v>
      </c>
      <c r="E23" s="1">
        <v>85027</v>
      </c>
      <c r="F23" s="3" t="s">
        <v>31</v>
      </c>
      <c r="G23" s="1" t="s">
        <v>121</v>
      </c>
      <c r="H23" s="4" t="s">
        <v>27</v>
      </c>
      <c r="U23" s="1" t="s">
        <v>122</v>
      </c>
      <c r="V23" s="45">
        <f>IF(
  OR(
    ISNUMBER(SEARCH("unable to locate acct", tblDocketedComments[[#This Row],[Docketed Consumer Comments]])),
    ISNUMBER(SEARCH("unknown", tblDocketedComments[[#This Row],[Docketed Consumer Comments]])),
    ISNUMBER(SEARCH("inactive", tblDocketedComments[[#This Row],[Docketed Consumer Comments]]))
  ),
  0,
  1
)</f>
        <v>1</v>
      </c>
    </row>
    <row r="24" spans="1:22" hidden="1">
      <c r="A24" s="2">
        <v>45826</v>
      </c>
      <c r="B24" s="1" t="s">
        <v>123</v>
      </c>
      <c r="C24" s="1" t="s">
        <v>124</v>
      </c>
      <c r="D24" s="1" t="s">
        <v>125</v>
      </c>
      <c r="E24" s="1">
        <v>85254</v>
      </c>
      <c r="F24" s="3" t="s">
        <v>31</v>
      </c>
      <c r="G24" s="1" t="s">
        <v>121</v>
      </c>
      <c r="H24" s="4" t="s">
        <v>6168</v>
      </c>
      <c r="I24" s="5" t="s">
        <v>126</v>
      </c>
      <c r="J24" s="5" t="s">
        <v>37</v>
      </c>
      <c r="K24" s="5" t="s">
        <v>37</v>
      </c>
      <c r="L24" s="5" t="s">
        <v>38</v>
      </c>
      <c r="M24" s="5" t="s">
        <v>37</v>
      </c>
      <c r="N24" s="5" t="s">
        <v>37</v>
      </c>
      <c r="O24" s="5" t="s">
        <v>38</v>
      </c>
      <c r="P24" s="5" t="s">
        <v>39</v>
      </c>
      <c r="Q24" s="2">
        <v>45957</v>
      </c>
      <c r="V24" s="45">
        <f>IF(
  OR(
    ISNUMBER(SEARCH("unable to locate acct", tblDocketedComments[[#This Row],[Docketed Consumer Comments]])),
    ISNUMBER(SEARCH("unknown", tblDocketedComments[[#This Row],[Docketed Consumer Comments]])),
    ISNUMBER(SEARCH("inactive", tblDocketedComments[[#This Row],[Docketed Consumer Comments]]))
  ),
  0,
  1
)</f>
        <v>1</v>
      </c>
    </row>
    <row r="25" spans="1:22" hidden="1">
      <c r="A25" s="2">
        <v>45826</v>
      </c>
      <c r="B25" s="1" t="s">
        <v>127</v>
      </c>
      <c r="C25" s="1" t="s">
        <v>128</v>
      </c>
      <c r="D25" s="1" t="s">
        <v>129</v>
      </c>
      <c r="E25" s="1">
        <v>85233</v>
      </c>
      <c r="F25" s="3" t="s">
        <v>31</v>
      </c>
      <c r="G25" s="1" t="s">
        <v>121</v>
      </c>
      <c r="H25" s="4" t="s">
        <v>6543</v>
      </c>
      <c r="I25" s="5" t="s">
        <v>36</v>
      </c>
      <c r="J25" s="5" t="s">
        <v>37</v>
      </c>
      <c r="K25" s="5" t="s">
        <v>37</v>
      </c>
      <c r="L25" s="5" t="s">
        <v>38</v>
      </c>
      <c r="M25" s="5" t="s">
        <v>37</v>
      </c>
      <c r="N25" s="5" t="s">
        <v>37</v>
      </c>
      <c r="O25" s="5" t="s">
        <v>38</v>
      </c>
      <c r="P25" s="5" t="s">
        <v>39</v>
      </c>
      <c r="Q25" s="2">
        <v>45957</v>
      </c>
      <c r="V25" s="45">
        <f>IF(
  OR(
    ISNUMBER(SEARCH("unable to locate acct", tblDocketedComments[[#This Row],[Docketed Consumer Comments]])),
    ISNUMBER(SEARCH("unknown", tblDocketedComments[[#This Row],[Docketed Consumer Comments]])),
    ISNUMBER(SEARCH("inactive", tblDocketedComments[[#This Row],[Docketed Consumer Comments]]))
  ),
  0,
  1
)</f>
        <v>1</v>
      </c>
    </row>
    <row r="26" spans="1:22" hidden="1">
      <c r="A26" s="2">
        <v>45826</v>
      </c>
      <c r="B26" s="1" t="s">
        <v>130</v>
      </c>
      <c r="C26" s="1" t="s">
        <v>131</v>
      </c>
      <c r="D26" s="1" t="s">
        <v>112</v>
      </c>
      <c r="E26" s="1">
        <v>85388</v>
      </c>
      <c r="F26" s="3" t="s">
        <v>31</v>
      </c>
      <c r="G26" s="1" t="s">
        <v>121</v>
      </c>
      <c r="H26" s="4" t="s">
        <v>6169</v>
      </c>
      <c r="I26" s="5" t="s">
        <v>36</v>
      </c>
      <c r="J26" s="5" t="s">
        <v>37</v>
      </c>
      <c r="K26" s="5" t="s">
        <v>37</v>
      </c>
      <c r="L26" s="5" t="s">
        <v>38</v>
      </c>
      <c r="M26" s="5" t="s">
        <v>37</v>
      </c>
      <c r="N26" s="5" t="s">
        <v>37</v>
      </c>
      <c r="O26" s="5" t="s">
        <v>38</v>
      </c>
      <c r="P26" s="5" t="s">
        <v>39</v>
      </c>
      <c r="Q26" s="2">
        <v>45957</v>
      </c>
      <c r="V26" s="45">
        <f>IF(
  OR(
    ISNUMBER(SEARCH("unable to locate acct", tblDocketedComments[[#This Row],[Docketed Consumer Comments]])),
    ISNUMBER(SEARCH("unknown", tblDocketedComments[[#This Row],[Docketed Consumer Comments]])),
    ISNUMBER(SEARCH("inactive", tblDocketedComments[[#This Row],[Docketed Consumer Comments]]))
  ),
  0,
  1
)</f>
        <v>1</v>
      </c>
    </row>
    <row r="27" spans="1:22" hidden="1">
      <c r="A27" s="2">
        <v>45826</v>
      </c>
      <c r="B27" s="1" t="s">
        <v>132</v>
      </c>
      <c r="C27" s="1" t="s">
        <v>133</v>
      </c>
      <c r="D27" s="1" t="s">
        <v>125</v>
      </c>
      <c r="E27" s="1">
        <v>85266</v>
      </c>
      <c r="F27" s="3" t="s">
        <v>31</v>
      </c>
      <c r="G27" s="1" t="s">
        <v>121</v>
      </c>
      <c r="H27" s="4" t="s">
        <v>6170</v>
      </c>
      <c r="I27" s="5" t="s">
        <v>36</v>
      </c>
      <c r="J27" s="5" t="s">
        <v>37</v>
      </c>
      <c r="K27" s="5" t="s">
        <v>37</v>
      </c>
      <c r="L27" s="5" t="s">
        <v>38</v>
      </c>
      <c r="M27" s="5" t="s">
        <v>37</v>
      </c>
      <c r="N27" s="5" t="s">
        <v>37</v>
      </c>
      <c r="O27" s="5" t="s">
        <v>38</v>
      </c>
      <c r="P27" s="5" t="s">
        <v>39</v>
      </c>
      <c r="Q27" s="2">
        <v>45957</v>
      </c>
      <c r="V27" s="45">
        <f>IF(
  OR(
    ISNUMBER(SEARCH("unable to locate acct", tblDocketedComments[[#This Row],[Docketed Consumer Comments]])),
    ISNUMBER(SEARCH("unknown", tblDocketedComments[[#This Row],[Docketed Consumer Comments]])),
    ISNUMBER(SEARCH("inactive", tblDocketedComments[[#This Row],[Docketed Consumer Comments]]))
  ),
  0,
  1
)</f>
        <v>1</v>
      </c>
    </row>
    <row r="28" spans="1:22" hidden="1">
      <c r="A28" s="2">
        <v>45826</v>
      </c>
      <c r="B28" s="1" t="s">
        <v>134</v>
      </c>
      <c r="C28" s="1" t="s">
        <v>135</v>
      </c>
      <c r="D28" s="1" t="s">
        <v>136</v>
      </c>
      <c r="E28" s="1" t="s">
        <v>30</v>
      </c>
      <c r="F28" s="3" t="s">
        <v>31</v>
      </c>
      <c r="G28" s="1" t="s">
        <v>137</v>
      </c>
      <c r="H28" s="4" t="s">
        <v>27</v>
      </c>
      <c r="I28" s="6"/>
      <c r="U28" s="1" t="s">
        <v>77</v>
      </c>
      <c r="V28" s="45">
        <f>IF(
  OR(
    ISNUMBER(SEARCH("unable to locate acct", tblDocketedComments[[#This Row],[Docketed Consumer Comments]])),
    ISNUMBER(SEARCH("unknown", tblDocketedComments[[#This Row],[Docketed Consumer Comments]])),
    ISNUMBER(SEARCH("inactive", tblDocketedComments[[#This Row],[Docketed Consumer Comments]]))
  ),
  0,
  1
)</f>
        <v>1</v>
      </c>
    </row>
    <row r="29" spans="1:22" hidden="1">
      <c r="A29" s="2">
        <v>45826</v>
      </c>
      <c r="B29" s="1" t="s">
        <v>138</v>
      </c>
      <c r="C29" s="1" t="s">
        <v>139</v>
      </c>
      <c r="D29" s="1" t="s">
        <v>125</v>
      </c>
      <c r="E29" s="1">
        <v>85254</v>
      </c>
      <c r="F29" s="3" t="s">
        <v>31</v>
      </c>
      <c r="G29" s="1" t="s">
        <v>137</v>
      </c>
      <c r="H29" s="4" t="s">
        <v>140</v>
      </c>
      <c r="I29" s="5" t="s">
        <v>57</v>
      </c>
      <c r="J29" s="5" t="s">
        <v>141</v>
      </c>
      <c r="K29" s="5" t="s">
        <v>37</v>
      </c>
      <c r="L29" s="5" t="s">
        <v>142</v>
      </c>
      <c r="M29" s="5" t="s">
        <v>37</v>
      </c>
      <c r="N29" s="5" t="s">
        <v>37</v>
      </c>
      <c r="O29" s="5" t="s">
        <v>38</v>
      </c>
      <c r="P29" s="5" t="s">
        <v>39</v>
      </c>
      <c r="Q29" s="2">
        <v>45957</v>
      </c>
      <c r="U29" s="1" t="s">
        <v>143</v>
      </c>
      <c r="V29" s="45">
        <f>IF(
  OR(
    ISNUMBER(SEARCH("unable to locate acct", tblDocketedComments[[#This Row],[Docketed Consumer Comments]])),
    ISNUMBER(SEARCH("unknown", tblDocketedComments[[#This Row],[Docketed Consumer Comments]])),
    ISNUMBER(SEARCH("inactive", tblDocketedComments[[#This Row],[Docketed Consumer Comments]]))
  ),
  0,
  1
)</f>
        <v>1</v>
      </c>
    </row>
    <row r="30" spans="1:22" hidden="1">
      <c r="A30" s="2">
        <v>45826</v>
      </c>
      <c r="B30" s="1" t="s">
        <v>144</v>
      </c>
      <c r="C30" s="1" t="s">
        <v>145</v>
      </c>
      <c r="D30" s="1" t="s">
        <v>63</v>
      </c>
      <c r="E30" s="1">
        <v>85029</v>
      </c>
      <c r="F30" s="3" t="s">
        <v>31</v>
      </c>
      <c r="G30" s="1" t="s">
        <v>137</v>
      </c>
      <c r="H30" s="4" t="s">
        <v>146</v>
      </c>
      <c r="I30" s="5" t="s">
        <v>36</v>
      </c>
      <c r="J30" s="5" t="s">
        <v>37</v>
      </c>
      <c r="K30" s="5" t="s">
        <v>37</v>
      </c>
      <c r="L30" s="7" t="s">
        <v>147</v>
      </c>
      <c r="M30" s="5" t="s">
        <v>37</v>
      </c>
      <c r="N30" s="5" t="s">
        <v>37</v>
      </c>
      <c r="O30" s="5" t="s">
        <v>38</v>
      </c>
      <c r="P30" s="2">
        <v>45964</v>
      </c>
      <c r="Q30" s="2">
        <v>45957</v>
      </c>
      <c r="R30" s="1" t="s">
        <v>148</v>
      </c>
      <c r="U30" s="1" t="s">
        <v>149</v>
      </c>
      <c r="V30" s="45">
        <f>IF(
  OR(
    ISNUMBER(SEARCH("unable to locate acct", tblDocketedComments[[#This Row],[Docketed Consumer Comments]])),
    ISNUMBER(SEARCH("unknown", tblDocketedComments[[#This Row],[Docketed Consumer Comments]])),
    ISNUMBER(SEARCH("inactive", tblDocketedComments[[#This Row],[Docketed Consumer Comments]]))
  ),
  0,
  1
)</f>
        <v>1</v>
      </c>
    </row>
    <row r="31" spans="1:22" hidden="1">
      <c r="A31" s="2">
        <v>45826</v>
      </c>
      <c r="B31" s="1" t="s">
        <v>150</v>
      </c>
      <c r="C31" s="1" t="s">
        <v>133</v>
      </c>
      <c r="D31" s="1" t="s">
        <v>30</v>
      </c>
      <c r="E31" s="1" t="s">
        <v>30</v>
      </c>
      <c r="F31" s="3" t="s">
        <v>31</v>
      </c>
      <c r="G31" s="1" t="s">
        <v>151</v>
      </c>
      <c r="H31" s="4" t="s">
        <v>27</v>
      </c>
      <c r="I31" s="6"/>
      <c r="U31" s="1" t="s">
        <v>77</v>
      </c>
      <c r="V31" s="45">
        <f>IF(
  OR(
    ISNUMBER(SEARCH("unable to locate acct", tblDocketedComments[[#This Row],[Docketed Consumer Comments]])),
    ISNUMBER(SEARCH("unknown", tblDocketedComments[[#This Row],[Docketed Consumer Comments]])),
    ISNUMBER(SEARCH("inactive", tblDocketedComments[[#This Row],[Docketed Consumer Comments]]))
  ),
  0,
  1
)</f>
        <v>1</v>
      </c>
    </row>
    <row r="32" spans="1:22" hidden="1">
      <c r="A32" s="2">
        <v>45826</v>
      </c>
      <c r="B32" s="1" t="s">
        <v>152</v>
      </c>
      <c r="C32" s="1" t="s">
        <v>153</v>
      </c>
      <c r="D32" s="1" t="s">
        <v>30</v>
      </c>
      <c r="E32" s="1" t="s">
        <v>30</v>
      </c>
      <c r="F32" s="3" t="s">
        <v>31</v>
      </c>
      <c r="G32" s="1" t="s">
        <v>151</v>
      </c>
      <c r="H32" s="4" t="s">
        <v>154</v>
      </c>
      <c r="I32" s="5" t="s">
        <v>73</v>
      </c>
      <c r="J32" s="5" t="s">
        <v>37</v>
      </c>
      <c r="K32" s="5" t="s">
        <v>37</v>
      </c>
      <c r="L32" s="4" t="s">
        <v>38</v>
      </c>
      <c r="M32" s="4" t="s">
        <v>37</v>
      </c>
      <c r="N32" s="4" t="s">
        <v>37</v>
      </c>
      <c r="O32" s="5" t="s">
        <v>38</v>
      </c>
      <c r="P32" s="5" t="s">
        <v>39</v>
      </c>
      <c r="Q32" s="2">
        <v>45957</v>
      </c>
      <c r="V32" s="45">
        <f>IF(
  OR(
    ISNUMBER(SEARCH("unable to locate acct", tblDocketedComments[[#This Row],[Docketed Consumer Comments]])),
    ISNUMBER(SEARCH("unknown", tblDocketedComments[[#This Row],[Docketed Consumer Comments]])),
    ISNUMBER(SEARCH("inactive", tblDocketedComments[[#This Row],[Docketed Consumer Comments]]))
  ),
  0,
  1
)</f>
        <v>1</v>
      </c>
    </row>
    <row r="33" spans="1:22" hidden="1">
      <c r="A33" s="2">
        <v>45826</v>
      </c>
      <c r="B33" s="1" t="s">
        <v>155</v>
      </c>
      <c r="C33" s="1" t="s">
        <v>156</v>
      </c>
      <c r="D33" s="1" t="s">
        <v>30</v>
      </c>
      <c r="E33" s="1" t="s">
        <v>30</v>
      </c>
      <c r="F33" s="3" t="s">
        <v>31</v>
      </c>
      <c r="G33" s="1" t="s">
        <v>151</v>
      </c>
      <c r="H33" s="4" t="s">
        <v>157</v>
      </c>
      <c r="I33" s="6" t="s">
        <v>36</v>
      </c>
      <c r="J33" s="5" t="s">
        <v>37</v>
      </c>
      <c r="K33" s="5" t="s">
        <v>37</v>
      </c>
      <c r="L33" s="4" t="s">
        <v>38</v>
      </c>
      <c r="M33" s="4" t="s">
        <v>37</v>
      </c>
      <c r="N33" s="4" t="s">
        <v>37</v>
      </c>
      <c r="O33" s="5" t="s">
        <v>38</v>
      </c>
      <c r="P33" s="5" t="s">
        <v>39</v>
      </c>
      <c r="Q33" s="2">
        <v>45957</v>
      </c>
      <c r="R33" s="1" t="s">
        <v>158</v>
      </c>
      <c r="U33" s="1" t="s">
        <v>159</v>
      </c>
      <c r="V33" s="45">
        <f>IF(
  OR(
    ISNUMBER(SEARCH("unable to locate acct", tblDocketedComments[[#This Row],[Docketed Consumer Comments]])),
    ISNUMBER(SEARCH("unknown", tblDocketedComments[[#This Row],[Docketed Consumer Comments]])),
    ISNUMBER(SEARCH("inactive", tblDocketedComments[[#This Row],[Docketed Consumer Comments]]))
  ),
  0,
  1
)</f>
        <v>1</v>
      </c>
    </row>
    <row r="34" spans="1:22" hidden="1">
      <c r="A34" s="2">
        <v>45826</v>
      </c>
      <c r="B34" s="1" t="s">
        <v>160</v>
      </c>
      <c r="C34" s="1" t="s">
        <v>117</v>
      </c>
      <c r="D34" s="1" t="s">
        <v>24</v>
      </c>
      <c r="E34" s="1">
        <v>85310</v>
      </c>
      <c r="F34" s="3" t="s">
        <v>31</v>
      </c>
      <c r="G34" s="1" t="s">
        <v>151</v>
      </c>
      <c r="H34" s="4" t="s">
        <v>27</v>
      </c>
      <c r="I34" s="6"/>
      <c r="U34" s="1" t="s">
        <v>77</v>
      </c>
      <c r="V34" s="45">
        <f>IF(
  OR(
    ISNUMBER(SEARCH("unable to locate acct", tblDocketedComments[[#This Row],[Docketed Consumer Comments]])),
    ISNUMBER(SEARCH("unknown", tblDocketedComments[[#This Row],[Docketed Consumer Comments]])),
    ISNUMBER(SEARCH("inactive", tblDocketedComments[[#This Row],[Docketed Consumer Comments]]))
  ),
  0,
  1
)</f>
        <v>1</v>
      </c>
    </row>
    <row r="35" spans="1:22" hidden="1">
      <c r="A35" s="2">
        <v>45826</v>
      </c>
      <c r="B35" s="1" t="s">
        <v>161</v>
      </c>
      <c r="C35" s="1" t="s">
        <v>162</v>
      </c>
      <c r="D35" s="1" t="s">
        <v>68</v>
      </c>
      <c r="E35" s="1">
        <v>85331</v>
      </c>
      <c r="F35" s="3" t="s">
        <v>31</v>
      </c>
      <c r="G35" s="1" t="s">
        <v>151</v>
      </c>
      <c r="H35" s="4" t="s">
        <v>163</v>
      </c>
      <c r="I35" s="6" t="s">
        <v>164</v>
      </c>
      <c r="J35" s="5" t="s">
        <v>37</v>
      </c>
      <c r="K35" s="5" t="s">
        <v>37</v>
      </c>
      <c r="L35" s="9" t="s">
        <v>165</v>
      </c>
      <c r="M35" s="4" t="s">
        <v>37</v>
      </c>
      <c r="N35" s="4" t="s">
        <v>37</v>
      </c>
      <c r="O35" s="5" t="s">
        <v>38</v>
      </c>
      <c r="P35" s="2">
        <v>45964</v>
      </c>
      <c r="Q35" s="2">
        <v>45957</v>
      </c>
      <c r="R35" s="1" t="s">
        <v>148</v>
      </c>
      <c r="U35" s="1" t="s">
        <v>166</v>
      </c>
      <c r="V35" s="45">
        <f>IF(
  OR(
    ISNUMBER(SEARCH("unable to locate acct", tblDocketedComments[[#This Row],[Docketed Consumer Comments]])),
    ISNUMBER(SEARCH("unknown", tblDocketedComments[[#This Row],[Docketed Consumer Comments]])),
    ISNUMBER(SEARCH("inactive", tblDocketedComments[[#This Row],[Docketed Consumer Comments]]))
  ),
  0,
  1
)</f>
        <v>1</v>
      </c>
    </row>
    <row r="36" spans="1:22" hidden="1">
      <c r="A36" s="2">
        <v>45827</v>
      </c>
      <c r="B36" s="1" t="s">
        <v>167</v>
      </c>
      <c r="C36" s="1" t="s">
        <v>168</v>
      </c>
      <c r="D36" s="1" t="s">
        <v>169</v>
      </c>
      <c r="E36" s="1" t="s">
        <v>30</v>
      </c>
      <c r="F36" s="3" t="s">
        <v>170</v>
      </c>
      <c r="G36" s="1" t="s">
        <v>171</v>
      </c>
      <c r="H36" s="4" t="s">
        <v>27</v>
      </c>
      <c r="I36" s="6"/>
      <c r="L36" s="4"/>
      <c r="M36" s="4"/>
      <c r="N36" s="4"/>
      <c r="U36" s="1" t="s">
        <v>77</v>
      </c>
      <c r="V36" s="45">
        <f>IF(
  OR(
    ISNUMBER(SEARCH("unable to locate acct", tblDocketedComments[[#This Row],[Docketed Consumer Comments]])),
    ISNUMBER(SEARCH("unknown", tblDocketedComments[[#This Row],[Docketed Consumer Comments]])),
    ISNUMBER(SEARCH("inactive", tblDocketedComments[[#This Row],[Docketed Consumer Comments]]))
  ),
  0,
  1
)</f>
        <v>1</v>
      </c>
    </row>
    <row r="37" spans="1:22" hidden="1">
      <c r="A37" s="2">
        <v>45827</v>
      </c>
      <c r="B37" s="1" t="s">
        <v>172</v>
      </c>
      <c r="C37" s="1" t="s">
        <v>173</v>
      </c>
      <c r="D37" s="1" t="s">
        <v>174</v>
      </c>
      <c r="E37" s="1" t="s">
        <v>30</v>
      </c>
      <c r="F37" s="3" t="s">
        <v>31</v>
      </c>
      <c r="G37" s="1" t="s">
        <v>175</v>
      </c>
      <c r="H37" s="4" t="s">
        <v>27</v>
      </c>
      <c r="I37" s="6"/>
      <c r="L37" s="4"/>
      <c r="M37" s="4"/>
      <c r="N37" s="4"/>
      <c r="U37" s="1" t="s">
        <v>77</v>
      </c>
      <c r="V37" s="45">
        <f>IF(
  OR(
    ISNUMBER(SEARCH("unable to locate acct", tblDocketedComments[[#This Row],[Docketed Consumer Comments]])),
    ISNUMBER(SEARCH("unknown", tblDocketedComments[[#This Row],[Docketed Consumer Comments]])),
    ISNUMBER(SEARCH("inactive", tblDocketedComments[[#This Row],[Docketed Consumer Comments]]))
  ),
  0,
  1
)</f>
        <v>1</v>
      </c>
    </row>
    <row r="38" spans="1:22" hidden="1">
      <c r="A38" s="2">
        <v>45827</v>
      </c>
      <c r="B38" s="1" t="s">
        <v>176</v>
      </c>
      <c r="C38" s="1" t="s">
        <v>177</v>
      </c>
      <c r="D38" s="1" t="s">
        <v>30</v>
      </c>
      <c r="E38" s="1" t="s">
        <v>30</v>
      </c>
      <c r="F38" s="3" t="s">
        <v>31</v>
      </c>
      <c r="G38" s="1" t="s">
        <v>175</v>
      </c>
      <c r="H38" s="4" t="s">
        <v>27</v>
      </c>
      <c r="I38" s="6"/>
      <c r="L38" s="4"/>
      <c r="M38" s="4"/>
      <c r="N38" s="4"/>
      <c r="U38" s="1" t="s">
        <v>77</v>
      </c>
      <c r="V38" s="45">
        <f>IF(
  OR(
    ISNUMBER(SEARCH("unable to locate acct", tblDocketedComments[[#This Row],[Docketed Consumer Comments]])),
    ISNUMBER(SEARCH("unknown", tblDocketedComments[[#This Row],[Docketed Consumer Comments]])),
    ISNUMBER(SEARCH("inactive", tblDocketedComments[[#This Row],[Docketed Consumer Comments]]))
  ),
  0,
  1
)</f>
        <v>1</v>
      </c>
    </row>
    <row r="39" spans="1:22" hidden="1">
      <c r="A39" s="2">
        <v>45827</v>
      </c>
      <c r="B39" s="1" t="s">
        <v>178</v>
      </c>
      <c r="C39" s="1" t="s">
        <v>179</v>
      </c>
      <c r="D39" s="1" t="s">
        <v>30</v>
      </c>
      <c r="E39" s="1" t="s">
        <v>30</v>
      </c>
      <c r="F39" s="3" t="s">
        <v>31</v>
      </c>
      <c r="G39" s="1" t="s">
        <v>175</v>
      </c>
      <c r="H39" s="4" t="s">
        <v>6171</v>
      </c>
      <c r="I39" s="6" t="s">
        <v>36</v>
      </c>
      <c r="J39" s="5" t="s">
        <v>37</v>
      </c>
      <c r="K39" s="5" t="s">
        <v>37</v>
      </c>
      <c r="L39" s="4" t="s">
        <v>38</v>
      </c>
      <c r="M39" s="4" t="s">
        <v>37</v>
      </c>
      <c r="N39" s="4" t="s">
        <v>37</v>
      </c>
      <c r="O39" s="5" t="s">
        <v>38</v>
      </c>
      <c r="P39" s="5" t="s">
        <v>39</v>
      </c>
      <c r="Q39" s="2">
        <v>45957</v>
      </c>
      <c r="V39" s="45">
        <f>IF(
  OR(
    ISNUMBER(SEARCH("unable to locate acct", tblDocketedComments[[#This Row],[Docketed Consumer Comments]])),
    ISNUMBER(SEARCH("unknown", tblDocketedComments[[#This Row],[Docketed Consumer Comments]])),
    ISNUMBER(SEARCH("inactive", tblDocketedComments[[#This Row],[Docketed Consumer Comments]]))
  ),
  0,
  1
)</f>
        <v>1</v>
      </c>
    </row>
    <row r="40" spans="1:22" hidden="1">
      <c r="A40" s="2">
        <v>45827</v>
      </c>
      <c r="B40" s="1" t="s">
        <v>180</v>
      </c>
      <c r="C40" s="1" t="s">
        <v>181</v>
      </c>
      <c r="D40" s="1" t="s">
        <v>63</v>
      </c>
      <c r="E40" s="1" t="s">
        <v>30</v>
      </c>
      <c r="F40" s="3" t="s">
        <v>31</v>
      </c>
      <c r="G40" s="1" t="s">
        <v>182</v>
      </c>
      <c r="H40" s="4" t="s">
        <v>27</v>
      </c>
      <c r="I40" s="6"/>
      <c r="L40" s="4"/>
      <c r="M40" s="4"/>
      <c r="N40" s="4"/>
      <c r="V40" s="45">
        <f>IF(
  OR(
    ISNUMBER(SEARCH("unable to locate acct", tblDocketedComments[[#This Row],[Docketed Consumer Comments]])),
    ISNUMBER(SEARCH("unknown", tblDocketedComments[[#This Row],[Docketed Consumer Comments]])),
    ISNUMBER(SEARCH("inactive", tblDocketedComments[[#This Row],[Docketed Consumer Comments]]))
  ),
  0,
  1
)</f>
        <v>1</v>
      </c>
    </row>
    <row r="41" spans="1:22" hidden="1">
      <c r="A41" s="2">
        <v>45827</v>
      </c>
      <c r="B41" s="1" t="s">
        <v>183</v>
      </c>
      <c r="C41" s="1" t="s">
        <v>184</v>
      </c>
      <c r="D41" s="1" t="s">
        <v>112</v>
      </c>
      <c r="E41" s="1">
        <v>85374</v>
      </c>
      <c r="F41" s="3" t="s">
        <v>31</v>
      </c>
      <c r="G41" s="1" t="s">
        <v>182</v>
      </c>
      <c r="H41" s="4" t="s">
        <v>185</v>
      </c>
      <c r="I41" s="6" t="s">
        <v>126</v>
      </c>
      <c r="J41" s="5" t="s">
        <v>37</v>
      </c>
      <c r="K41" s="5" t="s">
        <v>37</v>
      </c>
      <c r="L41" s="4" t="s">
        <v>38</v>
      </c>
      <c r="M41" s="4" t="s">
        <v>37</v>
      </c>
      <c r="N41" s="4" t="s">
        <v>37</v>
      </c>
      <c r="O41" s="5" t="s">
        <v>38</v>
      </c>
      <c r="P41" s="5" t="s">
        <v>39</v>
      </c>
      <c r="Q41" s="2">
        <v>45957</v>
      </c>
      <c r="V41" s="45">
        <f>IF(
  OR(
    ISNUMBER(SEARCH("unable to locate acct", tblDocketedComments[[#This Row],[Docketed Consumer Comments]])),
    ISNUMBER(SEARCH("unknown", tblDocketedComments[[#This Row],[Docketed Consumer Comments]])),
    ISNUMBER(SEARCH("inactive", tblDocketedComments[[#This Row],[Docketed Consumer Comments]]))
  ),
  0,
  1
)</f>
        <v>1</v>
      </c>
    </row>
    <row r="42" spans="1:22" hidden="1">
      <c r="A42" s="2">
        <v>45831</v>
      </c>
      <c r="B42" s="1" t="s">
        <v>186</v>
      </c>
      <c r="C42" s="1" t="s">
        <v>102</v>
      </c>
      <c r="D42" s="1" t="s">
        <v>169</v>
      </c>
      <c r="E42" s="1">
        <v>85338</v>
      </c>
      <c r="F42" s="3" t="s">
        <v>31</v>
      </c>
      <c r="H42" s="4" t="s">
        <v>27</v>
      </c>
      <c r="L42" s="4"/>
      <c r="M42" s="4"/>
      <c r="N42" s="4"/>
      <c r="V42" s="45">
        <f>IF(
  OR(
    ISNUMBER(SEARCH("unable to locate acct", tblDocketedComments[[#This Row],[Docketed Consumer Comments]])),
    ISNUMBER(SEARCH("unknown", tblDocketedComments[[#This Row],[Docketed Consumer Comments]])),
    ISNUMBER(SEARCH("inactive", tblDocketedComments[[#This Row],[Docketed Consumer Comments]]))
  ),
  0,
  1
)</f>
        <v>1</v>
      </c>
    </row>
    <row r="43" spans="1:22" hidden="1">
      <c r="A43" s="2">
        <v>45831</v>
      </c>
      <c r="B43" s="1" t="s">
        <v>187</v>
      </c>
      <c r="C43" s="1" t="s">
        <v>188</v>
      </c>
      <c r="D43" s="1" t="s">
        <v>174</v>
      </c>
      <c r="E43" s="1">
        <v>85326</v>
      </c>
      <c r="F43" s="3" t="s">
        <v>31</v>
      </c>
      <c r="H43" s="4" t="s">
        <v>27</v>
      </c>
      <c r="L43" s="4"/>
      <c r="M43" s="4"/>
      <c r="N43" s="4"/>
      <c r="V43" s="45">
        <f>IF(
  OR(
    ISNUMBER(SEARCH("unable to locate acct", tblDocketedComments[[#This Row],[Docketed Consumer Comments]])),
    ISNUMBER(SEARCH("unknown", tblDocketedComments[[#This Row],[Docketed Consumer Comments]])),
    ISNUMBER(SEARCH("inactive", tblDocketedComments[[#This Row],[Docketed Consumer Comments]]))
  ),
  0,
  1
)</f>
        <v>1</v>
      </c>
    </row>
    <row r="44" spans="1:22" hidden="1">
      <c r="A44" s="2">
        <v>45831</v>
      </c>
      <c r="B44" s="1" t="s">
        <v>189</v>
      </c>
      <c r="C44" s="1" t="s">
        <v>190</v>
      </c>
      <c r="D44" s="1" t="s">
        <v>174</v>
      </c>
      <c r="E44" s="1" t="s">
        <v>30</v>
      </c>
      <c r="F44" s="3" t="s">
        <v>25</v>
      </c>
      <c r="H44" s="4" t="s">
        <v>191</v>
      </c>
      <c r="I44" s="5" t="s">
        <v>126</v>
      </c>
      <c r="J44" s="5" t="s">
        <v>37</v>
      </c>
      <c r="K44" s="5" t="s">
        <v>37</v>
      </c>
      <c r="L44" s="4" t="s">
        <v>192</v>
      </c>
      <c r="M44" s="4" t="s">
        <v>37</v>
      </c>
      <c r="N44" s="4" t="s">
        <v>37</v>
      </c>
      <c r="O44" s="5" t="s">
        <v>38</v>
      </c>
      <c r="P44" s="5" t="s">
        <v>39</v>
      </c>
      <c r="Q44" s="2">
        <v>45957</v>
      </c>
      <c r="V44" s="45">
        <f>IF(
  OR(
    ISNUMBER(SEARCH("unable to locate acct", tblDocketedComments[[#This Row],[Docketed Consumer Comments]])),
    ISNUMBER(SEARCH("unknown", tblDocketedComments[[#This Row],[Docketed Consumer Comments]])),
    ISNUMBER(SEARCH("inactive", tblDocketedComments[[#This Row],[Docketed Consumer Comments]]))
  ),
  0,
  1
)</f>
        <v>1</v>
      </c>
    </row>
    <row r="45" spans="1:22" hidden="1">
      <c r="A45" s="2">
        <v>45831</v>
      </c>
      <c r="B45" s="1" t="s">
        <v>193</v>
      </c>
      <c r="C45" s="1" t="s">
        <v>194</v>
      </c>
      <c r="D45" s="1" t="s">
        <v>63</v>
      </c>
      <c r="E45" s="1">
        <v>85006</v>
      </c>
      <c r="F45" s="3" t="s">
        <v>25</v>
      </c>
      <c r="H45" s="4" t="s">
        <v>195</v>
      </c>
      <c r="I45" s="5" t="s">
        <v>196</v>
      </c>
      <c r="J45" s="5" t="s">
        <v>37</v>
      </c>
      <c r="K45" s="5" t="s">
        <v>37</v>
      </c>
      <c r="L45" s="4" t="s">
        <v>197</v>
      </c>
      <c r="M45" s="4" t="s">
        <v>37</v>
      </c>
      <c r="N45" s="4" t="s">
        <v>37</v>
      </c>
      <c r="O45" s="5" t="s">
        <v>38</v>
      </c>
      <c r="P45" s="5" t="s">
        <v>39</v>
      </c>
      <c r="Q45" s="2">
        <v>45957</v>
      </c>
      <c r="V45" s="45">
        <f>IF(
  OR(
    ISNUMBER(SEARCH("unable to locate acct", tblDocketedComments[[#This Row],[Docketed Consumer Comments]])),
    ISNUMBER(SEARCH("unknown", tblDocketedComments[[#This Row],[Docketed Consumer Comments]])),
    ISNUMBER(SEARCH("inactive", tblDocketedComments[[#This Row],[Docketed Consumer Comments]]))
  ),
  0,
  1
)</f>
        <v>1</v>
      </c>
    </row>
    <row r="46" spans="1:22" hidden="1">
      <c r="A46" s="2">
        <v>45831</v>
      </c>
      <c r="B46" s="1" t="s">
        <v>198</v>
      </c>
      <c r="C46" s="1" t="s">
        <v>199</v>
      </c>
      <c r="D46" s="1" t="s">
        <v>63</v>
      </c>
      <c r="E46" s="1">
        <v>85085</v>
      </c>
      <c r="F46" s="3" t="s">
        <v>25</v>
      </c>
      <c r="H46" s="4" t="s">
        <v>90</v>
      </c>
      <c r="L46" s="4"/>
      <c r="M46" s="4"/>
      <c r="N46" s="4"/>
      <c r="V46" s="45">
        <f>IF(
  OR(
    ISNUMBER(SEARCH("unable to locate acct", tblDocketedComments[[#This Row],[Docketed Consumer Comments]])),
    ISNUMBER(SEARCH("unknown", tblDocketedComments[[#This Row],[Docketed Consumer Comments]])),
    ISNUMBER(SEARCH("inactive", tblDocketedComments[[#This Row],[Docketed Consumer Comments]]))
  ),
  0,
  1
)</f>
        <v>1</v>
      </c>
    </row>
    <row r="47" spans="1:22" hidden="1">
      <c r="A47" s="2">
        <v>45831</v>
      </c>
      <c r="B47" s="1" t="s">
        <v>200</v>
      </c>
      <c r="C47" s="1" t="s">
        <v>201</v>
      </c>
      <c r="D47" s="1" t="s">
        <v>202</v>
      </c>
      <c r="E47" s="1">
        <v>85383</v>
      </c>
      <c r="F47" s="3" t="s">
        <v>25</v>
      </c>
      <c r="H47" s="4" t="s">
        <v>203</v>
      </c>
      <c r="I47" s="5" t="s">
        <v>36</v>
      </c>
      <c r="J47" s="5" t="s">
        <v>37</v>
      </c>
      <c r="K47" s="5" t="s">
        <v>37</v>
      </c>
      <c r="L47" s="4" t="s">
        <v>204</v>
      </c>
      <c r="M47" s="4" t="s">
        <v>37</v>
      </c>
      <c r="N47" s="4" t="s">
        <v>37</v>
      </c>
      <c r="O47" s="5" t="s">
        <v>38</v>
      </c>
      <c r="P47" s="5" t="s">
        <v>39</v>
      </c>
      <c r="Q47" s="2">
        <v>45957</v>
      </c>
      <c r="V47" s="45">
        <f>IF(
  OR(
    ISNUMBER(SEARCH("unable to locate acct", tblDocketedComments[[#This Row],[Docketed Consumer Comments]])),
    ISNUMBER(SEARCH("unknown", tblDocketedComments[[#This Row],[Docketed Consumer Comments]])),
    ISNUMBER(SEARCH("inactive", tblDocketedComments[[#This Row],[Docketed Consumer Comments]]))
  ),
  0,
  1
)</f>
        <v>1</v>
      </c>
    </row>
    <row r="48" spans="1:22" hidden="1">
      <c r="A48" s="2">
        <v>45831</v>
      </c>
      <c r="B48" s="1" t="s">
        <v>205</v>
      </c>
      <c r="C48" s="1" t="s">
        <v>206</v>
      </c>
      <c r="D48" s="1" t="s">
        <v>30</v>
      </c>
      <c r="E48" s="1" t="s">
        <v>30</v>
      </c>
      <c r="F48" s="3" t="s">
        <v>25</v>
      </c>
      <c r="H48" s="4" t="s">
        <v>27</v>
      </c>
      <c r="L48" s="4"/>
      <c r="M48" s="4"/>
      <c r="N48" s="4"/>
      <c r="V48" s="45">
        <f>IF(
  OR(
    ISNUMBER(SEARCH("unable to locate acct", tblDocketedComments[[#This Row],[Docketed Consumer Comments]])),
    ISNUMBER(SEARCH("unknown", tblDocketedComments[[#This Row],[Docketed Consumer Comments]])),
    ISNUMBER(SEARCH("inactive", tblDocketedComments[[#This Row],[Docketed Consumer Comments]]))
  ),
  0,
  1
)</f>
        <v>1</v>
      </c>
    </row>
    <row r="49" spans="1:22" hidden="1">
      <c r="A49" s="2">
        <v>45831</v>
      </c>
      <c r="B49" s="1" t="s">
        <v>207</v>
      </c>
      <c r="C49" s="1" t="s">
        <v>208</v>
      </c>
      <c r="D49" s="1" t="s">
        <v>30</v>
      </c>
      <c r="E49" s="1" t="s">
        <v>30</v>
      </c>
      <c r="F49" s="3" t="s">
        <v>25</v>
      </c>
      <c r="H49" s="4" t="s">
        <v>209</v>
      </c>
      <c r="V49" s="45">
        <f>IF(
  OR(
    ISNUMBER(SEARCH("unable to locate acct", tblDocketedComments[[#This Row],[Docketed Consumer Comments]])),
    ISNUMBER(SEARCH("unknown", tblDocketedComments[[#This Row],[Docketed Consumer Comments]])),
    ISNUMBER(SEARCH("inactive", tblDocketedComments[[#This Row],[Docketed Consumer Comments]]))
  ),
  0,
  1
)</f>
        <v>1</v>
      </c>
    </row>
    <row r="50" spans="1:22" hidden="1">
      <c r="A50" s="2">
        <v>45831</v>
      </c>
      <c r="B50" s="1" t="s">
        <v>210</v>
      </c>
      <c r="C50" s="1" t="s">
        <v>211</v>
      </c>
      <c r="D50" s="1" t="s">
        <v>85</v>
      </c>
      <c r="E50" s="1">
        <v>86323</v>
      </c>
      <c r="F50" s="3" t="s">
        <v>31</v>
      </c>
      <c r="G50" s="1" t="s">
        <v>212</v>
      </c>
      <c r="H50" s="4" t="s">
        <v>213</v>
      </c>
      <c r="I50" s="5" t="s">
        <v>73</v>
      </c>
      <c r="J50" s="5" t="s">
        <v>37</v>
      </c>
      <c r="K50" s="5" t="s">
        <v>37</v>
      </c>
      <c r="L50" s="5" t="s">
        <v>38</v>
      </c>
      <c r="M50" s="5" t="s">
        <v>37</v>
      </c>
      <c r="N50" s="5" t="s">
        <v>37</v>
      </c>
      <c r="O50" s="5" t="s">
        <v>38</v>
      </c>
      <c r="P50" s="5" t="s">
        <v>39</v>
      </c>
      <c r="Q50" s="2">
        <v>45958</v>
      </c>
      <c r="V50" s="45">
        <f>IF(
  OR(
    ISNUMBER(SEARCH("unable to locate acct", tblDocketedComments[[#This Row],[Docketed Consumer Comments]])),
    ISNUMBER(SEARCH("unknown", tblDocketedComments[[#This Row],[Docketed Consumer Comments]])),
    ISNUMBER(SEARCH("inactive", tblDocketedComments[[#This Row],[Docketed Consumer Comments]]))
  ),
  0,
  1
)</f>
        <v>1</v>
      </c>
    </row>
    <row r="51" spans="1:22" hidden="1">
      <c r="A51" s="2">
        <v>45833</v>
      </c>
      <c r="B51" s="1" t="s">
        <v>214</v>
      </c>
      <c r="C51" s="1" t="s">
        <v>215</v>
      </c>
      <c r="D51" s="1" t="s">
        <v>30</v>
      </c>
      <c r="E51" s="1" t="s">
        <v>30</v>
      </c>
      <c r="F51" s="3" t="s">
        <v>31</v>
      </c>
      <c r="H51" s="4" t="s">
        <v>27</v>
      </c>
      <c r="V51" s="45">
        <f>IF(
  OR(
    ISNUMBER(SEARCH("unable to locate acct", tblDocketedComments[[#This Row],[Docketed Consumer Comments]])),
    ISNUMBER(SEARCH("unknown", tblDocketedComments[[#This Row],[Docketed Consumer Comments]])),
    ISNUMBER(SEARCH("inactive", tblDocketedComments[[#This Row],[Docketed Consumer Comments]]))
  ),
  0,
  1
)</f>
        <v>1</v>
      </c>
    </row>
    <row r="52" spans="1:22" hidden="1">
      <c r="A52" s="2">
        <v>45835</v>
      </c>
      <c r="B52" s="1" t="s">
        <v>216</v>
      </c>
      <c r="C52" s="1" t="s">
        <v>217</v>
      </c>
      <c r="D52" s="1" t="s">
        <v>125</v>
      </c>
      <c r="E52" s="1">
        <v>85260</v>
      </c>
      <c r="F52" s="3" t="s">
        <v>31</v>
      </c>
      <c r="G52" s="1" t="s">
        <v>218</v>
      </c>
      <c r="H52" s="4" t="s">
        <v>27</v>
      </c>
      <c r="V52" s="45">
        <f>IF(
  OR(
    ISNUMBER(SEARCH("unable to locate acct", tblDocketedComments[[#This Row],[Docketed Consumer Comments]])),
    ISNUMBER(SEARCH("unknown", tblDocketedComments[[#This Row],[Docketed Consumer Comments]])),
    ISNUMBER(SEARCH("inactive", tblDocketedComments[[#This Row],[Docketed Consumer Comments]]))
  ),
  0,
  1
)</f>
        <v>1</v>
      </c>
    </row>
    <row r="53" spans="1:22" hidden="1">
      <c r="A53" s="2">
        <v>45839</v>
      </c>
      <c r="B53" s="1" t="s">
        <v>219</v>
      </c>
      <c r="C53" s="1" t="s">
        <v>220</v>
      </c>
      <c r="D53" s="1" t="s">
        <v>63</v>
      </c>
      <c r="E53" s="1">
        <v>85032</v>
      </c>
      <c r="F53" s="3" t="s">
        <v>31</v>
      </c>
      <c r="G53" s="1" t="s">
        <v>221</v>
      </c>
      <c r="H53" s="4" t="s">
        <v>222</v>
      </c>
      <c r="I53" s="6" t="s">
        <v>126</v>
      </c>
      <c r="J53" s="5" t="s">
        <v>37</v>
      </c>
      <c r="K53" s="5" t="s">
        <v>37</v>
      </c>
      <c r="L53" s="5" t="s">
        <v>38</v>
      </c>
      <c r="M53" s="5" t="s">
        <v>37</v>
      </c>
      <c r="N53" s="5" t="s">
        <v>37</v>
      </c>
      <c r="O53" s="5" t="s">
        <v>38</v>
      </c>
      <c r="P53" s="5" t="s">
        <v>39</v>
      </c>
      <c r="Q53" s="2">
        <v>45958</v>
      </c>
      <c r="U53" s="1" t="s">
        <v>223</v>
      </c>
      <c r="V53" s="45">
        <f>IF(
  OR(
    ISNUMBER(SEARCH("unable to locate acct", tblDocketedComments[[#This Row],[Docketed Consumer Comments]])),
    ISNUMBER(SEARCH("unknown", tblDocketedComments[[#This Row],[Docketed Consumer Comments]])),
    ISNUMBER(SEARCH("inactive", tblDocketedComments[[#This Row],[Docketed Consumer Comments]]))
  ),
  0,
  1
)</f>
        <v>1</v>
      </c>
    </row>
    <row r="54" spans="1:22" hidden="1">
      <c r="A54" s="2">
        <v>45840</v>
      </c>
      <c r="B54" s="1" t="s">
        <v>224</v>
      </c>
      <c r="C54" s="1" t="s">
        <v>225</v>
      </c>
      <c r="D54" s="1" t="s">
        <v>30</v>
      </c>
      <c r="E54" s="1" t="s">
        <v>30</v>
      </c>
      <c r="F54" s="3" t="s">
        <v>31</v>
      </c>
      <c r="G54" s="1" t="s">
        <v>226</v>
      </c>
      <c r="H54" s="4" t="s">
        <v>27</v>
      </c>
      <c r="U54" s="1" t="s">
        <v>77</v>
      </c>
      <c r="V54" s="45">
        <f>IF(
  OR(
    ISNUMBER(SEARCH("unable to locate acct", tblDocketedComments[[#This Row],[Docketed Consumer Comments]])),
    ISNUMBER(SEARCH("unknown", tblDocketedComments[[#This Row],[Docketed Consumer Comments]])),
    ISNUMBER(SEARCH("inactive", tblDocketedComments[[#This Row],[Docketed Consumer Comments]]))
  ),
  0,
  1
)</f>
        <v>1</v>
      </c>
    </row>
    <row r="55" spans="1:22" hidden="1">
      <c r="A55" s="2">
        <v>45840</v>
      </c>
      <c r="B55" s="1" t="s">
        <v>227</v>
      </c>
      <c r="C55" s="1" t="s">
        <v>228</v>
      </c>
      <c r="D55" s="1" t="s">
        <v>30</v>
      </c>
      <c r="E55" s="1" t="s">
        <v>30</v>
      </c>
      <c r="F55" s="3" t="s">
        <v>31</v>
      </c>
      <c r="G55" s="1" t="s">
        <v>226</v>
      </c>
      <c r="H55" s="4" t="s">
        <v>27</v>
      </c>
      <c r="I55" s="10"/>
      <c r="U55" s="1" t="s">
        <v>77</v>
      </c>
      <c r="V55" s="45">
        <f>IF(
  OR(
    ISNUMBER(SEARCH("unable to locate acct", tblDocketedComments[[#This Row],[Docketed Consumer Comments]])),
    ISNUMBER(SEARCH("unknown", tblDocketedComments[[#This Row],[Docketed Consumer Comments]])),
    ISNUMBER(SEARCH("inactive", tblDocketedComments[[#This Row],[Docketed Consumer Comments]]))
  ),
  0,
  1
)</f>
        <v>1</v>
      </c>
    </row>
    <row r="56" spans="1:22" hidden="1">
      <c r="A56" s="2">
        <v>45845</v>
      </c>
      <c r="B56" s="1" t="s">
        <v>229</v>
      </c>
      <c r="C56" s="1" t="s">
        <v>230</v>
      </c>
      <c r="D56" s="1" t="s">
        <v>63</v>
      </c>
      <c r="E56" s="1">
        <v>85022</v>
      </c>
      <c r="F56" s="3" t="s">
        <v>31</v>
      </c>
      <c r="G56" s="1" t="s">
        <v>231</v>
      </c>
      <c r="H56" s="4" t="s">
        <v>27</v>
      </c>
      <c r="V56" s="45">
        <f>IF(
  OR(
    ISNUMBER(SEARCH("unable to locate acct", tblDocketedComments[[#This Row],[Docketed Consumer Comments]])),
    ISNUMBER(SEARCH("unknown", tblDocketedComments[[#This Row],[Docketed Consumer Comments]])),
    ISNUMBER(SEARCH("inactive", tblDocketedComments[[#This Row],[Docketed Consumer Comments]]))
  ),
  0,
  1
)</f>
        <v>1</v>
      </c>
    </row>
    <row r="57" spans="1:22" hidden="1">
      <c r="A57" s="2">
        <v>45846</v>
      </c>
      <c r="B57" s="1" t="s">
        <v>232</v>
      </c>
      <c r="C57" s="1" t="s">
        <v>233</v>
      </c>
      <c r="D57" s="1" t="s">
        <v>89</v>
      </c>
      <c r="E57" s="1">
        <v>86351</v>
      </c>
      <c r="F57" s="3" t="s">
        <v>31</v>
      </c>
      <c r="G57" s="1" t="s">
        <v>234</v>
      </c>
      <c r="H57" s="4" t="s">
        <v>235</v>
      </c>
      <c r="I57" s="5" t="s">
        <v>57</v>
      </c>
      <c r="J57" s="5" t="s">
        <v>37</v>
      </c>
      <c r="K57" s="5" t="s">
        <v>37</v>
      </c>
      <c r="L57" s="7" t="s">
        <v>236</v>
      </c>
      <c r="M57" s="5" t="s">
        <v>37</v>
      </c>
      <c r="N57" s="5" t="s">
        <v>37</v>
      </c>
      <c r="O57" s="5" t="s">
        <v>38</v>
      </c>
      <c r="P57" s="2">
        <v>45964</v>
      </c>
      <c r="Q57" s="2">
        <v>45958</v>
      </c>
      <c r="R57" s="1" t="s">
        <v>237</v>
      </c>
      <c r="V57" s="45">
        <f>IF(
  OR(
    ISNUMBER(SEARCH("unable to locate acct", tblDocketedComments[[#This Row],[Docketed Consumer Comments]])),
    ISNUMBER(SEARCH("unknown", tblDocketedComments[[#This Row],[Docketed Consumer Comments]])),
    ISNUMBER(SEARCH("inactive", tblDocketedComments[[#This Row],[Docketed Consumer Comments]]))
  ),
  0,
  1
)</f>
        <v>1</v>
      </c>
    </row>
    <row r="58" spans="1:22" hidden="1">
      <c r="A58" s="2">
        <v>45847</v>
      </c>
      <c r="B58" s="1" t="s">
        <v>238</v>
      </c>
      <c r="C58" s="1" t="s">
        <v>239</v>
      </c>
      <c r="D58" s="1" t="s">
        <v>240</v>
      </c>
      <c r="E58" s="1">
        <v>85340</v>
      </c>
      <c r="F58" s="3" t="s">
        <v>31</v>
      </c>
      <c r="G58" s="1" t="s">
        <v>241</v>
      </c>
      <c r="H58" s="4" t="s">
        <v>242</v>
      </c>
      <c r="I58" s="5" t="s">
        <v>243</v>
      </c>
      <c r="J58" s="5" t="s">
        <v>37</v>
      </c>
      <c r="K58" s="5" t="s">
        <v>37</v>
      </c>
      <c r="L58" s="5" t="s">
        <v>244</v>
      </c>
      <c r="M58" s="5" t="s">
        <v>37</v>
      </c>
      <c r="N58" s="5" t="s">
        <v>37</v>
      </c>
      <c r="O58" s="5" t="s">
        <v>38</v>
      </c>
      <c r="P58" s="5" t="s">
        <v>39</v>
      </c>
      <c r="Q58" s="2">
        <v>45958</v>
      </c>
      <c r="V58" s="45">
        <f>IF(
  OR(
    ISNUMBER(SEARCH("unable to locate acct", tblDocketedComments[[#This Row],[Docketed Consumer Comments]])),
    ISNUMBER(SEARCH("unknown", tblDocketedComments[[#This Row],[Docketed Consumer Comments]])),
    ISNUMBER(SEARCH("inactive", tblDocketedComments[[#This Row],[Docketed Consumer Comments]]))
  ),
  0,
  1
)</f>
        <v>1</v>
      </c>
    </row>
    <row r="59" spans="1:22" hidden="1">
      <c r="A59" s="2">
        <v>45847</v>
      </c>
      <c r="B59" s="1" t="s">
        <v>245</v>
      </c>
      <c r="C59" s="1" t="s">
        <v>246</v>
      </c>
      <c r="D59" s="1" t="s">
        <v>63</v>
      </c>
      <c r="E59" s="1">
        <v>85029</v>
      </c>
      <c r="F59" s="11" t="s">
        <v>247</v>
      </c>
      <c r="G59" s="1" t="s">
        <v>248</v>
      </c>
      <c r="H59" s="4" t="s">
        <v>249</v>
      </c>
      <c r="I59" s="5" t="s">
        <v>250</v>
      </c>
      <c r="J59" s="5" t="s">
        <v>37</v>
      </c>
      <c r="K59" s="5" t="s">
        <v>37</v>
      </c>
      <c r="L59" s="5" t="s">
        <v>38</v>
      </c>
      <c r="M59" s="5" t="s">
        <v>37</v>
      </c>
      <c r="N59" s="5" t="s">
        <v>37</v>
      </c>
      <c r="O59" s="5" t="s">
        <v>38</v>
      </c>
      <c r="P59" s="5" t="s">
        <v>39</v>
      </c>
      <c r="Q59" s="2">
        <v>45958</v>
      </c>
      <c r="V59" s="45">
        <f>IF(
  OR(
    ISNUMBER(SEARCH("unable to locate acct", tblDocketedComments[[#This Row],[Docketed Consumer Comments]])),
    ISNUMBER(SEARCH("unknown", tblDocketedComments[[#This Row],[Docketed Consumer Comments]])),
    ISNUMBER(SEARCH("inactive", tblDocketedComments[[#This Row],[Docketed Consumer Comments]]))
  ),
  0,
  1
)</f>
        <v>1</v>
      </c>
    </row>
    <row r="60" spans="1:22" hidden="1">
      <c r="A60" s="2">
        <v>45848</v>
      </c>
      <c r="B60" s="1" t="s">
        <v>251</v>
      </c>
      <c r="C60" s="1" t="s">
        <v>252</v>
      </c>
      <c r="D60" s="1" t="s">
        <v>253</v>
      </c>
      <c r="E60" s="1">
        <v>87048</v>
      </c>
      <c r="F60" s="3" t="s">
        <v>31</v>
      </c>
      <c r="G60" s="1" t="s">
        <v>254</v>
      </c>
      <c r="H60" s="4" t="s">
        <v>27</v>
      </c>
      <c r="V60" s="45">
        <f>IF(
  OR(
    ISNUMBER(SEARCH("unable to locate acct", tblDocketedComments[[#This Row],[Docketed Consumer Comments]])),
    ISNUMBER(SEARCH("unknown", tblDocketedComments[[#This Row],[Docketed Consumer Comments]])),
    ISNUMBER(SEARCH("inactive", tblDocketedComments[[#This Row],[Docketed Consumer Comments]]))
  ),
  0,
  1
)</f>
        <v>1</v>
      </c>
    </row>
    <row r="61" spans="1:22" hidden="1">
      <c r="A61" s="2">
        <v>45848</v>
      </c>
      <c r="B61" s="1" t="s">
        <v>255</v>
      </c>
      <c r="C61" s="1" t="s">
        <v>256</v>
      </c>
      <c r="D61" s="1" t="s">
        <v>89</v>
      </c>
      <c r="E61" s="1">
        <v>86336</v>
      </c>
      <c r="F61" s="3" t="s">
        <v>257</v>
      </c>
      <c r="G61" s="1" t="s">
        <v>254</v>
      </c>
      <c r="H61" s="4" t="s">
        <v>90</v>
      </c>
      <c r="V61" s="45">
        <f>IF(
  OR(
    ISNUMBER(SEARCH("unable to locate acct", tblDocketedComments[[#This Row],[Docketed Consumer Comments]])),
    ISNUMBER(SEARCH("unknown", tblDocketedComments[[#This Row],[Docketed Consumer Comments]])),
    ISNUMBER(SEARCH("inactive", tblDocketedComments[[#This Row],[Docketed Consumer Comments]]))
  ),
  0,
  1
)</f>
        <v>1</v>
      </c>
    </row>
    <row r="62" spans="1:22" hidden="1">
      <c r="A62" s="2">
        <v>45852</v>
      </c>
      <c r="B62" s="1" t="s">
        <v>258</v>
      </c>
      <c r="C62" s="1" t="s">
        <v>230</v>
      </c>
      <c r="D62" s="1" t="s">
        <v>30</v>
      </c>
      <c r="E62" s="1" t="s">
        <v>30</v>
      </c>
      <c r="F62" s="3" t="s">
        <v>31</v>
      </c>
      <c r="G62" s="1" t="s">
        <v>259</v>
      </c>
      <c r="H62" s="4" t="s">
        <v>6009</v>
      </c>
      <c r="I62" s="5" t="s">
        <v>73</v>
      </c>
      <c r="J62" s="5" t="s">
        <v>37</v>
      </c>
      <c r="K62" s="5" t="s">
        <v>37</v>
      </c>
      <c r="L62" s="5" t="s">
        <v>260</v>
      </c>
      <c r="M62" s="5" t="s">
        <v>37</v>
      </c>
      <c r="N62" s="5" t="s">
        <v>37</v>
      </c>
      <c r="O62" s="5" t="s">
        <v>38</v>
      </c>
      <c r="P62" s="5" t="s">
        <v>39</v>
      </c>
      <c r="Q62" s="2">
        <v>45958</v>
      </c>
      <c r="V62" s="45">
        <f>IF(
  OR(
    ISNUMBER(SEARCH("unable to locate acct", tblDocketedComments[[#This Row],[Docketed Consumer Comments]])),
    ISNUMBER(SEARCH("unknown", tblDocketedComments[[#This Row],[Docketed Consumer Comments]])),
    ISNUMBER(SEARCH("inactive", tblDocketedComments[[#This Row],[Docketed Consumer Comments]]))
  ),
  0,
  1
)</f>
        <v>1</v>
      </c>
    </row>
    <row r="63" spans="1:22" hidden="1">
      <c r="A63" s="2">
        <v>45852</v>
      </c>
      <c r="B63" s="1" t="s">
        <v>144</v>
      </c>
      <c r="C63" s="1" t="s">
        <v>145</v>
      </c>
      <c r="D63" s="1" t="s">
        <v>261</v>
      </c>
      <c r="E63" s="1">
        <v>86314</v>
      </c>
      <c r="F63" s="3" t="s">
        <v>31</v>
      </c>
      <c r="G63" s="1" t="s">
        <v>259</v>
      </c>
      <c r="H63" s="4" t="s">
        <v>6172</v>
      </c>
      <c r="I63" s="5" t="s">
        <v>250</v>
      </c>
      <c r="J63" s="5" t="s">
        <v>37</v>
      </c>
      <c r="K63" s="5" t="s">
        <v>37</v>
      </c>
      <c r="L63" s="5" t="s">
        <v>38</v>
      </c>
      <c r="M63" s="5" t="s">
        <v>37</v>
      </c>
      <c r="N63" s="5" t="s">
        <v>37</v>
      </c>
      <c r="O63" s="5" t="s">
        <v>38</v>
      </c>
      <c r="P63" s="5" t="s">
        <v>39</v>
      </c>
      <c r="Q63" s="2">
        <v>45958</v>
      </c>
      <c r="V63" s="45">
        <f>IF(
  OR(
    ISNUMBER(SEARCH("unable to locate acct", tblDocketedComments[[#This Row],[Docketed Consumer Comments]])),
    ISNUMBER(SEARCH("unknown", tblDocketedComments[[#This Row],[Docketed Consumer Comments]])),
    ISNUMBER(SEARCH("inactive", tblDocketedComments[[#This Row],[Docketed Consumer Comments]]))
  ),
  0,
  1
)</f>
        <v>1</v>
      </c>
    </row>
    <row r="64" spans="1:22" hidden="1">
      <c r="A64" s="2">
        <v>45854</v>
      </c>
      <c r="B64" s="1" t="s">
        <v>262</v>
      </c>
      <c r="C64" s="1" t="s">
        <v>263</v>
      </c>
      <c r="D64" s="1" t="s">
        <v>264</v>
      </c>
      <c r="E64" s="1">
        <v>85541</v>
      </c>
      <c r="F64" s="3" t="s">
        <v>257</v>
      </c>
      <c r="G64" s="1" t="s">
        <v>265</v>
      </c>
      <c r="H64" s="4" t="s">
        <v>266</v>
      </c>
      <c r="I64" s="5" t="s">
        <v>57</v>
      </c>
      <c r="J64" s="5" t="s">
        <v>37</v>
      </c>
      <c r="K64" s="5" t="s">
        <v>37</v>
      </c>
      <c r="L64" s="7" t="s">
        <v>267</v>
      </c>
      <c r="M64" s="5" t="s">
        <v>37</v>
      </c>
      <c r="N64" s="5" t="s">
        <v>37</v>
      </c>
      <c r="O64" s="5" t="s">
        <v>38</v>
      </c>
      <c r="P64" s="2">
        <v>45964</v>
      </c>
      <c r="Q64" s="2">
        <v>45958</v>
      </c>
      <c r="R64" s="1" t="s">
        <v>148</v>
      </c>
      <c r="U64" s="1" t="s">
        <v>268</v>
      </c>
      <c r="V64" s="45">
        <f>IF(
  OR(
    ISNUMBER(SEARCH("unable to locate acct", tblDocketedComments[[#This Row],[Docketed Consumer Comments]])),
    ISNUMBER(SEARCH("unknown", tblDocketedComments[[#This Row],[Docketed Consumer Comments]])),
    ISNUMBER(SEARCH("inactive", tblDocketedComments[[#This Row],[Docketed Consumer Comments]]))
  ),
  0,
  1
)</f>
        <v>1</v>
      </c>
    </row>
    <row r="65" spans="1:22" hidden="1">
      <c r="A65" s="2">
        <v>45859</v>
      </c>
      <c r="B65" s="1" t="s">
        <v>269</v>
      </c>
      <c r="C65" s="1" t="s">
        <v>270</v>
      </c>
      <c r="D65" s="1" t="s">
        <v>63</v>
      </c>
      <c r="E65" s="1">
        <v>85029</v>
      </c>
      <c r="F65" s="3" t="s">
        <v>271</v>
      </c>
      <c r="G65" s="1" t="s">
        <v>272</v>
      </c>
      <c r="H65" s="12" t="s">
        <v>273</v>
      </c>
      <c r="I65" s="5" t="s">
        <v>36</v>
      </c>
      <c r="J65" s="5" t="s">
        <v>37</v>
      </c>
      <c r="K65" s="5" t="s">
        <v>37</v>
      </c>
      <c r="L65" s="7" t="s">
        <v>274</v>
      </c>
      <c r="M65" s="5" t="s">
        <v>37</v>
      </c>
      <c r="N65" s="5" t="s">
        <v>37</v>
      </c>
      <c r="O65" s="5" t="s">
        <v>38</v>
      </c>
      <c r="P65" s="2">
        <v>45964</v>
      </c>
      <c r="Q65" s="2">
        <v>45958</v>
      </c>
      <c r="R65" s="1" t="s">
        <v>275</v>
      </c>
      <c r="V65" s="45">
        <f>IF(
  OR(
    ISNUMBER(SEARCH("unable to locate acct", tblDocketedComments[[#This Row],[Docketed Consumer Comments]])),
    ISNUMBER(SEARCH("unknown", tblDocketedComments[[#This Row],[Docketed Consumer Comments]])),
    ISNUMBER(SEARCH("inactive", tblDocketedComments[[#This Row],[Docketed Consumer Comments]]))
  ),
  0,
  1
)</f>
        <v>1</v>
      </c>
    </row>
    <row r="66" spans="1:22" hidden="1">
      <c r="A66" s="2">
        <v>45861</v>
      </c>
      <c r="B66" s="1" t="s">
        <v>276</v>
      </c>
      <c r="C66" s="1" t="s">
        <v>117</v>
      </c>
      <c r="D66" s="1" t="s">
        <v>63</v>
      </c>
      <c r="E66" s="1">
        <v>85054</v>
      </c>
      <c r="F66" s="3" t="s">
        <v>31</v>
      </c>
      <c r="G66" s="1" t="s">
        <v>277</v>
      </c>
      <c r="H66" s="4" t="s">
        <v>278</v>
      </c>
      <c r="I66" s="5" t="s">
        <v>57</v>
      </c>
      <c r="J66" s="5" t="s">
        <v>37</v>
      </c>
      <c r="K66" s="5" t="s">
        <v>37</v>
      </c>
      <c r="L66" s="5" t="s">
        <v>279</v>
      </c>
      <c r="M66" s="5" t="s">
        <v>37</v>
      </c>
      <c r="N66" s="5" t="s">
        <v>37</v>
      </c>
      <c r="O66" s="5" t="s">
        <v>38</v>
      </c>
      <c r="P66" s="5" t="s">
        <v>39</v>
      </c>
      <c r="Q66" s="2">
        <v>45958</v>
      </c>
      <c r="R66" s="1" t="s">
        <v>280</v>
      </c>
      <c r="V66" s="45">
        <f>IF(
  OR(
    ISNUMBER(SEARCH("unable to locate acct", tblDocketedComments[[#This Row],[Docketed Consumer Comments]])),
    ISNUMBER(SEARCH("unknown", tblDocketedComments[[#This Row],[Docketed Consumer Comments]])),
    ISNUMBER(SEARCH("inactive", tblDocketedComments[[#This Row],[Docketed Consumer Comments]]))
  ),
  0,
  1
)</f>
        <v>1</v>
      </c>
    </row>
    <row r="67" spans="1:22" hidden="1">
      <c r="A67" s="2">
        <v>45861</v>
      </c>
      <c r="B67" s="1" t="s">
        <v>281</v>
      </c>
      <c r="C67" s="1" t="s">
        <v>153</v>
      </c>
      <c r="D67" s="1" t="s">
        <v>30</v>
      </c>
      <c r="E67" s="1" t="s">
        <v>30</v>
      </c>
      <c r="F67" s="3" t="s">
        <v>282</v>
      </c>
      <c r="G67" s="1" t="s">
        <v>277</v>
      </c>
      <c r="H67" s="4" t="s">
        <v>27</v>
      </c>
      <c r="V67" s="45">
        <f>IF(
  OR(
    ISNUMBER(SEARCH("unable to locate acct", tblDocketedComments[[#This Row],[Docketed Consumer Comments]])),
    ISNUMBER(SEARCH("unknown", tblDocketedComments[[#This Row],[Docketed Consumer Comments]])),
    ISNUMBER(SEARCH("inactive", tblDocketedComments[[#This Row],[Docketed Consumer Comments]]))
  ),
  0,
  1
)</f>
        <v>1</v>
      </c>
    </row>
    <row r="68" spans="1:22" hidden="1">
      <c r="A68" s="2">
        <v>45883</v>
      </c>
      <c r="B68" s="1" t="s">
        <v>283</v>
      </c>
      <c r="C68" s="1" t="s">
        <v>284</v>
      </c>
      <c r="D68" s="1" t="s">
        <v>89</v>
      </c>
      <c r="E68" s="1">
        <v>85336</v>
      </c>
      <c r="F68" s="3" t="s">
        <v>285</v>
      </c>
      <c r="G68" s="1" t="s">
        <v>286</v>
      </c>
      <c r="H68" s="4" t="s">
        <v>287</v>
      </c>
      <c r="I68" s="5" t="s">
        <v>288</v>
      </c>
      <c r="J68" s="5" t="s">
        <v>37</v>
      </c>
      <c r="K68" s="5" t="s">
        <v>37</v>
      </c>
      <c r="L68" s="5" t="s">
        <v>38</v>
      </c>
      <c r="M68" s="5" t="s">
        <v>37</v>
      </c>
      <c r="N68" s="5" t="s">
        <v>37</v>
      </c>
      <c r="O68" s="5" t="s">
        <v>38</v>
      </c>
      <c r="P68" s="5" t="s">
        <v>39</v>
      </c>
      <c r="Q68" s="2">
        <v>45958</v>
      </c>
      <c r="U68" s="1" t="s">
        <v>289</v>
      </c>
      <c r="V68" s="45">
        <f>IF(
  OR(
    ISNUMBER(SEARCH("unable to locate acct", tblDocketedComments[[#This Row],[Docketed Consumer Comments]])),
    ISNUMBER(SEARCH("unknown", tblDocketedComments[[#This Row],[Docketed Consumer Comments]])),
    ISNUMBER(SEARCH("inactive", tblDocketedComments[[#This Row],[Docketed Consumer Comments]]))
  ),
  0,
  1
)</f>
        <v>1</v>
      </c>
    </row>
    <row r="69" spans="1:22" hidden="1">
      <c r="A69" s="2">
        <v>45883</v>
      </c>
      <c r="B69" s="1" t="s">
        <v>290</v>
      </c>
      <c r="C69" s="1" t="s">
        <v>291</v>
      </c>
      <c r="D69" s="1" t="s">
        <v>63</v>
      </c>
      <c r="E69" s="1">
        <v>85023</v>
      </c>
      <c r="F69" s="3" t="s">
        <v>31</v>
      </c>
      <c r="G69" s="1" t="s">
        <v>286</v>
      </c>
      <c r="H69" s="4" t="s">
        <v>27</v>
      </c>
      <c r="V69" s="45">
        <f>IF(
  OR(
    ISNUMBER(SEARCH("unable to locate acct", tblDocketedComments[[#This Row],[Docketed Consumer Comments]])),
    ISNUMBER(SEARCH("unknown", tblDocketedComments[[#This Row],[Docketed Consumer Comments]])),
    ISNUMBER(SEARCH("inactive", tblDocketedComments[[#This Row],[Docketed Consumer Comments]]))
  ),
  0,
  1
)</f>
        <v>1</v>
      </c>
    </row>
    <row r="70" spans="1:22" hidden="1">
      <c r="A70" s="2">
        <v>45895</v>
      </c>
      <c r="B70" s="1" t="s">
        <v>292</v>
      </c>
      <c r="C70" s="1" t="s">
        <v>135</v>
      </c>
      <c r="D70" s="1" t="s">
        <v>293</v>
      </c>
      <c r="E70" s="1">
        <v>85139</v>
      </c>
      <c r="F70" s="3" t="s">
        <v>294</v>
      </c>
      <c r="G70" s="1" t="s">
        <v>295</v>
      </c>
      <c r="H70" s="4" t="s">
        <v>27</v>
      </c>
      <c r="V70" s="45">
        <f>IF(
  OR(
    ISNUMBER(SEARCH("unable to locate acct", tblDocketedComments[[#This Row],[Docketed Consumer Comments]])),
    ISNUMBER(SEARCH("unknown", tblDocketedComments[[#This Row],[Docketed Consumer Comments]])),
    ISNUMBER(SEARCH("inactive", tblDocketedComments[[#This Row],[Docketed Consumer Comments]]))
  ),
  0,
  1
)</f>
        <v>1</v>
      </c>
    </row>
    <row r="71" spans="1:22" hidden="1">
      <c r="A71" s="2">
        <v>45898</v>
      </c>
      <c r="B71" s="1" t="s">
        <v>296</v>
      </c>
      <c r="C71" s="1" t="s">
        <v>297</v>
      </c>
      <c r="D71" s="1" t="s">
        <v>30</v>
      </c>
      <c r="E71" s="1" t="s">
        <v>30</v>
      </c>
      <c r="F71" s="3" t="s">
        <v>25</v>
      </c>
      <c r="G71" s="1" t="s">
        <v>298</v>
      </c>
      <c r="H71" s="4" t="s">
        <v>299</v>
      </c>
      <c r="I71" s="5" t="s">
        <v>196</v>
      </c>
      <c r="J71" s="5" t="s">
        <v>38</v>
      </c>
      <c r="K71" s="5" t="s">
        <v>37</v>
      </c>
      <c r="L71" s="5" t="s">
        <v>300</v>
      </c>
      <c r="M71" s="5" t="s">
        <v>37</v>
      </c>
      <c r="N71" s="5" t="s">
        <v>37</v>
      </c>
      <c r="O71" s="5" t="s">
        <v>38</v>
      </c>
      <c r="P71" s="5" t="s">
        <v>39</v>
      </c>
      <c r="Q71" s="2">
        <v>45958</v>
      </c>
      <c r="V71" s="45">
        <f>IF(
  OR(
    ISNUMBER(SEARCH("unable to locate acct", tblDocketedComments[[#This Row],[Docketed Consumer Comments]])),
    ISNUMBER(SEARCH("unknown", tblDocketedComments[[#This Row],[Docketed Consumer Comments]])),
    ISNUMBER(SEARCH("inactive", tblDocketedComments[[#This Row],[Docketed Consumer Comments]]))
  ),
  0,
  1
)</f>
        <v>1</v>
      </c>
    </row>
    <row r="72" spans="1:22" hidden="1">
      <c r="A72" s="2">
        <v>45902</v>
      </c>
      <c r="B72" s="1" t="s">
        <v>301</v>
      </c>
      <c r="C72" s="1" t="s">
        <v>302</v>
      </c>
      <c r="D72" s="1" t="s">
        <v>112</v>
      </c>
      <c r="E72" s="1">
        <v>85374</v>
      </c>
      <c r="F72" s="3" t="s">
        <v>31</v>
      </c>
      <c r="G72" s="1" t="s">
        <v>303</v>
      </c>
      <c r="H72" s="4" t="s">
        <v>6173</v>
      </c>
      <c r="I72" s="5" t="s">
        <v>126</v>
      </c>
      <c r="J72" s="5" t="s">
        <v>39</v>
      </c>
      <c r="K72" s="5" t="s">
        <v>37</v>
      </c>
      <c r="L72" s="5" t="s">
        <v>204</v>
      </c>
      <c r="M72" s="5" t="s">
        <v>37</v>
      </c>
      <c r="N72" s="5" t="s">
        <v>37</v>
      </c>
      <c r="O72" s="5" t="s">
        <v>38</v>
      </c>
      <c r="P72" s="5" t="s">
        <v>39</v>
      </c>
      <c r="Q72" s="2">
        <v>45967</v>
      </c>
      <c r="V72" s="45">
        <f>IF(
  OR(
    ISNUMBER(SEARCH("unable to locate acct", tblDocketedComments[[#This Row],[Docketed Consumer Comments]])),
    ISNUMBER(SEARCH("unknown", tblDocketedComments[[#This Row],[Docketed Consumer Comments]])),
    ISNUMBER(SEARCH("inactive", tblDocketedComments[[#This Row],[Docketed Consumer Comments]]))
  ),
  0,
  1
)</f>
        <v>1</v>
      </c>
    </row>
    <row r="73" spans="1:22" hidden="1">
      <c r="A73" s="2">
        <v>45902</v>
      </c>
      <c r="B73" s="1" t="s">
        <v>304</v>
      </c>
      <c r="C73" s="1" t="s">
        <v>225</v>
      </c>
      <c r="D73" s="1" t="s">
        <v>125</v>
      </c>
      <c r="E73" s="1">
        <v>85254</v>
      </c>
      <c r="F73" s="3" t="s">
        <v>305</v>
      </c>
      <c r="G73" s="1" t="s">
        <v>303</v>
      </c>
      <c r="H73" s="4" t="s">
        <v>27</v>
      </c>
      <c r="V73" s="45">
        <f>IF(
  OR(
    ISNUMBER(SEARCH("unable to locate acct", tblDocketedComments[[#This Row],[Docketed Consumer Comments]])),
    ISNUMBER(SEARCH("unknown", tblDocketedComments[[#This Row],[Docketed Consumer Comments]])),
    ISNUMBER(SEARCH("inactive", tblDocketedComments[[#This Row],[Docketed Consumer Comments]]))
  ),
  0,
  1
)</f>
        <v>1</v>
      </c>
    </row>
    <row r="74" spans="1:22" hidden="1">
      <c r="A74" s="2">
        <v>56859</v>
      </c>
      <c r="B74" s="1" t="s">
        <v>306</v>
      </c>
      <c r="C74" s="1" t="s">
        <v>307</v>
      </c>
      <c r="D74" s="1" t="s">
        <v>202</v>
      </c>
      <c r="E74" s="1">
        <v>85382</v>
      </c>
      <c r="F74" s="3" t="s">
        <v>305</v>
      </c>
      <c r="G74" s="1" t="s">
        <v>303</v>
      </c>
      <c r="H74" s="4" t="s">
        <v>27</v>
      </c>
      <c r="V74" s="45">
        <f>IF(
  OR(
    ISNUMBER(SEARCH("unable to locate acct", tblDocketedComments[[#This Row],[Docketed Consumer Comments]])),
    ISNUMBER(SEARCH("unknown", tblDocketedComments[[#This Row],[Docketed Consumer Comments]])),
    ISNUMBER(SEARCH("inactive", tblDocketedComments[[#This Row],[Docketed Consumer Comments]]))
  ),
  0,
  1
)</f>
        <v>1</v>
      </c>
    </row>
    <row r="75" spans="1:22" hidden="1">
      <c r="A75" s="2">
        <v>45902</v>
      </c>
      <c r="B75" s="1" t="s">
        <v>308</v>
      </c>
      <c r="C75" s="1" t="s">
        <v>309</v>
      </c>
      <c r="D75" s="1" t="s">
        <v>112</v>
      </c>
      <c r="E75" s="1">
        <v>85387</v>
      </c>
      <c r="F75" s="1" t="s">
        <v>310</v>
      </c>
      <c r="G75" s="1" t="s">
        <v>303</v>
      </c>
      <c r="H75" s="4" t="s">
        <v>27</v>
      </c>
      <c r="V75" s="45">
        <f>IF(
  OR(
    ISNUMBER(SEARCH("unable to locate acct", tblDocketedComments[[#This Row],[Docketed Consumer Comments]])),
    ISNUMBER(SEARCH("unknown", tblDocketedComments[[#This Row],[Docketed Consumer Comments]])),
    ISNUMBER(SEARCH("inactive", tblDocketedComments[[#This Row],[Docketed Consumer Comments]]))
  ),
  0,
  1
)</f>
        <v>1</v>
      </c>
    </row>
    <row r="76" spans="1:22" hidden="1">
      <c r="A76" s="2">
        <v>45902</v>
      </c>
      <c r="B76" s="1" t="s">
        <v>311</v>
      </c>
      <c r="C76" s="1" t="s">
        <v>312</v>
      </c>
      <c r="D76" s="1" t="s">
        <v>313</v>
      </c>
      <c r="E76" s="1">
        <v>85381</v>
      </c>
      <c r="F76" s="3" t="s">
        <v>31</v>
      </c>
      <c r="G76" s="1" t="s">
        <v>303</v>
      </c>
      <c r="H76" s="4" t="s">
        <v>6174</v>
      </c>
      <c r="I76" s="5" t="s">
        <v>196</v>
      </c>
      <c r="J76" s="5" t="s">
        <v>37</v>
      </c>
      <c r="K76" s="5" t="s">
        <v>37</v>
      </c>
      <c r="L76" s="5" t="s">
        <v>38</v>
      </c>
      <c r="M76" s="5" t="s">
        <v>37</v>
      </c>
      <c r="N76" s="5" t="s">
        <v>37</v>
      </c>
      <c r="O76" s="5" t="s">
        <v>38</v>
      </c>
      <c r="P76" s="5" t="s">
        <v>39</v>
      </c>
      <c r="Q76" s="2">
        <v>45958</v>
      </c>
      <c r="V76" s="45">
        <f>IF(
  OR(
    ISNUMBER(SEARCH("unable to locate acct", tblDocketedComments[[#This Row],[Docketed Consumer Comments]])),
    ISNUMBER(SEARCH("unknown", tblDocketedComments[[#This Row],[Docketed Consumer Comments]])),
    ISNUMBER(SEARCH("inactive", tblDocketedComments[[#This Row],[Docketed Consumer Comments]]))
  ),
  0,
  1
)</f>
        <v>1</v>
      </c>
    </row>
    <row r="77" spans="1:22" hidden="1">
      <c r="A77" s="2">
        <v>45902</v>
      </c>
      <c r="B77" s="1" t="s">
        <v>314</v>
      </c>
      <c r="C77" s="1" t="s">
        <v>315</v>
      </c>
      <c r="D77" s="1" t="s">
        <v>174</v>
      </c>
      <c r="E77" s="1">
        <v>85326</v>
      </c>
      <c r="F77" s="3" t="s">
        <v>31</v>
      </c>
      <c r="G77" s="1" t="s">
        <v>303</v>
      </c>
      <c r="H77" s="4" t="s">
        <v>27</v>
      </c>
      <c r="V77" s="45">
        <f>IF(
  OR(
    ISNUMBER(SEARCH("unable to locate acct", tblDocketedComments[[#This Row],[Docketed Consumer Comments]])),
    ISNUMBER(SEARCH("unknown", tblDocketedComments[[#This Row],[Docketed Consumer Comments]])),
    ISNUMBER(SEARCH("inactive", tblDocketedComments[[#This Row],[Docketed Consumer Comments]]))
  ),
  0,
  1
)</f>
        <v>1</v>
      </c>
    </row>
    <row r="78" spans="1:22" hidden="1">
      <c r="A78" s="2">
        <v>45902</v>
      </c>
      <c r="B78" s="1" t="s">
        <v>316</v>
      </c>
      <c r="C78" s="1" t="s">
        <v>317</v>
      </c>
      <c r="D78" s="1" t="s">
        <v>174</v>
      </c>
      <c r="E78" s="1">
        <v>85326</v>
      </c>
      <c r="F78" s="3" t="s">
        <v>31</v>
      </c>
      <c r="G78" s="1" t="s">
        <v>303</v>
      </c>
      <c r="H78" s="4" t="s">
        <v>6175</v>
      </c>
      <c r="I78" s="5" t="s">
        <v>36</v>
      </c>
      <c r="J78" s="5" t="s">
        <v>37</v>
      </c>
      <c r="K78" s="5" t="s">
        <v>37</v>
      </c>
      <c r="L78" s="5" t="s">
        <v>38</v>
      </c>
      <c r="M78" s="5" t="s">
        <v>37</v>
      </c>
      <c r="N78" s="5" t="s">
        <v>37</v>
      </c>
      <c r="O78" s="5" t="s">
        <v>38</v>
      </c>
      <c r="P78" s="5" t="s">
        <v>39</v>
      </c>
      <c r="Q78" s="2">
        <v>45958</v>
      </c>
      <c r="V78" s="45">
        <f>IF(
  OR(
    ISNUMBER(SEARCH("unable to locate acct", tblDocketedComments[[#This Row],[Docketed Consumer Comments]])),
    ISNUMBER(SEARCH("unknown", tblDocketedComments[[#This Row],[Docketed Consumer Comments]])),
    ISNUMBER(SEARCH("inactive", tblDocketedComments[[#This Row],[Docketed Consumer Comments]]))
  ),
  0,
  1
)</f>
        <v>1</v>
      </c>
    </row>
    <row r="79" spans="1:22" hidden="1">
      <c r="A79" s="2">
        <v>45902</v>
      </c>
      <c r="B79" s="1" t="s">
        <v>318</v>
      </c>
      <c r="C79" s="1" t="s">
        <v>75</v>
      </c>
      <c r="D79" s="1" t="s">
        <v>63</v>
      </c>
      <c r="E79" s="1">
        <v>85016</v>
      </c>
      <c r="F79" s="1" t="s">
        <v>310</v>
      </c>
      <c r="G79" s="1" t="s">
        <v>303</v>
      </c>
      <c r="H79" s="4" t="s">
        <v>209</v>
      </c>
      <c r="V79" s="45">
        <f>IF(
  OR(
    ISNUMBER(SEARCH("unable to locate acct", tblDocketedComments[[#This Row],[Docketed Consumer Comments]])),
    ISNUMBER(SEARCH("unknown", tblDocketedComments[[#This Row],[Docketed Consumer Comments]])),
    ISNUMBER(SEARCH("inactive", tblDocketedComments[[#This Row],[Docketed Consumer Comments]]))
  ),
  0,
  1
)</f>
        <v>1</v>
      </c>
    </row>
    <row r="80" spans="1:22" hidden="1">
      <c r="A80" s="2">
        <v>45902</v>
      </c>
      <c r="B80" s="1" t="s">
        <v>319</v>
      </c>
      <c r="C80" s="1" t="s">
        <v>320</v>
      </c>
      <c r="D80" s="1" t="s">
        <v>125</v>
      </c>
      <c r="E80" s="1">
        <v>85260</v>
      </c>
      <c r="F80" s="3" t="s">
        <v>31</v>
      </c>
      <c r="G80" s="1" t="s">
        <v>303</v>
      </c>
      <c r="H80" s="4" t="s">
        <v>321</v>
      </c>
      <c r="I80" s="5" t="s">
        <v>196</v>
      </c>
      <c r="J80" s="5" t="s">
        <v>37</v>
      </c>
      <c r="K80" s="5" t="s">
        <v>37</v>
      </c>
      <c r="L80" s="5" t="s">
        <v>322</v>
      </c>
      <c r="M80" s="5" t="s">
        <v>37</v>
      </c>
      <c r="N80" s="5" t="s">
        <v>37</v>
      </c>
      <c r="O80" s="5" t="s">
        <v>38</v>
      </c>
      <c r="P80" s="5" t="s">
        <v>39</v>
      </c>
      <c r="Q80" s="2">
        <v>45957</v>
      </c>
      <c r="V80" s="45">
        <f>IF(
  OR(
    ISNUMBER(SEARCH("unable to locate acct", tblDocketedComments[[#This Row],[Docketed Consumer Comments]])),
    ISNUMBER(SEARCH("unknown", tblDocketedComments[[#This Row],[Docketed Consumer Comments]])),
    ISNUMBER(SEARCH("inactive", tblDocketedComments[[#This Row],[Docketed Consumer Comments]]))
  ),
  0,
  1
)</f>
        <v>1</v>
      </c>
    </row>
    <row r="81" spans="1:22" hidden="1">
      <c r="A81" s="2">
        <v>45902</v>
      </c>
      <c r="B81" s="1" t="s">
        <v>323</v>
      </c>
      <c r="C81" s="1" t="s">
        <v>324</v>
      </c>
      <c r="D81" s="1" t="s">
        <v>63</v>
      </c>
      <c r="E81" s="1">
        <v>85085</v>
      </c>
      <c r="F81" s="1" t="s">
        <v>310</v>
      </c>
      <c r="G81" s="1" t="s">
        <v>303</v>
      </c>
      <c r="H81" s="4" t="s">
        <v>6176</v>
      </c>
      <c r="I81" s="5" t="s">
        <v>36</v>
      </c>
      <c r="J81" s="5" t="s">
        <v>37</v>
      </c>
      <c r="K81" s="5" t="s">
        <v>37</v>
      </c>
      <c r="L81" s="5" t="s">
        <v>38</v>
      </c>
      <c r="M81" s="5" t="s">
        <v>37</v>
      </c>
      <c r="N81" s="5" t="s">
        <v>37</v>
      </c>
      <c r="O81" s="5" t="s">
        <v>38</v>
      </c>
      <c r="P81" s="5" t="s">
        <v>39</v>
      </c>
      <c r="Q81" s="2">
        <v>45958</v>
      </c>
      <c r="V81" s="45">
        <f>IF(
  OR(
    ISNUMBER(SEARCH("unable to locate acct", tblDocketedComments[[#This Row],[Docketed Consumer Comments]])),
    ISNUMBER(SEARCH("unknown", tblDocketedComments[[#This Row],[Docketed Consumer Comments]])),
    ISNUMBER(SEARCH("inactive", tblDocketedComments[[#This Row],[Docketed Consumer Comments]]))
  ),
  0,
  1
)</f>
        <v>1</v>
      </c>
    </row>
    <row r="82" spans="1:22" hidden="1">
      <c r="A82" s="2">
        <v>45902</v>
      </c>
      <c r="B82" s="1" t="s">
        <v>325</v>
      </c>
      <c r="C82" s="1" t="s">
        <v>135</v>
      </c>
      <c r="D82" s="1" t="s">
        <v>63</v>
      </c>
      <c r="E82" s="1">
        <v>85027</v>
      </c>
      <c r="F82" s="3" t="s">
        <v>31</v>
      </c>
      <c r="G82" s="1" t="s">
        <v>303</v>
      </c>
      <c r="H82" s="4" t="s">
        <v>326</v>
      </c>
      <c r="I82" s="5" t="s">
        <v>36</v>
      </c>
      <c r="J82" s="5" t="s">
        <v>37</v>
      </c>
      <c r="K82" s="5" t="s">
        <v>37</v>
      </c>
      <c r="L82" s="5" t="s">
        <v>38</v>
      </c>
      <c r="M82" s="5" t="s">
        <v>37</v>
      </c>
      <c r="N82" s="5" t="s">
        <v>37</v>
      </c>
      <c r="O82" s="5" t="s">
        <v>38</v>
      </c>
      <c r="P82" s="5" t="s">
        <v>39</v>
      </c>
      <c r="Q82" s="2">
        <v>45958</v>
      </c>
      <c r="V82" s="45">
        <f>IF(
  OR(
    ISNUMBER(SEARCH("unable to locate acct", tblDocketedComments[[#This Row],[Docketed Consumer Comments]])),
    ISNUMBER(SEARCH("unknown", tblDocketedComments[[#This Row],[Docketed Consumer Comments]])),
    ISNUMBER(SEARCH("inactive", tblDocketedComments[[#This Row],[Docketed Consumer Comments]]))
  ),
  0,
  1
)</f>
        <v>1</v>
      </c>
    </row>
    <row r="83" spans="1:22" hidden="1">
      <c r="A83" s="2">
        <v>45902</v>
      </c>
      <c r="B83" s="1" t="s">
        <v>327</v>
      </c>
      <c r="C83" s="1" t="s">
        <v>328</v>
      </c>
      <c r="D83" s="1" t="s">
        <v>63</v>
      </c>
      <c r="E83" s="1">
        <v>85027</v>
      </c>
      <c r="F83" s="1" t="s">
        <v>310</v>
      </c>
      <c r="G83" s="1" t="s">
        <v>303</v>
      </c>
      <c r="H83" s="4" t="s">
        <v>6177</v>
      </c>
      <c r="I83" s="5" t="s">
        <v>126</v>
      </c>
      <c r="J83" s="5" t="s">
        <v>37</v>
      </c>
      <c r="K83" s="5" t="s">
        <v>37</v>
      </c>
      <c r="L83" s="5" t="s">
        <v>38</v>
      </c>
      <c r="M83" s="5" t="s">
        <v>37</v>
      </c>
      <c r="N83" s="5" t="s">
        <v>37</v>
      </c>
      <c r="O83" s="5" t="s">
        <v>38</v>
      </c>
      <c r="P83" s="5" t="s">
        <v>39</v>
      </c>
      <c r="Q83" s="2">
        <v>45958</v>
      </c>
      <c r="V83" s="45">
        <f>IF(
  OR(
    ISNUMBER(SEARCH("unable to locate acct", tblDocketedComments[[#This Row],[Docketed Consumer Comments]])),
    ISNUMBER(SEARCH("unknown", tblDocketedComments[[#This Row],[Docketed Consumer Comments]])),
    ISNUMBER(SEARCH("inactive", tblDocketedComments[[#This Row],[Docketed Consumer Comments]]))
  ),
  0,
  1
)</f>
        <v>1</v>
      </c>
    </row>
    <row r="84" spans="1:22" hidden="1">
      <c r="A84" s="2">
        <v>45902</v>
      </c>
      <c r="B84" s="1" t="s">
        <v>144</v>
      </c>
      <c r="C84" s="1" t="s">
        <v>329</v>
      </c>
      <c r="D84" s="1" t="s">
        <v>63</v>
      </c>
      <c r="E84" s="1">
        <v>85008</v>
      </c>
      <c r="F84" s="1" t="s">
        <v>310</v>
      </c>
      <c r="G84" s="1" t="s">
        <v>303</v>
      </c>
      <c r="H84" s="4" t="s">
        <v>330</v>
      </c>
      <c r="I84" s="5" t="s">
        <v>57</v>
      </c>
      <c r="J84" s="5" t="s">
        <v>37</v>
      </c>
      <c r="K84" s="5" t="s">
        <v>37</v>
      </c>
      <c r="L84" s="7" t="s">
        <v>331</v>
      </c>
      <c r="M84" s="5" t="s">
        <v>37</v>
      </c>
      <c r="N84" s="5" t="s">
        <v>37</v>
      </c>
      <c r="O84" s="5" t="s">
        <v>38</v>
      </c>
      <c r="P84" s="2">
        <v>45932</v>
      </c>
      <c r="Q84" s="2">
        <v>45685</v>
      </c>
      <c r="R84" s="1" t="s">
        <v>332</v>
      </c>
      <c r="V84" s="45">
        <f>IF(
  OR(
    ISNUMBER(SEARCH("unable to locate acct", tblDocketedComments[[#This Row],[Docketed Consumer Comments]])),
    ISNUMBER(SEARCH("unknown", tblDocketedComments[[#This Row],[Docketed Consumer Comments]])),
    ISNUMBER(SEARCH("inactive", tblDocketedComments[[#This Row],[Docketed Consumer Comments]]))
  ),
  0,
  1
)</f>
        <v>1</v>
      </c>
    </row>
    <row r="85" spans="1:22" hidden="1">
      <c r="A85" s="2">
        <v>45902</v>
      </c>
      <c r="B85" s="1" t="s">
        <v>333</v>
      </c>
      <c r="C85" s="1" t="s">
        <v>334</v>
      </c>
      <c r="D85" s="1" t="s">
        <v>202</v>
      </c>
      <c r="E85" s="1">
        <v>85345</v>
      </c>
      <c r="F85" s="1" t="s">
        <v>310</v>
      </c>
      <c r="G85" s="1" t="s">
        <v>303</v>
      </c>
      <c r="H85" s="4" t="s">
        <v>6541</v>
      </c>
      <c r="I85" s="5" t="s">
        <v>36</v>
      </c>
      <c r="J85" s="5" t="s">
        <v>37</v>
      </c>
      <c r="K85" s="5" t="s">
        <v>37</v>
      </c>
      <c r="L85" s="5" t="s">
        <v>38</v>
      </c>
      <c r="M85" s="5" t="s">
        <v>38</v>
      </c>
      <c r="N85" s="5">
        <v>175.19</v>
      </c>
      <c r="O85" s="5" t="s">
        <v>38</v>
      </c>
      <c r="P85" s="5" t="s">
        <v>39</v>
      </c>
      <c r="Q85" s="2">
        <v>45958</v>
      </c>
      <c r="V85" s="45">
        <f>IF(
  OR(
    ISNUMBER(SEARCH("unable to locate acct", tblDocketedComments[[#This Row],[Docketed Consumer Comments]])),
    ISNUMBER(SEARCH("unknown", tblDocketedComments[[#This Row],[Docketed Consumer Comments]])),
    ISNUMBER(SEARCH("inactive", tblDocketedComments[[#This Row],[Docketed Consumer Comments]]))
  ),
  0,
  1
)</f>
        <v>1</v>
      </c>
    </row>
    <row r="86" spans="1:22" hidden="1">
      <c r="A86" s="2">
        <v>45902</v>
      </c>
      <c r="B86" s="1" t="s">
        <v>335</v>
      </c>
      <c r="C86" s="1" t="s">
        <v>336</v>
      </c>
      <c r="D86" s="1" t="s">
        <v>63</v>
      </c>
      <c r="E86" s="1">
        <v>85004</v>
      </c>
      <c r="F86" s="1" t="s">
        <v>310</v>
      </c>
      <c r="G86" s="1" t="s">
        <v>303</v>
      </c>
      <c r="H86" s="4" t="s">
        <v>337</v>
      </c>
      <c r="I86" s="5" t="s">
        <v>126</v>
      </c>
      <c r="J86" s="5" t="s">
        <v>37</v>
      </c>
      <c r="K86" s="5" t="s">
        <v>37</v>
      </c>
      <c r="L86" s="5" t="s">
        <v>338</v>
      </c>
      <c r="M86" s="5" t="s">
        <v>37</v>
      </c>
      <c r="N86" s="5" t="s">
        <v>37</v>
      </c>
      <c r="O86" s="5" t="s">
        <v>38</v>
      </c>
      <c r="P86" s="5" t="s">
        <v>39</v>
      </c>
      <c r="Q86" s="2">
        <v>45958</v>
      </c>
      <c r="V86" s="45">
        <f>IF(
  OR(
    ISNUMBER(SEARCH("unable to locate acct", tblDocketedComments[[#This Row],[Docketed Consumer Comments]])),
    ISNUMBER(SEARCH("unknown", tblDocketedComments[[#This Row],[Docketed Consumer Comments]])),
    ISNUMBER(SEARCH("inactive", tblDocketedComments[[#This Row],[Docketed Consumer Comments]]))
  ),
  0,
  1
)</f>
        <v>1</v>
      </c>
    </row>
    <row r="87" spans="1:22" hidden="1">
      <c r="A87" s="2">
        <v>45902</v>
      </c>
      <c r="B87" s="1" t="s">
        <v>339</v>
      </c>
      <c r="C87" s="1" t="s">
        <v>340</v>
      </c>
      <c r="D87" s="1" t="s">
        <v>63</v>
      </c>
      <c r="E87" s="1">
        <v>85027</v>
      </c>
      <c r="F87" s="3" t="s">
        <v>31</v>
      </c>
      <c r="G87" s="1" t="s">
        <v>303</v>
      </c>
      <c r="H87" s="4" t="s">
        <v>6010</v>
      </c>
      <c r="I87" s="5" t="s">
        <v>196</v>
      </c>
      <c r="J87" s="5" t="s">
        <v>37</v>
      </c>
      <c r="K87" s="5" t="s">
        <v>37</v>
      </c>
      <c r="L87" s="5" t="s">
        <v>341</v>
      </c>
      <c r="M87" s="5" t="s">
        <v>37</v>
      </c>
      <c r="N87" s="5" t="s">
        <v>37</v>
      </c>
      <c r="O87" s="5" t="s">
        <v>38</v>
      </c>
      <c r="P87" s="5" t="s">
        <v>39</v>
      </c>
      <c r="Q87" s="2">
        <v>45958</v>
      </c>
      <c r="V87" s="45">
        <f>IF(
  OR(
    ISNUMBER(SEARCH("unable to locate acct", tblDocketedComments[[#This Row],[Docketed Consumer Comments]])),
    ISNUMBER(SEARCH("unknown", tblDocketedComments[[#This Row],[Docketed Consumer Comments]])),
    ISNUMBER(SEARCH("inactive", tblDocketedComments[[#This Row],[Docketed Consumer Comments]]))
  ),
  0,
  1
)</f>
        <v>1</v>
      </c>
    </row>
    <row r="88" spans="1:22" hidden="1">
      <c r="A88" s="2">
        <v>45902</v>
      </c>
      <c r="B88" s="1" t="s">
        <v>342</v>
      </c>
      <c r="C88" s="1" t="s">
        <v>343</v>
      </c>
      <c r="D88" s="1" t="s">
        <v>174</v>
      </c>
      <c r="E88" s="1">
        <v>85326</v>
      </c>
      <c r="F88" s="3" t="s">
        <v>31</v>
      </c>
      <c r="G88" s="1" t="s">
        <v>303</v>
      </c>
      <c r="H88" s="4" t="s">
        <v>344</v>
      </c>
      <c r="I88" s="5" t="s">
        <v>196</v>
      </c>
      <c r="J88" s="5" t="s">
        <v>37</v>
      </c>
      <c r="K88" s="5" t="s">
        <v>37</v>
      </c>
      <c r="L88" s="5" t="s">
        <v>38</v>
      </c>
      <c r="M88" s="5" t="s">
        <v>37</v>
      </c>
      <c r="N88" s="5" t="s">
        <v>37</v>
      </c>
      <c r="O88" s="5" t="s">
        <v>38</v>
      </c>
      <c r="P88" s="5" t="s">
        <v>39</v>
      </c>
      <c r="Q88" s="2">
        <v>45958</v>
      </c>
      <c r="V88" s="45">
        <f>IF(
  OR(
    ISNUMBER(SEARCH("unable to locate acct", tblDocketedComments[[#This Row],[Docketed Consumer Comments]])),
    ISNUMBER(SEARCH("unknown", tblDocketedComments[[#This Row],[Docketed Consumer Comments]])),
    ISNUMBER(SEARCH("inactive", tblDocketedComments[[#This Row],[Docketed Consumer Comments]]))
  ),
  0,
  1
)</f>
        <v>1</v>
      </c>
    </row>
    <row r="89" spans="1:22" hidden="1">
      <c r="A89" s="2">
        <v>45902</v>
      </c>
      <c r="B89" s="1" t="s">
        <v>345</v>
      </c>
      <c r="C89" s="1" t="s">
        <v>346</v>
      </c>
      <c r="D89" s="1" t="s">
        <v>261</v>
      </c>
      <c r="E89" s="1">
        <v>86314</v>
      </c>
      <c r="F89" s="3" t="s">
        <v>31</v>
      </c>
      <c r="G89" s="1" t="s">
        <v>303</v>
      </c>
      <c r="H89" s="4" t="s">
        <v>6537</v>
      </c>
      <c r="I89" s="5" t="s">
        <v>126</v>
      </c>
      <c r="J89" s="5" t="s">
        <v>37</v>
      </c>
      <c r="K89" s="5" t="s">
        <v>37</v>
      </c>
      <c r="L89" s="7" t="s">
        <v>347</v>
      </c>
      <c r="M89" s="5" t="s">
        <v>38</v>
      </c>
      <c r="N89" s="13">
        <v>605.92999999999995</v>
      </c>
      <c r="O89" s="5" t="s">
        <v>38</v>
      </c>
      <c r="P89" s="2">
        <v>45932</v>
      </c>
      <c r="Q89" s="2"/>
      <c r="R89" s="1" t="s">
        <v>332</v>
      </c>
      <c r="V89" s="45">
        <f>IF(
  OR(
    ISNUMBER(SEARCH("unable to locate acct", tblDocketedComments[[#This Row],[Docketed Consumer Comments]])),
    ISNUMBER(SEARCH("unknown", tblDocketedComments[[#This Row],[Docketed Consumer Comments]])),
    ISNUMBER(SEARCH("inactive", tblDocketedComments[[#This Row],[Docketed Consumer Comments]]))
  ),
  0,
  1
)</f>
        <v>1</v>
      </c>
    </row>
    <row r="90" spans="1:22" hidden="1">
      <c r="A90" s="2">
        <v>45902</v>
      </c>
      <c r="B90" s="1" t="s">
        <v>348</v>
      </c>
      <c r="C90" s="1" t="s">
        <v>349</v>
      </c>
      <c r="D90" s="1" t="s">
        <v>24</v>
      </c>
      <c r="E90" s="1">
        <v>85306</v>
      </c>
      <c r="F90" s="1" t="s">
        <v>310</v>
      </c>
      <c r="G90" s="1" t="s">
        <v>303</v>
      </c>
      <c r="H90" s="4" t="s">
        <v>350</v>
      </c>
      <c r="I90" s="5" t="s">
        <v>57</v>
      </c>
      <c r="J90" s="5" t="s">
        <v>37</v>
      </c>
      <c r="K90" s="5" t="s">
        <v>37</v>
      </c>
      <c r="L90" s="7" t="s">
        <v>351</v>
      </c>
      <c r="M90" s="5" t="s">
        <v>38</v>
      </c>
      <c r="N90" s="13">
        <v>591.48</v>
      </c>
      <c r="O90" s="5" t="s">
        <v>38</v>
      </c>
      <c r="P90" s="2">
        <v>45932</v>
      </c>
      <c r="Q90" s="2">
        <v>45968</v>
      </c>
      <c r="R90" s="1" t="s">
        <v>352</v>
      </c>
      <c r="V90" s="45">
        <f>IF(
  OR(
    ISNUMBER(SEARCH("unable to locate acct", tblDocketedComments[[#This Row],[Docketed Consumer Comments]])),
    ISNUMBER(SEARCH("unknown", tblDocketedComments[[#This Row],[Docketed Consumer Comments]])),
    ISNUMBER(SEARCH("inactive", tblDocketedComments[[#This Row],[Docketed Consumer Comments]]))
  ),
  0,
  1
)</f>
        <v>1</v>
      </c>
    </row>
    <row r="91" spans="1:22" hidden="1">
      <c r="A91" s="2">
        <v>45902</v>
      </c>
      <c r="B91" s="1" t="s">
        <v>353</v>
      </c>
      <c r="C91" s="1" t="s">
        <v>354</v>
      </c>
      <c r="D91" s="1" t="s">
        <v>112</v>
      </c>
      <c r="E91" s="1">
        <v>85387</v>
      </c>
      <c r="F91" s="1" t="s">
        <v>310</v>
      </c>
      <c r="G91" s="1" t="s">
        <v>303</v>
      </c>
      <c r="H91" s="4" t="s">
        <v>355</v>
      </c>
      <c r="I91" s="5" t="s">
        <v>196</v>
      </c>
      <c r="J91" s="5" t="s">
        <v>37</v>
      </c>
      <c r="K91" s="5" t="s">
        <v>37</v>
      </c>
      <c r="L91" s="5" t="s">
        <v>356</v>
      </c>
      <c r="M91" s="5" t="s">
        <v>37</v>
      </c>
      <c r="N91" s="5" t="s">
        <v>37</v>
      </c>
      <c r="O91" s="5" t="s">
        <v>38</v>
      </c>
      <c r="P91" s="5" t="s">
        <v>39</v>
      </c>
      <c r="Q91" s="2">
        <v>45968</v>
      </c>
      <c r="V91" s="45">
        <f>IF(
  OR(
    ISNUMBER(SEARCH("unable to locate acct", tblDocketedComments[[#This Row],[Docketed Consumer Comments]])),
    ISNUMBER(SEARCH("unknown", tblDocketedComments[[#This Row],[Docketed Consumer Comments]])),
    ISNUMBER(SEARCH("inactive", tblDocketedComments[[#This Row],[Docketed Consumer Comments]]))
  ),
  0,
  1
)</f>
        <v>1</v>
      </c>
    </row>
    <row r="92" spans="1:22" hidden="1">
      <c r="A92" s="2">
        <v>45902</v>
      </c>
      <c r="B92" s="1" t="s">
        <v>357</v>
      </c>
      <c r="C92" s="1" t="s">
        <v>358</v>
      </c>
      <c r="D92" s="1" t="s">
        <v>63</v>
      </c>
      <c r="E92" s="1">
        <v>85020</v>
      </c>
      <c r="F92" s="1" t="s">
        <v>310</v>
      </c>
      <c r="G92" s="1" t="s">
        <v>303</v>
      </c>
      <c r="H92" s="4" t="s">
        <v>359</v>
      </c>
      <c r="I92" s="5" t="s">
        <v>126</v>
      </c>
      <c r="J92" s="5" t="s">
        <v>37</v>
      </c>
      <c r="K92" s="5" t="s">
        <v>37</v>
      </c>
      <c r="L92" s="5" t="s">
        <v>360</v>
      </c>
      <c r="M92" s="5" t="s">
        <v>37</v>
      </c>
      <c r="N92" s="5" t="s">
        <v>37</v>
      </c>
      <c r="O92" s="5" t="s">
        <v>38</v>
      </c>
      <c r="P92" s="5" t="s">
        <v>39</v>
      </c>
      <c r="Q92" s="2">
        <v>45968</v>
      </c>
      <c r="V92" s="45">
        <f>IF(
  OR(
    ISNUMBER(SEARCH("unable to locate acct", tblDocketedComments[[#This Row],[Docketed Consumer Comments]])),
    ISNUMBER(SEARCH("unknown", tblDocketedComments[[#This Row],[Docketed Consumer Comments]])),
    ISNUMBER(SEARCH("inactive", tblDocketedComments[[#This Row],[Docketed Consumer Comments]]))
  ),
  0,
  1
)</f>
        <v>1</v>
      </c>
    </row>
    <row r="93" spans="1:22" hidden="1">
      <c r="A93" s="2">
        <v>45902</v>
      </c>
      <c r="B93" s="1" t="s">
        <v>361</v>
      </c>
      <c r="C93" s="1" t="s">
        <v>362</v>
      </c>
      <c r="D93" s="1" t="s">
        <v>240</v>
      </c>
      <c r="E93" s="1">
        <v>85340</v>
      </c>
      <c r="F93" s="3" t="s">
        <v>31</v>
      </c>
      <c r="G93" s="1" t="s">
        <v>303</v>
      </c>
      <c r="H93" s="4" t="s">
        <v>363</v>
      </c>
      <c r="I93" s="5" t="s">
        <v>36</v>
      </c>
      <c r="J93" s="5" t="s">
        <v>37</v>
      </c>
      <c r="K93" s="5" t="s">
        <v>37</v>
      </c>
      <c r="L93" s="5" t="s">
        <v>38</v>
      </c>
      <c r="M93" s="5" t="s">
        <v>37</v>
      </c>
      <c r="N93" s="5" t="s">
        <v>37</v>
      </c>
      <c r="O93" s="5" t="s">
        <v>38</v>
      </c>
      <c r="P93" s="5" t="s">
        <v>39</v>
      </c>
      <c r="Q93" s="2">
        <v>45968</v>
      </c>
      <c r="V93" s="45">
        <f>IF(
  OR(
    ISNUMBER(SEARCH("unable to locate acct", tblDocketedComments[[#This Row],[Docketed Consumer Comments]])),
    ISNUMBER(SEARCH("unknown", tblDocketedComments[[#This Row],[Docketed Consumer Comments]])),
    ISNUMBER(SEARCH("inactive", tblDocketedComments[[#This Row],[Docketed Consumer Comments]]))
  ),
  0,
  1
)</f>
        <v>1</v>
      </c>
    </row>
    <row r="94" spans="1:22" hidden="1">
      <c r="A94" s="2">
        <v>45902</v>
      </c>
      <c r="B94" s="1" t="s">
        <v>364</v>
      </c>
      <c r="C94" s="1" t="s">
        <v>284</v>
      </c>
      <c r="D94" s="1" t="s">
        <v>112</v>
      </c>
      <c r="E94" s="1">
        <v>85387</v>
      </c>
      <c r="F94" s="3" t="s">
        <v>31</v>
      </c>
      <c r="G94" s="1" t="s">
        <v>303</v>
      </c>
      <c r="H94" s="4" t="s">
        <v>365</v>
      </c>
      <c r="I94" s="5" t="s">
        <v>288</v>
      </c>
      <c r="J94" s="5" t="s">
        <v>38</v>
      </c>
      <c r="K94" s="5" t="s">
        <v>37</v>
      </c>
      <c r="L94" s="5" t="s">
        <v>38</v>
      </c>
      <c r="M94" s="5" t="s">
        <v>37</v>
      </c>
      <c r="N94" s="5" t="s">
        <v>37</v>
      </c>
      <c r="O94" s="5" t="s">
        <v>38</v>
      </c>
      <c r="P94" s="5" t="s">
        <v>39</v>
      </c>
      <c r="Q94" s="2">
        <v>45968</v>
      </c>
      <c r="V94" s="45">
        <f>IF(
  OR(
    ISNUMBER(SEARCH("unable to locate acct", tblDocketedComments[[#This Row],[Docketed Consumer Comments]])),
    ISNUMBER(SEARCH("unknown", tblDocketedComments[[#This Row],[Docketed Consumer Comments]])),
    ISNUMBER(SEARCH("inactive", tblDocketedComments[[#This Row],[Docketed Consumer Comments]]))
  ),
  0,
  1
)</f>
        <v>1</v>
      </c>
    </row>
    <row r="95" spans="1:22" hidden="1">
      <c r="A95" s="2">
        <v>45902</v>
      </c>
      <c r="B95" s="1" t="s">
        <v>366</v>
      </c>
      <c r="C95" s="1" t="s">
        <v>225</v>
      </c>
      <c r="D95" s="1" t="s">
        <v>63</v>
      </c>
      <c r="E95" s="1">
        <v>85020</v>
      </c>
      <c r="F95" s="1" t="s">
        <v>310</v>
      </c>
      <c r="G95" s="1" t="s">
        <v>303</v>
      </c>
      <c r="H95" s="4" t="s">
        <v>209</v>
      </c>
      <c r="V95" s="45">
        <f>IF(
  OR(
    ISNUMBER(SEARCH("unable to locate acct", tblDocketedComments[[#This Row],[Docketed Consumer Comments]])),
    ISNUMBER(SEARCH("unknown", tblDocketedComments[[#This Row],[Docketed Consumer Comments]])),
    ISNUMBER(SEARCH("inactive", tblDocketedComments[[#This Row],[Docketed Consumer Comments]]))
  ),
  0,
  1
)</f>
        <v>1</v>
      </c>
    </row>
    <row r="96" spans="1:22" hidden="1">
      <c r="A96" s="2">
        <v>45902</v>
      </c>
      <c r="B96" s="1" t="s">
        <v>367</v>
      </c>
      <c r="C96" s="1" t="s">
        <v>368</v>
      </c>
      <c r="D96" s="1" t="s">
        <v>369</v>
      </c>
      <c r="E96" s="1">
        <v>85225</v>
      </c>
      <c r="F96" s="3" t="s">
        <v>31</v>
      </c>
      <c r="G96" s="1" t="s">
        <v>303</v>
      </c>
      <c r="H96" s="4" t="s">
        <v>370</v>
      </c>
      <c r="I96" s="10" t="s">
        <v>36</v>
      </c>
      <c r="J96" s="5" t="s">
        <v>37</v>
      </c>
      <c r="K96" s="5" t="s">
        <v>37</v>
      </c>
      <c r="L96" s="5" t="s">
        <v>38</v>
      </c>
      <c r="M96" s="5" t="s">
        <v>37</v>
      </c>
      <c r="N96" s="5" t="s">
        <v>37</v>
      </c>
      <c r="O96" s="5" t="s">
        <v>38</v>
      </c>
      <c r="P96" s="5" t="s">
        <v>39</v>
      </c>
      <c r="Q96" s="2">
        <v>45968</v>
      </c>
      <c r="V96" s="45">
        <f>IF(
  OR(
    ISNUMBER(SEARCH("unable to locate acct", tblDocketedComments[[#This Row],[Docketed Consumer Comments]])),
    ISNUMBER(SEARCH("unknown", tblDocketedComments[[#This Row],[Docketed Consumer Comments]])),
    ISNUMBER(SEARCH("inactive", tblDocketedComments[[#This Row],[Docketed Consumer Comments]]))
  ),
  0,
  1
)</f>
        <v>1</v>
      </c>
    </row>
    <row r="97" spans="1:22" hidden="1">
      <c r="A97" s="2">
        <v>45902</v>
      </c>
      <c r="B97" s="1" t="s">
        <v>371</v>
      </c>
      <c r="C97" s="1" t="s">
        <v>372</v>
      </c>
      <c r="D97" s="1" t="s">
        <v>63</v>
      </c>
      <c r="E97" s="1">
        <v>85006</v>
      </c>
      <c r="F97" s="3" t="s">
        <v>31</v>
      </c>
      <c r="G97" s="1" t="s">
        <v>303</v>
      </c>
      <c r="H97" s="4" t="s">
        <v>373</v>
      </c>
      <c r="I97" s="5" t="s">
        <v>196</v>
      </c>
      <c r="J97" s="5" t="s">
        <v>37</v>
      </c>
      <c r="K97" s="5" t="s">
        <v>37</v>
      </c>
      <c r="L97" s="5" t="s">
        <v>38</v>
      </c>
      <c r="M97" s="5" t="s">
        <v>37</v>
      </c>
      <c r="N97" s="5" t="s">
        <v>37</v>
      </c>
      <c r="O97" s="5" t="s">
        <v>38</v>
      </c>
      <c r="P97" s="5" t="s">
        <v>39</v>
      </c>
      <c r="Q97" s="2">
        <v>45968</v>
      </c>
      <c r="V97" s="45">
        <f>IF(
  OR(
    ISNUMBER(SEARCH("unable to locate acct", tblDocketedComments[[#This Row],[Docketed Consumer Comments]])),
    ISNUMBER(SEARCH("unknown", tblDocketedComments[[#This Row],[Docketed Consumer Comments]])),
    ISNUMBER(SEARCH("inactive", tblDocketedComments[[#This Row],[Docketed Consumer Comments]]))
  ),
  0,
  1
)</f>
        <v>1</v>
      </c>
    </row>
    <row r="98" spans="1:22" hidden="1">
      <c r="A98" s="2">
        <v>45902</v>
      </c>
      <c r="B98" s="1" t="s">
        <v>374</v>
      </c>
      <c r="C98" s="1" t="s">
        <v>375</v>
      </c>
      <c r="D98" s="1" t="s">
        <v>112</v>
      </c>
      <c r="E98" s="1">
        <v>85388</v>
      </c>
      <c r="F98" s="3" t="s">
        <v>31</v>
      </c>
      <c r="G98" s="1" t="s">
        <v>303</v>
      </c>
      <c r="H98" s="4" t="s">
        <v>376</v>
      </c>
      <c r="I98" s="5" t="s">
        <v>196</v>
      </c>
      <c r="J98" s="5" t="s">
        <v>37</v>
      </c>
      <c r="K98" s="5" t="s">
        <v>37</v>
      </c>
      <c r="L98" s="7" t="s">
        <v>377</v>
      </c>
      <c r="M98" s="5" t="s">
        <v>37</v>
      </c>
      <c r="N98" s="5" t="s">
        <v>37</v>
      </c>
      <c r="O98" s="5" t="s">
        <v>38</v>
      </c>
      <c r="P98" s="2">
        <v>45932</v>
      </c>
      <c r="Q98" s="2">
        <v>45968</v>
      </c>
      <c r="R98" s="1" t="s">
        <v>332</v>
      </c>
      <c r="V98" s="45">
        <f>IF(
  OR(
    ISNUMBER(SEARCH("unable to locate acct", tblDocketedComments[[#This Row],[Docketed Consumer Comments]])),
    ISNUMBER(SEARCH("unknown", tblDocketedComments[[#This Row],[Docketed Consumer Comments]])),
    ISNUMBER(SEARCH("inactive", tblDocketedComments[[#This Row],[Docketed Consumer Comments]]))
  ),
  0,
  1
)</f>
        <v>1</v>
      </c>
    </row>
    <row r="99" spans="1:22" hidden="1">
      <c r="A99" s="2">
        <v>45902</v>
      </c>
      <c r="B99" s="1" t="s">
        <v>378</v>
      </c>
      <c r="C99" s="1" t="s">
        <v>312</v>
      </c>
      <c r="D99" s="1" t="s">
        <v>169</v>
      </c>
      <c r="E99" s="1">
        <v>85338</v>
      </c>
      <c r="F99" s="3" t="s">
        <v>31</v>
      </c>
      <c r="G99" s="1" t="s">
        <v>303</v>
      </c>
      <c r="H99" s="4" t="s">
        <v>379</v>
      </c>
      <c r="I99" s="5" t="s">
        <v>196</v>
      </c>
      <c r="J99" s="5" t="s">
        <v>37</v>
      </c>
      <c r="K99" s="5" t="s">
        <v>37</v>
      </c>
      <c r="L99" s="5" t="s">
        <v>38</v>
      </c>
      <c r="M99" s="5" t="s">
        <v>37</v>
      </c>
      <c r="N99" s="5" t="s">
        <v>37</v>
      </c>
      <c r="O99" s="5" t="s">
        <v>38</v>
      </c>
      <c r="P99" s="5" t="s">
        <v>39</v>
      </c>
      <c r="Q99" s="2">
        <v>45968</v>
      </c>
      <c r="V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 spans="1:22" hidden="1">
      <c r="A100" s="2">
        <v>45902</v>
      </c>
      <c r="B100" s="1" t="s">
        <v>380</v>
      </c>
      <c r="C100" s="1" t="s">
        <v>381</v>
      </c>
      <c r="D100" s="1" t="s">
        <v>202</v>
      </c>
      <c r="E100" s="1">
        <v>85345</v>
      </c>
      <c r="F100" s="3" t="s">
        <v>31</v>
      </c>
      <c r="G100" s="1" t="s">
        <v>303</v>
      </c>
      <c r="H100" s="4" t="s">
        <v>27</v>
      </c>
      <c r="V1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 spans="1:22" hidden="1">
      <c r="A101" s="2">
        <v>45902</v>
      </c>
      <c r="B101" s="1" t="s">
        <v>382</v>
      </c>
      <c r="C101" s="1" t="s">
        <v>383</v>
      </c>
      <c r="D101" s="1" t="s">
        <v>63</v>
      </c>
      <c r="E101" s="1">
        <v>85023</v>
      </c>
      <c r="F101" s="3" t="s">
        <v>31</v>
      </c>
      <c r="G101" s="1" t="s">
        <v>303</v>
      </c>
      <c r="H101" s="4" t="s">
        <v>6536</v>
      </c>
      <c r="I101" s="5" t="s">
        <v>126</v>
      </c>
      <c r="J101" s="5" t="s">
        <v>37</v>
      </c>
      <c r="K101" s="5" t="s">
        <v>37</v>
      </c>
      <c r="L101" s="5" t="s">
        <v>38</v>
      </c>
      <c r="M101" s="5" t="s">
        <v>37</v>
      </c>
      <c r="N101" s="5" t="s">
        <v>37</v>
      </c>
      <c r="O101" s="5" t="s">
        <v>38</v>
      </c>
      <c r="P101" s="5" t="s">
        <v>39</v>
      </c>
      <c r="Q101" s="2">
        <v>45968</v>
      </c>
      <c r="V1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 spans="1:22" hidden="1">
      <c r="A102" s="2">
        <v>45902</v>
      </c>
      <c r="B102" s="1" t="s">
        <v>384</v>
      </c>
      <c r="C102" s="1" t="s">
        <v>385</v>
      </c>
      <c r="D102" s="1" t="s">
        <v>169</v>
      </c>
      <c r="E102" s="1">
        <v>85338</v>
      </c>
      <c r="F102" s="3" t="s">
        <v>31</v>
      </c>
      <c r="G102" s="1" t="s">
        <v>303</v>
      </c>
      <c r="H102" s="4" t="s">
        <v>386</v>
      </c>
      <c r="I102" s="5" t="s">
        <v>243</v>
      </c>
      <c r="J102" s="5" t="s">
        <v>38</v>
      </c>
      <c r="K102" s="5" t="s">
        <v>37</v>
      </c>
      <c r="L102" s="5" t="s">
        <v>387</v>
      </c>
      <c r="M102" s="5" t="s">
        <v>38</v>
      </c>
      <c r="N102" s="13">
        <v>326.87</v>
      </c>
      <c r="O102" s="5" t="s">
        <v>38</v>
      </c>
      <c r="P102" s="5" t="s">
        <v>39</v>
      </c>
      <c r="Q102" s="2">
        <v>45968</v>
      </c>
      <c r="R102" s="1" t="s">
        <v>388</v>
      </c>
      <c r="V1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 spans="1:22" hidden="1">
      <c r="A103" s="2">
        <v>45902</v>
      </c>
      <c r="B103" s="1" t="s">
        <v>389</v>
      </c>
      <c r="C103" s="1" t="s">
        <v>390</v>
      </c>
      <c r="D103" s="1" t="s">
        <v>169</v>
      </c>
      <c r="E103" s="1">
        <v>85338</v>
      </c>
      <c r="F103" s="3" t="s">
        <v>31</v>
      </c>
      <c r="G103" s="1" t="s">
        <v>303</v>
      </c>
      <c r="H103" s="4" t="s">
        <v>391</v>
      </c>
      <c r="I103" s="5" t="s">
        <v>36</v>
      </c>
      <c r="J103" s="5" t="s">
        <v>37</v>
      </c>
      <c r="K103" s="5" t="s">
        <v>37</v>
      </c>
      <c r="L103" s="5" t="s">
        <v>38</v>
      </c>
      <c r="M103" s="5" t="s">
        <v>37</v>
      </c>
      <c r="N103" s="5" t="s">
        <v>37</v>
      </c>
      <c r="O103" s="5" t="s">
        <v>38</v>
      </c>
      <c r="P103" s="5" t="s">
        <v>39</v>
      </c>
      <c r="Q103" s="2">
        <v>45968</v>
      </c>
      <c r="V1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 spans="1:22" hidden="1">
      <c r="A104" s="2">
        <v>45902</v>
      </c>
      <c r="B104" s="1" t="s">
        <v>392</v>
      </c>
      <c r="C104" s="1" t="s">
        <v>393</v>
      </c>
      <c r="D104" s="1" t="s">
        <v>394</v>
      </c>
      <c r="E104" s="1">
        <v>85303</v>
      </c>
      <c r="F104" s="3" t="s">
        <v>31</v>
      </c>
      <c r="G104" s="1" t="s">
        <v>303</v>
      </c>
      <c r="H104" s="4" t="s">
        <v>395</v>
      </c>
      <c r="I104" s="5" t="s">
        <v>126</v>
      </c>
      <c r="J104" s="5" t="s">
        <v>37</v>
      </c>
      <c r="K104" s="5" t="s">
        <v>37</v>
      </c>
      <c r="L104" s="5" t="s">
        <v>38</v>
      </c>
      <c r="M104" s="5" t="s">
        <v>37</v>
      </c>
      <c r="N104" s="5" t="s">
        <v>37</v>
      </c>
      <c r="O104" s="5" t="s">
        <v>38</v>
      </c>
      <c r="P104" s="5" t="s">
        <v>39</v>
      </c>
      <c r="Q104" s="2">
        <v>45968</v>
      </c>
      <c r="V1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 spans="1:22" hidden="1">
      <c r="A105" s="2">
        <v>45902</v>
      </c>
      <c r="B105" s="1" t="s">
        <v>396</v>
      </c>
      <c r="C105" s="1" t="s">
        <v>397</v>
      </c>
      <c r="D105" s="1" t="s">
        <v>63</v>
      </c>
      <c r="E105" s="1">
        <v>85006</v>
      </c>
      <c r="F105" s="3" t="s">
        <v>31</v>
      </c>
      <c r="G105" s="1" t="s">
        <v>303</v>
      </c>
      <c r="H105" s="4" t="s">
        <v>398</v>
      </c>
      <c r="I105" s="5" t="s">
        <v>36</v>
      </c>
      <c r="J105" s="5" t="s">
        <v>37</v>
      </c>
      <c r="K105" s="5" t="s">
        <v>37</v>
      </c>
      <c r="L105" s="5" t="s">
        <v>399</v>
      </c>
      <c r="M105" s="5" t="s">
        <v>37</v>
      </c>
      <c r="N105" s="5" t="s">
        <v>37</v>
      </c>
      <c r="O105" s="5" t="s">
        <v>38</v>
      </c>
      <c r="P105" s="5" t="s">
        <v>39</v>
      </c>
      <c r="Q105" s="2">
        <v>45968</v>
      </c>
      <c r="V1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 spans="1:22" hidden="1">
      <c r="A106" s="2">
        <v>45902</v>
      </c>
      <c r="B106" s="1" t="s">
        <v>400</v>
      </c>
      <c r="C106" s="1" t="s">
        <v>401</v>
      </c>
      <c r="D106" s="1" t="s">
        <v>24</v>
      </c>
      <c r="E106" s="1">
        <v>85307</v>
      </c>
      <c r="F106" s="1" t="s">
        <v>310</v>
      </c>
      <c r="G106" s="1" t="s">
        <v>303</v>
      </c>
      <c r="H106" s="4" t="s">
        <v>402</v>
      </c>
      <c r="I106" s="5" t="s">
        <v>126</v>
      </c>
      <c r="J106" s="5" t="s">
        <v>37</v>
      </c>
      <c r="K106" s="5" t="s">
        <v>37</v>
      </c>
      <c r="L106" s="5" t="s">
        <v>403</v>
      </c>
      <c r="M106" s="5" t="s">
        <v>37</v>
      </c>
      <c r="N106" s="5" t="s">
        <v>37</v>
      </c>
      <c r="O106" s="5" t="s">
        <v>38</v>
      </c>
      <c r="P106" s="5" t="s">
        <v>39</v>
      </c>
      <c r="Q106" s="2">
        <v>45968</v>
      </c>
      <c r="V1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 spans="1:22" hidden="1">
      <c r="A107" s="2">
        <v>45902</v>
      </c>
      <c r="B107" s="1" t="s">
        <v>404</v>
      </c>
      <c r="C107" s="1" t="s">
        <v>405</v>
      </c>
      <c r="D107" s="1" t="s">
        <v>63</v>
      </c>
      <c r="E107" s="1">
        <v>85006</v>
      </c>
      <c r="F107" s="3" t="s">
        <v>31</v>
      </c>
      <c r="G107" s="1" t="s">
        <v>303</v>
      </c>
      <c r="H107" s="4" t="s">
        <v>406</v>
      </c>
      <c r="I107" s="5" t="s">
        <v>57</v>
      </c>
      <c r="J107" s="5" t="s">
        <v>37</v>
      </c>
      <c r="K107" s="5" t="s">
        <v>37</v>
      </c>
      <c r="L107" s="7" t="s">
        <v>407</v>
      </c>
      <c r="M107" s="5" t="s">
        <v>37</v>
      </c>
      <c r="N107" s="5" t="s">
        <v>37</v>
      </c>
      <c r="O107" s="5" t="s">
        <v>38</v>
      </c>
      <c r="P107" s="2">
        <v>45932</v>
      </c>
      <c r="Q107" s="2">
        <v>45968</v>
      </c>
      <c r="R107" s="1" t="s">
        <v>332</v>
      </c>
      <c r="V1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 spans="1:22" hidden="1">
      <c r="A108" s="2">
        <v>45902</v>
      </c>
      <c r="B108" s="1" t="s">
        <v>408</v>
      </c>
      <c r="C108" s="1" t="s">
        <v>409</v>
      </c>
      <c r="D108" s="1" t="s">
        <v>410</v>
      </c>
      <c r="E108" s="1">
        <v>85123</v>
      </c>
      <c r="F108" s="1" t="s">
        <v>310</v>
      </c>
      <c r="G108" s="1" t="s">
        <v>303</v>
      </c>
      <c r="H108" s="4" t="s">
        <v>411</v>
      </c>
      <c r="I108" s="5" t="s">
        <v>196</v>
      </c>
      <c r="J108" s="5" t="s">
        <v>37</v>
      </c>
      <c r="K108" s="5" t="s">
        <v>37</v>
      </c>
      <c r="L108" s="5" t="s">
        <v>412</v>
      </c>
      <c r="M108" s="5" t="s">
        <v>37</v>
      </c>
      <c r="N108" s="5" t="s">
        <v>37</v>
      </c>
      <c r="O108" s="5" t="s">
        <v>38</v>
      </c>
      <c r="P108" s="5" t="s">
        <v>39</v>
      </c>
      <c r="Q108" s="2">
        <v>45968</v>
      </c>
      <c r="V1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 spans="1:22" hidden="1">
      <c r="A109" s="2">
        <v>45902</v>
      </c>
      <c r="B109" s="1" t="s">
        <v>413</v>
      </c>
      <c r="C109" s="1" t="s">
        <v>414</v>
      </c>
      <c r="D109" s="1" t="s">
        <v>112</v>
      </c>
      <c r="E109" s="1">
        <v>85379</v>
      </c>
      <c r="F109" s="3" t="s">
        <v>31</v>
      </c>
      <c r="G109" s="1" t="s">
        <v>303</v>
      </c>
      <c r="H109" s="4" t="s">
        <v>415</v>
      </c>
      <c r="I109" s="5" t="s">
        <v>416</v>
      </c>
      <c r="J109" s="5" t="s">
        <v>37</v>
      </c>
      <c r="K109" s="5" t="s">
        <v>37</v>
      </c>
      <c r="L109" s="5" t="s">
        <v>387</v>
      </c>
      <c r="M109" s="5" t="s">
        <v>37</v>
      </c>
      <c r="N109" s="5" t="s">
        <v>37</v>
      </c>
      <c r="O109" s="5" t="s">
        <v>38</v>
      </c>
      <c r="P109" s="5" t="s">
        <v>39</v>
      </c>
      <c r="Q109" s="2">
        <v>45968</v>
      </c>
      <c r="V1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 spans="1:22" hidden="1">
      <c r="A110" s="2">
        <v>45902</v>
      </c>
      <c r="B110" s="1" t="s">
        <v>417</v>
      </c>
      <c r="C110" s="1" t="s">
        <v>418</v>
      </c>
      <c r="D110" s="1" t="s">
        <v>174</v>
      </c>
      <c r="E110" s="1">
        <v>85326</v>
      </c>
      <c r="F110" s="3" t="s">
        <v>31</v>
      </c>
      <c r="G110" s="1" t="s">
        <v>303</v>
      </c>
      <c r="H110" s="4" t="s">
        <v>27</v>
      </c>
      <c r="V1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 spans="1:22" hidden="1">
      <c r="A111" s="2">
        <v>45902</v>
      </c>
      <c r="B111" s="1" t="s">
        <v>419</v>
      </c>
      <c r="C111" s="1" t="s">
        <v>420</v>
      </c>
      <c r="D111" s="1" t="s">
        <v>63</v>
      </c>
      <c r="E111" s="1">
        <v>85054</v>
      </c>
      <c r="F111" s="1" t="s">
        <v>310</v>
      </c>
      <c r="G111" s="1" t="s">
        <v>303</v>
      </c>
      <c r="H111" s="4" t="s">
        <v>6011</v>
      </c>
      <c r="I111" s="5" t="s">
        <v>196</v>
      </c>
      <c r="J111" s="5" t="s">
        <v>37</v>
      </c>
      <c r="K111" s="5" t="s">
        <v>37</v>
      </c>
      <c r="L111" s="7" t="s">
        <v>421</v>
      </c>
      <c r="M111" s="5" t="s">
        <v>37</v>
      </c>
      <c r="N111" s="5" t="s">
        <v>37</v>
      </c>
      <c r="O111" s="5" t="s">
        <v>38</v>
      </c>
      <c r="P111" s="2">
        <v>45932</v>
      </c>
      <c r="Q111" s="2">
        <v>45958</v>
      </c>
      <c r="R111" s="1" t="s">
        <v>332</v>
      </c>
      <c r="V1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 spans="1:22" hidden="1">
      <c r="A112" s="2">
        <v>45902</v>
      </c>
      <c r="B112" s="1" t="s">
        <v>422</v>
      </c>
      <c r="C112" s="1" t="s">
        <v>423</v>
      </c>
      <c r="D112" s="1" t="s">
        <v>240</v>
      </c>
      <c r="E112" s="1">
        <v>85340</v>
      </c>
      <c r="F112" s="1" t="s">
        <v>310</v>
      </c>
      <c r="G112" s="1" t="s">
        <v>303</v>
      </c>
      <c r="H112" s="4" t="s">
        <v>27</v>
      </c>
      <c r="V1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 spans="1:22" hidden="1">
      <c r="A113" s="2">
        <v>45902</v>
      </c>
      <c r="B113" s="1" t="s">
        <v>424</v>
      </c>
      <c r="C113" s="1" t="s">
        <v>425</v>
      </c>
      <c r="D113" s="1" t="s">
        <v>426</v>
      </c>
      <c r="E113" s="1">
        <v>85335</v>
      </c>
      <c r="F113" s="3" t="s">
        <v>31</v>
      </c>
      <c r="G113" s="1" t="s">
        <v>303</v>
      </c>
      <c r="H113" s="4" t="s">
        <v>27</v>
      </c>
      <c r="V1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 spans="1:22" hidden="1">
      <c r="A114" s="2">
        <v>45902</v>
      </c>
      <c r="B114" s="1" t="s">
        <v>427</v>
      </c>
      <c r="C114" s="1" t="s">
        <v>135</v>
      </c>
      <c r="D114" s="1" t="s">
        <v>63</v>
      </c>
      <c r="E114" s="1">
        <v>85029</v>
      </c>
      <c r="F114" s="1" t="s">
        <v>310</v>
      </c>
      <c r="G114" s="1" t="s">
        <v>303</v>
      </c>
      <c r="H114" s="4" t="s">
        <v>6178</v>
      </c>
      <c r="I114" s="5" t="s">
        <v>36</v>
      </c>
      <c r="J114" s="5" t="s">
        <v>38</v>
      </c>
      <c r="K114" s="5" t="s">
        <v>37</v>
      </c>
      <c r="L114" s="5" t="s">
        <v>38</v>
      </c>
      <c r="M114" s="5" t="s">
        <v>37</v>
      </c>
      <c r="N114" s="5" t="s">
        <v>37</v>
      </c>
      <c r="O114" s="5" t="s">
        <v>38</v>
      </c>
      <c r="P114" s="5" t="s">
        <v>428</v>
      </c>
      <c r="Q114" s="2">
        <v>45958</v>
      </c>
      <c r="V1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 spans="1:22" hidden="1">
      <c r="A115" s="2">
        <v>45902</v>
      </c>
      <c r="B115" s="1" t="s">
        <v>429</v>
      </c>
      <c r="C115" s="1" t="s">
        <v>390</v>
      </c>
      <c r="D115" s="1" t="s">
        <v>63</v>
      </c>
      <c r="E115" s="1">
        <v>85006</v>
      </c>
      <c r="F115" s="3" t="s">
        <v>31</v>
      </c>
      <c r="G115" s="1" t="s">
        <v>303</v>
      </c>
      <c r="H115" s="4" t="s">
        <v>209</v>
      </c>
      <c r="V1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 spans="1:22" hidden="1">
      <c r="A116" s="2">
        <v>45902</v>
      </c>
      <c r="B116" s="1" t="s">
        <v>430</v>
      </c>
      <c r="C116" s="1" t="s">
        <v>431</v>
      </c>
      <c r="D116" s="1" t="s">
        <v>85</v>
      </c>
      <c r="E116" s="1">
        <v>86323</v>
      </c>
      <c r="F116" s="1" t="s">
        <v>31</v>
      </c>
      <c r="G116" s="1" t="s">
        <v>303</v>
      </c>
      <c r="H116" s="4" t="s">
        <v>455</v>
      </c>
      <c r="I116" s="5" t="s">
        <v>288</v>
      </c>
      <c r="J116" s="5" t="s">
        <v>37</v>
      </c>
      <c r="K116" s="5" t="s">
        <v>37</v>
      </c>
      <c r="L116" s="5" t="s">
        <v>38</v>
      </c>
      <c r="M116" s="5" t="s">
        <v>37</v>
      </c>
      <c r="N116" s="5" t="s">
        <v>37</v>
      </c>
      <c r="O116" s="5" t="s">
        <v>38</v>
      </c>
      <c r="P116" s="5" t="s">
        <v>39</v>
      </c>
      <c r="Q116" s="2">
        <v>45958</v>
      </c>
      <c r="V1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 spans="1:22" hidden="1">
      <c r="A117" s="2">
        <v>45902</v>
      </c>
      <c r="B117" s="1" t="s">
        <v>432</v>
      </c>
      <c r="C117" s="1" t="s">
        <v>145</v>
      </c>
      <c r="D117" s="1" t="s">
        <v>112</v>
      </c>
      <c r="E117" s="1">
        <v>85379</v>
      </c>
      <c r="F117" s="1" t="s">
        <v>310</v>
      </c>
      <c r="G117" s="1" t="s">
        <v>303</v>
      </c>
      <c r="H117" s="4" t="s">
        <v>433</v>
      </c>
      <c r="I117" s="5" t="s">
        <v>126</v>
      </c>
      <c r="J117" s="5" t="s">
        <v>37</v>
      </c>
      <c r="K117" s="5" t="s">
        <v>37</v>
      </c>
      <c r="L117" s="5" t="s">
        <v>38</v>
      </c>
      <c r="M117" s="5" t="s">
        <v>37</v>
      </c>
      <c r="N117" s="5" t="s">
        <v>37</v>
      </c>
      <c r="O117" s="5" t="s">
        <v>38</v>
      </c>
      <c r="P117" s="5" t="s">
        <v>39</v>
      </c>
      <c r="Q117" s="2">
        <v>45958</v>
      </c>
      <c r="V1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 spans="1:22" hidden="1">
      <c r="A118" s="2">
        <v>45902</v>
      </c>
      <c r="B118" s="1" t="s">
        <v>434</v>
      </c>
      <c r="C118" s="1" t="s">
        <v>435</v>
      </c>
      <c r="D118" s="1" t="s">
        <v>169</v>
      </c>
      <c r="E118" s="1">
        <v>85338</v>
      </c>
      <c r="F118" s="1" t="s">
        <v>31</v>
      </c>
      <c r="G118" s="1" t="s">
        <v>303</v>
      </c>
      <c r="H118" s="4" t="s">
        <v>436</v>
      </c>
      <c r="I118" s="5" t="s">
        <v>416</v>
      </c>
      <c r="J118" s="5" t="s">
        <v>38</v>
      </c>
      <c r="K118" s="5" t="s">
        <v>37</v>
      </c>
      <c r="L118" s="5" t="s">
        <v>387</v>
      </c>
      <c r="M118" s="5" t="s">
        <v>38</v>
      </c>
      <c r="N118" s="13">
        <v>179.9</v>
      </c>
      <c r="O118" s="5" t="s">
        <v>38</v>
      </c>
      <c r="P118" s="5" t="s">
        <v>39</v>
      </c>
      <c r="Q118" s="2">
        <v>45968</v>
      </c>
      <c r="V1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 spans="1:22" hidden="1">
      <c r="A119" s="2">
        <v>45902</v>
      </c>
      <c r="B119" s="1" t="s">
        <v>437</v>
      </c>
      <c r="C119" s="1" t="s">
        <v>438</v>
      </c>
      <c r="D119" s="1" t="s">
        <v>125</v>
      </c>
      <c r="E119" s="1">
        <v>85254</v>
      </c>
      <c r="F119" s="1" t="s">
        <v>310</v>
      </c>
      <c r="G119" s="1" t="s">
        <v>303</v>
      </c>
      <c r="H119" s="4" t="s">
        <v>439</v>
      </c>
      <c r="I119" s="5" t="s">
        <v>36</v>
      </c>
      <c r="J119" s="5" t="s">
        <v>37</v>
      </c>
      <c r="K119" s="5" t="s">
        <v>37</v>
      </c>
      <c r="L119" s="5" t="s">
        <v>38</v>
      </c>
      <c r="M119" s="5" t="s">
        <v>37</v>
      </c>
      <c r="N119" s="5" t="s">
        <v>37</v>
      </c>
      <c r="O119" s="5" t="s">
        <v>38</v>
      </c>
      <c r="P119" s="5" t="s">
        <v>39</v>
      </c>
      <c r="Q119" s="2">
        <v>45968</v>
      </c>
      <c r="V1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 spans="1:22" hidden="1">
      <c r="A120" s="2">
        <v>45902</v>
      </c>
      <c r="B120" s="1" t="s">
        <v>440</v>
      </c>
      <c r="C120" s="1" t="s">
        <v>441</v>
      </c>
      <c r="D120" s="1" t="s">
        <v>63</v>
      </c>
      <c r="E120" s="1">
        <v>85032</v>
      </c>
      <c r="F120" s="1" t="s">
        <v>310</v>
      </c>
      <c r="G120" s="1" t="s">
        <v>303</v>
      </c>
      <c r="H120" s="4" t="s">
        <v>442</v>
      </c>
      <c r="I120" s="5" t="s">
        <v>196</v>
      </c>
      <c r="J120" s="5" t="s">
        <v>37</v>
      </c>
      <c r="K120" s="5" t="s">
        <v>37</v>
      </c>
      <c r="L120" s="7" t="s">
        <v>443</v>
      </c>
      <c r="M120" s="5" t="s">
        <v>37</v>
      </c>
      <c r="N120" s="5" t="s">
        <v>37</v>
      </c>
      <c r="O120" s="5" t="s">
        <v>38</v>
      </c>
      <c r="P120" s="2">
        <v>45932</v>
      </c>
      <c r="Q120" s="2">
        <v>45968</v>
      </c>
      <c r="R120" s="1" t="s">
        <v>444</v>
      </c>
      <c r="V1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 spans="1:22" hidden="1">
      <c r="A121" s="2">
        <v>45902</v>
      </c>
      <c r="B121" s="1" t="s">
        <v>445</v>
      </c>
      <c r="C121" s="1" t="s">
        <v>328</v>
      </c>
      <c r="D121" s="1" t="s">
        <v>446</v>
      </c>
      <c r="E121" s="1">
        <v>85361</v>
      </c>
      <c r="F121" s="1" t="s">
        <v>310</v>
      </c>
      <c r="G121" s="1" t="s">
        <v>303</v>
      </c>
      <c r="H121" s="4" t="s">
        <v>27</v>
      </c>
      <c r="V1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 spans="1:22" hidden="1">
      <c r="A122" s="2">
        <v>45902</v>
      </c>
      <c r="B122" s="1" t="s">
        <v>447</v>
      </c>
      <c r="C122" s="1" t="s">
        <v>333</v>
      </c>
      <c r="D122" s="1" t="s">
        <v>125</v>
      </c>
      <c r="E122" s="1">
        <v>85260</v>
      </c>
      <c r="F122" s="1" t="s">
        <v>310</v>
      </c>
      <c r="G122" s="1" t="s">
        <v>303</v>
      </c>
      <c r="H122" s="4" t="s">
        <v>448</v>
      </c>
      <c r="I122" s="5" t="s">
        <v>126</v>
      </c>
      <c r="J122" s="5" t="s">
        <v>37</v>
      </c>
      <c r="K122" s="5" t="s">
        <v>37</v>
      </c>
      <c r="L122" s="5" t="s">
        <v>38</v>
      </c>
      <c r="M122" s="5" t="s">
        <v>37</v>
      </c>
      <c r="N122" s="5" t="s">
        <v>37</v>
      </c>
      <c r="O122" s="5" t="s">
        <v>38</v>
      </c>
      <c r="P122" s="5" t="s">
        <v>39</v>
      </c>
      <c r="Q122" s="2">
        <v>45968</v>
      </c>
      <c r="V1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 spans="1:22" hidden="1">
      <c r="A123" s="2">
        <v>45902</v>
      </c>
      <c r="B123" s="1" t="s">
        <v>449</v>
      </c>
      <c r="C123" s="1" t="s">
        <v>450</v>
      </c>
      <c r="D123" s="1" t="s">
        <v>202</v>
      </c>
      <c r="E123" s="1">
        <v>85345</v>
      </c>
      <c r="F123" s="1" t="s">
        <v>310</v>
      </c>
      <c r="G123" s="1" t="s">
        <v>303</v>
      </c>
      <c r="H123" s="4" t="s">
        <v>27</v>
      </c>
      <c r="V1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 spans="1:22" hidden="1">
      <c r="A124" s="2">
        <v>45902</v>
      </c>
      <c r="B124" s="1" t="s">
        <v>451</v>
      </c>
      <c r="C124" s="1" t="s">
        <v>452</v>
      </c>
      <c r="D124" s="1" t="s">
        <v>125</v>
      </c>
      <c r="E124" s="1">
        <v>85255</v>
      </c>
      <c r="F124" s="1" t="s">
        <v>310</v>
      </c>
      <c r="G124" s="1" t="s">
        <v>303</v>
      </c>
      <c r="H124" s="4" t="s">
        <v>453</v>
      </c>
      <c r="I124" s="5" t="s">
        <v>288</v>
      </c>
      <c r="J124" s="5" t="s">
        <v>37</v>
      </c>
      <c r="K124" s="5" t="s">
        <v>37</v>
      </c>
      <c r="L124" s="5" t="s">
        <v>38</v>
      </c>
      <c r="M124" s="5" t="s">
        <v>37</v>
      </c>
      <c r="N124" s="5" t="s">
        <v>37</v>
      </c>
      <c r="O124" s="5" t="s">
        <v>38</v>
      </c>
      <c r="P124" s="5" t="s">
        <v>39</v>
      </c>
      <c r="Q124" s="2">
        <v>45968</v>
      </c>
      <c r="V1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 spans="1:22" hidden="1">
      <c r="A125" s="2">
        <v>45902</v>
      </c>
      <c r="B125" s="1" t="s">
        <v>430</v>
      </c>
      <c r="C125" s="1" t="s">
        <v>454</v>
      </c>
      <c r="D125" s="1" t="s">
        <v>85</v>
      </c>
      <c r="E125" s="1">
        <v>86323</v>
      </c>
      <c r="F125" s="1" t="s">
        <v>310</v>
      </c>
      <c r="G125" s="1" t="s">
        <v>303</v>
      </c>
      <c r="H125" s="4" t="s">
        <v>455</v>
      </c>
      <c r="I125" s="5" t="s">
        <v>288</v>
      </c>
      <c r="J125" s="5" t="s">
        <v>37</v>
      </c>
      <c r="K125" s="5" t="s">
        <v>37</v>
      </c>
      <c r="L125" s="5" t="s">
        <v>38</v>
      </c>
      <c r="M125" s="5" t="s">
        <v>37</v>
      </c>
      <c r="N125" s="5" t="s">
        <v>37</v>
      </c>
      <c r="O125" s="5" t="s">
        <v>38</v>
      </c>
      <c r="P125" s="5" t="s">
        <v>39</v>
      </c>
      <c r="Q125" s="2">
        <v>45968</v>
      </c>
      <c r="V1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 spans="1:22" hidden="1">
      <c r="A126" s="2">
        <v>45902</v>
      </c>
      <c r="B126" s="1" t="s">
        <v>456</v>
      </c>
      <c r="C126" s="1" t="s">
        <v>457</v>
      </c>
      <c r="D126" s="1" t="s">
        <v>125</v>
      </c>
      <c r="E126" s="1">
        <v>85255</v>
      </c>
      <c r="F126" s="1" t="s">
        <v>310</v>
      </c>
      <c r="G126" s="1" t="s">
        <v>303</v>
      </c>
      <c r="H126" s="4" t="s">
        <v>458</v>
      </c>
      <c r="I126" s="5" t="s">
        <v>288</v>
      </c>
      <c r="J126" s="5" t="s">
        <v>37</v>
      </c>
      <c r="K126" s="5" t="s">
        <v>37</v>
      </c>
      <c r="L126" s="5" t="s">
        <v>38</v>
      </c>
      <c r="M126" s="5" t="s">
        <v>37</v>
      </c>
      <c r="N126" s="5" t="s">
        <v>37</v>
      </c>
      <c r="O126" s="5" t="s">
        <v>38</v>
      </c>
      <c r="P126" s="5" t="s">
        <v>39</v>
      </c>
      <c r="Q126" s="2">
        <v>45968</v>
      </c>
      <c r="V1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 spans="1:22" hidden="1">
      <c r="A127" s="2">
        <v>45902</v>
      </c>
      <c r="B127" s="1" t="s">
        <v>459</v>
      </c>
      <c r="C127" s="1" t="s">
        <v>441</v>
      </c>
      <c r="D127" s="1" t="s">
        <v>125</v>
      </c>
      <c r="E127" s="1">
        <v>85254</v>
      </c>
      <c r="F127" s="1" t="s">
        <v>310</v>
      </c>
      <c r="G127" s="1" t="s">
        <v>303</v>
      </c>
      <c r="H127" s="4" t="s">
        <v>460</v>
      </c>
      <c r="I127" s="5" t="s">
        <v>36</v>
      </c>
      <c r="J127" s="5" t="s">
        <v>37</v>
      </c>
      <c r="K127" s="5" t="s">
        <v>37</v>
      </c>
      <c r="L127" s="5" t="s">
        <v>38</v>
      </c>
      <c r="M127" s="5" t="s">
        <v>37</v>
      </c>
      <c r="N127" s="5" t="s">
        <v>37</v>
      </c>
      <c r="O127" s="5" t="s">
        <v>38</v>
      </c>
      <c r="P127" s="5" t="s">
        <v>39</v>
      </c>
      <c r="Q127" s="2">
        <v>45968</v>
      </c>
      <c r="V12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 spans="1:22" hidden="1">
      <c r="A128" s="2">
        <v>45902</v>
      </c>
      <c r="B128" s="1" t="s">
        <v>461</v>
      </c>
      <c r="C128" s="1" t="s">
        <v>462</v>
      </c>
      <c r="D128" s="1" t="s">
        <v>63</v>
      </c>
      <c r="E128" s="1">
        <v>85024</v>
      </c>
      <c r="F128" s="1" t="s">
        <v>310</v>
      </c>
      <c r="G128" s="1" t="s">
        <v>303</v>
      </c>
      <c r="H128" s="4" t="s">
        <v>463</v>
      </c>
      <c r="I128" s="5" t="s">
        <v>416</v>
      </c>
      <c r="J128" s="5" t="s">
        <v>37</v>
      </c>
      <c r="K128" s="5" t="s">
        <v>37</v>
      </c>
      <c r="L128" s="5" t="s">
        <v>387</v>
      </c>
      <c r="M128" s="5" t="s">
        <v>37</v>
      </c>
      <c r="N128" s="5" t="s">
        <v>37</v>
      </c>
      <c r="O128" s="5" t="s">
        <v>38</v>
      </c>
      <c r="P128" s="5" t="s">
        <v>39</v>
      </c>
      <c r="Q128" s="2">
        <v>45968</v>
      </c>
      <c r="V12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 spans="1:22" hidden="1">
      <c r="A129" s="2">
        <v>45902</v>
      </c>
      <c r="B129" s="1" t="s">
        <v>424</v>
      </c>
      <c r="C129" s="1" t="s">
        <v>464</v>
      </c>
      <c r="D129" s="1" t="s">
        <v>426</v>
      </c>
      <c r="E129" s="1">
        <v>85335</v>
      </c>
      <c r="F129" s="1" t="s">
        <v>310</v>
      </c>
      <c r="G129" s="1" t="s">
        <v>303</v>
      </c>
      <c r="H129" s="4" t="s">
        <v>27</v>
      </c>
      <c r="V12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 spans="1:22" hidden="1">
      <c r="A130" s="2">
        <v>45902</v>
      </c>
      <c r="B130" s="1" t="s">
        <v>465</v>
      </c>
      <c r="C130" s="1" t="s">
        <v>466</v>
      </c>
      <c r="D130" s="1" t="s">
        <v>63</v>
      </c>
      <c r="E130" s="1">
        <v>85008</v>
      </c>
      <c r="F130" s="1" t="s">
        <v>310</v>
      </c>
      <c r="G130" s="1" t="s">
        <v>303</v>
      </c>
      <c r="H130" s="4" t="s">
        <v>467</v>
      </c>
      <c r="I130" s="5" t="s">
        <v>36</v>
      </c>
      <c r="J130" s="5" t="s">
        <v>37</v>
      </c>
      <c r="K130" s="5" t="s">
        <v>37</v>
      </c>
      <c r="L130" s="5" t="s">
        <v>38</v>
      </c>
      <c r="M130" s="5" t="s">
        <v>37</v>
      </c>
      <c r="N130" s="5" t="s">
        <v>37</v>
      </c>
      <c r="O130" s="5" t="s">
        <v>38</v>
      </c>
      <c r="P130" s="5" t="s">
        <v>39</v>
      </c>
      <c r="Q130" s="2">
        <v>45968</v>
      </c>
      <c r="V13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 spans="1:22" hidden="1">
      <c r="A131" s="2">
        <v>45902</v>
      </c>
      <c r="B131" s="1" t="s">
        <v>468</v>
      </c>
      <c r="C131" s="1" t="s">
        <v>469</v>
      </c>
      <c r="D131" s="1" t="s">
        <v>63</v>
      </c>
      <c r="E131" s="1">
        <v>85004</v>
      </c>
      <c r="F131" s="1" t="s">
        <v>310</v>
      </c>
      <c r="G131" s="1" t="s">
        <v>303</v>
      </c>
      <c r="H131" s="4" t="s">
        <v>470</v>
      </c>
      <c r="I131" s="5" t="s">
        <v>288</v>
      </c>
      <c r="J131" s="5" t="s">
        <v>37</v>
      </c>
      <c r="K131" s="5" t="s">
        <v>37</v>
      </c>
      <c r="L131" s="5" t="s">
        <v>38</v>
      </c>
      <c r="M131" s="5" t="s">
        <v>37</v>
      </c>
      <c r="N131" s="5" t="s">
        <v>37</v>
      </c>
      <c r="O131" s="5" t="s">
        <v>38</v>
      </c>
      <c r="P131" s="5" t="s">
        <v>39</v>
      </c>
      <c r="Q131" s="2">
        <v>45968</v>
      </c>
      <c r="V13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 spans="1:22" hidden="1">
      <c r="A132" s="2">
        <v>45902</v>
      </c>
      <c r="B132" s="1" t="s">
        <v>471</v>
      </c>
      <c r="C132" s="1" t="s">
        <v>472</v>
      </c>
      <c r="D132" s="1" t="s">
        <v>169</v>
      </c>
      <c r="E132" s="1">
        <v>85395</v>
      </c>
      <c r="F132" s="1" t="s">
        <v>310</v>
      </c>
      <c r="G132" s="1" t="s">
        <v>303</v>
      </c>
      <c r="H132" s="4" t="s">
        <v>27</v>
      </c>
      <c r="V13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 spans="1:22" hidden="1">
      <c r="A133" s="2">
        <v>45902</v>
      </c>
      <c r="B133" s="1" t="s">
        <v>473</v>
      </c>
      <c r="C133" s="1" t="s">
        <v>474</v>
      </c>
      <c r="D133" s="1" t="s">
        <v>63</v>
      </c>
      <c r="E133" s="1">
        <v>85050</v>
      </c>
      <c r="F133" s="1" t="s">
        <v>31</v>
      </c>
      <c r="G133" s="1" t="s">
        <v>303</v>
      </c>
      <c r="H133" s="4" t="s">
        <v>6179</v>
      </c>
      <c r="I133" s="5" t="s">
        <v>36</v>
      </c>
      <c r="J133" s="5" t="s">
        <v>37</v>
      </c>
      <c r="K133" s="5" t="s">
        <v>37</v>
      </c>
      <c r="L133" s="5" t="s">
        <v>38</v>
      </c>
      <c r="M133" s="5" t="s">
        <v>37</v>
      </c>
      <c r="N133" s="5" t="s">
        <v>37</v>
      </c>
      <c r="O133" s="5" t="s">
        <v>38</v>
      </c>
      <c r="P133" s="5" t="s">
        <v>39</v>
      </c>
      <c r="Q133" s="2">
        <v>45968</v>
      </c>
      <c r="V13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 spans="1:22" hidden="1">
      <c r="A134" s="2">
        <v>45902</v>
      </c>
      <c r="B134" s="1" t="s">
        <v>475</v>
      </c>
      <c r="C134" s="1" t="s">
        <v>476</v>
      </c>
      <c r="D134" s="1" t="s">
        <v>63</v>
      </c>
      <c r="E134" s="1">
        <v>85028</v>
      </c>
      <c r="F134" s="1" t="s">
        <v>310</v>
      </c>
      <c r="G134" s="1" t="s">
        <v>303</v>
      </c>
      <c r="H134" s="4" t="s">
        <v>27</v>
      </c>
      <c r="V13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 spans="1:22" hidden="1">
      <c r="A135" s="2">
        <v>45902</v>
      </c>
      <c r="B135" s="1" t="s">
        <v>477</v>
      </c>
      <c r="C135" s="1" t="s">
        <v>478</v>
      </c>
      <c r="D135" s="1" t="s">
        <v>63</v>
      </c>
      <c r="E135" s="1">
        <v>85083</v>
      </c>
      <c r="F135" s="1" t="s">
        <v>310</v>
      </c>
      <c r="G135" s="1" t="s">
        <v>303</v>
      </c>
      <c r="H135" s="4" t="s">
        <v>479</v>
      </c>
      <c r="I135" s="5" t="s">
        <v>46</v>
      </c>
      <c r="J135" s="5" t="s">
        <v>37</v>
      </c>
      <c r="K135" s="5" t="s">
        <v>37</v>
      </c>
      <c r="L135" s="7" t="s">
        <v>480</v>
      </c>
      <c r="M135" s="5" t="s">
        <v>37</v>
      </c>
      <c r="N135" s="5" t="s">
        <v>37</v>
      </c>
      <c r="O135" s="5" t="s">
        <v>38</v>
      </c>
      <c r="P135" s="2">
        <v>45939</v>
      </c>
      <c r="Q135" s="2">
        <v>45968</v>
      </c>
      <c r="R135" s="1" t="s">
        <v>481</v>
      </c>
      <c r="V13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 spans="1:22" hidden="1">
      <c r="A136" s="2">
        <v>45902</v>
      </c>
      <c r="B136" s="1" t="s">
        <v>482</v>
      </c>
      <c r="C136" s="1" t="s">
        <v>483</v>
      </c>
      <c r="D136" s="1" t="s">
        <v>63</v>
      </c>
      <c r="E136" s="1">
        <v>85013</v>
      </c>
      <c r="F136" s="1" t="s">
        <v>310</v>
      </c>
      <c r="G136" s="1" t="s">
        <v>303</v>
      </c>
      <c r="H136" s="4" t="s">
        <v>27</v>
      </c>
      <c r="V13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 spans="1:22" hidden="1">
      <c r="A137" s="2">
        <v>45902</v>
      </c>
      <c r="B137" s="1" t="s">
        <v>484</v>
      </c>
      <c r="C137" s="1" t="s">
        <v>485</v>
      </c>
      <c r="D137" s="1" t="s">
        <v>63</v>
      </c>
      <c r="E137" s="1">
        <v>85013</v>
      </c>
      <c r="F137" s="1" t="s">
        <v>310</v>
      </c>
      <c r="G137" s="1" t="s">
        <v>303</v>
      </c>
      <c r="H137" s="4" t="s">
        <v>486</v>
      </c>
      <c r="I137" s="5" t="s">
        <v>126</v>
      </c>
      <c r="J137" s="5" t="s">
        <v>37</v>
      </c>
      <c r="K137" s="5" t="s">
        <v>37</v>
      </c>
      <c r="L137" s="5" t="s">
        <v>38</v>
      </c>
      <c r="M137" s="5" t="s">
        <v>37</v>
      </c>
      <c r="N137" s="5" t="s">
        <v>37</v>
      </c>
      <c r="O137" s="5" t="s">
        <v>38</v>
      </c>
      <c r="P137" s="5" t="s">
        <v>39</v>
      </c>
      <c r="Q137" s="2">
        <v>45968</v>
      </c>
      <c r="V13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 spans="1:22" hidden="1">
      <c r="A138" s="14">
        <v>45902</v>
      </c>
      <c r="B138" s="1" t="s">
        <v>487</v>
      </c>
      <c r="C138" s="1" t="s">
        <v>488</v>
      </c>
      <c r="D138" s="1" t="s">
        <v>30</v>
      </c>
      <c r="E138" s="1" t="s">
        <v>30</v>
      </c>
      <c r="F138" s="1" t="s">
        <v>31</v>
      </c>
      <c r="G138" s="1" t="s">
        <v>303</v>
      </c>
      <c r="H138" s="4" t="s">
        <v>489</v>
      </c>
      <c r="I138" s="5" t="s">
        <v>126</v>
      </c>
      <c r="J138" s="5" t="s">
        <v>38</v>
      </c>
      <c r="K138" s="5" t="s">
        <v>37</v>
      </c>
      <c r="L138" s="5" t="s">
        <v>38</v>
      </c>
      <c r="M138" s="5" t="s">
        <v>37</v>
      </c>
      <c r="N138" s="5" t="s">
        <v>37</v>
      </c>
      <c r="O138" s="5" t="s">
        <v>38</v>
      </c>
      <c r="P138" s="5" t="s">
        <v>39</v>
      </c>
      <c r="Q138" s="2">
        <v>45968</v>
      </c>
      <c r="V13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 spans="1:22" hidden="1">
      <c r="A139" s="2">
        <v>45902</v>
      </c>
      <c r="B139" s="1" t="s">
        <v>490</v>
      </c>
      <c r="C139" s="1" t="s">
        <v>333</v>
      </c>
      <c r="D139" s="1" t="s">
        <v>63</v>
      </c>
      <c r="E139" s="1">
        <v>85009</v>
      </c>
      <c r="F139" s="1" t="s">
        <v>31</v>
      </c>
      <c r="G139" s="1" t="s">
        <v>303</v>
      </c>
      <c r="H139" s="4" t="s">
        <v>491</v>
      </c>
      <c r="I139" s="5" t="s">
        <v>36</v>
      </c>
      <c r="J139" s="5" t="s">
        <v>37</v>
      </c>
      <c r="K139" s="5" t="s">
        <v>37</v>
      </c>
      <c r="L139" s="5" t="s">
        <v>38</v>
      </c>
      <c r="M139" s="5" t="s">
        <v>38</v>
      </c>
      <c r="N139" s="15">
        <v>942.59</v>
      </c>
      <c r="O139" s="5" t="s">
        <v>38</v>
      </c>
      <c r="P139" s="7"/>
      <c r="Q139" s="2">
        <v>45968</v>
      </c>
      <c r="R139" s="1" t="s">
        <v>492</v>
      </c>
      <c r="V139"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 spans="1:22" ht="11.25" hidden="1" customHeight="1">
      <c r="A140" s="2">
        <v>45902</v>
      </c>
      <c r="B140" s="1" t="s">
        <v>493</v>
      </c>
      <c r="C140" s="1" t="s">
        <v>494</v>
      </c>
      <c r="D140" s="1" t="s">
        <v>63</v>
      </c>
      <c r="E140" s="1">
        <v>85028</v>
      </c>
      <c r="F140" s="1" t="s">
        <v>310</v>
      </c>
      <c r="G140" s="1" t="s">
        <v>303</v>
      </c>
      <c r="H140" s="4" t="s">
        <v>27</v>
      </c>
      <c r="V140"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 spans="1:22" hidden="1">
      <c r="A141" s="2">
        <v>45902</v>
      </c>
      <c r="B141" s="1" t="s">
        <v>495</v>
      </c>
      <c r="C141" s="1" t="s">
        <v>441</v>
      </c>
      <c r="D141" s="1" t="s">
        <v>63</v>
      </c>
      <c r="E141" s="1">
        <v>85023</v>
      </c>
      <c r="F141" s="1" t="s">
        <v>310</v>
      </c>
      <c r="G141" s="1" t="s">
        <v>303</v>
      </c>
      <c r="H141" s="4" t="s">
        <v>27</v>
      </c>
      <c r="V141"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 spans="1:22" hidden="1">
      <c r="A142" s="2">
        <v>45903</v>
      </c>
      <c r="B142" s="1" t="s">
        <v>496</v>
      </c>
      <c r="C142" s="1" t="s">
        <v>334</v>
      </c>
      <c r="D142" s="1" t="s">
        <v>30</v>
      </c>
      <c r="E142" s="1" t="s">
        <v>30</v>
      </c>
      <c r="F142" s="1" t="s">
        <v>31</v>
      </c>
      <c r="G142" s="1" t="s">
        <v>497</v>
      </c>
      <c r="H142" s="4" t="s">
        <v>498</v>
      </c>
      <c r="I142" s="5" t="s">
        <v>36</v>
      </c>
      <c r="J142" s="5" t="s">
        <v>37</v>
      </c>
      <c r="K142" s="5" t="s">
        <v>37</v>
      </c>
      <c r="L142" s="5" t="s">
        <v>38</v>
      </c>
      <c r="M142" s="5" t="s">
        <v>37</v>
      </c>
      <c r="N142" s="5" t="s">
        <v>37</v>
      </c>
      <c r="O142" s="5" t="s">
        <v>38</v>
      </c>
      <c r="P142" s="5" t="s">
        <v>39</v>
      </c>
      <c r="Q142" s="2">
        <v>45968</v>
      </c>
      <c r="V142" s="45">
        <f>IF(
  OR(
    ISNUMBER(SEARCH("unable to locate acct", tblDocketedComments[[#This Row],[Docketed Consumer Comments]])),
    ISNUMBER(SEARCH("unknown", tblDocketedComments[[#This Row],[Docketed Consumer Comments]])),
    ISNUMBER(SEARCH("inactive", tblDocketedComments[[#This Row],[Docketed Consumer Comments]]))
  ),
  0,
  1
)</f>
        <v>1</v>
      </c>
    </row>
    <row r="143" spans="1:22" hidden="1">
      <c r="A143" s="2">
        <v>45903</v>
      </c>
      <c r="B143" s="1" t="s">
        <v>499</v>
      </c>
      <c r="C143" s="1" t="s">
        <v>500</v>
      </c>
      <c r="D143" s="1" t="s">
        <v>501</v>
      </c>
      <c r="E143" s="1">
        <v>86001</v>
      </c>
      <c r="F143" s="1" t="s">
        <v>502</v>
      </c>
      <c r="G143" s="1" t="s">
        <v>503</v>
      </c>
      <c r="H143" s="4" t="s">
        <v>504</v>
      </c>
      <c r="I143" s="5" t="s">
        <v>73</v>
      </c>
      <c r="J143" s="5" t="s">
        <v>37</v>
      </c>
      <c r="K143" s="5" t="s">
        <v>37</v>
      </c>
      <c r="L143" s="5" t="s">
        <v>38</v>
      </c>
      <c r="M143" s="5" t="s">
        <v>37</v>
      </c>
      <c r="N143" s="5" t="s">
        <v>37</v>
      </c>
      <c r="O143" s="5" t="s">
        <v>38</v>
      </c>
      <c r="P143" s="5" t="s">
        <v>39</v>
      </c>
      <c r="Q143" s="2">
        <v>45968</v>
      </c>
      <c r="V143" s="45">
        <f>IF(
  OR(
    ISNUMBER(SEARCH("unable to locate acct", tblDocketedComments[[#This Row],[Docketed Consumer Comments]])),
    ISNUMBER(SEARCH("unknown", tblDocketedComments[[#This Row],[Docketed Consumer Comments]])),
    ISNUMBER(SEARCH("inactive", tblDocketedComments[[#This Row],[Docketed Consumer Comments]]))
  ),
  0,
  1
)</f>
        <v>1</v>
      </c>
    </row>
    <row r="144" spans="1:22" hidden="1">
      <c r="A144" s="2">
        <v>45903</v>
      </c>
      <c r="B144" s="1" t="s">
        <v>505</v>
      </c>
      <c r="C144" s="1" t="s">
        <v>506</v>
      </c>
      <c r="D144" s="1" t="s">
        <v>24</v>
      </c>
      <c r="E144" s="1">
        <v>85308</v>
      </c>
      <c r="F144" s="1" t="s">
        <v>31</v>
      </c>
      <c r="G144" s="1" t="s">
        <v>503</v>
      </c>
      <c r="H144" s="4" t="s">
        <v>507</v>
      </c>
      <c r="I144" s="5" t="s">
        <v>196</v>
      </c>
      <c r="J144" s="5" t="s">
        <v>37</v>
      </c>
      <c r="K144" s="5" t="s">
        <v>37</v>
      </c>
      <c r="L144" s="7" t="s">
        <v>508</v>
      </c>
      <c r="M144" s="5" t="s">
        <v>37</v>
      </c>
      <c r="N144" s="5" t="s">
        <v>37</v>
      </c>
      <c r="O144" s="5" t="s">
        <v>38</v>
      </c>
      <c r="P144" s="2">
        <v>45932</v>
      </c>
      <c r="Q144" s="2">
        <v>45968</v>
      </c>
      <c r="R144" s="1" t="s">
        <v>509</v>
      </c>
      <c r="V144" s="45">
        <f>IF(
  OR(
    ISNUMBER(SEARCH("unable to locate acct", tblDocketedComments[[#This Row],[Docketed Consumer Comments]])),
    ISNUMBER(SEARCH("unknown", tblDocketedComments[[#This Row],[Docketed Consumer Comments]])),
    ISNUMBER(SEARCH("inactive", tblDocketedComments[[#This Row],[Docketed Consumer Comments]]))
  ),
  0,
  1
)</f>
        <v>1</v>
      </c>
    </row>
    <row r="145" spans="1:22" hidden="1">
      <c r="A145" s="2">
        <v>45903</v>
      </c>
      <c r="B145" s="1" t="s">
        <v>510</v>
      </c>
      <c r="C145" s="1" t="s">
        <v>368</v>
      </c>
      <c r="D145" s="1" t="s">
        <v>63</v>
      </c>
      <c r="E145" s="1">
        <v>85024</v>
      </c>
      <c r="F145" s="1" t="s">
        <v>310</v>
      </c>
      <c r="G145" s="1" t="s">
        <v>503</v>
      </c>
      <c r="H145" s="4" t="s">
        <v>511</v>
      </c>
      <c r="I145" s="5" t="s">
        <v>126</v>
      </c>
      <c r="J145" s="5" t="s">
        <v>37</v>
      </c>
      <c r="K145" s="5" t="s">
        <v>37</v>
      </c>
      <c r="L145" s="5" t="s">
        <v>38</v>
      </c>
      <c r="M145" s="5" t="s">
        <v>37</v>
      </c>
      <c r="N145" s="5" t="s">
        <v>37</v>
      </c>
      <c r="O145" s="5" t="s">
        <v>38</v>
      </c>
      <c r="P145" s="5" t="s">
        <v>39</v>
      </c>
      <c r="Q145" s="2">
        <v>45968</v>
      </c>
      <c r="V145" s="45">
        <f>IF(
  OR(
    ISNUMBER(SEARCH("unable to locate acct", tblDocketedComments[[#This Row],[Docketed Consumer Comments]])),
    ISNUMBER(SEARCH("unknown", tblDocketedComments[[#This Row],[Docketed Consumer Comments]])),
    ISNUMBER(SEARCH("inactive", tblDocketedComments[[#This Row],[Docketed Consumer Comments]]))
  ),
  0,
  1
)</f>
        <v>1</v>
      </c>
    </row>
    <row r="146" spans="1:22" hidden="1">
      <c r="A146" s="2">
        <v>45903</v>
      </c>
      <c r="B146" s="1" t="s">
        <v>512</v>
      </c>
      <c r="C146" s="1" t="s">
        <v>513</v>
      </c>
      <c r="D146" s="1" t="s">
        <v>202</v>
      </c>
      <c r="E146" s="1">
        <v>85383</v>
      </c>
      <c r="F146" s="1" t="s">
        <v>514</v>
      </c>
      <c r="G146" s="1" t="s">
        <v>503</v>
      </c>
      <c r="H146" s="4" t="s">
        <v>515</v>
      </c>
      <c r="I146" s="5" t="s">
        <v>196</v>
      </c>
      <c r="J146" s="5" t="s">
        <v>37</v>
      </c>
      <c r="K146" s="5" t="s">
        <v>37</v>
      </c>
      <c r="L146" s="7" t="s">
        <v>516</v>
      </c>
      <c r="M146" s="5" t="s">
        <v>37</v>
      </c>
      <c r="N146" s="5" t="s">
        <v>37</v>
      </c>
      <c r="O146" s="5" t="s">
        <v>38</v>
      </c>
      <c r="P146" s="2">
        <v>45932</v>
      </c>
      <c r="Q146" s="2">
        <v>45968</v>
      </c>
      <c r="R146" s="1" t="s">
        <v>517</v>
      </c>
      <c r="V146" s="45">
        <f>IF(
  OR(
    ISNUMBER(SEARCH("unable to locate acct", tblDocketedComments[[#This Row],[Docketed Consumer Comments]])),
    ISNUMBER(SEARCH("unknown", tblDocketedComments[[#This Row],[Docketed Consumer Comments]])),
    ISNUMBER(SEARCH("inactive", tblDocketedComments[[#This Row],[Docketed Consumer Comments]]))
  ),
  0,
  1
)</f>
        <v>1</v>
      </c>
    </row>
    <row r="147" spans="1:22" hidden="1">
      <c r="A147" s="2">
        <v>45903</v>
      </c>
      <c r="B147" s="1" t="s">
        <v>518</v>
      </c>
      <c r="C147" s="1" t="s">
        <v>519</v>
      </c>
      <c r="D147" s="1" t="s">
        <v>520</v>
      </c>
      <c r="E147" s="1">
        <v>85392</v>
      </c>
      <c r="F147" s="1" t="s">
        <v>31</v>
      </c>
      <c r="G147" s="1" t="s">
        <v>503</v>
      </c>
      <c r="H147" s="4" t="s">
        <v>521</v>
      </c>
      <c r="I147" s="5" t="s">
        <v>36</v>
      </c>
      <c r="J147" s="5" t="s">
        <v>37</v>
      </c>
      <c r="K147" s="5" t="s">
        <v>37</v>
      </c>
      <c r="L147" s="5" t="s">
        <v>38</v>
      </c>
      <c r="M147" s="5" t="s">
        <v>37</v>
      </c>
      <c r="N147" s="5" t="s">
        <v>37</v>
      </c>
      <c r="O147" s="5" t="s">
        <v>38</v>
      </c>
      <c r="P147" s="5" t="s">
        <v>39</v>
      </c>
      <c r="Q147" s="2">
        <v>45968</v>
      </c>
      <c r="R147" s="1" t="s">
        <v>522</v>
      </c>
      <c r="V147" s="45">
        <f>IF(
  OR(
    ISNUMBER(SEARCH("unable to locate acct", tblDocketedComments[[#This Row],[Docketed Consumer Comments]])),
    ISNUMBER(SEARCH("unknown", tblDocketedComments[[#This Row],[Docketed Consumer Comments]])),
    ISNUMBER(SEARCH("inactive", tblDocketedComments[[#This Row],[Docketed Consumer Comments]]))
  ),
  0,
  1
)</f>
        <v>1</v>
      </c>
    </row>
    <row r="148" spans="1:22" hidden="1">
      <c r="A148" s="2">
        <v>45903</v>
      </c>
      <c r="B148" s="1" t="s">
        <v>523</v>
      </c>
      <c r="C148" s="1" t="s">
        <v>133</v>
      </c>
      <c r="D148" s="1" t="s">
        <v>63</v>
      </c>
      <c r="E148" s="1">
        <v>85014</v>
      </c>
      <c r="F148" s="1" t="s">
        <v>310</v>
      </c>
      <c r="G148" s="1" t="s">
        <v>503</v>
      </c>
      <c r="H148" s="4" t="s">
        <v>209</v>
      </c>
      <c r="V148" s="45">
        <f>IF(
  OR(
    ISNUMBER(SEARCH("unable to locate acct", tblDocketedComments[[#This Row],[Docketed Consumer Comments]])),
    ISNUMBER(SEARCH("unknown", tblDocketedComments[[#This Row],[Docketed Consumer Comments]])),
    ISNUMBER(SEARCH("inactive", tblDocketedComments[[#This Row],[Docketed Consumer Comments]]))
  ),
  0,
  1
)</f>
        <v>1</v>
      </c>
    </row>
    <row r="149" spans="1:22" hidden="1">
      <c r="A149" s="2">
        <v>45903</v>
      </c>
      <c r="B149" s="1" t="s">
        <v>524</v>
      </c>
      <c r="C149" s="1" t="s">
        <v>469</v>
      </c>
      <c r="D149" s="1" t="s">
        <v>169</v>
      </c>
      <c r="E149" s="1">
        <v>85338</v>
      </c>
      <c r="F149" s="1" t="s">
        <v>31</v>
      </c>
      <c r="G149" s="1" t="s">
        <v>503</v>
      </c>
      <c r="H149" s="4" t="s">
        <v>27</v>
      </c>
      <c r="V149" s="45">
        <f>IF(
  OR(
    ISNUMBER(SEARCH("unable to locate acct", tblDocketedComments[[#This Row],[Docketed Consumer Comments]])),
    ISNUMBER(SEARCH("unknown", tblDocketedComments[[#This Row],[Docketed Consumer Comments]])),
    ISNUMBER(SEARCH("inactive", tblDocketedComments[[#This Row],[Docketed Consumer Comments]]))
  ),
  0,
  1
)</f>
        <v>1</v>
      </c>
    </row>
    <row r="150" spans="1:22" hidden="1">
      <c r="A150" s="2">
        <v>45903</v>
      </c>
      <c r="B150" s="1" t="s">
        <v>525</v>
      </c>
      <c r="C150" s="1" t="s">
        <v>526</v>
      </c>
      <c r="D150" s="1" t="s">
        <v>24</v>
      </c>
      <c r="E150" s="1">
        <v>85310</v>
      </c>
      <c r="F150" s="1" t="s">
        <v>310</v>
      </c>
      <c r="G150" s="1" t="s">
        <v>503</v>
      </c>
      <c r="H150" s="4" t="s">
        <v>527</v>
      </c>
      <c r="I150" s="5" t="s">
        <v>196</v>
      </c>
      <c r="J150" s="5" t="s">
        <v>37</v>
      </c>
      <c r="K150" s="5" t="s">
        <v>37</v>
      </c>
      <c r="L150" s="5" t="s">
        <v>38</v>
      </c>
      <c r="M150" s="5" t="s">
        <v>37</v>
      </c>
      <c r="N150" s="5" t="s">
        <v>37</v>
      </c>
      <c r="O150" s="5" t="s">
        <v>38</v>
      </c>
      <c r="P150" s="5" t="s">
        <v>39</v>
      </c>
      <c r="Q150" s="2">
        <v>45968</v>
      </c>
      <c r="V150" s="45">
        <f>IF(
  OR(
    ISNUMBER(SEARCH("unable to locate acct", tblDocketedComments[[#This Row],[Docketed Consumer Comments]])),
    ISNUMBER(SEARCH("unknown", tblDocketedComments[[#This Row],[Docketed Consumer Comments]])),
    ISNUMBER(SEARCH("inactive", tblDocketedComments[[#This Row],[Docketed Consumer Comments]]))
  ),
  0,
  1
)</f>
        <v>1</v>
      </c>
    </row>
    <row r="151" spans="1:22" hidden="1">
      <c r="A151" s="2">
        <v>45903</v>
      </c>
      <c r="B151" s="1" t="s">
        <v>528</v>
      </c>
      <c r="C151" s="1" t="s">
        <v>529</v>
      </c>
      <c r="D151" s="1" t="s">
        <v>169</v>
      </c>
      <c r="E151" s="1">
        <v>85395</v>
      </c>
      <c r="F151" s="1" t="s">
        <v>31</v>
      </c>
      <c r="G151" s="1" t="s">
        <v>503</v>
      </c>
      <c r="H151" s="4" t="s">
        <v>530</v>
      </c>
      <c r="I151" s="5" t="s">
        <v>36</v>
      </c>
      <c r="J151" s="5" t="s">
        <v>37</v>
      </c>
      <c r="K151" s="5" t="s">
        <v>37</v>
      </c>
      <c r="L151" s="5" t="s">
        <v>38</v>
      </c>
      <c r="M151" s="5" t="s">
        <v>37</v>
      </c>
      <c r="N151" s="5" t="s">
        <v>37</v>
      </c>
      <c r="O151" s="5" t="s">
        <v>38</v>
      </c>
      <c r="P151" s="5" t="s">
        <v>39</v>
      </c>
      <c r="Q151" s="2">
        <v>45968</v>
      </c>
      <c r="V151" s="45">
        <f>IF(
  OR(
    ISNUMBER(SEARCH("unable to locate acct", tblDocketedComments[[#This Row],[Docketed Consumer Comments]])),
    ISNUMBER(SEARCH("unknown", tblDocketedComments[[#This Row],[Docketed Consumer Comments]])),
    ISNUMBER(SEARCH("inactive", tblDocketedComments[[#This Row],[Docketed Consumer Comments]]))
  ),
  0,
  1
)</f>
        <v>1</v>
      </c>
    </row>
    <row r="152" spans="1:22" hidden="1">
      <c r="A152" s="2">
        <v>45903</v>
      </c>
      <c r="B152" s="1" t="s">
        <v>531</v>
      </c>
      <c r="C152" s="1" t="s">
        <v>532</v>
      </c>
      <c r="D152" s="1" t="s">
        <v>520</v>
      </c>
      <c r="E152" s="1">
        <v>85392</v>
      </c>
      <c r="F152" s="1" t="s">
        <v>31</v>
      </c>
      <c r="G152" s="1" t="s">
        <v>503</v>
      </c>
      <c r="H152" s="4" t="s">
        <v>533</v>
      </c>
      <c r="I152" s="5" t="s">
        <v>416</v>
      </c>
      <c r="J152" s="5" t="s">
        <v>37</v>
      </c>
      <c r="K152" s="5" t="s">
        <v>37</v>
      </c>
      <c r="L152" s="5" t="s">
        <v>387</v>
      </c>
      <c r="M152" s="5" t="s">
        <v>37</v>
      </c>
      <c r="N152" s="5" t="s">
        <v>37</v>
      </c>
      <c r="O152" s="5" t="s">
        <v>38</v>
      </c>
      <c r="P152" s="5" t="s">
        <v>39</v>
      </c>
      <c r="Q152" s="2">
        <v>45968</v>
      </c>
      <c r="V152" s="45">
        <f>IF(
  OR(
    ISNUMBER(SEARCH("unable to locate acct", tblDocketedComments[[#This Row],[Docketed Consumer Comments]])),
    ISNUMBER(SEARCH("unknown", tblDocketedComments[[#This Row],[Docketed Consumer Comments]])),
    ISNUMBER(SEARCH("inactive", tblDocketedComments[[#This Row],[Docketed Consumer Comments]]))
  ),
  0,
  1
)</f>
        <v>1</v>
      </c>
    </row>
    <row r="153" spans="1:22" hidden="1">
      <c r="A153" s="2">
        <v>45903</v>
      </c>
      <c r="B153" s="1" t="s">
        <v>534</v>
      </c>
      <c r="C153" s="1" t="s">
        <v>535</v>
      </c>
      <c r="D153" s="1" t="s">
        <v>536</v>
      </c>
      <c r="E153" s="1">
        <v>85194</v>
      </c>
      <c r="F153" s="1" t="s">
        <v>310</v>
      </c>
      <c r="G153" s="1" t="s">
        <v>503</v>
      </c>
      <c r="H153" s="4" t="s">
        <v>537</v>
      </c>
      <c r="I153" s="5" t="s">
        <v>538</v>
      </c>
      <c r="J153" s="5" t="s">
        <v>37</v>
      </c>
      <c r="K153" s="5" t="s">
        <v>37</v>
      </c>
      <c r="L153" s="5" t="s">
        <v>387</v>
      </c>
      <c r="M153" s="5" t="s">
        <v>37</v>
      </c>
      <c r="N153" s="5" t="s">
        <v>37</v>
      </c>
      <c r="O153" s="5" t="s">
        <v>38</v>
      </c>
      <c r="P153" s="5" t="s">
        <v>39</v>
      </c>
      <c r="Q153" s="2">
        <v>45968</v>
      </c>
      <c r="V153" s="45">
        <f>IF(
  OR(
    ISNUMBER(SEARCH("unable to locate acct", tblDocketedComments[[#This Row],[Docketed Consumer Comments]])),
    ISNUMBER(SEARCH("unknown", tblDocketedComments[[#This Row],[Docketed Consumer Comments]])),
    ISNUMBER(SEARCH("inactive", tblDocketedComments[[#This Row],[Docketed Consumer Comments]]))
  ),
  0,
  1
)</f>
        <v>1</v>
      </c>
    </row>
    <row r="154" spans="1:22" hidden="1">
      <c r="A154" s="2">
        <v>45903</v>
      </c>
      <c r="B154" s="1" t="s">
        <v>539</v>
      </c>
      <c r="C154" s="1" t="s">
        <v>540</v>
      </c>
      <c r="D154" s="1" t="s">
        <v>63</v>
      </c>
      <c r="E154" s="1">
        <v>85050</v>
      </c>
      <c r="F154" s="1" t="s">
        <v>310</v>
      </c>
      <c r="G154" s="1" t="s">
        <v>503</v>
      </c>
      <c r="H154" s="4" t="s">
        <v>541</v>
      </c>
      <c r="I154" s="5" t="s">
        <v>36</v>
      </c>
      <c r="J154" s="5" t="s">
        <v>37</v>
      </c>
      <c r="K154" s="5" t="s">
        <v>37</v>
      </c>
      <c r="L154" s="5" t="s">
        <v>38</v>
      </c>
      <c r="M154" s="5" t="s">
        <v>37</v>
      </c>
      <c r="N154" s="5" t="s">
        <v>37</v>
      </c>
      <c r="O154" s="5" t="s">
        <v>38</v>
      </c>
      <c r="P154" s="5" t="s">
        <v>39</v>
      </c>
      <c r="Q154" s="2">
        <v>45968</v>
      </c>
      <c r="V154" s="45">
        <f>IF(
  OR(
    ISNUMBER(SEARCH("unable to locate acct", tblDocketedComments[[#This Row],[Docketed Consumer Comments]])),
    ISNUMBER(SEARCH("unknown", tblDocketedComments[[#This Row],[Docketed Consumer Comments]])),
    ISNUMBER(SEARCH("inactive", tblDocketedComments[[#This Row],[Docketed Consumer Comments]]))
  ),
  0,
  1
)</f>
        <v>1</v>
      </c>
    </row>
    <row r="155" spans="1:22" hidden="1">
      <c r="A155" s="2">
        <v>45903</v>
      </c>
      <c r="B155" s="1" t="s">
        <v>542</v>
      </c>
      <c r="C155" s="1" t="s">
        <v>543</v>
      </c>
      <c r="D155" s="1" t="s">
        <v>63</v>
      </c>
      <c r="E155" s="1">
        <v>85022</v>
      </c>
      <c r="F155" s="1" t="s">
        <v>31</v>
      </c>
      <c r="G155" s="1" t="s">
        <v>503</v>
      </c>
      <c r="H155" s="4" t="s">
        <v>209</v>
      </c>
      <c r="O155" s="16"/>
      <c r="V155" s="45">
        <f>IF(
  OR(
    ISNUMBER(SEARCH("unable to locate acct", tblDocketedComments[[#This Row],[Docketed Consumer Comments]])),
    ISNUMBER(SEARCH("unknown", tblDocketedComments[[#This Row],[Docketed Consumer Comments]])),
    ISNUMBER(SEARCH("inactive", tblDocketedComments[[#This Row],[Docketed Consumer Comments]]))
  ),
  0,
  1
)</f>
        <v>1</v>
      </c>
    </row>
    <row r="156" spans="1:22" hidden="1">
      <c r="A156" s="2">
        <v>45903</v>
      </c>
      <c r="B156" s="1" t="s">
        <v>544</v>
      </c>
      <c r="C156" s="1" t="s">
        <v>545</v>
      </c>
      <c r="D156" s="1" t="s">
        <v>63</v>
      </c>
      <c r="E156" s="1">
        <v>85085</v>
      </c>
      <c r="F156" s="1" t="s">
        <v>31</v>
      </c>
      <c r="G156" s="1" t="s">
        <v>503</v>
      </c>
      <c r="H156" s="4" t="s">
        <v>27</v>
      </c>
      <c r="V156" s="45">
        <f>IF(
  OR(
    ISNUMBER(SEARCH("unable to locate acct", tblDocketedComments[[#This Row],[Docketed Consumer Comments]])),
    ISNUMBER(SEARCH("unknown", tblDocketedComments[[#This Row],[Docketed Consumer Comments]])),
    ISNUMBER(SEARCH("inactive", tblDocketedComments[[#This Row],[Docketed Consumer Comments]]))
  ),
  0,
  1
)</f>
        <v>1</v>
      </c>
    </row>
    <row r="157" spans="1:22" hidden="1">
      <c r="A157" s="2">
        <v>45903</v>
      </c>
      <c r="B157" s="1" t="s">
        <v>546</v>
      </c>
      <c r="C157" s="1" t="s">
        <v>547</v>
      </c>
      <c r="D157" s="1" t="s">
        <v>169</v>
      </c>
      <c r="E157" s="1">
        <v>85338</v>
      </c>
      <c r="F157" s="1" t="s">
        <v>31</v>
      </c>
      <c r="G157" s="1" t="s">
        <v>503</v>
      </c>
      <c r="H157" s="4" t="s">
        <v>548</v>
      </c>
      <c r="I157" s="5" t="s">
        <v>36</v>
      </c>
      <c r="J157" s="5" t="s">
        <v>37</v>
      </c>
      <c r="K157" s="5" t="s">
        <v>37</v>
      </c>
      <c r="L157" s="5" t="s">
        <v>38</v>
      </c>
      <c r="M157" s="5" t="s">
        <v>37</v>
      </c>
      <c r="N157" s="5" t="s">
        <v>37</v>
      </c>
      <c r="O157" s="5" t="s">
        <v>38</v>
      </c>
      <c r="P157" s="5" t="s">
        <v>39</v>
      </c>
      <c r="Q157" s="2">
        <v>45968</v>
      </c>
      <c r="V157" s="45">
        <f>IF(
  OR(
    ISNUMBER(SEARCH("unable to locate acct", tblDocketedComments[[#This Row],[Docketed Consumer Comments]])),
    ISNUMBER(SEARCH("unknown", tblDocketedComments[[#This Row],[Docketed Consumer Comments]])),
    ISNUMBER(SEARCH("inactive", tblDocketedComments[[#This Row],[Docketed Consumer Comments]]))
  ),
  0,
  1
)</f>
        <v>1</v>
      </c>
    </row>
    <row r="158" spans="1:22" hidden="1">
      <c r="A158" s="2">
        <v>45903</v>
      </c>
      <c r="B158" s="1" t="s">
        <v>549</v>
      </c>
      <c r="C158" s="1" t="s">
        <v>550</v>
      </c>
      <c r="D158" s="1" t="s">
        <v>63</v>
      </c>
      <c r="E158" s="1">
        <v>85012</v>
      </c>
      <c r="F158" s="1" t="s">
        <v>310</v>
      </c>
      <c r="G158" s="1" t="s">
        <v>503</v>
      </c>
      <c r="H158" s="4" t="s">
        <v>551</v>
      </c>
      <c r="I158" s="5" t="s">
        <v>36</v>
      </c>
      <c r="J158" s="5" t="s">
        <v>37</v>
      </c>
      <c r="K158" s="5" t="s">
        <v>37</v>
      </c>
      <c r="L158" s="5" t="s">
        <v>38</v>
      </c>
      <c r="M158" s="5" t="s">
        <v>37</v>
      </c>
      <c r="N158" s="5" t="s">
        <v>37</v>
      </c>
      <c r="O158" s="5" t="s">
        <v>38</v>
      </c>
      <c r="P158" s="5" t="s">
        <v>39</v>
      </c>
      <c r="Q158" s="2">
        <v>45968</v>
      </c>
      <c r="V158" s="45">
        <f>IF(
  OR(
    ISNUMBER(SEARCH("unable to locate acct", tblDocketedComments[[#This Row],[Docketed Consumer Comments]])),
    ISNUMBER(SEARCH("unknown", tblDocketedComments[[#This Row],[Docketed Consumer Comments]])),
    ISNUMBER(SEARCH("inactive", tblDocketedComments[[#This Row],[Docketed Consumer Comments]]))
  ),
  0,
  1
)</f>
        <v>1</v>
      </c>
    </row>
    <row r="159" spans="1:22" hidden="1">
      <c r="A159" s="2">
        <v>45903</v>
      </c>
      <c r="B159" s="1" t="s">
        <v>552</v>
      </c>
      <c r="C159" s="1" t="s">
        <v>553</v>
      </c>
      <c r="D159" s="1" t="s">
        <v>125</v>
      </c>
      <c r="E159" s="1">
        <v>85255</v>
      </c>
      <c r="F159" s="1" t="s">
        <v>31</v>
      </c>
      <c r="G159" s="1" t="s">
        <v>503</v>
      </c>
      <c r="H159" s="4" t="s">
        <v>27</v>
      </c>
      <c r="V159" s="45">
        <f>IF(
  OR(
    ISNUMBER(SEARCH("unable to locate acct", tblDocketedComments[[#This Row],[Docketed Consumer Comments]])),
    ISNUMBER(SEARCH("unknown", tblDocketedComments[[#This Row],[Docketed Consumer Comments]])),
    ISNUMBER(SEARCH("inactive", tblDocketedComments[[#This Row],[Docketed Consumer Comments]]))
  ),
  0,
  1
)</f>
        <v>1</v>
      </c>
    </row>
    <row r="160" spans="1:22" hidden="1">
      <c r="A160" s="2">
        <v>45903</v>
      </c>
      <c r="B160" s="1" t="s">
        <v>554</v>
      </c>
      <c r="C160" s="1" t="s">
        <v>555</v>
      </c>
      <c r="D160" s="1" t="s">
        <v>63</v>
      </c>
      <c r="E160" s="1">
        <v>85020</v>
      </c>
      <c r="F160" s="1" t="s">
        <v>310</v>
      </c>
      <c r="G160" s="1" t="s">
        <v>503</v>
      </c>
      <c r="H160" s="4" t="s">
        <v>556</v>
      </c>
      <c r="I160" s="5" t="s">
        <v>126</v>
      </c>
      <c r="J160" s="5" t="s">
        <v>37</v>
      </c>
      <c r="K160" s="5" t="s">
        <v>37</v>
      </c>
      <c r="L160" s="7" t="s">
        <v>557</v>
      </c>
      <c r="M160" s="5" t="s">
        <v>37</v>
      </c>
      <c r="N160" s="5" t="s">
        <v>37</v>
      </c>
      <c r="O160" s="5" t="s">
        <v>38</v>
      </c>
      <c r="P160" s="2">
        <v>45933</v>
      </c>
      <c r="Q160" s="2">
        <v>45968</v>
      </c>
      <c r="R160" s="1" t="s">
        <v>558</v>
      </c>
      <c r="V160" s="45">
        <f>IF(
  OR(
    ISNUMBER(SEARCH("unable to locate acct", tblDocketedComments[[#This Row],[Docketed Consumer Comments]])),
    ISNUMBER(SEARCH("unknown", tblDocketedComments[[#This Row],[Docketed Consumer Comments]])),
    ISNUMBER(SEARCH("inactive", tblDocketedComments[[#This Row],[Docketed Consumer Comments]]))
  ),
  0,
  1
)</f>
        <v>1</v>
      </c>
    </row>
    <row r="161" spans="1:22" hidden="1">
      <c r="A161" s="2">
        <v>45903</v>
      </c>
      <c r="B161" s="1" t="s">
        <v>559</v>
      </c>
      <c r="C161" s="1" t="s">
        <v>362</v>
      </c>
      <c r="D161" s="1" t="s">
        <v>63</v>
      </c>
      <c r="E161" s="1">
        <v>85023</v>
      </c>
      <c r="F161" s="1" t="s">
        <v>560</v>
      </c>
      <c r="G161" s="1" t="s">
        <v>503</v>
      </c>
      <c r="H161" s="4" t="s">
        <v>561</v>
      </c>
      <c r="I161" s="5" t="s">
        <v>36</v>
      </c>
      <c r="J161" s="5" t="s">
        <v>37</v>
      </c>
      <c r="K161" s="5" t="s">
        <v>37</v>
      </c>
      <c r="L161" s="5" t="s">
        <v>38</v>
      </c>
      <c r="M161" s="5" t="s">
        <v>37</v>
      </c>
      <c r="N161" s="5" t="s">
        <v>37</v>
      </c>
      <c r="O161" s="5" t="s">
        <v>38</v>
      </c>
      <c r="P161" s="5" t="s">
        <v>39</v>
      </c>
      <c r="Q161" s="2">
        <v>45968</v>
      </c>
      <c r="V161" s="45">
        <f>IF(
  OR(
    ISNUMBER(SEARCH("unable to locate acct", tblDocketedComments[[#This Row],[Docketed Consumer Comments]])),
    ISNUMBER(SEARCH("unknown", tblDocketedComments[[#This Row],[Docketed Consumer Comments]])),
    ISNUMBER(SEARCH("inactive", tblDocketedComments[[#This Row],[Docketed Consumer Comments]]))
  ),
  0,
  1
)</f>
        <v>1</v>
      </c>
    </row>
    <row r="162" spans="1:22" hidden="1">
      <c r="A162" s="2">
        <v>45903</v>
      </c>
      <c r="B162" s="1" t="s">
        <v>562</v>
      </c>
      <c r="C162" s="1" t="s">
        <v>256</v>
      </c>
      <c r="D162" s="1" t="s">
        <v>63</v>
      </c>
      <c r="E162" s="1">
        <v>85020</v>
      </c>
      <c r="F162" s="1" t="s">
        <v>310</v>
      </c>
      <c r="G162" s="1" t="s">
        <v>503</v>
      </c>
      <c r="H162" s="4" t="s">
        <v>563</v>
      </c>
      <c r="I162" s="5" t="s">
        <v>196</v>
      </c>
      <c r="J162" s="5" t="s">
        <v>37</v>
      </c>
      <c r="K162" s="5" t="s">
        <v>37</v>
      </c>
      <c r="L162" s="5" t="s">
        <v>38</v>
      </c>
      <c r="M162" s="5" t="s">
        <v>37</v>
      </c>
      <c r="N162" s="5" t="s">
        <v>37</v>
      </c>
      <c r="O162" s="5" t="s">
        <v>38</v>
      </c>
      <c r="P162" s="5" t="s">
        <v>39</v>
      </c>
      <c r="Q162" s="2">
        <v>45968</v>
      </c>
      <c r="V162" s="45">
        <f>IF(
  OR(
    ISNUMBER(SEARCH("unable to locate acct", tblDocketedComments[[#This Row],[Docketed Consumer Comments]])),
    ISNUMBER(SEARCH("unknown", tblDocketedComments[[#This Row],[Docketed Consumer Comments]])),
    ISNUMBER(SEARCH("inactive", tblDocketedComments[[#This Row],[Docketed Consumer Comments]]))
  ),
  0,
  1
)</f>
        <v>1</v>
      </c>
    </row>
    <row r="163" spans="1:22" hidden="1">
      <c r="A163" s="2">
        <v>45903</v>
      </c>
      <c r="B163" s="1" t="s">
        <v>564</v>
      </c>
      <c r="C163" s="1" t="s">
        <v>565</v>
      </c>
      <c r="D163" s="1" t="s">
        <v>63</v>
      </c>
      <c r="E163" s="1">
        <v>85004</v>
      </c>
      <c r="F163" s="1" t="s">
        <v>310</v>
      </c>
      <c r="G163" s="1" t="s">
        <v>503</v>
      </c>
      <c r="H163" s="4" t="s">
        <v>27</v>
      </c>
      <c r="V163" s="45">
        <f>IF(
  OR(
    ISNUMBER(SEARCH("unable to locate acct", tblDocketedComments[[#This Row],[Docketed Consumer Comments]])),
    ISNUMBER(SEARCH("unknown", tblDocketedComments[[#This Row],[Docketed Consumer Comments]])),
    ISNUMBER(SEARCH("inactive", tblDocketedComments[[#This Row],[Docketed Consumer Comments]]))
  ),
  0,
  1
)</f>
        <v>1</v>
      </c>
    </row>
    <row r="164" spans="1:22" hidden="1">
      <c r="A164" s="2">
        <v>45903</v>
      </c>
      <c r="B164" s="1" t="s">
        <v>566</v>
      </c>
      <c r="C164" s="1" t="s">
        <v>567</v>
      </c>
      <c r="D164" s="1" t="s">
        <v>202</v>
      </c>
      <c r="E164" s="1">
        <v>85383</v>
      </c>
      <c r="F164" s="1" t="s">
        <v>310</v>
      </c>
      <c r="G164" s="1" t="s">
        <v>503</v>
      </c>
      <c r="H164" s="4" t="s">
        <v>568</v>
      </c>
      <c r="I164" s="5" t="s">
        <v>36</v>
      </c>
      <c r="J164" s="5" t="s">
        <v>37</v>
      </c>
      <c r="K164" s="5" t="s">
        <v>37</v>
      </c>
      <c r="L164" s="5" t="s">
        <v>38</v>
      </c>
      <c r="M164" s="5" t="s">
        <v>37</v>
      </c>
      <c r="N164" s="5" t="s">
        <v>37</v>
      </c>
      <c r="O164" s="5" t="s">
        <v>38</v>
      </c>
      <c r="P164" s="5" t="s">
        <v>39</v>
      </c>
      <c r="Q164" s="2">
        <v>45968</v>
      </c>
      <c r="V164" s="45">
        <f>IF(
  OR(
    ISNUMBER(SEARCH("unable to locate acct", tblDocketedComments[[#This Row],[Docketed Consumer Comments]])),
    ISNUMBER(SEARCH("unknown", tblDocketedComments[[#This Row],[Docketed Consumer Comments]])),
    ISNUMBER(SEARCH("inactive", tblDocketedComments[[#This Row],[Docketed Consumer Comments]]))
  ),
  0,
  1
)</f>
        <v>1</v>
      </c>
    </row>
    <row r="165" spans="1:22" hidden="1">
      <c r="A165" s="2">
        <v>45903</v>
      </c>
      <c r="B165" s="1" t="s">
        <v>569</v>
      </c>
      <c r="C165" s="1" t="s">
        <v>570</v>
      </c>
      <c r="D165" s="1" t="s">
        <v>63</v>
      </c>
      <c r="E165" s="1">
        <v>85024</v>
      </c>
      <c r="F165" s="1" t="s">
        <v>310</v>
      </c>
      <c r="G165" s="1" t="s">
        <v>503</v>
      </c>
      <c r="H165" s="4" t="s">
        <v>571</v>
      </c>
      <c r="I165" s="5" t="s">
        <v>196</v>
      </c>
      <c r="J165" s="5" t="s">
        <v>37</v>
      </c>
      <c r="K165" s="5" t="s">
        <v>37</v>
      </c>
      <c r="L165" s="5" t="s">
        <v>38</v>
      </c>
      <c r="M165" s="5" t="s">
        <v>37</v>
      </c>
      <c r="N165" s="5" t="s">
        <v>37</v>
      </c>
      <c r="O165" s="5" t="s">
        <v>38</v>
      </c>
      <c r="P165" s="5" t="s">
        <v>39</v>
      </c>
      <c r="Q165" s="2">
        <v>45968</v>
      </c>
      <c r="V165" s="45">
        <f>IF(
  OR(
    ISNUMBER(SEARCH("unable to locate acct", tblDocketedComments[[#This Row],[Docketed Consumer Comments]])),
    ISNUMBER(SEARCH("unknown", tblDocketedComments[[#This Row],[Docketed Consumer Comments]])),
    ISNUMBER(SEARCH("inactive", tblDocketedComments[[#This Row],[Docketed Consumer Comments]]))
  ),
  0,
  1
)</f>
        <v>1</v>
      </c>
    </row>
    <row r="166" spans="1:22" hidden="1">
      <c r="A166" s="2">
        <v>45903</v>
      </c>
      <c r="B166" s="1" t="s">
        <v>572</v>
      </c>
      <c r="C166" s="1" t="s">
        <v>134</v>
      </c>
      <c r="D166" s="1" t="s">
        <v>63</v>
      </c>
      <c r="E166" s="1">
        <v>85004</v>
      </c>
      <c r="F166" s="1" t="s">
        <v>310</v>
      </c>
      <c r="G166" s="1" t="s">
        <v>503</v>
      </c>
      <c r="H166" s="4" t="s">
        <v>573</v>
      </c>
      <c r="I166" s="5" t="s">
        <v>73</v>
      </c>
      <c r="J166" s="5" t="s">
        <v>37</v>
      </c>
      <c r="K166" s="5" t="s">
        <v>37</v>
      </c>
      <c r="L166" s="5" t="s">
        <v>38</v>
      </c>
      <c r="M166" s="5" t="s">
        <v>37</v>
      </c>
      <c r="N166" s="5" t="s">
        <v>37</v>
      </c>
      <c r="O166" s="5" t="s">
        <v>38</v>
      </c>
      <c r="P166" s="5" t="s">
        <v>39</v>
      </c>
      <c r="Q166" s="2">
        <v>45968</v>
      </c>
      <c r="V166" s="45">
        <f>IF(
  OR(
    ISNUMBER(SEARCH("unable to locate acct", tblDocketedComments[[#This Row],[Docketed Consumer Comments]])),
    ISNUMBER(SEARCH("unknown", tblDocketedComments[[#This Row],[Docketed Consumer Comments]])),
    ISNUMBER(SEARCH("inactive", tblDocketedComments[[#This Row],[Docketed Consumer Comments]]))
  ),
  0,
  1
)</f>
        <v>1</v>
      </c>
    </row>
    <row r="167" spans="1:22" hidden="1">
      <c r="A167" s="2">
        <v>45903</v>
      </c>
      <c r="B167" s="1" t="s">
        <v>574</v>
      </c>
      <c r="C167" s="1" t="s">
        <v>575</v>
      </c>
      <c r="D167" s="1" t="s">
        <v>125</v>
      </c>
      <c r="E167" s="1">
        <v>85260</v>
      </c>
      <c r="F167" s="1" t="s">
        <v>576</v>
      </c>
      <c r="G167" s="1" t="s">
        <v>503</v>
      </c>
      <c r="H167" s="4" t="s">
        <v>577</v>
      </c>
      <c r="I167" s="5" t="s">
        <v>196</v>
      </c>
      <c r="J167" s="5" t="s">
        <v>37</v>
      </c>
      <c r="K167" s="5" t="s">
        <v>37</v>
      </c>
      <c r="L167" s="5" t="s">
        <v>38</v>
      </c>
      <c r="M167" s="5" t="s">
        <v>37</v>
      </c>
      <c r="N167" s="5" t="s">
        <v>37</v>
      </c>
      <c r="O167" s="5" t="s">
        <v>38</v>
      </c>
      <c r="P167" s="5" t="s">
        <v>39</v>
      </c>
      <c r="Q167" s="2">
        <v>45968</v>
      </c>
      <c r="V167" s="45">
        <f>IF(
  OR(
    ISNUMBER(SEARCH("unable to locate acct", tblDocketedComments[[#This Row],[Docketed Consumer Comments]])),
    ISNUMBER(SEARCH("unknown", tblDocketedComments[[#This Row],[Docketed Consumer Comments]])),
    ISNUMBER(SEARCH("inactive", tblDocketedComments[[#This Row],[Docketed Consumer Comments]]))
  ),
  0,
  1
)</f>
        <v>1</v>
      </c>
    </row>
    <row r="168" spans="1:22" hidden="1">
      <c r="A168" s="2">
        <v>45903</v>
      </c>
      <c r="B168" s="1" t="s">
        <v>578</v>
      </c>
      <c r="C168" s="1" t="s">
        <v>547</v>
      </c>
      <c r="D168" s="1" t="s">
        <v>63</v>
      </c>
      <c r="E168" s="1">
        <v>85015</v>
      </c>
      <c r="F168" s="1" t="s">
        <v>310</v>
      </c>
      <c r="G168" s="1" t="s">
        <v>503</v>
      </c>
      <c r="H168" s="4" t="s">
        <v>579</v>
      </c>
      <c r="I168" s="5" t="s">
        <v>57</v>
      </c>
      <c r="J168" s="5" t="s">
        <v>37</v>
      </c>
      <c r="K168" s="5" t="s">
        <v>37</v>
      </c>
      <c r="L168" s="5" t="s">
        <v>580</v>
      </c>
      <c r="M168" s="5" t="s">
        <v>37</v>
      </c>
      <c r="N168" s="5" t="s">
        <v>37</v>
      </c>
      <c r="O168" s="5" t="s">
        <v>38</v>
      </c>
      <c r="P168" s="5" t="s">
        <v>39</v>
      </c>
      <c r="Q168" s="2">
        <v>45968</v>
      </c>
      <c r="V168" s="45">
        <f>IF(
  OR(
    ISNUMBER(SEARCH("unable to locate acct", tblDocketedComments[[#This Row],[Docketed Consumer Comments]])),
    ISNUMBER(SEARCH("unknown", tblDocketedComments[[#This Row],[Docketed Consumer Comments]])),
    ISNUMBER(SEARCH("inactive", tblDocketedComments[[#This Row],[Docketed Consumer Comments]]))
  ),
  0,
  1
)</f>
        <v>1</v>
      </c>
    </row>
    <row r="169" spans="1:22" hidden="1">
      <c r="A169" s="2">
        <v>45903</v>
      </c>
      <c r="B169" s="1" t="s">
        <v>581</v>
      </c>
      <c r="C169" s="1" t="s">
        <v>582</v>
      </c>
      <c r="D169" s="1" t="s">
        <v>63</v>
      </c>
      <c r="E169" s="1">
        <v>85016</v>
      </c>
      <c r="F169" s="1" t="s">
        <v>310</v>
      </c>
      <c r="G169" s="1" t="s">
        <v>503</v>
      </c>
      <c r="H169" s="4" t="s">
        <v>27</v>
      </c>
      <c r="V169" s="45">
        <f>IF(
  OR(
    ISNUMBER(SEARCH("unable to locate acct", tblDocketedComments[[#This Row],[Docketed Consumer Comments]])),
    ISNUMBER(SEARCH("unknown", tblDocketedComments[[#This Row],[Docketed Consumer Comments]])),
    ISNUMBER(SEARCH("inactive", tblDocketedComments[[#This Row],[Docketed Consumer Comments]]))
  ),
  0,
  1
)</f>
        <v>1</v>
      </c>
    </row>
    <row r="170" spans="1:22" hidden="1">
      <c r="A170" s="2">
        <v>45903</v>
      </c>
      <c r="B170" s="1" t="s">
        <v>583</v>
      </c>
      <c r="C170" s="1" t="s">
        <v>584</v>
      </c>
      <c r="D170" s="1" t="s">
        <v>63</v>
      </c>
      <c r="E170" s="1">
        <v>85028</v>
      </c>
      <c r="F170" s="1" t="s">
        <v>585</v>
      </c>
      <c r="G170" s="1" t="s">
        <v>503</v>
      </c>
      <c r="H170" s="4" t="s">
        <v>586</v>
      </c>
      <c r="I170" s="5" t="s">
        <v>36</v>
      </c>
      <c r="J170" s="5" t="s">
        <v>37</v>
      </c>
      <c r="K170" s="5" t="s">
        <v>37</v>
      </c>
      <c r="L170" s="5" t="s">
        <v>38</v>
      </c>
      <c r="M170" s="5" t="s">
        <v>37</v>
      </c>
      <c r="N170" s="5" t="s">
        <v>37</v>
      </c>
      <c r="O170" s="5" t="s">
        <v>38</v>
      </c>
      <c r="P170" s="5" t="s">
        <v>39</v>
      </c>
      <c r="Q170" s="2">
        <v>45968</v>
      </c>
      <c r="V170" s="45">
        <f>IF(
  OR(
    ISNUMBER(SEARCH("unable to locate acct", tblDocketedComments[[#This Row],[Docketed Consumer Comments]])),
    ISNUMBER(SEARCH("unknown", tblDocketedComments[[#This Row],[Docketed Consumer Comments]])),
    ISNUMBER(SEARCH("inactive", tblDocketedComments[[#This Row],[Docketed Consumer Comments]]))
  ),
  0,
  1
)</f>
        <v>1</v>
      </c>
    </row>
    <row r="171" spans="1:22" hidden="1">
      <c r="A171" s="2">
        <v>45903</v>
      </c>
      <c r="B171" s="1" t="s">
        <v>587</v>
      </c>
      <c r="C171" s="1" t="s">
        <v>588</v>
      </c>
      <c r="D171" s="1" t="s">
        <v>240</v>
      </c>
      <c r="E171" s="1">
        <v>85340</v>
      </c>
      <c r="F171" s="1" t="s">
        <v>31</v>
      </c>
      <c r="G171" s="1" t="s">
        <v>503</v>
      </c>
      <c r="H171" s="4" t="s">
        <v>589</v>
      </c>
      <c r="I171" s="5" t="s">
        <v>36</v>
      </c>
      <c r="J171" s="5" t="s">
        <v>37</v>
      </c>
      <c r="K171" s="5" t="s">
        <v>37</v>
      </c>
      <c r="L171" s="5" t="s">
        <v>38</v>
      </c>
      <c r="M171" s="5" t="s">
        <v>37</v>
      </c>
      <c r="N171" s="5" t="s">
        <v>37</v>
      </c>
      <c r="O171" s="5" t="s">
        <v>38</v>
      </c>
      <c r="P171" s="5" t="s">
        <v>39</v>
      </c>
      <c r="Q171" s="2">
        <v>45968</v>
      </c>
      <c r="V171" s="45">
        <f>IF(
  OR(
    ISNUMBER(SEARCH("unable to locate acct", tblDocketedComments[[#This Row],[Docketed Consumer Comments]])),
    ISNUMBER(SEARCH("unknown", tblDocketedComments[[#This Row],[Docketed Consumer Comments]])),
    ISNUMBER(SEARCH("inactive", tblDocketedComments[[#This Row],[Docketed Consumer Comments]]))
  ),
  0,
  1
)</f>
        <v>1</v>
      </c>
    </row>
    <row r="172" spans="1:22" hidden="1">
      <c r="A172" s="2">
        <v>45903</v>
      </c>
      <c r="B172" s="1" t="s">
        <v>590</v>
      </c>
      <c r="C172" s="1" t="s">
        <v>591</v>
      </c>
      <c r="D172" s="1" t="s">
        <v>63</v>
      </c>
      <c r="E172" s="1">
        <v>85024</v>
      </c>
      <c r="F172" s="1" t="s">
        <v>310</v>
      </c>
      <c r="G172" s="1" t="s">
        <v>503</v>
      </c>
      <c r="H172" s="4" t="s">
        <v>592</v>
      </c>
      <c r="I172" s="5" t="s">
        <v>36</v>
      </c>
      <c r="J172" s="5" t="s">
        <v>37</v>
      </c>
      <c r="K172" s="5" t="s">
        <v>37</v>
      </c>
      <c r="L172" s="5" t="s">
        <v>38</v>
      </c>
      <c r="M172" s="5" t="s">
        <v>37</v>
      </c>
      <c r="N172" s="5" t="s">
        <v>37</v>
      </c>
      <c r="O172" s="5" t="s">
        <v>38</v>
      </c>
      <c r="P172" s="5" t="s">
        <v>39</v>
      </c>
      <c r="Q172" s="2">
        <v>45968</v>
      </c>
      <c r="V172" s="45">
        <f>IF(
  OR(
    ISNUMBER(SEARCH("unable to locate acct", tblDocketedComments[[#This Row],[Docketed Consumer Comments]])),
    ISNUMBER(SEARCH("unknown", tblDocketedComments[[#This Row],[Docketed Consumer Comments]])),
    ISNUMBER(SEARCH("inactive", tblDocketedComments[[#This Row],[Docketed Consumer Comments]]))
  ),
  0,
  1
)</f>
        <v>1</v>
      </c>
    </row>
    <row r="173" spans="1:22" hidden="1">
      <c r="A173" s="2">
        <v>45903</v>
      </c>
      <c r="B173" s="1" t="s">
        <v>593</v>
      </c>
      <c r="C173" s="1" t="s">
        <v>594</v>
      </c>
      <c r="D173" s="1" t="s">
        <v>240</v>
      </c>
      <c r="E173" s="1">
        <v>85340</v>
      </c>
      <c r="F173" s="1" t="s">
        <v>595</v>
      </c>
      <c r="G173" s="1" t="s">
        <v>503</v>
      </c>
      <c r="H173" s="4" t="s">
        <v>596</v>
      </c>
      <c r="I173" s="5" t="s">
        <v>126</v>
      </c>
      <c r="J173" s="5" t="s">
        <v>37</v>
      </c>
      <c r="K173" s="5" t="s">
        <v>37</v>
      </c>
      <c r="L173" s="5" t="s">
        <v>38</v>
      </c>
      <c r="M173" s="5" t="s">
        <v>37</v>
      </c>
      <c r="N173" s="5" t="s">
        <v>37</v>
      </c>
      <c r="O173" s="5" t="s">
        <v>38</v>
      </c>
      <c r="P173" s="5" t="s">
        <v>39</v>
      </c>
      <c r="Q173" s="2">
        <v>45968</v>
      </c>
      <c r="V173" s="45">
        <f>IF(
  OR(
    ISNUMBER(SEARCH("unable to locate acct", tblDocketedComments[[#This Row],[Docketed Consumer Comments]])),
    ISNUMBER(SEARCH("unknown", tblDocketedComments[[#This Row],[Docketed Consumer Comments]])),
    ISNUMBER(SEARCH("inactive", tblDocketedComments[[#This Row],[Docketed Consumer Comments]]))
  ),
  0,
  1
)</f>
        <v>1</v>
      </c>
    </row>
    <row r="174" spans="1:22" hidden="1">
      <c r="A174" s="2">
        <v>45903</v>
      </c>
      <c r="B174" s="1" t="s">
        <v>597</v>
      </c>
      <c r="C174" s="1" t="s">
        <v>598</v>
      </c>
      <c r="D174" s="1" t="s">
        <v>63</v>
      </c>
      <c r="E174" s="1">
        <v>85022</v>
      </c>
      <c r="F174" s="1" t="s">
        <v>310</v>
      </c>
      <c r="G174" s="1" t="s">
        <v>503</v>
      </c>
      <c r="H174" s="4" t="s">
        <v>599</v>
      </c>
      <c r="I174" s="5" t="s">
        <v>196</v>
      </c>
      <c r="J174" s="5" t="s">
        <v>37</v>
      </c>
      <c r="K174" s="5" t="s">
        <v>37</v>
      </c>
      <c r="L174" s="5" t="s">
        <v>600</v>
      </c>
      <c r="M174" s="5" t="s">
        <v>37</v>
      </c>
      <c r="N174" s="5" t="s">
        <v>37</v>
      </c>
      <c r="O174" s="5" t="s">
        <v>38</v>
      </c>
      <c r="P174" s="2">
        <v>45933</v>
      </c>
      <c r="Q174" s="2">
        <v>45968</v>
      </c>
      <c r="R174" s="1" t="s">
        <v>558</v>
      </c>
      <c r="V174" s="45">
        <f>IF(
  OR(
    ISNUMBER(SEARCH("unable to locate acct", tblDocketedComments[[#This Row],[Docketed Consumer Comments]])),
    ISNUMBER(SEARCH("unknown", tblDocketedComments[[#This Row],[Docketed Consumer Comments]])),
    ISNUMBER(SEARCH("inactive", tblDocketedComments[[#This Row],[Docketed Consumer Comments]]))
  ),
  0,
  1
)</f>
        <v>1</v>
      </c>
    </row>
    <row r="175" spans="1:22" hidden="1">
      <c r="A175" s="2">
        <v>45903</v>
      </c>
      <c r="B175" s="1" t="s">
        <v>601</v>
      </c>
      <c r="C175" s="1" t="s">
        <v>418</v>
      </c>
      <c r="D175" s="1" t="s">
        <v>24</v>
      </c>
      <c r="E175" s="1">
        <v>85308</v>
      </c>
      <c r="F175" s="1" t="s">
        <v>310</v>
      </c>
      <c r="G175" s="1" t="s">
        <v>503</v>
      </c>
      <c r="H175" s="4" t="s">
        <v>6147</v>
      </c>
      <c r="I175" s="5" t="s">
        <v>73</v>
      </c>
      <c r="J175" s="5" t="s">
        <v>37</v>
      </c>
      <c r="L175" s="5" t="s">
        <v>38</v>
      </c>
      <c r="O175" s="5" t="s">
        <v>38</v>
      </c>
      <c r="P175" s="5" t="s">
        <v>39</v>
      </c>
      <c r="V175" s="45">
        <f>IF(
  OR(
    ISNUMBER(SEARCH("unable to locate acct", tblDocketedComments[[#This Row],[Docketed Consumer Comments]])),
    ISNUMBER(SEARCH("unknown", tblDocketedComments[[#This Row],[Docketed Consumer Comments]])),
    ISNUMBER(SEARCH("inactive", tblDocketedComments[[#This Row],[Docketed Consumer Comments]]))
  ),
  0,
  1
)</f>
        <v>1</v>
      </c>
    </row>
    <row r="176" spans="1:22" hidden="1">
      <c r="A176" s="2">
        <v>45903</v>
      </c>
      <c r="B176" s="1" t="s">
        <v>602</v>
      </c>
      <c r="C176" s="1" t="s">
        <v>603</v>
      </c>
      <c r="D176" s="1" t="s">
        <v>63</v>
      </c>
      <c r="E176" s="1">
        <v>85022</v>
      </c>
      <c r="F176" s="1" t="s">
        <v>604</v>
      </c>
      <c r="G176" s="1" t="s">
        <v>503</v>
      </c>
      <c r="H176" s="4" t="s">
        <v>605</v>
      </c>
      <c r="I176" s="5" t="s">
        <v>57</v>
      </c>
      <c r="J176" s="5" t="s">
        <v>37</v>
      </c>
      <c r="K176" s="5" t="s">
        <v>37</v>
      </c>
      <c r="L176" s="7" t="s">
        <v>606</v>
      </c>
      <c r="M176" s="5" t="s">
        <v>37</v>
      </c>
      <c r="N176" s="5" t="s">
        <v>37</v>
      </c>
      <c r="O176" s="5" t="s">
        <v>38</v>
      </c>
      <c r="P176" s="2">
        <v>45933</v>
      </c>
      <c r="Q176" s="2">
        <v>45968</v>
      </c>
      <c r="R176" s="1" t="s">
        <v>607</v>
      </c>
      <c r="V176" s="45">
        <f>IF(
  OR(
    ISNUMBER(SEARCH("unable to locate acct", tblDocketedComments[[#This Row],[Docketed Consumer Comments]])),
    ISNUMBER(SEARCH("unknown", tblDocketedComments[[#This Row],[Docketed Consumer Comments]])),
    ISNUMBER(SEARCH("inactive", tblDocketedComments[[#This Row],[Docketed Consumer Comments]]))
  ),
  0,
  1
)</f>
        <v>1</v>
      </c>
    </row>
    <row r="177" spans="1:22" hidden="1">
      <c r="A177" s="2">
        <v>45903</v>
      </c>
      <c r="B177" s="1" t="s">
        <v>445</v>
      </c>
      <c r="C177" s="1" t="s">
        <v>608</v>
      </c>
      <c r="D177" s="1" t="s">
        <v>501</v>
      </c>
      <c r="E177" s="1">
        <v>86001</v>
      </c>
      <c r="F177" s="1" t="s">
        <v>31</v>
      </c>
      <c r="G177" s="1" t="s">
        <v>503</v>
      </c>
      <c r="H177" s="4" t="s">
        <v>609</v>
      </c>
      <c r="I177" s="5" t="s">
        <v>126</v>
      </c>
      <c r="J177" s="5" t="s">
        <v>37</v>
      </c>
      <c r="K177" s="5" t="s">
        <v>37</v>
      </c>
      <c r="L177" s="7" t="s">
        <v>610</v>
      </c>
      <c r="M177" s="5" t="s">
        <v>37</v>
      </c>
      <c r="N177" s="5" t="s">
        <v>37</v>
      </c>
      <c r="O177" s="5" t="s">
        <v>38</v>
      </c>
      <c r="P177" s="2">
        <v>45933</v>
      </c>
      <c r="Q177" s="2">
        <v>45968</v>
      </c>
      <c r="R177" s="1" t="s">
        <v>558</v>
      </c>
      <c r="V177" s="45">
        <f>IF(
  OR(
    ISNUMBER(SEARCH("unable to locate acct", tblDocketedComments[[#This Row],[Docketed Consumer Comments]])),
    ISNUMBER(SEARCH("unknown", tblDocketedComments[[#This Row],[Docketed Consumer Comments]])),
    ISNUMBER(SEARCH("inactive", tblDocketedComments[[#This Row],[Docketed Consumer Comments]]))
  ),
  0,
  1
)</f>
        <v>1</v>
      </c>
    </row>
    <row r="178" spans="1:22" hidden="1">
      <c r="A178" s="2">
        <v>45903</v>
      </c>
      <c r="B178" s="1" t="s">
        <v>611</v>
      </c>
      <c r="C178" s="1" t="s">
        <v>550</v>
      </c>
      <c r="D178" s="1" t="s">
        <v>63</v>
      </c>
      <c r="E178" s="1">
        <v>85014</v>
      </c>
      <c r="F178" s="1" t="s">
        <v>612</v>
      </c>
      <c r="G178" s="1" t="s">
        <v>503</v>
      </c>
      <c r="H178" s="4" t="s">
        <v>613</v>
      </c>
      <c r="I178" s="5" t="s">
        <v>73</v>
      </c>
      <c r="J178" s="5" t="s">
        <v>37</v>
      </c>
      <c r="K178" s="5" t="s">
        <v>37</v>
      </c>
      <c r="L178" s="5" t="s">
        <v>38</v>
      </c>
      <c r="M178" s="5" t="s">
        <v>37</v>
      </c>
      <c r="N178" s="5" t="s">
        <v>37</v>
      </c>
      <c r="O178" s="5" t="s">
        <v>38</v>
      </c>
      <c r="P178" s="5" t="s">
        <v>39</v>
      </c>
      <c r="Q178" s="2">
        <v>45968</v>
      </c>
      <c r="V178" s="45">
        <f>IF(
  OR(
    ISNUMBER(SEARCH("unable to locate acct", tblDocketedComments[[#This Row],[Docketed Consumer Comments]])),
    ISNUMBER(SEARCH("unknown", tblDocketedComments[[#This Row],[Docketed Consumer Comments]])),
    ISNUMBER(SEARCH("inactive", tblDocketedComments[[#This Row],[Docketed Consumer Comments]]))
  ),
  0,
  1
)</f>
        <v>1</v>
      </c>
    </row>
    <row r="179" spans="1:22" hidden="1">
      <c r="A179" s="2">
        <v>45903</v>
      </c>
      <c r="B179" s="1" t="s">
        <v>614</v>
      </c>
      <c r="C179" s="1" t="s">
        <v>615</v>
      </c>
      <c r="D179" s="1" t="s">
        <v>616</v>
      </c>
      <c r="E179" s="1">
        <v>85365</v>
      </c>
      <c r="F179" s="1" t="s">
        <v>310</v>
      </c>
      <c r="G179" s="1" t="s">
        <v>503</v>
      </c>
      <c r="H179" s="4" t="s">
        <v>617</v>
      </c>
      <c r="I179" s="5" t="s">
        <v>196</v>
      </c>
      <c r="J179" s="5" t="s">
        <v>37</v>
      </c>
      <c r="K179" s="5" t="s">
        <v>37</v>
      </c>
      <c r="L179" s="5" t="s">
        <v>618</v>
      </c>
      <c r="M179" s="5" t="s">
        <v>37</v>
      </c>
      <c r="N179" s="5" t="s">
        <v>37</v>
      </c>
      <c r="O179" s="5" t="s">
        <v>38</v>
      </c>
      <c r="P179" s="5" t="s">
        <v>39</v>
      </c>
      <c r="Q179" s="2">
        <v>45968</v>
      </c>
      <c r="R179" s="1" t="s">
        <v>619</v>
      </c>
      <c r="V179" s="45">
        <f>IF(
  OR(
    ISNUMBER(SEARCH("unable to locate acct", tblDocketedComments[[#This Row],[Docketed Consumer Comments]])),
    ISNUMBER(SEARCH("unknown", tblDocketedComments[[#This Row],[Docketed Consumer Comments]])),
    ISNUMBER(SEARCH("inactive", tblDocketedComments[[#This Row],[Docketed Consumer Comments]]))
  ),
  0,
  1
)</f>
        <v>1</v>
      </c>
    </row>
    <row r="180" spans="1:22" hidden="1">
      <c r="A180" s="2">
        <v>45903</v>
      </c>
      <c r="B180" s="1" t="s">
        <v>620</v>
      </c>
      <c r="C180" s="1" t="s">
        <v>621</v>
      </c>
      <c r="D180" s="1" t="s">
        <v>63</v>
      </c>
      <c r="E180" s="1">
        <v>85013</v>
      </c>
      <c r="F180" s="1" t="s">
        <v>310</v>
      </c>
      <c r="G180" s="1" t="s">
        <v>503</v>
      </c>
      <c r="H180" s="4" t="s">
        <v>27</v>
      </c>
      <c r="V180" s="45">
        <f>IF(
  OR(
    ISNUMBER(SEARCH("unable to locate acct", tblDocketedComments[[#This Row],[Docketed Consumer Comments]])),
    ISNUMBER(SEARCH("unknown", tblDocketedComments[[#This Row],[Docketed Consumer Comments]])),
    ISNUMBER(SEARCH("inactive", tblDocketedComments[[#This Row],[Docketed Consumer Comments]]))
  ),
  0,
  1
)</f>
        <v>1</v>
      </c>
    </row>
    <row r="181" spans="1:22" hidden="1">
      <c r="A181" s="2">
        <v>45903</v>
      </c>
      <c r="B181" s="1" t="s">
        <v>622</v>
      </c>
      <c r="C181" s="1" t="s">
        <v>623</v>
      </c>
      <c r="D181" s="1" t="s">
        <v>63</v>
      </c>
      <c r="E181" s="1">
        <v>85085</v>
      </c>
      <c r="F181" s="1" t="s">
        <v>624</v>
      </c>
      <c r="G181" s="1" t="s">
        <v>503</v>
      </c>
      <c r="H181" s="4" t="s">
        <v>625</v>
      </c>
      <c r="I181" s="5" t="s">
        <v>36</v>
      </c>
      <c r="J181" s="5" t="s">
        <v>37</v>
      </c>
      <c r="K181" s="5" t="s">
        <v>37</v>
      </c>
      <c r="L181" s="5" t="s">
        <v>38</v>
      </c>
      <c r="M181" s="5" t="s">
        <v>37</v>
      </c>
      <c r="N181" s="5" t="s">
        <v>37</v>
      </c>
      <c r="O181" s="5" t="s">
        <v>38</v>
      </c>
      <c r="P181" s="5" t="s">
        <v>39</v>
      </c>
      <c r="Q181" s="2">
        <v>45968</v>
      </c>
      <c r="V181" s="45">
        <f>IF(
  OR(
    ISNUMBER(SEARCH("unable to locate acct", tblDocketedComments[[#This Row],[Docketed Consumer Comments]])),
    ISNUMBER(SEARCH("unknown", tblDocketedComments[[#This Row],[Docketed Consumer Comments]])),
    ISNUMBER(SEARCH("inactive", tblDocketedComments[[#This Row],[Docketed Consumer Comments]]))
  ),
  0,
  1
)</f>
        <v>1</v>
      </c>
    </row>
    <row r="182" spans="1:22" hidden="1">
      <c r="A182" s="2">
        <v>45903</v>
      </c>
      <c r="B182" s="1" t="s">
        <v>626</v>
      </c>
      <c r="C182" s="1" t="s">
        <v>627</v>
      </c>
      <c r="D182" s="1" t="s">
        <v>520</v>
      </c>
      <c r="E182" s="1">
        <v>85392</v>
      </c>
      <c r="F182" s="1" t="s">
        <v>628</v>
      </c>
      <c r="G182" s="1" t="s">
        <v>503</v>
      </c>
      <c r="H182" s="4" t="s">
        <v>629</v>
      </c>
      <c r="I182" s="5" t="s">
        <v>126</v>
      </c>
      <c r="J182" s="5" t="s">
        <v>37</v>
      </c>
      <c r="K182" s="5" t="s">
        <v>37</v>
      </c>
      <c r="L182" s="5" t="s">
        <v>38</v>
      </c>
      <c r="M182" s="5" t="s">
        <v>37</v>
      </c>
      <c r="N182" s="5" t="s">
        <v>37</v>
      </c>
      <c r="O182" s="5" t="s">
        <v>38</v>
      </c>
      <c r="P182" s="5" t="s">
        <v>39</v>
      </c>
      <c r="Q182" s="2">
        <v>45968</v>
      </c>
      <c r="V182" s="45">
        <f>IF(
  OR(
    ISNUMBER(SEARCH("unable to locate acct", tblDocketedComments[[#This Row],[Docketed Consumer Comments]])),
    ISNUMBER(SEARCH("unknown", tblDocketedComments[[#This Row],[Docketed Consumer Comments]])),
    ISNUMBER(SEARCH("inactive", tblDocketedComments[[#This Row],[Docketed Consumer Comments]]))
  ),
  0,
  1
)</f>
        <v>1</v>
      </c>
    </row>
    <row r="183" spans="1:22" hidden="1">
      <c r="A183" s="2">
        <v>45903</v>
      </c>
      <c r="B183" s="1" t="s">
        <v>630</v>
      </c>
      <c r="C183" s="1" t="s">
        <v>631</v>
      </c>
      <c r="D183" s="1" t="s">
        <v>632</v>
      </c>
      <c r="E183" s="1">
        <v>85281</v>
      </c>
      <c r="F183" s="1" t="s">
        <v>310</v>
      </c>
      <c r="G183" s="1" t="s">
        <v>503</v>
      </c>
      <c r="H183" s="4" t="s">
        <v>27</v>
      </c>
      <c r="V183" s="45">
        <f>IF(
  OR(
    ISNUMBER(SEARCH("unable to locate acct", tblDocketedComments[[#This Row],[Docketed Consumer Comments]])),
    ISNUMBER(SEARCH("unknown", tblDocketedComments[[#This Row],[Docketed Consumer Comments]])),
    ISNUMBER(SEARCH("inactive", tblDocketedComments[[#This Row],[Docketed Consumer Comments]]))
  ),
  0,
  1
)</f>
        <v>1</v>
      </c>
    </row>
    <row r="184" spans="1:22" hidden="1">
      <c r="A184" s="2">
        <v>45903</v>
      </c>
      <c r="B184" s="1" t="s">
        <v>633</v>
      </c>
      <c r="C184" s="1" t="s">
        <v>526</v>
      </c>
      <c r="D184" s="1" t="s">
        <v>501</v>
      </c>
      <c r="E184" s="1">
        <v>86001</v>
      </c>
      <c r="F184" s="1" t="s">
        <v>310</v>
      </c>
      <c r="G184" s="1" t="s">
        <v>503</v>
      </c>
      <c r="H184" s="4" t="s">
        <v>634</v>
      </c>
      <c r="I184" s="5" t="s">
        <v>73</v>
      </c>
      <c r="J184" s="5" t="s">
        <v>37</v>
      </c>
      <c r="K184" s="5" t="s">
        <v>37</v>
      </c>
      <c r="L184" s="5" t="s">
        <v>38</v>
      </c>
      <c r="M184" s="5" t="s">
        <v>37</v>
      </c>
      <c r="N184" s="5" t="s">
        <v>37</v>
      </c>
      <c r="O184" s="5" t="s">
        <v>38</v>
      </c>
      <c r="P184" s="5" t="s">
        <v>39</v>
      </c>
      <c r="Q184" s="2">
        <v>45968</v>
      </c>
      <c r="V184" s="45">
        <f>IF(
  OR(
    ISNUMBER(SEARCH("unable to locate acct", tblDocketedComments[[#This Row],[Docketed Consumer Comments]])),
    ISNUMBER(SEARCH("unknown", tblDocketedComments[[#This Row],[Docketed Consumer Comments]])),
    ISNUMBER(SEARCH("inactive", tblDocketedComments[[#This Row],[Docketed Consumer Comments]]))
  ),
  0,
  1
)</f>
        <v>1</v>
      </c>
    </row>
    <row r="185" spans="1:22" hidden="1">
      <c r="A185" s="2">
        <v>45903</v>
      </c>
      <c r="B185" s="1" t="s">
        <v>635</v>
      </c>
      <c r="C185" s="1" t="s">
        <v>636</v>
      </c>
      <c r="D185" s="1" t="s">
        <v>202</v>
      </c>
      <c r="E185" s="1">
        <v>85383</v>
      </c>
      <c r="F185" s="1" t="s">
        <v>310</v>
      </c>
      <c r="G185" s="1" t="s">
        <v>503</v>
      </c>
      <c r="H185" s="4" t="s">
        <v>637</v>
      </c>
      <c r="I185" s="5" t="s">
        <v>196</v>
      </c>
      <c r="J185" s="5" t="s">
        <v>37</v>
      </c>
      <c r="K185" s="5" t="s">
        <v>37</v>
      </c>
      <c r="L185" s="7" t="s">
        <v>638</v>
      </c>
      <c r="M185" s="5" t="s">
        <v>37</v>
      </c>
      <c r="N185" s="5" t="s">
        <v>37</v>
      </c>
      <c r="O185" s="5" t="s">
        <v>38</v>
      </c>
      <c r="P185" s="2">
        <v>45933</v>
      </c>
      <c r="Q185" s="2">
        <v>45968</v>
      </c>
      <c r="R185" s="1" t="s">
        <v>558</v>
      </c>
      <c r="V185" s="45">
        <f>IF(
  OR(
    ISNUMBER(SEARCH("unable to locate acct", tblDocketedComments[[#This Row],[Docketed Consumer Comments]])),
    ISNUMBER(SEARCH("unknown", tblDocketedComments[[#This Row],[Docketed Consumer Comments]])),
    ISNUMBER(SEARCH("inactive", tblDocketedComments[[#This Row],[Docketed Consumer Comments]]))
  ),
  0,
  1
)</f>
        <v>1</v>
      </c>
    </row>
    <row r="186" spans="1:22" hidden="1">
      <c r="A186" s="2">
        <v>45903</v>
      </c>
      <c r="B186" s="1" t="s">
        <v>639</v>
      </c>
      <c r="C186" s="1" t="s">
        <v>640</v>
      </c>
      <c r="D186" s="1" t="s">
        <v>125</v>
      </c>
      <c r="E186" s="1">
        <v>85255</v>
      </c>
      <c r="F186" s="1" t="s">
        <v>310</v>
      </c>
      <c r="G186" s="1" t="s">
        <v>503</v>
      </c>
      <c r="H186" s="4" t="s">
        <v>641</v>
      </c>
      <c r="I186" s="5" t="s">
        <v>36</v>
      </c>
      <c r="J186" s="5" t="s">
        <v>37</v>
      </c>
      <c r="K186" s="5" t="s">
        <v>37</v>
      </c>
      <c r="L186" s="5" t="s">
        <v>38</v>
      </c>
      <c r="M186" s="5" t="s">
        <v>37</v>
      </c>
      <c r="N186" s="5" t="s">
        <v>37</v>
      </c>
      <c r="O186" s="5" t="s">
        <v>38</v>
      </c>
      <c r="P186" s="5" t="s">
        <v>39</v>
      </c>
      <c r="Q186" s="2">
        <v>45968</v>
      </c>
      <c r="V186" s="45">
        <f>IF(
  OR(
    ISNUMBER(SEARCH("unable to locate acct", tblDocketedComments[[#This Row],[Docketed Consumer Comments]])),
    ISNUMBER(SEARCH("unknown", tblDocketedComments[[#This Row],[Docketed Consumer Comments]])),
    ISNUMBER(SEARCH("inactive", tblDocketedComments[[#This Row],[Docketed Consumer Comments]]))
  ),
  0,
  1
)</f>
        <v>1</v>
      </c>
    </row>
    <row r="187" spans="1:22" hidden="1">
      <c r="A187" s="2">
        <v>45903</v>
      </c>
      <c r="B187" s="1" t="s">
        <v>642</v>
      </c>
      <c r="C187" s="1" t="s">
        <v>643</v>
      </c>
      <c r="D187" s="1" t="s">
        <v>369</v>
      </c>
      <c r="E187" s="1">
        <v>85225</v>
      </c>
      <c r="F187" s="1" t="s">
        <v>310</v>
      </c>
      <c r="G187" s="1" t="s">
        <v>503</v>
      </c>
      <c r="H187" s="4" t="s">
        <v>209</v>
      </c>
      <c r="V187" s="45">
        <f>IF(
  OR(
    ISNUMBER(SEARCH("unable to locate acct", tblDocketedComments[[#This Row],[Docketed Consumer Comments]])),
    ISNUMBER(SEARCH("unknown", tblDocketedComments[[#This Row],[Docketed Consumer Comments]])),
    ISNUMBER(SEARCH("inactive", tblDocketedComments[[#This Row],[Docketed Consumer Comments]]))
  ),
  0,
  1
)</f>
        <v>1</v>
      </c>
    </row>
    <row r="188" spans="1:22" hidden="1">
      <c r="A188" s="2">
        <v>45903</v>
      </c>
      <c r="B188" s="1" t="s">
        <v>644</v>
      </c>
      <c r="C188" s="1" t="s">
        <v>645</v>
      </c>
      <c r="D188" s="1" t="s">
        <v>63</v>
      </c>
      <c r="E188" s="1">
        <v>85022</v>
      </c>
      <c r="F188" s="1" t="s">
        <v>310</v>
      </c>
      <c r="G188" s="1" t="s">
        <v>503</v>
      </c>
      <c r="H188" s="4" t="s">
        <v>646</v>
      </c>
      <c r="I188" s="5" t="s">
        <v>73</v>
      </c>
      <c r="J188" s="5" t="s">
        <v>37</v>
      </c>
      <c r="K188" s="5" t="s">
        <v>37</v>
      </c>
      <c r="L188" s="5" t="s">
        <v>38</v>
      </c>
      <c r="M188" s="5" t="s">
        <v>37</v>
      </c>
      <c r="N188" s="5" t="s">
        <v>37</v>
      </c>
      <c r="O188" s="5" t="s">
        <v>38</v>
      </c>
      <c r="P188" s="5" t="s">
        <v>39</v>
      </c>
      <c r="Q188" s="2">
        <v>45968</v>
      </c>
      <c r="V188" s="45">
        <f>IF(
  OR(
    ISNUMBER(SEARCH("unable to locate acct", tblDocketedComments[[#This Row],[Docketed Consumer Comments]])),
    ISNUMBER(SEARCH("unknown", tblDocketedComments[[#This Row],[Docketed Consumer Comments]])),
    ISNUMBER(SEARCH("inactive", tblDocketedComments[[#This Row],[Docketed Consumer Comments]]))
  ),
  0,
  1
)</f>
        <v>1</v>
      </c>
    </row>
    <row r="189" spans="1:22" hidden="1">
      <c r="A189" s="2">
        <v>45903</v>
      </c>
      <c r="B189" s="1" t="s">
        <v>647</v>
      </c>
      <c r="C189" s="1" t="s">
        <v>117</v>
      </c>
      <c r="D189" s="1" t="s">
        <v>169</v>
      </c>
      <c r="E189" s="1">
        <v>85338</v>
      </c>
      <c r="F189" s="1" t="s">
        <v>648</v>
      </c>
      <c r="G189" s="1" t="s">
        <v>503</v>
      </c>
      <c r="H189" s="4" t="s">
        <v>209</v>
      </c>
      <c r="V189" s="45">
        <f>IF(
  OR(
    ISNUMBER(SEARCH("unable to locate acct", tblDocketedComments[[#This Row],[Docketed Consumer Comments]])),
    ISNUMBER(SEARCH("unknown", tblDocketedComments[[#This Row],[Docketed Consumer Comments]])),
    ISNUMBER(SEARCH("inactive", tblDocketedComments[[#This Row],[Docketed Consumer Comments]]))
  ),
  0,
  1
)</f>
        <v>1</v>
      </c>
    </row>
    <row r="190" spans="1:22" hidden="1">
      <c r="A190" s="2">
        <v>45903</v>
      </c>
      <c r="B190" s="1" t="s">
        <v>649</v>
      </c>
      <c r="C190" s="1" t="s">
        <v>650</v>
      </c>
      <c r="D190" s="1" t="s">
        <v>112</v>
      </c>
      <c r="E190" s="1">
        <v>85388</v>
      </c>
      <c r="F190" s="1" t="s">
        <v>25</v>
      </c>
      <c r="G190" s="1" t="s">
        <v>503</v>
      </c>
      <c r="H190" s="4" t="s">
        <v>209</v>
      </c>
      <c r="V190" s="45">
        <f>IF(
  OR(
    ISNUMBER(SEARCH("unable to locate acct", tblDocketedComments[[#This Row],[Docketed Consumer Comments]])),
    ISNUMBER(SEARCH("unknown", tblDocketedComments[[#This Row],[Docketed Consumer Comments]])),
    ISNUMBER(SEARCH("inactive", tblDocketedComments[[#This Row],[Docketed Consumer Comments]]))
  ),
  0,
  1
)</f>
        <v>1</v>
      </c>
    </row>
    <row r="191" spans="1:22" hidden="1">
      <c r="A191" s="2">
        <v>45903</v>
      </c>
      <c r="B191" s="1" t="s">
        <v>651</v>
      </c>
      <c r="C191" s="1" t="s">
        <v>652</v>
      </c>
      <c r="D191" s="1" t="s">
        <v>30</v>
      </c>
      <c r="E191" s="1">
        <v>85254</v>
      </c>
      <c r="F191" s="1" t="s">
        <v>310</v>
      </c>
      <c r="G191" s="1" t="s">
        <v>503</v>
      </c>
      <c r="H191" s="4" t="s">
        <v>653</v>
      </c>
      <c r="I191" s="5" t="s">
        <v>126</v>
      </c>
      <c r="J191" s="5" t="s">
        <v>37</v>
      </c>
      <c r="K191" s="5" t="s">
        <v>37</v>
      </c>
      <c r="L191" s="5" t="s">
        <v>38</v>
      </c>
      <c r="M191" s="5" t="s">
        <v>38</v>
      </c>
      <c r="N191" s="15">
        <v>664.06</v>
      </c>
      <c r="O191" s="5" t="s">
        <v>38</v>
      </c>
      <c r="P191" s="7"/>
      <c r="Q191" s="2">
        <v>45968</v>
      </c>
      <c r="V191" s="45">
        <f>IF(
  OR(
    ISNUMBER(SEARCH("unable to locate acct", tblDocketedComments[[#This Row],[Docketed Consumer Comments]])),
    ISNUMBER(SEARCH("unknown", tblDocketedComments[[#This Row],[Docketed Consumer Comments]])),
    ISNUMBER(SEARCH("inactive", tblDocketedComments[[#This Row],[Docketed Consumer Comments]]))
  ),
  0,
  1
)</f>
        <v>1</v>
      </c>
    </row>
    <row r="192" spans="1:22" hidden="1">
      <c r="A192" s="2">
        <v>45903</v>
      </c>
      <c r="B192" s="1" t="s">
        <v>654</v>
      </c>
      <c r="C192" s="1" t="s">
        <v>655</v>
      </c>
      <c r="D192" s="1" t="s">
        <v>656</v>
      </c>
      <c r="E192" s="1">
        <v>85350</v>
      </c>
      <c r="F192" s="1" t="s">
        <v>657</v>
      </c>
      <c r="G192" s="1" t="s">
        <v>503</v>
      </c>
      <c r="H192" s="4" t="s">
        <v>27</v>
      </c>
      <c r="V192" s="45">
        <f>IF(
  OR(
    ISNUMBER(SEARCH("unable to locate acct", tblDocketedComments[[#This Row],[Docketed Consumer Comments]])),
    ISNUMBER(SEARCH("unknown", tblDocketedComments[[#This Row],[Docketed Consumer Comments]])),
    ISNUMBER(SEARCH("inactive", tblDocketedComments[[#This Row],[Docketed Consumer Comments]]))
  ),
  0,
  1
)</f>
        <v>1</v>
      </c>
    </row>
    <row r="193" spans="1:22" hidden="1">
      <c r="A193" s="2">
        <v>45903</v>
      </c>
      <c r="B193" s="1" t="s">
        <v>658</v>
      </c>
      <c r="C193" s="1" t="s">
        <v>659</v>
      </c>
      <c r="D193" s="1" t="s">
        <v>24</v>
      </c>
      <c r="E193" s="1">
        <v>85308</v>
      </c>
      <c r="F193" s="1" t="s">
        <v>310</v>
      </c>
      <c r="G193" s="1" t="s">
        <v>503</v>
      </c>
      <c r="H193" s="4" t="s">
        <v>27</v>
      </c>
      <c r="V193" s="45">
        <f>IF(
  OR(
    ISNUMBER(SEARCH("unable to locate acct", tblDocketedComments[[#This Row],[Docketed Consumer Comments]])),
    ISNUMBER(SEARCH("unknown", tblDocketedComments[[#This Row],[Docketed Consumer Comments]])),
    ISNUMBER(SEARCH("inactive", tblDocketedComments[[#This Row],[Docketed Consumer Comments]]))
  ),
  0,
  1
)</f>
        <v>1</v>
      </c>
    </row>
    <row r="194" spans="1:22" hidden="1">
      <c r="A194" s="2">
        <v>45903</v>
      </c>
      <c r="B194" s="1" t="s">
        <v>660</v>
      </c>
      <c r="C194" s="1" t="s">
        <v>312</v>
      </c>
      <c r="D194" s="1" t="s">
        <v>169</v>
      </c>
      <c r="E194" s="1">
        <v>85338</v>
      </c>
      <c r="F194" s="1" t="s">
        <v>661</v>
      </c>
      <c r="G194" s="1" t="s">
        <v>503</v>
      </c>
      <c r="H194" s="4" t="s">
        <v>27</v>
      </c>
      <c r="V194" s="45">
        <f>IF(
  OR(
    ISNUMBER(SEARCH("unable to locate acct", tblDocketedComments[[#This Row],[Docketed Consumer Comments]])),
    ISNUMBER(SEARCH("unknown", tblDocketedComments[[#This Row],[Docketed Consumer Comments]])),
    ISNUMBER(SEARCH("inactive", tblDocketedComments[[#This Row],[Docketed Consumer Comments]]))
  ),
  0,
  1
)</f>
        <v>1</v>
      </c>
    </row>
    <row r="195" spans="1:22" hidden="1">
      <c r="A195" s="2">
        <v>45903</v>
      </c>
      <c r="B195" s="1" t="s">
        <v>662</v>
      </c>
      <c r="C195" s="1" t="s">
        <v>663</v>
      </c>
      <c r="D195" s="1" t="s">
        <v>169</v>
      </c>
      <c r="E195" s="1">
        <v>85338</v>
      </c>
      <c r="F195" s="1" t="s">
        <v>664</v>
      </c>
      <c r="G195" s="1" t="s">
        <v>503</v>
      </c>
      <c r="H195" s="4" t="s">
        <v>665</v>
      </c>
      <c r="I195" s="5" t="s">
        <v>57</v>
      </c>
      <c r="J195" s="5" t="s">
        <v>38</v>
      </c>
      <c r="K195" s="5" t="s">
        <v>37</v>
      </c>
      <c r="L195" s="7" t="s">
        <v>666</v>
      </c>
      <c r="M195" s="5" t="s">
        <v>38</v>
      </c>
      <c r="N195" s="15">
        <v>3681.83</v>
      </c>
      <c r="O195" s="5" t="s">
        <v>38</v>
      </c>
      <c r="P195" s="2">
        <v>45933</v>
      </c>
      <c r="Q195" s="2">
        <v>45968</v>
      </c>
      <c r="R195" s="1" t="s">
        <v>667</v>
      </c>
      <c r="V195" s="45">
        <f>IF(
  OR(
    ISNUMBER(SEARCH("unable to locate acct", tblDocketedComments[[#This Row],[Docketed Consumer Comments]])),
    ISNUMBER(SEARCH("unknown", tblDocketedComments[[#This Row],[Docketed Consumer Comments]])),
    ISNUMBER(SEARCH("inactive", tblDocketedComments[[#This Row],[Docketed Consumer Comments]]))
  ),
  0,
  1
)</f>
        <v>1</v>
      </c>
    </row>
    <row r="196" spans="1:22" hidden="1">
      <c r="A196" s="2">
        <v>45903</v>
      </c>
      <c r="B196" s="1" t="s">
        <v>668</v>
      </c>
      <c r="C196" s="1" t="s">
        <v>375</v>
      </c>
      <c r="D196" s="1" t="s">
        <v>63</v>
      </c>
      <c r="E196" s="1">
        <v>85083</v>
      </c>
      <c r="F196" s="1" t="s">
        <v>310</v>
      </c>
      <c r="G196" s="1" t="s">
        <v>503</v>
      </c>
      <c r="H196" s="4" t="s">
        <v>209</v>
      </c>
      <c r="V196" s="45">
        <f>IF(
  OR(
    ISNUMBER(SEARCH("unable to locate acct", tblDocketedComments[[#This Row],[Docketed Consumer Comments]])),
    ISNUMBER(SEARCH("unknown", tblDocketedComments[[#This Row],[Docketed Consumer Comments]])),
    ISNUMBER(SEARCH("inactive", tblDocketedComments[[#This Row],[Docketed Consumer Comments]]))
  ),
  0,
  1
)</f>
        <v>1</v>
      </c>
    </row>
    <row r="197" spans="1:22" hidden="1">
      <c r="A197" s="2">
        <v>45903</v>
      </c>
      <c r="B197" s="1" t="s">
        <v>669</v>
      </c>
      <c r="C197" s="1" t="s">
        <v>670</v>
      </c>
      <c r="D197" s="1" t="s">
        <v>202</v>
      </c>
      <c r="E197" s="1">
        <v>85382</v>
      </c>
      <c r="F197" s="1" t="s">
        <v>31</v>
      </c>
      <c r="G197" s="1" t="s">
        <v>503</v>
      </c>
      <c r="H197" s="4" t="s">
        <v>671</v>
      </c>
      <c r="I197" s="5" t="s">
        <v>73</v>
      </c>
      <c r="J197" s="5" t="s">
        <v>37</v>
      </c>
      <c r="K197" s="5" t="s">
        <v>37</v>
      </c>
      <c r="L197" s="5" t="s">
        <v>38</v>
      </c>
      <c r="M197" s="5" t="s">
        <v>37</v>
      </c>
      <c r="N197" s="5" t="s">
        <v>37</v>
      </c>
      <c r="O197" s="5" t="s">
        <v>38</v>
      </c>
      <c r="P197" s="5" t="s">
        <v>39</v>
      </c>
      <c r="Q197" s="2">
        <v>45968</v>
      </c>
      <c r="V197" s="45">
        <f>IF(
  OR(
    ISNUMBER(SEARCH("unable to locate acct", tblDocketedComments[[#This Row],[Docketed Consumer Comments]])),
    ISNUMBER(SEARCH("unknown", tblDocketedComments[[#This Row],[Docketed Consumer Comments]])),
    ISNUMBER(SEARCH("inactive", tblDocketedComments[[#This Row],[Docketed Consumer Comments]]))
  ),
  0,
  1
)</f>
        <v>1</v>
      </c>
    </row>
    <row r="198" spans="1:22" hidden="1">
      <c r="A198" s="2">
        <v>45903</v>
      </c>
      <c r="B198" s="1" t="s">
        <v>672</v>
      </c>
      <c r="C198" s="1" t="s">
        <v>673</v>
      </c>
      <c r="D198" s="1" t="s">
        <v>520</v>
      </c>
      <c r="E198" s="1">
        <v>85392</v>
      </c>
      <c r="F198" s="1" t="s">
        <v>674</v>
      </c>
      <c r="G198" s="1" t="s">
        <v>503</v>
      </c>
      <c r="H198" s="4" t="s">
        <v>675</v>
      </c>
      <c r="I198" s="5" t="s">
        <v>36</v>
      </c>
      <c r="J198" s="5" t="s">
        <v>37</v>
      </c>
      <c r="K198" s="5" t="s">
        <v>37</v>
      </c>
      <c r="L198" s="5" t="s">
        <v>38</v>
      </c>
      <c r="M198" s="5" t="s">
        <v>37</v>
      </c>
      <c r="N198" s="5" t="s">
        <v>37</v>
      </c>
      <c r="O198" s="5" t="s">
        <v>38</v>
      </c>
      <c r="P198" s="5" t="s">
        <v>39</v>
      </c>
      <c r="Q198" s="2">
        <v>45968</v>
      </c>
      <c r="V198" s="45">
        <f>IF(
  OR(
    ISNUMBER(SEARCH("unable to locate acct", tblDocketedComments[[#This Row],[Docketed Consumer Comments]])),
    ISNUMBER(SEARCH("unknown", tblDocketedComments[[#This Row],[Docketed Consumer Comments]])),
    ISNUMBER(SEARCH("inactive", tblDocketedComments[[#This Row],[Docketed Consumer Comments]]))
  ),
  0,
  1
)</f>
        <v>1</v>
      </c>
    </row>
    <row r="199" spans="1:22" hidden="1">
      <c r="A199" s="2">
        <v>45903</v>
      </c>
      <c r="B199" s="1" t="s">
        <v>676</v>
      </c>
      <c r="C199" s="1" t="s">
        <v>677</v>
      </c>
      <c r="D199" s="1" t="s">
        <v>202</v>
      </c>
      <c r="E199" s="1">
        <v>85383</v>
      </c>
      <c r="F199" s="1" t="s">
        <v>310</v>
      </c>
      <c r="G199" s="1" t="s">
        <v>503</v>
      </c>
      <c r="H199" s="4" t="s">
        <v>678</v>
      </c>
      <c r="I199" s="5" t="s">
        <v>36</v>
      </c>
      <c r="J199" s="5" t="s">
        <v>37</v>
      </c>
      <c r="K199" s="5" t="s">
        <v>37</v>
      </c>
      <c r="L199" s="5" t="s">
        <v>38</v>
      </c>
      <c r="M199" s="5" t="s">
        <v>37</v>
      </c>
      <c r="N199" s="5" t="s">
        <v>37</v>
      </c>
      <c r="O199" s="5" t="s">
        <v>38</v>
      </c>
      <c r="P199" s="5" t="s">
        <v>39</v>
      </c>
      <c r="Q199" s="2">
        <v>45968</v>
      </c>
      <c r="V199" s="45">
        <f>IF(
  OR(
    ISNUMBER(SEARCH("unable to locate acct", tblDocketedComments[[#This Row],[Docketed Consumer Comments]])),
    ISNUMBER(SEARCH("unknown", tblDocketedComments[[#This Row],[Docketed Consumer Comments]])),
    ISNUMBER(SEARCH("inactive", tblDocketedComments[[#This Row],[Docketed Consumer Comments]]))
  ),
  0,
  1
)</f>
        <v>1</v>
      </c>
    </row>
    <row r="200" spans="1:22" hidden="1">
      <c r="A200" s="2">
        <v>45903</v>
      </c>
      <c r="B200" s="1" t="s">
        <v>679</v>
      </c>
      <c r="C200" s="1" t="s">
        <v>680</v>
      </c>
      <c r="D200" s="1" t="s">
        <v>63</v>
      </c>
      <c r="E200" s="1">
        <v>85085</v>
      </c>
      <c r="F200" s="1" t="s">
        <v>681</v>
      </c>
      <c r="G200" s="1" t="s">
        <v>503</v>
      </c>
      <c r="H200" s="4" t="s">
        <v>27</v>
      </c>
      <c r="V200" s="45">
        <f>IF(
  OR(
    ISNUMBER(SEARCH("unable to locate acct", tblDocketedComments[[#This Row],[Docketed Consumer Comments]])),
    ISNUMBER(SEARCH("unknown", tblDocketedComments[[#This Row],[Docketed Consumer Comments]])),
    ISNUMBER(SEARCH("inactive", tblDocketedComments[[#This Row],[Docketed Consumer Comments]]))
  ),
  0,
  1
)</f>
        <v>1</v>
      </c>
    </row>
    <row r="201" spans="1:22" hidden="1">
      <c r="A201" s="2">
        <v>45903</v>
      </c>
      <c r="B201" s="1" t="s">
        <v>682</v>
      </c>
      <c r="C201" s="1" t="s">
        <v>418</v>
      </c>
      <c r="D201" s="1" t="s">
        <v>63</v>
      </c>
      <c r="E201" s="1">
        <v>85326</v>
      </c>
      <c r="F201" s="1" t="s">
        <v>310</v>
      </c>
      <c r="G201" s="1" t="s">
        <v>503</v>
      </c>
      <c r="H201" s="4" t="s">
        <v>27</v>
      </c>
      <c r="V201" s="45">
        <f>IF(
  OR(
    ISNUMBER(SEARCH("unable to locate acct", tblDocketedComments[[#This Row],[Docketed Consumer Comments]])),
    ISNUMBER(SEARCH("unknown", tblDocketedComments[[#This Row],[Docketed Consumer Comments]])),
    ISNUMBER(SEARCH("inactive", tblDocketedComments[[#This Row],[Docketed Consumer Comments]]))
  ),
  0,
  1
)</f>
        <v>1</v>
      </c>
    </row>
    <row r="202" spans="1:22" hidden="1">
      <c r="A202" s="2">
        <v>45903</v>
      </c>
      <c r="B202" s="1" t="s">
        <v>683</v>
      </c>
      <c r="C202" s="1" t="s">
        <v>684</v>
      </c>
      <c r="D202" s="1" t="s">
        <v>68</v>
      </c>
      <c r="E202" s="1">
        <v>85331</v>
      </c>
      <c r="F202" s="1" t="s">
        <v>310</v>
      </c>
      <c r="G202" s="1" t="s">
        <v>503</v>
      </c>
      <c r="H202" s="4" t="s">
        <v>27</v>
      </c>
      <c r="V202" s="45">
        <f>IF(
  OR(
    ISNUMBER(SEARCH("unable to locate acct", tblDocketedComments[[#This Row],[Docketed Consumer Comments]])),
    ISNUMBER(SEARCH("unknown", tblDocketedComments[[#This Row],[Docketed Consumer Comments]])),
    ISNUMBER(SEARCH("inactive", tblDocketedComments[[#This Row],[Docketed Consumer Comments]]))
  ),
  0,
  1
)</f>
        <v>1</v>
      </c>
    </row>
    <row r="203" spans="1:22" hidden="1">
      <c r="A203" s="2">
        <v>45903</v>
      </c>
      <c r="B203" s="1" t="s">
        <v>685</v>
      </c>
      <c r="C203" s="1" t="s">
        <v>312</v>
      </c>
      <c r="D203" s="1" t="s">
        <v>63</v>
      </c>
      <c r="E203" s="1">
        <v>85053</v>
      </c>
      <c r="F203" s="1" t="s">
        <v>310</v>
      </c>
      <c r="G203" s="1" t="s">
        <v>503</v>
      </c>
      <c r="H203" s="4" t="s">
        <v>209</v>
      </c>
      <c r="V203" s="45">
        <f>IF(
  OR(
    ISNUMBER(SEARCH("unable to locate acct", tblDocketedComments[[#This Row],[Docketed Consumer Comments]])),
    ISNUMBER(SEARCH("unknown", tblDocketedComments[[#This Row],[Docketed Consumer Comments]])),
    ISNUMBER(SEARCH("inactive", tblDocketedComments[[#This Row],[Docketed Consumer Comments]]))
  ),
  0,
  1
)</f>
        <v>1</v>
      </c>
    </row>
    <row r="204" spans="1:22" hidden="1">
      <c r="A204" s="2">
        <v>45903</v>
      </c>
      <c r="B204" s="1" t="s">
        <v>686</v>
      </c>
      <c r="C204" s="1" t="s">
        <v>687</v>
      </c>
      <c r="D204" s="1" t="s">
        <v>63</v>
      </c>
      <c r="E204" s="1">
        <v>85040</v>
      </c>
      <c r="F204" s="1" t="s">
        <v>688</v>
      </c>
      <c r="G204" s="1" t="s">
        <v>503</v>
      </c>
      <c r="H204" s="4" t="s">
        <v>27</v>
      </c>
      <c r="V204" s="45">
        <f>IF(
  OR(
    ISNUMBER(SEARCH("unable to locate acct", tblDocketedComments[[#This Row],[Docketed Consumer Comments]])),
    ISNUMBER(SEARCH("unknown", tblDocketedComments[[#This Row],[Docketed Consumer Comments]])),
    ISNUMBER(SEARCH("inactive", tblDocketedComments[[#This Row],[Docketed Consumer Comments]]))
  ),
  0,
  1
)</f>
        <v>1</v>
      </c>
    </row>
    <row r="205" spans="1:22" hidden="1">
      <c r="A205" s="2">
        <v>45903</v>
      </c>
      <c r="B205" s="1" t="s">
        <v>689</v>
      </c>
      <c r="C205" s="1" t="s">
        <v>690</v>
      </c>
      <c r="D205" s="1" t="s">
        <v>202</v>
      </c>
      <c r="E205" s="1">
        <v>85383</v>
      </c>
      <c r="F205" s="1" t="s">
        <v>310</v>
      </c>
      <c r="G205" s="1" t="s">
        <v>503</v>
      </c>
      <c r="H205" s="4" t="s">
        <v>691</v>
      </c>
      <c r="I205" s="5" t="s">
        <v>196</v>
      </c>
      <c r="J205" s="5" t="s">
        <v>37</v>
      </c>
      <c r="K205" s="5" t="s">
        <v>37</v>
      </c>
      <c r="L205" s="7" t="s">
        <v>692</v>
      </c>
      <c r="M205" s="5" t="s">
        <v>37</v>
      </c>
      <c r="N205" s="5" t="s">
        <v>37</v>
      </c>
      <c r="O205" s="5" t="s">
        <v>38</v>
      </c>
      <c r="P205" s="2">
        <v>45933</v>
      </c>
      <c r="Q205" s="2">
        <v>45968</v>
      </c>
      <c r="R205" s="1" t="s">
        <v>558</v>
      </c>
      <c r="V205" s="45">
        <f>IF(
  OR(
    ISNUMBER(SEARCH("unable to locate acct", tblDocketedComments[[#This Row],[Docketed Consumer Comments]])),
    ISNUMBER(SEARCH("unknown", tblDocketedComments[[#This Row],[Docketed Consumer Comments]])),
    ISNUMBER(SEARCH("inactive", tblDocketedComments[[#This Row],[Docketed Consumer Comments]]))
  ),
  0,
  1
)</f>
        <v>1</v>
      </c>
    </row>
    <row r="206" spans="1:22" hidden="1">
      <c r="A206" s="2">
        <v>45903</v>
      </c>
      <c r="B206" s="1" t="s">
        <v>693</v>
      </c>
      <c r="C206" s="1" t="s">
        <v>694</v>
      </c>
      <c r="D206" s="1" t="s">
        <v>695</v>
      </c>
      <c r="E206" s="1">
        <v>85375</v>
      </c>
      <c r="F206" s="1" t="s">
        <v>696</v>
      </c>
      <c r="G206" s="1" t="s">
        <v>503</v>
      </c>
      <c r="H206" s="4" t="s">
        <v>697</v>
      </c>
      <c r="I206" s="5" t="s">
        <v>73</v>
      </c>
      <c r="J206" s="5" t="s">
        <v>37</v>
      </c>
      <c r="K206" s="5" t="s">
        <v>37</v>
      </c>
      <c r="L206" s="5" t="s">
        <v>38</v>
      </c>
      <c r="M206" s="5" t="s">
        <v>37</v>
      </c>
      <c r="N206" s="5" t="s">
        <v>37</v>
      </c>
      <c r="O206" s="5" t="s">
        <v>38</v>
      </c>
      <c r="P206" s="5" t="s">
        <v>39</v>
      </c>
      <c r="Q206" s="2">
        <v>45968</v>
      </c>
      <c r="V206" s="45">
        <f>IF(
  OR(
    ISNUMBER(SEARCH("unable to locate acct", tblDocketedComments[[#This Row],[Docketed Consumer Comments]])),
    ISNUMBER(SEARCH("unknown", tblDocketedComments[[#This Row],[Docketed Consumer Comments]])),
    ISNUMBER(SEARCH("inactive", tblDocketedComments[[#This Row],[Docketed Consumer Comments]]))
  ),
  0,
  1
)</f>
        <v>1</v>
      </c>
    </row>
    <row r="207" spans="1:22" hidden="1">
      <c r="A207" s="2">
        <v>45903</v>
      </c>
      <c r="B207" s="1" t="s">
        <v>698</v>
      </c>
      <c r="C207" s="1" t="s">
        <v>699</v>
      </c>
      <c r="D207" s="1" t="s">
        <v>169</v>
      </c>
      <c r="E207" s="1">
        <v>85395</v>
      </c>
      <c r="F207" s="1" t="s">
        <v>700</v>
      </c>
      <c r="G207" s="1" t="s">
        <v>503</v>
      </c>
      <c r="H207" s="4" t="s">
        <v>90</v>
      </c>
      <c r="V207" s="45">
        <f>IF(
  OR(
    ISNUMBER(SEARCH("unable to locate acct", tblDocketedComments[[#This Row],[Docketed Consumer Comments]])),
    ISNUMBER(SEARCH("unknown", tblDocketedComments[[#This Row],[Docketed Consumer Comments]])),
    ISNUMBER(SEARCH("inactive", tblDocketedComments[[#This Row],[Docketed Consumer Comments]]))
  ),
  0,
  1
)</f>
        <v>1</v>
      </c>
    </row>
    <row r="208" spans="1:22" hidden="1">
      <c r="A208" s="2">
        <v>45903</v>
      </c>
      <c r="B208" s="1" t="s">
        <v>701</v>
      </c>
      <c r="C208" s="1" t="s">
        <v>393</v>
      </c>
      <c r="D208" s="1" t="s">
        <v>63</v>
      </c>
      <c r="E208" s="1">
        <v>85003</v>
      </c>
      <c r="F208" s="1" t="s">
        <v>310</v>
      </c>
      <c r="G208" s="1" t="s">
        <v>503</v>
      </c>
      <c r="H208" s="4" t="s">
        <v>27</v>
      </c>
      <c r="V208" s="45">
        <f>IF(
  OR(
    ISNUMBER(SEARCH("unable to locate acct", tblDocketedComments[[#This Row],[Docketed Consumer Comments]])),
    ISNUMBER(SEARCH("unknown", tblDocketedComments[[#This Row],[Docketed Consumer Comments]])),
    ISNUMBER(SEARCH("inactive", tblDocketedComments[[#This Row],[Docketed Consumer Comments]]))
  ),
  0,
  1
)</f>
        <v>1</v>
      </c>
    </row>
    <row r="209" spans="1:22" hidden="1">
      <c r="A209" s="2">
        <v>45903</v>
      </c>
      <c r="B209" s="1" t="s">
        <v>366</v>
      </c>
      <c r="C209" s="1" t="s">
        <v>702</v>
      </c>
      <c r="D209" s="1" t="s">
        <v>240</v>
      </c>
      <c r="E209" s="1">
        <v>85340</v>
      </c>
      <c r="F209" s="1" t="s">
        <v>310</v>
      </c>
      <c r="G209" s="1" t="s">
        <v>503</v>
      </c>
      <c r="H209" s="4" t="s">
        <v>27</v>
      </c>
      <c r="V209" s="45">
        <f>IF(
  OR(
    ISNUMBER(SEARCH("unable to locate acct", tblDocketedComments[[#This Row],[Docketed Consumer Comments]])),
    ISNUMBER(SEARCH("unknown", tblDocketedComments[[#This Row],[Docketed Consumer Comments]])),
    ISNUMBER(SEARCH("inactive", tblDocketedComments[[#This Row],[Docketed Consumer Comments]]))
  ),
  0,
  1
)</f>
        <v>1</v>
      </c>
    </row>
    <row r="210" spans="1:22" hidden="1">
      <c r="A210" s="2">
        <v>45903</v>
      </c>
      <c r="B210" s="1" t="s">
        <v>703</v>
      </c>
      <c r="C210" s="1" t="s">
        <v>704</v>
      </c>
      <c r="D210" s="1" t="s">
        <v>112</v>
      </c>
      <c r="E210" s="1">
        <v>85388</v>
      </c>
      <c r="F210" s="1" t="s">
        <v>705</v>
      </c>
      <c r="G210" s="1" t="s">
        <v>503</v>
      </c>
      <c r="H210" s="4" t="s">
        <v>706</v>
      </c>
      <c r="I210" s="5" t="s">
        <v>36</v>
      </c>
      <c r="J210" s="5" t="s">
        <v>37</v>
      </c>
      <c r="K210" s="5" t="s">
        <v>37</v>
      </c>
      <c r="L210" s="5" t="s">
        <v>38</v>
      </c>
      <c r="M210" s="5" t="s">
        <v>37</v>
      </c>
      <c r="N210" s="5" t="s">
        <v>37</v>
      </c>
      <c r="O210" s="5" t="s">
        <v>38</v>
      </c>
      <c r="P210" s="5" t="s">
        <v>39</v>
      </c>
      <c r="Q210" s="2">
        <v>45968</v>
      </c>
      <c r="V210" s="45">
        <f>IF(
  OR(
    ISNUMBER(SEARCH("unable to locate acct", tblDocketedComments[[#This Row],[Docketed Consumer Comments]])),
    ISNUMBER(SEARCH("unknown", tblDocketedComments[[#This Row],[Docketed Consumer Comments]])),
    ISNUMBER(SEARCH("inactive", tblDocketedComments[[#This Row],[Docketed Consumer Comments]]))
  ),
  0,
  1
)</f>
        <v>1</v>
      </c>
    </row>
    <row r="211" spans="1:22" hidden="1">
      <c r="A211" s="2">
        <v>45903</v>
      </c>
      <c r="B211" s="1" t="s">
        <v>707</v>
      </c>
      <c r="C211" s="1" t="s">
        <v>708</v>
      </c>
      <c r="D211" s="1" t="s">
        <v>174</v>
      </c>
      <c r="E211" s="1">
        <v>85326</v>
      </c>
      <c r="F211" s="1" t="s">
        <v>709</v>
      </c>
      <c r="G211" s="1" t="s">
        <v>503</v>
      </c>
      <c r="H211" s="4" t="s">
        <v>90</v>
      </c>
      <c r="V211" s="45">
        <f>IF(
  OR(
    ISNUMBER(SEARCH("unable to locate acct", tblDocketedComments[[#This Row],[Docketed Consumer Comments]])),
    ISNUMBER(SEARCH("unknown", tblDocketedComments[[#This Row],[Docketed Consumer Comments]])),
    ISNUMBER(SEARCH("inactive", tblDocketedComments[[#This Row],[Docketed Consumer Comments]]))
  ),
  0,
  1
)</f>
        <v>1</v>
      </c>
    </row>
    <row r="212" spans="1:22" hidden="1">
      <c r="A212" s="2">
        <v>45903</v>
      </c>
      <c r="B212" s="1" t="s">
        <v>710</v>
      </c>
      <c r="C212" s="1" t="s">
        <v>711</v>
      </c>
      <c r="D212" s="1" t="s">
        <v>63</v>
      </c>
      <c r="E212" s="1">
        <v>85085</v>
      </c>
      <c r="F212" s="1" t="s">
        <v>310</v>
      </c>
      <c r="G212" s="1" t="s">
        <v>503</v>
      </c>
      <c r="H212" s="4" t="s">
        <v>712</v>
      </c>
      <c r="I212" s="5" t="s">
        <v>36</v>
      </c>
      <c r="J212" s="5" t="s">
        <v>37</v>
      </c>
      <c r="K212" s="5" t="s">
        <v>37</v>
      </c>
      <c r="L212" s="5" t="s">
        <v>38</v>
      </c>
      <c r="M212" s="5" t="s">
        <v>37</v>
      </c>
      <c r="N212" s="5" t="s">
        <v>37</v>
      </c>
      <c r="O212" s="5" t="s">
        <v>38</v>
      </c>
      <c r="P212" s="5" t="s">
        <v>39</v>
      </c>
      <c r="Q212" s="2">
        <v>45968</v>
      </c>
      <c r="V212" s="45">
        <f>IF(
  OR(
    ISNUMBER(SEARCH("unable to locate acct", tblDocketedComments[[#This Row],[Docketed Consumer Comments]])),
    ISNUMBER(SEARCH("unknown", tblDocketedComments[[#This Row],[Docketed Consumer Comments]])),
    ISNUMBER(SEARCH("inactive", tblDocketedComments[[#This Row],[Docketed Consumer Comments]]))
  ),
  0,
  1
)</f>
        <v>1</v>
      </c>
    </row>
    <row r="213" spans="1:22" ht="12.75" hidden="1" customHeight="1">
      <c r="A213" s="2">
        <v>45903</v>
      </c>
      <c r="B213" s="1" t="s">
        <v>713</v>
      </c>
      <c r="C213" s="1" t="s">
        <v>714</v>
      </c>
      <c r="D213" s="1" t="s">
        <v>240</v>
      </c>
      <c r="E213" s="1">
        <v>85340</v>
      </c>
      <c r="F213" s="1" t="s">
        <v>715</v>
      </c>
      <c r="G213" s="1" t="s">
        <v>503</v>
      </c>
      <c r="H213" s="4" t="s">
        <v>716</v>
      </c>
      <c r="I213" s="17" t="s">
        <v>717</v>
      </c>
      <c r="J213" s="5" t="s">
        <v>37</v>
      </c>
      <c r="K213" s="5" t="s">
        <v>37</v>
      </c>
      <c r="L213" s="5" t="s">
        <v>718</v>
      </c>
      <c r="M213" s="5" t="s">
        <v>37</v>
      </c>
      <c r="N213" s="5" t="s">
        <v>37</v>
      </c>
      <c r="O213" s="5" t="s">
        <v>38</v>
      </c>
      <c r="P213" s="5" t="s">
        <v>39</v>
      </c>
      <c r="Q213" s="2">
        <v>45968</v>
      </c>
      <c r="V213" s="45">
        <f>IF(
  OR(
    ISNUMBER(SEARCH("unable to locate acct", tblDocketedComments[[#This Row],[Docketed Consumer Comments]])),
    ISNUMBER(SEARCH("unknown", tblDocketedComments[[#This Row],[Docketed Consumer Comments]])),
    ISNUMBER(SEARCH("inactive", tblDocketedComments[[#This Row],[Docketed Consumer Comments]]))
  ),
  0,
  1
)</f>
        <v>1</v>
      </c>
    </row>
    <row r="214" spans="1:22" hidden="1">
      <c r="A214" s="2">
        <v>45903</v>
      </c>
      <c r="B214" s="1" t="s">
        <v>683</v>
      </c>
      <c r="C214" s="1" t="s">
        <v>719</v>
      </c>
      <c r="D214" s="1" t="s">
        <v>369</v>
      </c>
      <c r="E214" s="1">
        <v>85225</v>
      </c>
      <c r="F214" s="1" t="s">
        <v>310</v>
      </c>
      <c r="G214" s="1" t="s">
        <v>503</v>
      </c>
      <c r="H214" s="4" t="s">
        <v>720</v>
      </c>
      <c r="I214" s="5" t="s">
        <v>36</v>
      </c>
      <c r="J214" s="5" t="s">
        <v>37</v>
      </c>
      <c r="K214" s="5" t="s">
        <v>37</v>
      </c>
      <c r="L214" s="5" t="s">
        <v>38</v>
      </c>
      <c r="M214" s="5" t="s">
        <v>37</v>
      </c>
      <c r="N214" s="5" t="s">
        <v>37</v>
      </c>
      <c r="O214" s="5" t="s">
        <v>38</v>
      </c>
      <c r="P214" s="5" t="s">
        <v>39</v>
      </c>
      <c r="Q214" s="2">
        <v>45968</v>
      </c>
      <c r="U214" s="1" t="s">
        <v>721</v>
      </c>
      <c r="V214" s="45">
        <f>IF(
  OR(
    ISNUMBER(SEARCH("unable to locate acct", tblDocketedComments[[#This Row],[Docketed Consumer Comments]])),
    ISNUMBER(SEARCH("unknown", tblDocketedComments[[#This Row],[Docketed Consumer Comments]])),
    ISNUMBER(SEARCH("inactive", tblDocketedComments[[#This Row],[Docketed Consumer Comments]]))
  ),
  0,
  1
)</f>
        <v>1</v>
      </c>
    </row>
    <row r="215" spans="1:22" hidden="1">
      <c r="A215" s="2">
        <v>45903</v>
      </c>
      <c r="B215" s="1" t="s">
        <v>722</v>
      </c>
      <c r="C215" s="1" t="s">
        <v>153</v>
      </c>
      <c r="D215" s="1" t="s">
        <v>63</v>
      </c>
      <c r="E215" s="1">
        <v>85051</v>
      </c>
      <c r="F215" s="1" t="s">
        <v>310</v>
      </c>
      <c r="G215" s="1" t="s">
        <v>503</v>
      </c>
      <c r="H215" s="4" t="s">
        <v>723</v>
      </c>
      <c r="I215" s="5" t="s">
        <v>73</v>
      </c>
      <c r="J215" s="5" t="s">
        <v>37</v>
      </c>
      <c r="K215" s="5" t="s">
        <v>37</v>
      </c>
      <c r="L215" s="5" t="s">
        <v>38</v>
      </c>
      <c r="M215" s="5" t="s">
        <v>37</v>
      </c>
      <c r="N215" s="5" t="s">
        <v>37</v>
      </c>
      <c r="O215" s="5" t="s">
        <v>38</v>
      </c>
      <c r="P215" s="5" t="s">
        <v>39</v>
      </c>
      <c r="Q215" s="2">
        <v>45968</v>
      </c>
      <c r="V215" s="45">
        <f>IF(
  OR(
    ISNUMBER(SEARCH("unable to locate acct", tblDocketedComments[[#This Row],[Docketed Consumer Comments]])),
    ISNUMBER(SEARCH("unknown", tblDocketedComments[[#This Row],[Docketed Consumer Comments]])),
    ISNUMBER(SEARCH("inactive", tblDocketedComments[[#This Row],[Docketed Consumer Comments]]))
  ),
  0,
  1
)</f>
        <v>1</v>
      </c>
    </row>
    <row r="216" spans="1:22" hidden="1">
      <c r="A216" s="2">
        <v>45903</v>
      </c>
      <c r="B216" s="1" t="s">
        <v>724</v>
      </c>
      <c r="C216" s="1" t="s">
        <v>725</v>
      </c>
      <c r="D216" s="1" t="s">
        <v>63</v>
      </c>
      <c r="E216" s="1">
        <v>85393</v>
      </c>
      <c r="F216" s="1" t="s">
        <v>310</v>
      </c>
      <c r="G216" s="1" t="s">
        <v>503</v>
      </c>
      <c r="H216" s="4" t="s">
        <v>27</v>
      </c>
      <c r="V216" s="45">
        <f>IF(
  OR(
    ISNUMBER(SEARCH("unable to locate acct", tblDocketedComments[[#This Row],[Docketed Consumer Comments]])),
    ISNUMBER(SEARCH("unknown", tblDocketedComments[[#This Row],[Docketed Consumer Comments]])),
    ISNUMBER(SEARCH("inactive", tblDocketedComments[[#This Row],[Docketed Consumer Comments]]))
  ),
  0,
  1
)</f>
        <v>1</v>
      </c>
    </row>
    <row r="217" spans="1:22" hidden="1">
      <c r="A217" s="2">
        <v>45903</v>
      </c>
      <c r="B217" s="1" t="s">
        <v>726</v>
      </c>
      <c r="C217" s="1" t="s">
        <v>687</v>
      </c>
      <c r="D217" s="1" t="s">
        <v>112</v>
      </c>
      <c r="E217" s="1">
        <v>85388</v>
      </c>
      <c r="F217" s="1" t="s">
        <v>727</v>
      </c>
      <c r="G217" s="1" t="s">
        <v>503</v>
      </c>
      <c r="H217" s="4" t="s">
        <v>728</v>
      </c>
      <c r="I217" s="5" t="s">
        <v>46</v>
      </c>
      <c r="J217" s="5" t="s">
        <v>37</v>
      </c>
      <c r="K217" s="5" t="s">
        <v>37</v>
      </c>
      <c r="L217" s="5" t="s">
        <v>38</v>
      </c>
      <c r="M217" s="5" t="s">
        <v>37</v>
      </c>
      <c r="N217" s="5" t="s">
        <v>37</v>
      </c>
      <c r="O217" s="5" t="s">
        <v>38</v>
      </c>
      <c r="P217" s="5" t="s">
        <v>39</v>
      </c>
      <c r="Q217" s="2">
        <v>45968</v>
      </c>
      <c r="V217" s="45">
        <f>IF(
  OR(
    ISNUMBER(SEARCH("unable to locate acct", tblDocketedComments[[#This Row],[Docketed Consumer Comments]])),
    ISNUMBER(SEARCH("unknown", tblDocketedComments[[#This Row],[Docketed Consumer Comments]])),
    ISNUMBER(SEARCH("inactive", tblDocketedComments[[#This Row],[Docketed Consumer Comments]]))
  ),
  0,
  1
)</f>
        <v>1</v>
      </c>
    </row>
    <row r="218" spans="1:22" hidden="1">
      <c r="A218" s="2">
        <v>45903</v>
      </c>
      <c r="B218" s="1" t="s">
        <v>729</v>
      </c>
      <c r="C218" s="1" t="s">
        <v>730</v>
      </c>
      <c r="D218" s="1" t="s">
        <v>169</v>
      </c>
      <c r="E218" s="1">
        <v>85338</v>
      </c>
      <c r="F218" s="1" t="s">
        <v>731</v>
      </c>
      <c r="G218" s="1" t="s">
        <v>503</v>
      </c>
      <c r="H218" s="4" t="s">
        <v>732</v>
      </c>
      <c r="I218" s="5" t="s">
        <v>73</v>
      </c>
      <c r="J218" s="5" t="s">
        <v>37</v>
      </c>
      <c r="K218" s="5" t="s">
        <v>37</v>
      </c>
      <c r="L218" s="5" t="s">
        <v>38</v>
      </c>
      <c r="M218" s="5" t="s">
        <v>37</v>
      </c>
      <c r="N218" s="5" t="s">
        <v>37</v>
      </c>
      <c r="O218" s="5" t="s">
        <v>38</v>
      </c>
      <c r="P218" s="5" t="s">
        <v>39</v>
      </c>
      <c r="Q218" s="2">
        <v>45968</v>
      </c>
      <c r="V218" s="45">
        <f>IF(
  OR(
    ISNUMBER(SEARCH("unable to locate acct", tblDocketedComments[[#This Row],[Docketed Consumer Comments]])),
    ISNUMBER(SEARCH("unknown", tblDocketedComments[[#This Row],[Docketed Consumer Comments]])),
    ISNUMBER(SEARCH("inactive", tblDocketedComments[[#This Row],[Docketed Consumer Comments]]))
  ),
  0,
  1
)</f>
        <v>1</v>
      </c>
    </row>
    <row r="219" spans="1:22" hidden="1">
      <c r="A219" s="2">
        <v>45903</v>
      </c>
      <c r="B219" s="1" t="s">
        <v>733</v>
      </c>
      <c r="C219" s="1" t="s">
        <v>409</v>
      </c>
      <c r="D219" s="1" t="s">
        <v>734</v>
      </c>
      <c r="E219" s="1">
        <v>86326</v>
      </c>
      <c r="F219" s="1" t="s">
        <v>735</v>
      </c>
      <c r="G219" s="1" t="s">
        <v>503</v>
      </c>
      <c r="H219" s="4" t="s">
        <v>736</v>
      </c>
      <c r="I219" s="5" t="s">
        <v>538</v>
      </c>
      <c r="J219" s="5" t="s">
        <v>37</v>
      </c>
      <c r="K219" s="5" t="s">
        <v>37</v>
      </c>
      <c r="L219" s="5" t="s">
        <v>387</v>
      </c>
      <c r="M219" s="5" t="s">
        <v>37</v>
      </c>
      <c r="N219" s="5" t="s">
        <v>37</v>
      </c>
      <c r="O219" s="5" t="s">
        <v>38</v>
      </c>
      <c r="P219" s="5" t="s">
        <v>39</v>
      </c>
      <c r="Q219" s="2">
        <v>45968</v>
      </c>
      <c r="V219" s="45">
        <f>IF(
  OR(
    ISNUMBER(SEARCH("unable to locate acct", tblDocketedComments[[#This Row],[Docketed Consumer Comments]])),
    ISNUMBER(SEARCH("unknown", tblDocketedComments[[#This Row],[Docketed Consumer Comments]])),
    ISNUMBER(SEARCH("inactive", tblDocketedComments[[#This Row],[Docketed Consumer Comments]]))
  ),
  0,
  1
)</f>
        <v>1</v>
      </c>
    </row>
    <row r="220" spans="1:22" hidden="1">
      <c r="A220" s="2">
        <v>45903</v>
      </c>
      <c r="B220" s="1" t="s">
        <v>737</v>
      </c>
      <c r="C220" s="1" t="s">
        <v>594</v>
      </c>
      <c r="D220" s="1" t="s">
        <v>169</v>
      </c>
      <c r="E220" s="1">
        <v>85338</v>
      </c>
      <c r="F220" s="1" t="s">
        <v>738</v>
      </c>
      <c r="G220" s="1" t="s">
        <v>503</v>
      </c>
      <c r="H220" s="4" t="s">
        <v>739</v>
      </c>
      <c r="I220" s="5" t="s">
        <v>538</v>
      </c>
      <c r="J220" s="5" t="s">
        <v>37</v>
      </c>
      <c r="K220" s="5" t="s">
        <v>37</v>
      </c>
      <c r="L220" s="5" t="s">
        <v>387</v>
      </c>
      <c r="M220" s="5" t="s">
        <v>37</v>
      </c>
      <c r="N220" s="5" t="s">
        <v>37</v>
      </c>
      <c r="O220" s="5" t="s">
        <v>38</v>
      </c>
      <c r="P220" s="5" t="s">
        <v>39</v>
      </c>
      <c r="Q220" s="2">
        <v>45968</v>
      </c>
      <c r="V220" s="45">
        <f>IF(
  OR(
    ISNUMBER(SEARCH("unable to locate acct", tblDocketedComments[[#This Row],[Docketed Consumer Comments]])),
    ISNUMBER(SEARCH("unknown", tblDocketedComments[[#This Row],[Docketed Consumer Comments]])),
    ISNUMBER(SEARCH("inactive", tblDocketedComments[[#This Row],[Docketed Consumer Comments]]))
  ),
  0,
  1
)</f>
        <v>1</v>
      </c>
    </row>
    <row r="221" spans="1:22" hidden="1">
      <c r="A221" s="2">
        <v>45903</v>
      </c>
      <c r="B221" s="1" t="s">
        <v>740</v>
      </c>
      <c r="C221" s="1" t="s">
        <v>741</v>
      </c>
      <c r="D221" s="1" t="s">
        <v>63</v>
      </c>
      <c r="E221" s="1">
        <v>85023</v>
      </c>
      <c r="F221" s="1" t="s">
        <v>310</v>
      </c>
      <c r="G221" s="1" t="s">
        <v>503</v>
      </c>
      <c r="H221" s="4" t="s">
        <v>742</v>
      </c>
      <c r="I221" s="5" t="s">
        <v>36</v>
      </c>
      <c r="J221" s="5" t="s">
        <v>37</v>
      </c>
      <c r="K221" s="5" t="s">
        <v>37</v>
      </c>
      <c r="L221" s="5" t="s">
        <v>38</v>
      </c>
      <c r="M221" s="5" t="s">
        <v>37</v>
      </c>
      <c r="N221" s="5" t="s">
        <v>37</v>
      </c>
      <c r="O221" s="5" t="s">
        <v>38</v>
      </c>
      <c r="P221" s="5" t="s">
        <v>39</v>
      </c>
      <c r="Q221" s="2">
        <v>45968</v>
      </c>
      <c r="V221" s="45">
        <f>IF(
  OR(
    ISNUMBER(SEARCH("unable to locate acct", tblDocketedComments[[#This Row],[Docketed Consumer Comments]])),
    ISNUMBER(SEARCH("unknown", tblDocketedComments[[#This Row],[Docketed Consumer Comments]])),
    ISNUMBER(SEARCH("inactive", tblDocketedComments[[#This Row],[Docketed Consumer Comments]]))
  ),
  0,
  1
)</f>
        <v>1</v>
      </c>
    </row>
    <row r="222" spans="1:22" hidden="1">
      <c r="A222" s="2">
        <v>45903</v>
      </c>
      <c r="B222" s="1" t="s">
        <v>743</v>
      </c>
      <c r="C222" s="1" t="s">
        <v>744</v>
      </c>
      <c r="D222" s="1" t="s">
        <v>202</v>
      </c>
      <c r="E222" s="1">
        <v>85383</v>
      </c>
      <c r="F222" s="1" t="s">
        <v>745</v>
      </c>
      <c r="G222" s="1" t="s">
        <v>503</v>
      </c>
      <c r="H222" s="4" t="s">
        <v>746</v>
      </c>
      <c r="I222" s="5" t="s">
        <v>126</v>
      </c>
      <c r="J222" s="5" t="s">
        <v>37</v>
      </c>
      <c r="K222" s="5" t="s">
        <v>37</v>
      </c>
      <c r="L222" s="5" t="s">
        <v>38</v>
      </c>
      <c r="M222" s="5" t="s">
        <v>37</v>
      </c>
      <c r="N222" s="5" t="s">
        <v>37</v>
      </c>
      <c r="O222" s="5" t="s">
        <v>38</v>
      </c>
      <c r="P222" s="5" t="s">
        <v>39</v>
      </c>
      <c r="Q222" s="2">
        <v>45968</v>
      </c>
      <c r="V222" s="45">
        <f>IF(
  OR(
    ISNUMBER(SEARCH("unable to locate acct", tblDocketedComments[[#This Row],[Docketed Consumer Comments]])),
    ISNUMBER(SEARCH("unknown", tblDocketedComments[[#This Row],[Docketed Consumer Comments]])),
    ISNUMBER(SEARCH("inactive", tblDocketedComments[[#This Row],[Docketed Consumer Comments]]))
  ),
  0,
  1
)</f>
        <v>1</v>
      </c>
    </row>
    <row r="223" spans="1:22" hidden="1">
      <c r="A223" s="2">
        <v>45903</v>
      </c>
      <c r="B223" s="1" t="s">
        <v>747</v>
      </c>
      <c r="C223" s="1" t="s">
        <v>230</v>
      </c>
      <c r="D223" s="1" t="s">
        <v>169</v>
      </c>
      <c r="E223" s="1">
        <v>85395</v>
      </c>
      <c r="F223" s="1" t="s">
        <v>748</v>
      </c>
      <c r="G223" s="1" t="s">
        <v>503</v>
      </c>
      <c r="H223" s="4" t="s">
        <v>27</v>
      </c>
      <c r="U223" s="1" t="s">
        <v>721</v>
      </c>
      <c r="V223" s="45">
        <f>IF(
  OR(
    ISNUMBER(SEARCH("unable to locate acct", tblDocketedComments[[#This Row],[Docketed Consumer Comments]])),
    ISNUMBER(SEARCH("unknown", tblDocketedComments[[#This Row],[Docketed Consumer Comments]])),
    ISNUMBER(SEARCH("inactive", tblDocketedComments[[#This Row],[Docketed Consumer Comments]]))
  ),
  0,
  1
)</f>
        <v>1</v>
      </c>
    </row>
    <row r="224" spans="1:22" hidden="1">
      <c r="A224" s="2">
        <v>45903</v>
      </c>
      <c r="B224" s="1" t="s">
        <v>749</v>
      </c>
      <c r="C224" s="1" t="s">
        <v>409</v>
      </c>
      <c r="D224" s="1" t="s">
        <v>63</v>
      </c>
      <c r="E224" s="1">
        <v>85085</v>
      </c>
      <c r="F224" s="1" t="s">
        <v>310</v>
      </c>
      <c r="G224" s="1" t="s">
        <v>503</v>
      </c>
      <c r="H224" s="4" t="s">
        <v>750</v>
      </c>
      <c r="I224" s="5" t="s">
        <v>73</v>
      </c>
      <c r="J224" s="5" t="s">
        <v>37</v>
      </c>
      <c r="K224" s="5" t="s">
        <v>37</v>
      </c>
      <c r="L224" s="5" t="s">
        <v>38</v>
      </c>
      <c r="M224" s="5" t="s">
        <v>37</v>
      </c>
      <c r="N224" s="5" t="s">
        <v>37</v>
      </c>
      <c r="O224" s="5" t="s">
        <v>38</v>
      </c>
      <c r="P224" s="5" t="s">
        <v>39</v>
      </c>
      <c r="Q224" s="2">
        <v>45968</v>
      </c>
      <c r="V224" s="45">
        <f>IF(
  OR(
    ISNUMBER(SEARCH("unable to locate acct", tblDocketedComments[[#This Row],[Docketed Consumer Comments]])),
    ISNUMBER(SEARCH("unknown", tblDocketedComments[[#This Row],[Docketed Consumer Comments]])),
    ISNUMBER(SEARCH("inactive", tblDocketedComments[[#This Row],[Docketed Consumer Comments]]))
  ),
  0,
  1
)</f>
        <v>1</v>
      </c>
    </row>
    <row r="225" spans="1:22" hidden="1">
      <c r="A225" s="2">
        <v>45903</v>
      </c>
      <c r="B225" s="1" t="s">
        <v>751</v>
      </c>
      <c r="C225" s="1" t="s">
        <v>752</v>
      </c>
      <c r="D225" s="1" t="s">
        <v>63</v>
      </c>
      <c r="E225" s="1">
        <v>85034</v>
      </c>
      <c r="F225" s="1" t="s">
        <v>31</v>
      </c>
      <c r="G225" s="1" t="s">
        <v>503</v>
      </c>
      <c r="H225" s="4" t="s">
        <v>90</v>
      </c>
      <c r="V225" s="45">
        <f>IF(
  OR(
    ISNUMBER(SEARCH("unable to locate acct", tblDocketedComments[[#This Row],[Docketed Consumer Comments]])),
    ISNUMBER(SEARCH("unknown", tblDocketedComments[[#This Row],[Docketed Consumer Comments]])),
    ISNUMBER(SEARCH("inactive", tblDocketedComments[[#This Row],[Docketed Consumer Comments]]))
  ),
  0,
  1
)</f>
        <v>1</v>
      </c>
    </row>
    <row r="226" spans="1:22" hidden="1">
      <c r="A226" s="2">
        <v>45903</v>
      </c>
      <c r="B226" s="1" t="s">
        <v>753</v>
      </c>
      <c r="C226" s="1" t="s">
        <v>754</v>
      </c>
      <c r="D226" s="1" t="s">
        <v>24</v>
      </c>
      <c r="E226" s="1">
        <v>85310</v>
      </c>
      <c r="F226" s="1" t="s">
        <v>755</v>
      </c>
      <c r="G226" s="1" t="s">
        <v>503</v>
      </c>
      <c r="H226" s="4" t="s">
        <v>756</v>
      </c>
      <c r="I226" s="5" t="s">
        <v>36</v>
      </c>
      <c r="J226" s="5" t="s">
        <v>37</v>
      </c>
      <c r="K226" s="5" t="s">
        <v>37</v>
      </c>
      <c r="L226" s="5" t="s">
        <v>38</v>
      </c>
      <c r="M226" s="5" t="s">
        <v>37</v>
      </c>
      <c r="N226" s="5" t="s">
        <v>37</v>
      </c>
      <c r="O226" s="5" t="s">
        <v>38</v>
      </c>
      <c r="P226" s="5" t="s">
        <v>39</v>
      </c>
      <c r="Q226" s="2">
        <v>45968</v>
      </c>
      <c r="V226" s="45">
        <f>IF(
  OR(
    ISNUMBER(SEARCH("unable to locate acct", tblDocketedComments[[#This Row],[Docketed Consumer Comments]])),
    ISNUMBER(SEARCH("unknown", tblDocketedComments[[#This Row],[Docketed Consumer Comments]])),
    ISNUMBER(SEARCH("inactive", tblDocketedComments[[#This Row],[Docketed Consumer Comments]]))
  ),
  0,
  1
)</f>
        <v>1</v>
      </c>
    </row>
    <row r="227" spans="1:22" hidden="1">
      <c r="A227" s="2">
        <v>45903</v>
      </c>
      <c r="B227" s="1" t="s">
        <v>227</v>
      </c>
      <c r="C227" s="1" t="s">
        <v>757</v>
      </c>
      <c r="D227" s="1" t="s">
        <v>112</v>
      </c>
      <c r="E227" s="1">
        <v>85388</v>
      </c>
      <c r="F227" s="1" t="s">
        <v>758</v>
      </c>
      <c r="G227" s="1" t="s">
        <v>503</v>
      </c>
      <c r="H227" s="4" t="s">
        <v>209</v>
      </c>
      <c r="V227" s="45">
        <f>IF(
  OR(
    ISNUMBER(SEARCH("unable to locate acct", tblDocketedComments[[#This Row],[Docketed Consumer Comments]])),
    ISNUMBER(SEARCH("unknown", tblDocketedComments[[#This Row],[Docketed Consumer Comments]])),
    ISNUMBER(SEARCH("inactive", tblDocketedComments[[#This Row],[Docketed Consumer Comments]]))
  ),
  0,
  1
)</f>
        <v>1</v>
      </c>
    </row>
    <row r="228" spans="1:22" hidden="1">
      <c r="A228" s="2">
        <v>45903</v>
      </c>
      <c r="B228" s="1" t="s">
        <v>759</v>
      </c>
      <c r="C228" s="1" t="s">
        <v>760</v>
      </c>
      <c r="D228" s="1" t="s">
        <v>63</v>
      </c>
      <c r="E228" s="1">
        <v>85006</v>
      </c>
      <c r="F228" s="1" t="s">
        <v>310</v>
      </c>
      <c r="G228" s="1" t="s">
        <v>503</v>
      </c>
      <c r="H228" s="4" t="s">
        <v>761</v>
      </c>
      <c r="I228" s="5" t="s">
        <v>196</v>
      </c>
      <c r="J228" s="5" t="s">
        <v>37</v>
      </c>
      <c r="K228" s="5" t="s">
        <v>37</v>
      </c>
      <c r="L228" s="7" t="s">
        <v>762</v>
      </c>
      <c r="M228" s="5" t="s">
        <v>37</v>
      </c>
      <c r="N228" s="5" t="s">
        <v>37</v>
      </c>
      <c r="O228" s="5" t="s">
        <v>38</v>
      </c>
      <c r="P228" s="2">
        <v>45933</v>
      </c>
      <c r="Q228" s="2">
        <v>45968</v>
      </c>
      <c r="R228" s="1" t="s">
        <v>763</v>
      </c>
      <c r="V228" s="45">
        <f>IF(
  OR(
    ISNUMBER(SEARCH("unable to locate acct", tblDocketedComments[[#This Row],[Docketed Consumer Comments]])),
    ISNUMBER(SEARCH("unknown", tblDocketedComments[[#This Row],[Docketed Consumer Comments]])),
    ISNUMBER(SEARCH("inactive", tblDocketedComments[[#This Row],[Docketed Consumer Comments]]))
  ),
  0,
  1
)</f>
        <v>1</v>
      </c>
    </row>
    <row r="229" spans="1:22" hidden="1">
      <c r="A229" s="2">
        <v>45903</v>
      </c>
      <c r="B229" s="1" t="s">
        <v>764</v>
      </c>
      <c r="C229" s="1" t="s">
        <v>765</v>
      </c>
      <c r="D229" s="1" t="s">
        <v>125</v>
      </c>
      <c r="E229" s="1">
        <v>85254</v>
      </c>
      <c r="F229" s="1" t="s">
        <v>310</v>
      </c>
      <c r="G229" s="1" t="s">
        <v>503</v>
      </c>
      <c r="H229" s="4" t="s">
        <v>766</v>
      </c>
      <c r="I229" s="5" t="s">
        <v>196</v>
      </c>
      <c r="J229" s="5" t="s">
        <v>37</v>
      </c>
      <c r="K229" s="5" t="s">
        <v>37</v>
      </c>
      <c r="L229" s="5" t="s">
        <v>38</v>
      </c>
      <c r="M229" s="5" t="s">
        <v>37</v>
      </c>
      <c r="N229" s="5" t="s">
        <v>37</v>
      </c>
      <c r="O229" s="5" t="s">
        <v>38</v>
      </c>
      <c r="P229" s="5" t="s">
        <v>39</v>
      </c>
      <c r="Q229" s="2">
        <v>45968</v>
      </c>
      <c r="V229" s="45">
        <f>IF(
  OR(
    ISNUMBER(SEARCH("unable to locate acct", tblDocketedComments[[#This Row],[Docketed Consumer Comments]])),
    ISNUMBER(SEARCH("unknown", tblDocketedComments[[#This Row],[Docketed Consumer Comments]])),
    ISNUMBER(SEARCH("inactive", tblDocketedComments[[#This Row],[Docketed Consumer Comments]]))
  ),
  0,
  1
)</f>
        <v>1</v>
      </c>
    </row>
    <row r="230" spans="1:22" hidden="1">
      <c r="A230" s="2">
        <v>45903</v>
      </c>
      <c r="B230" s="1" t="s">
        <v>767</v>
      </c>
      <c r="C230" s="1" t="s">
        <v>768</v>
      </c>
      <c r="D230" s="1" t="s">
        <v>202</v>
      </c>
      <c r="E230" s="1">
        <v>85383</v>
      </c>
      <c r="F230" s="1" t="s">
        <v>769</v>
      </c>
      <c r="G230" s="1" t="s">
        <v>503</v>
      </c>
      <c r="H230" s="4" t="s">
        <v>770</v>
      </c>
      <c r="I230" s="5" t="s">
        <v>196</v>
      </c>
      <c r="J230" s="5" t="s">
        <v>38</v>
      </c>
      <c r="K230" s="5" t="s">
        <v>37</v>
      </c>
      <c r="L230" s="5" t="s">
        <v>38</v>
      </c>
      <c r="M230" s="5" t="s">
        <v>37</v>
      </c>
      <c r="N230" s="5" t="s">
        <v>37</v>
      </c>
      <c r="O230" s="5" t="s">
        <v>38</v>
      </c>
      <c r="P230" s="5" t="s">
        <v>39</v>
      </c>
      <c r="Q230" s="2">
        <v>45968</v>
      </c>
      <c r="V230" s="45">
        <f>IF(
  OR(
    ISNUMBER(SEARCH("unable to locate acct", tblDocketedComments[[#This Row],[Docketed Consumer Comments]])),
    ISNUMBER(SEARCH("unknown", tblDocketedComments[[#This Row],[Docketed Consumer Comments]])),
    ISNUMBER(SEARCH("inactive", tblDocketedComments[[#This Row],[Docketed Consumer Comments]]))
  ),
  0,
  1
)</f>
        <v>1</v>
      </c>
    </row>
    <row r="231" spans="1:22" hidden="1">
      <c r="A231" s="2">
        <v>45903</v>
      </c>
      <c r="B231" s="1" t="s">
        <v>771</v>
      </c>
      <c r="C231" s="1" t="s">
        <v>320</v>
      </c>
      <c r="D231" s="1" t="s">
        <v>426</v>
      </c>
      <c r="E231" s="1">
        <v>85335</v>
      </c>
      <c r="F231" s="1" t="s">
        <v>310</v>
      </c>
      <c r="G231" s="1" t="s">
        <v>503</v>
      </c>
      <c r="H231" s="4" t="s">
        <v>772</v>
      </c>
      <c r="I231" s="5" t="s">
        <v>36</v>
      </c>
      <c r="J231" s="5" t="s">
        <v>37</v>
      </c>
      <c r="K231" s="5" t="s">
        <v>37</v>
      </c>
      <c r="L231" s="5" t="s">
        <v>38</v>
      </c>
      <c r="M231" s="5" t="s">
        <v>37</v>
      </c>
      <c r="N231" s="5" t="s">
        <v>37</v>
      </c>
      <c r="O231" s="5" t="s">
        <v>38</v>
      </c>
      <c r="P231" s="5" t="s">
        <v>39</v>
      </c>
      <c r="Q231" s="2">
        <v>45968</v>
      </c>
      <c r="V231" s="45">
        <f>IF(
  OR(
    ISNUMBER(SEARCH("unable to locate acct", tblDocketedComments[[#This Row],[Docketed Consumer Comments]])),
    ISNUMBER(SEARCH("unknown", tblDocketedComments[[#This Row],[Docketed Consumer Comments]])),
    ISNUMBER(SEARCH("inactive", tblDocketedComments[[#This Row],[Docketed Consumer Comments]]))
  ),
  0,
  1
)</f>
        <v>1</v>
      </c>
    </row>
    <row r="232" spans="1:22" hidden="1">
      <c r="A232" s="2">
        <v>45903</v>
      </c>
      <c r="B232" s="1" t="s">
        <v>773</v>
      </c>
      <c r="C232" s="1" t="s">
        <v>774</v>
      </c>
      <c r="D232" s="1" t="s">
        <v>174</v>
      </c>
      <c r="E232" s="1">
        <v>85326</v>
      </c>
      <c r="F232" s="1" t="s">
        <v>310</v>
      </c>
      <c r="G232" s="1" t="s">
        <v>503</v>
      </c>
      <c r="H232" s="154" t="s">
        <v>6544</v>
      </c>
      <c r="I232" s="5" t="s">
        <v>36</v>
      </c>
      <c r="J232" s="5" t="s">
        <v>37</v>
      </c>
      <c r="K232" s="5" t="s">
        <v>37</v>
      </c>
      <c r="L232" s="5" t="s">
        <v>38</v>
      </c>
      <c r="M232" s="5" t="s">
        <v>37</v>
      </c>
      <c r="N232" s="5" t="s">
        <v>37</v>
      </c>
      <c r="O232" s="5" t="s">
        <v>38</v>
      </c>
      <c r="P232" s="5" t="s">
        <v>39</v>
      </c>
      <c r="Q232" s="2">
        <v>45968</v>
      </c>
      <c r="V232" s="45">
        <f>IF(
  OR(
    ISNUMBER(SEARCH("unable to locate acct", tblDocketedComments[[#This Row],[Docketed Consumer Comments]])),
    ISNUMBER(SEARCH("unknown", tblDocketedComments[[#This Row],[Docketed Consumer Comments]])),
    ISNUMBER(SEARCH("inactive", tblDocketedComments[[#This Row],[Docketed Consumer Comments]]))
  ),
  0,
  1
)</f>
        <v>1</v>
      </c>
    </row>
    <row r="233" spans="1:22" hidden="1">
      <c r="A233" s="2">
        <v>45903</v>
      </c>
      <c r="B233" s="1" t="s">
        <v>775</v>
      </c>
      <c r="C233" s="1" t="s">
        <v>776</v>
      </c>
      <c r="D233" s="1" t="s">
        <v>63</v>
      </c>
      <c r="E233" s="1">
        <v>85023</v>
      </c>
      <c r="F233" s="1" t="s">
        <v>31</v>
      </c>
      <c r="G233" s="1" t="s">
        <v>503</v>
      </c>
      <c r="H233" s="4" t="s">
        <v>90</v>
      </c>
      <c r="V233" s="45">
        <f>IF(
  OR(
    ISNUMBER(SEARCH("unable to locate acct", tblDocketedComments[[#This Row],[Docketed Consumer Comments]])),
    ISNUMBER(SEARCH("unknown", tblDocketedComments[[#This Row],[Docketed Consumer Comments]])),
    ISNUMBER(SEARCH("inactive", tblDocketedComments[[#This Row],[Docketed Consumer Comments]]))
  ),
  0,
  1
)</f>
        <v>1</v>
      </c>
    </row>
    <row r="234" spans="1:22" hidden="1">
      <c r="A234" s="2">
        <v>45903</v>
      </c>
      <c r="B234" s="1" t="s">
        <v>777</v>
      </c>
      <c r="C234" s="1" t="s">
        <v>778</v>
      </c>
      <c r="D234" s="1" t="s">
        <v>202</v>
      </c>
      <c r="E234" s="1">
        <v>85383</v>
      </c>
      <c r="F234" s="1" t="s">
        <v>31</v>
      </c>
      <c r="G234" s="1" t="s">
        <v>503</v>
      </c>
      <c r="H234" s="4" t="s">
        <v>27</v>
      </c>
      <c r="V234" s="45">
        <f>IF(
  OR(
    ISNUMBER(SEARCH("unable to locate acct", tblDocketedComments[[#This Row],[Docketed Consumer Comments]])),
    ISNUMBER(SEARCH("unknown", tblDocketedComments[[#This Row],[Docketed Consumer Comments]])),
    ISNUMBER(SEARCH("inactive", tblDocketedComments[[#This Row],[Docketed Consumer Comments]]))
  ),
  0,
  1
)</f>
        <v>1</v>
      </c>
    </row>
    <row r="235" spans="1:22" hidden="1">
      <c r="A235" s="2">
        <v>45903</v>
      </c>
      <c r="B235" s="1" t="s">
        <v>779</v>
      </c>
      <c r="C235" s="1" t="s">
        <v>780</v>
      </c>
      <c r="D235" s="1" t="s">
        <v>63</v>
      </c>
      <c r="E235" s="1">
        <v>85015</v>
      </c>
      <c r="F235" s="1" t="s">
        <v>781</v>
      </c>
      <c r="G235" s="1" t="s">
        <v>503</v>
      </c>
      <c r="H235" s="4" t="s">
        <v>27</v>
      </c>
      <c r="U235" s="1" t="s">
        <v>721</v>
      </c>
      <c r="V235" s="45">
        <f>IF(
  OR(
    ISNUMBER(SEARCH("unable to locate acct", tblDocketedComments[[#This Row],[Docketed Consumer Comments]])),
    ISNUMBER(SEARCH("unknown", tblDocketedComments[[#This Row],[Docketed Consumer Comments]])),
    ISNUMBER(SEARCH("inactive", tblDocketedComments[[#This Row],[Docketed Consumer Comments]]))
  ),
  0,
  1
)</f>
        <v>1</v>
      </c>
    </row>
    <row r="236" spans="1:22" hidden="1">
      <c r="A236" s="2">
        <v>45903</v>
      </c>
      <c r="B236" s="1" t="s">
        <v>782</v>
      </c>
      <c r="C236" s="1" t="s">
        <v>783</v>
      </c>
      <c r="D236" s="1" t="s">
        <v>313</v>
      </c>
      <c r="E236" s="1">
        <v>85383</v>
      </c>
      <c r="F236" s="1" t="s">
        <v>310</v>
      </c>
      <c r="G236" s="1" t="s">
        <v>503</v>
      </c>
      <c r="H236" s="4" t="s">
        <v>784</v>
      </c>
      <c r="I236" s="5" t="s">
        <v>36</v>
      </c>
      <c r="J236" s="5" t="s">
        <v>37</v>
      </c>
      <c r="K236" s="5" t="s">
        <v>37</v>
      </c>
      <c r="L236" s="5" t="s">
        <v>38</v>
      </c>
      <c r="M236" s="5" t="s">
        <v>37</v>
      </c>
      <c r="N236" s="5" t="s">
        <v>37</v>
      </c>
      <c r="O236" s="5" t="s">
        <v>38</v>
      </c>
      <c r="P236" s="5" t="s">
        <v>39</v>
      </c>
      <c r="Q236" s="2">
        <v>45968</v>
      </c>
      <c r="V236" s="45">
        <f>IF(
  OR(
    ISNUMBER(SEARCH("unable to locate acct", tblDocketedComments[[#This Row],[Docketed Consumer Comments]])),
    ISNUMBER(SEARCH("unknown", tblDocketedComments[[#This Row],[Docketed Consumer Comments]])),
    ISNUMBER(SEARCH("inactive", tblDocketedComments[[#This Row],[Docketed Consumer Comments]]))
  ),
  0,
  1
)</f>
        <v>1</v>
      </c>
    </row>
    <row r="237" spans="1:22" hidden="1">
      <c r="A237" s="2">
        <v>45903</v>
      </c>
      <c r="B237" s="1" t="s">
        <v>785</v>
      </c>
      <c r="C237" s="1" t="s">
        <v>786</v>
      </c>
      <c r="D237" s="1" t="s">
        <v>520</v>
      </c>
      <c r="E237" s="1">
        <v>85392</v>
      </c>
      <c r="F237" s="1" t="s">
        <v>787</v>
      </c>
      <c r="G237" s="1" t="s">
        <v>503</v>
      </c>
      <c r="H237" s="4" t="s">
        <v>27</v>
      </c>
      <c r="V237" s="45">
        <f>IF(
  OR(
    ISNUMBER(SEARCH("unable to locate acct", tblDocketedComments[[#This Row],[Docketed Consumer Comments]])),
    ISNUMBER(SEARCH("unknown", tblDocketedComments[[#This Row],[Docketed Consumer Comments]])),
    ISNUMBER(SEARCH("inactive", tblDocketedComments[[#This Row],[Docketed Consumer Comments]]))
  ),
  0,
  1
)</f>
        <v>1</v>
      </c>
    </row>
    <row r="238" spans="1:22" hidden="1">
      <c r="A238" s="2">
        <v>45903</v>
      </c>
      <c r="B238" s="1" t="s">
        <v>788</v>
      </c>
      <c r="C238" s="1" t="s">
        <v>789</v>
      </c>
      <c r="D238" s="1" t="s">
        <v>63</v>
      </c>
      <c r="E238" s="1">
        <v>85028</v>
      </c>
      <c r="F238" s="1" t="s">
        <v>310</v>
      </c>
      <c r="G238" s="1" t="s">
        <v>503</v>
      </c>
      <c r="H238" s="21" t="s">
        <v>6545</v>
      </c>
      <c r="I238" s="5" t="s">
        <v>36</v>
      </c>
      <c r="J238" s="5" t="s">
        <v>37</v>
      </c>
      <c r="K238" s="5" t="s">
        <v>37</v>
      </c>
      <c r="L238" s="5" t="s">
        <v>38</v>
      </c>
      <c r="M238" s="5" t="s">
        <v>37</v>
      </c>
      <c r="N238" s="5" t="s">
        <v>37</v>
      </c>
      <c r="O238" s="5" t="s">
        <v>38</v>
      </c>
      <c r="P238" s="5" t="s">
        <v>39</v>
      </c>
      <c r="Q238" s="2">
        <v>45968</v>
      </c>
      <c r="V238" s="45">
        <f>IF(
  OR(
    ISNUMBER(SEARCH("unable to locate acct", tblDocketedComments[[#This Row],[Docketed Consumer Comments]])),
    ISNUMBER(SEARCH("unknown", tblDocketedComments[[#This Row],[Docketed Consumer Comments]])),
    ISNUMBER(SEARCH("inactive", tblDocketedComments[[#This Row],[Docketed Consumer Comments]]))
  ),
  0,
  1
)</f>
        <v>1</v>
      </c>
    </row>
    <row r="239" spans="1:22" hidden="1">
      <c r="A239" s="2">
        <v>45903</v>
      </c>
      <c r="B239" s="1" t="s">
        <v>790</v>
      </c>
      <c r="C239" s="1" t="s">
        <v>791</v>
      </c>
      <c r="D239" s="1" t="s">
        <v>202</v>
      </c>
      <c r="E239" s="1">
        <v>85383</v>
      </c>
      <c r="F239" s="1" t="s">
        <v>310</v>
      </c>
      <c r="G239" s="1" t="s">
        <v>503</v>
      </c>
      <c r="H239" s="4" t="s">
        <v>27</v>
      </c>
      <c r="V239" s="45">
        <f>IF(
  OR(
    ISNUMBER(SEARCH("unable to locate acct", tblDocketedComments[[#This Row],[Docketed Consumer Comments]])),
    ISNUMBER(SEARCH("unknown", tblDocketedComments[[#This Row],[Docketed Consumer Comments]])),
    ISNUMBER(SEARCH("inactive", tblDocketedComments[[#This Row],[Docketed Consumer Comments]]))
  ),
  0,
  1
)</f>
        <v>1</v>
      </c>
    </row>
    <row r="240" spans="1:22" hidden="1">
      <c r="A240" s="2">
        <v>45903</v>
      </c>
      <c r="B240" s="1" t="s">
        <v>792</v>
      </c>
      <c r="C240" s="1" t="s">
        <v>362</v>
      </c>
      <c r="D240" s="1" t="s">
        <v>125</v>
      </c>
      <c r="E240" s="1">
        <v>85258</v>
      </c>
      <c r="F240" s="1" t="s">
        <v>793</v>
      </c>
      <c r="G240" s="1" t="s">
        <v>503</v>
      </c>
      <c r="H240" s="4" t="s">
        <v>6180</v>
      </c>
      <c r="I240" s="5" t="s">
        <v>36</v>
      </c>
      <c r="J240" s="5" t="s">
        <v>37</v>
      </c>
      <c r="K240" s="5" t="s">
        <v>37</v>
      </c>
      <c r="L240" s="5" t="s">
        <v>38</v>
      </c>
      <c r="M240" s="5" t="s">
        <v>37</v>
      </c>
      <c r="N240" s="5" t="s">
        <v>37</v>
      </c>
      <c r="O240" s="5" t="s">
        <v>38</v>
      </c>
      <c r="P240" s="5" t="s">
        <v>39</v>
      </c>
      <c r="Q240" s="2">
        <v>45968</v>
      </c>
      <c r="V240" s="45">
        <f>IF(
  OR(
    ISNUMBER(SEARCH("unable to locate acct", tblDocketedComments[[#This Row],[Docketed Consumer Comments]])),
    ISNUMBER(SEARCH("unknown", tblDocketedComments[[#This Row],[Docketed Consumer Comments]])),
    ISNUMBER(SEARCH("inactive", tblDocketedComments[[#This Row],[Docketed Consumer Comments]]))
  ),
  0,
  1
)</f>
        <v>1</v>
      </c>
    </row>
    <row r="241" spans="1:22" hidden="1">
      <c r="A241" s="2">
        <v>45903</v>
      </c>
      <c r="B241" s="1" t="s">
        <v>794</v>
      </c>
      <c r="C241" s="1" t="s">
        <v>795</v>
      </c>
      <c r="D241" s="1" t="s">
        <v>63</v>
      </c>
      <c r="E241" s="1">
        <v>85028</v>
      </c>
      <c r="F241" s="1" t="s">
        <v>310</v>
      </c>
      <c r="G241" s="1" t="s">
        <v>503</v>
      </c>
      <c r="H241" s="21" t="s">
        <v>6395</v>
      </c>
      <c r="I241" s="5" t="s">
        <v>73</v>
      </c>
      <c r="J241" s="5" t="s">
        <v>37</v>
      </c>
      <c r="K241" s="5" t="s">
        <v>37</v>
      </c>
      <c r="L241" s="5" t="s">
        <v>38</v>
      </c>
      <c r="M241" s="5" t="s">
        <v>37</v>
      </c>
      <c r="N241" s="5" t="s">
        <v>37</v>
      </c>
      <c r="O241" s="5" t="s">
        <v>38</v>
      </c>
      <c r="P241" s="5" t="s">
        <v>39</v>
      </c>
      <c r="Q241" s="2">
        <v>45968</v>
      </c>
      <c r="V241" s="45">
        <f>IF(
  OR(
    ISNUMBER(SEARCH("unable to locate acct", tblDocketedComments[[#This Row],[Docketed Consumer Comments]])),
    ISNUMBER(SEARCH("unknown", tblDocketedComments[[#This Row],[Docketed Consumer Comments]])),
    ISNUMBER(SEARCH("inactive", tblDocketedComments[[#This Row],[Docketed Consumer Comments]]))
  ),
  0,
  1
)</f>
        <v>1</v>
      </c>
    </row>
    <row r="242" spans="1:22" hidden="1">
      <c r="A242" s="2">
        <v>45903</v>
      </c>
      <c r="B242" s="1" t="s">
        <v>796</v>
      </c>
      <c r="C242" s="1" t="s">
        <v>797</v>
      </c>
      <c r="D242" s="1" t="s">
        <v>63</v>
      </c>
      <c r="E242" s="1">
        <v>85085</v>
      </c>
      <c r="F242" s="1" t="s">
        <v>798</v>
      </c>
      <c r="G242" s="1" t="s">
        <v>503</v>
      </c>
      <c r="H242" s="21" t="s">
        <v>6546</v>
      </c>
      <c r="I242" s="5" t="s">
        <v>196</v>
      </c>
      <c r="J242" s="5" t="s">
        <v>37</v>
      </c>
      <c r="K242" s="5" t="s">
        <v>37</v>
      </c>
      <c r="L242" s="5" t="s">
        <v>38</v>
      </c>
      <c r="M242" s="5" t="s">
        <v>37</v>
      </c>
      <c r="N242" s="5" t="s">
        <v>37</v>
      </c>
      <c r="O242" s="5" t="s">
        <v>38</v>
      </c>
      <c r="P242" s="5" t="s">
        <v>39</v>
      </c>
      <c r="Q242" s="2">
        <v>45968</v>
      </c>
      <c r="V242" s="45">
        <f>IF(
  OR(
    ISNUMBER(SEARCH("unable to locate acct", tblDocketedComments[[#This Row],[Docketed Consumer Comments]])),
    ISNUMBER(SEARCH("unknown", tblDocketedComments[[#This Row],[Docketed Consumer Comments]])),
    ISNUMBER(SEARCH("inactive", tblDocketedComments[[#This Row],[Docketed Consumer Comments]]))
  ),
  0,
  1
)</f>
        <v>1</v>
      </c>
    </row>
    <row r="243" spans="1:22" hidden="1">
      <c r="A243" s="2">
        <v>45903</v>
      </c>
      <c r="B243" s="1" t="s">
        <v>799</v>
      </c>
      <c r="C243" s="1" t="s">
        <v>800</v>
      </c>
      <c r="D243" s="1" t="s">
        <v>169</v>
      </c>
      <c r="E243" s="1">
        <v>85338</v>
      </c>
      <c r="F243" s="1" t="s">
        <v>801</v>
      </c>
      <c r="G243" s="1" t="s">
        <v>503</v>
      </c>
      <c r="H243" s="4" t="s">
        <v>27</v>
      </c>
      <c r="V243" s="45">
        <f>IF(
  OR(
    ISNUMBER(SEARCH("unable to locate acct", tblDocketedComments[[#This Row],[Docketed Consumer Comments]])),
    ISNUMBER(SEARCH("unknown", tblDocketedComments[[#This Row],[Docketed Consumer Comments]])),
    ISNUMBER(SEARCH("inactive", tblDocketedComments[[#This Row],[Docketed Consumer Comments]]))
  ),
  0,
  1
)</f>
        <v>1</v>
      </c>
    </row>
    <row r="244" spans="1:22" hidden="1">
      <c r="A244" s="2">
        <v>45903</v>
      </c>
      <c r="B244" s="1" t="s">
        <v>802</v>
      </c>
      <c r="C244" s="1" t="s">
        <v>803</v>
      </c>
      <c r="D244" s="1" t="s">
        <v>169</v>
      </c>
      <c r="E244" s="1">
        <v>85338</v>
      </c>
      <c r="F244" s="1" t="s">
        <v>804</v>
      </c>
      <c r="G244" s="1" t="s">
        <v>503</v>
      </c>
      <c r="H244" s="21" t="s">
        <v>6547</v>
      </c>
      <c r="I244" s="5" t="s">
        <v>538</v>
      </c>
      <c r="J244" s="5" t="s">
        <v>37</v>
      </c>
      <c r="K244" s="5" t="s">
        <v>37</v>
      </c>
      <c r="L244" s="5" t="s">
        <v>387</v>
      </c>
      <c r="M244" s="5" t="s">
        <v>37</v>
      </c>
      <c r="N244" s="5" t="s">
        <v>37</v>
      </c>
      <c r="O244" s="5" t="s">
        <v>38</v>
      </c>
      <c r="P244" s="5" t="s">
        <v>39</v>
      </c>
      <c r="Q244" s="2">
        <v>45968</v>
      </c>
      <c r="V244" s="45">
        <f>IF(
  OR(
    ISNUMBER(SEARCH("unable to locate acct", tblDocketedComments[[#This Row],[Docketed Consumer Comments]])),
    ISNUMBER(SEARCH("unknown", tblDocketedComments[[#This Row],[Docketed Consumer Comments]])),
    ISNUMBER(SEARCH("inactive", tblDocketedComments[[#This Row],[Docketed Consumer Comments]]))
  ),
  0,
  1
)</f>
        <v>1</v>
      </c>
    </row>
    <row r="245" spans="1:22" hidden="1">
      <c r="A245" s="2">
        <v>45903</v>
      </c>
      <c r="B245" s="1" t="s">
        <v>805</v>
      </c>
      <c r="C245" s="1" t="s">
        <v>806</v>
      </c>
      <c r="D245" s="1" t="s">
        <v>807</v>
      </c>
      <c r="E245" s="1">
        <v>86303</v>
      </c>
      <c r="F245" s="1" t="s">
        <v>310</v>
      </c>
      <c r="G245" s="1" t="s">
        <v>503</v>
      </c>
      <c r="H245" s="21" t="s">
        <v>6548</v>
      </c>
      <c r="I245" s="5" t="s">
        <v>73</v>
      </c>
      <c r="J245" s="5" t="s">
        <v>37</v>
      </c>
      <c r="K245" s="5" t="s">
        <v>37</v>
      </c>
      <c r="L245" s="5" t="s">
        <v>38</v>
      </c>
      <c r="M245" s="5" t="s">
        <v>37</v>
      </c>
      <c r="N245" s="5" t="s">
        <v>37</v>
      </c>
      <c r="O245" s="5" t="s">
        <v>38</v>
      </c>
      <c r="P245" s="5" t="s">
        <v>39</v>
      </c>
      <c r="Q245" s="2">
        <v>45968</v>
      </c>
      <c r="V245" s="45">
        <f>IF(
  OR(
    ISNUMBER(SEARCH("unable to locate acct", tblDocketedComments[[#This Row],[Docketed Consumer Comments]])),
    ISNUMBER(SEARCH("unknown", tblDocketedComments[[#This Row],[Docketed Consumer Comments]])),
    ISNUMBER(SEARCH("inactive", tblDocketedComments[[#This Row],[Docketed Consumer Comments]]))
  ),
  0,
  1
)</f>
        <v>1</v>
      </c>
    </row>
    <row r="246" spans="1:22" hidden="1">
      <c r="A246" s="2">
        <v>45903</v>
      </c>
      <c r="B246" s="1" t="s">
        <v>808</v>
      </c>
      <c r="C246" s="1" t="s">
        <v>199</v>
      </c>
      <c r="D246" s="1" t="s">
        <v>63</v>
      </c>
      <c r="E246" s="1">
        <v>85028</v>
      </c>
      <c r="F246" s="1" t="s">
        <v>310</v>
      </c>
      <c r="G246" s="1" t="s">
        <v>503</v>
      </c>
      <c r="H246" s="4" t="s">
        <v>6549</v>
      </c>
      <c r="I246" s="5" t="s">
        <v>36</v>
      </c>
      <c r="J246" s="5" t="s">
        <v>37</v>
      </c>
      <c r="K246" s="5" t="s">
        <v>37</v>
      </c>
      <c r="L246" s="5" t="s">
        <v>38</v>
      </c>
      <c r="M246" s="5" t="s">
        <v>37</v>
      </c>
      <c r="N246" s="5" t="s">
        <v>37</v>
      </c>
      <c r="O246" s="5" t="s">
        <v>38</v>
      </c>
      <c r="P246" s="5" t="s">
        <v>39</v>
      </c>
      <c r="Q246" s="2">
        <v>45968</v>
      </c>
      <c r="V246" s="45">
        <f>IF(
  OR(
    ISNUMBER(SEARCH("unable to locate acct", tblDocketedComments[[#This Row],[Docketed Consumer Comments]])),
    ISNUMBER(SEARCH("unknown", tblDocketedComments[[#This Row],[Docketed Consumer Comments]])),
    ISNUMBER(SEARCH("inactive", tblDocketedComments[[#This Row],[Docketed Consumer Comments]]))
  ),
  0,
  1
)</f>
        <v>1</v>
      </c>
    </row>
    <row r="247" spans="1:22" hidden="1">
      <c r="A247" s="2">
        <v>45903</v>
      </c>
      <c r="B247" s="1" t="s">
        <v>809</v>
      </c>
      <c r="C247" s="1" t="s">
        <v>810</v>
      </c>
      <c r="D247" s="1" t="s">
        <v>169</v>
      </c>
      <c r="E247" s="1">
        <v>85338</v>
      </c>
      <c r="F247" s="1" t="s">
        <v>811</v>
      </c>
      <c r="G247" s="1" t="s">
        <v>503</v>
      </c>
      <c r="H247" s="4" t="s">
        <v>6181</v>
      </c>
      <c r="I247" s="5" t="s">
        <v>36</v>
      </c>
      <c r="J247" s="5" t="s">
        <v>37</v>
      </c>
      <c r="K247" s="5" t="s">
        <v>37</v>
      </c>
      <c r="L247" s="5" t="s">
        <v>38</v>
      </c>
      <c r="M247" s="5" t="s">
        <v>37</v>
      </c>
      <c r="N247" s="5" t="s">
        <v>37</v>
      </c>
      <c r="O247" s="5" t="s">
        <v>38</v>
      </c>
      <c r="P247" s="5" t="s">
        <v>39</v>
      </c>
      <c r="Q247" s="2">
        <v>45968</v>
      </c>
      <c r="V247" s="45">
        <f>IF(
  OR(
    ISNUMBER(SEARCH("unable to locate acct", tblDocketedComments[[#This Row],[Docketed Consumer Comments]])),
    ISNUMBER(SEARCH("unknown", tblDocketedComments[[#This Row],[Docketed Consumer Comments]])),
    ISNUMBER(SEARCH("inactive", tblDocketedComments[[#This Row],[Docketed Consumer Comments]]))
  ),
  0,
  1
)</f>
        <v>1</v>
      </c>
    </row>
    <row r="248" spans="1:22" hidden="1">
      <c r="A248" s="2">
        <v>45903</v>
      </c>
      <c r="B248" s="1" t="s">
        <v>812</v>
      </c>
      <c r="C248" s="1" t="s">
        <v>813</v>
      </c>
      <c r="D248" s="1" t="s">
        <v>63</v>
      </c>
      <c r="E248" s="1">
        <v>85013</v>
      </c>
      <c r="F248" s="1" t="s">
        <v>310</v>
      </c>
      <c r="G248" s="1" t="s">
        <v>503</v>
      </c>
      <c r="H248" s="4" t="s">
        <v>6182</v>
      </c>
      <c r="I248" s="5" t="s">
        <v>73</v>
      </c>
      <c r="J248" s="5" t="s">
        <v>37</v>
      </c>
      <c r="K248" s="5" t="s">
        <v>37</v>
      </c>
      <c r="L248" s="5" t="s">
        <v>38</v>
      </c>
      <c r="M248" s="5" t="s">
        <v>37</v>
      </c>
      <c r="N248" s="5" t="s">
        <v>37</v>
      </c>
      <c r="O248" s="5" t="s">
        <v>38</v>
      </c>
      <c r="P248" s="5" t="s">
        <v>39</v>
      </c>
      <c r="Q248" s="2">
        <v>45968</v>
      </c>
      <c r="V248" s="45">
        <f>IF(
  OR(
    ISNUMBER(SEARCH("unable to locate acct", tblDocketedComments[[#This Row],[Docketed Consumer Comments]])),
    ISNUMBER(SEARCH("unknown", tblDocketedComments[[#This Row],[Docketed Consumer Comments]])),
    ISNUMBER(SEARCH("inactive", tblDocketedComments[[#This Row],[Docketed Consumer Comments]]))
  ),
  0,
  1
)</f>
        <v>1</v>
      </c>
    </row>
    <row r="249" spans="1:22" hidden="1">
      <c r="A249" s="2">
        <v>45903</v>
      </c>
      <c r="B249" s="1" t="s">
        <v>814</v>
      </c>
      <c r="C249" s="1" t="s">
        <v>256</v>
      </c>
      <c r="D249" s="1" t="s">
        <v>63</v>
      </c>
      <c r="E249" s="1">
        <v>85083</v>
      </c>
      <c r="F249" s="1" t="s">
        <v>310</v>
      </c>
      <c r="G249" s="1" t="s">
        <v>503</v>
      </c>
      <c r="H249" s="21" t="s">
        <v>6550</v>
      </c>
      <c r="I249" s="5" t="s">
        <v>36</v>
      </c>
      <c r="J249" s="5" t="s">
        <v>37</v>
      </c>
      <c r="K249" s="5" t="s">
        <v>37</v>
      </c>
      <c r="L249" s="5" t="s">
        <v>815</v>
      </c>
      <c r="M249" s="5" t="s">
        <v>37</v>
      </c>
      <c r="N249" s="5" t="s">
        <v>37</v>
      </c>
      <c r="O249" s="5" t="s">
        <v>38</v>
      </c>
      <c r="P249" s="5" t="s">
        <v>39</v>
      </c>
      <c r="Q249" s="2">
        <v>45968</v>
      </c>
      <c r="V249" s="45">
        <f>IF(
  OR(
    ISNUMBER(SEARCH("unable to locate acct", tblDocketedComments[[#This Row],[Docketed Consumer Comments]])),
    ISNUMBER(SEARCH("unknown", tblDocketedComments[[#This Row],[Docketed Consumer Comments]])),
    ISNUMBER(SEARCH("inactive", tblDocketedComments[[#This Row],[Docketed Consumer Comments]]))
  ),
  0,
  1
)</f>
        <v>1</v>
      </c>
    </row>
    <row r="250" spans="1:22" hidden="1">
      <c r="A250" s="2">
        <v>45903</v>
      </c>
      <c r="B250" s="1" t="s">
        <v>816</v>
      </c>
      <c r="C250" s="1" t="s">
        <v>817</v>
      </c>
      <c r="D250" s="1" t="s">
        <v>63</v>
      </c>
      <c r="E250" s="1">
        <v>85016</v>
      </c>
      <c r="F250" s="1" t="s">
        <v>310</v>
      </c>
      <c r="G250" s="1" t="s">
        <v>503</v>
      </c>
      <c r="H250" s="4" t="s">
        <v>27</v>
      </c>
      <c r="V250" s="45">
        <f>IF(
  OR(
    ISNUMBER(SEARCH("unable to locate acct", tblDocketedComments[[#This Row],[Docketed Consumer Comments]])),
    ISNUMBER(SEARCH("unknown", tblDocketedComments[[#This Row],[Docketed Consumer Comments]])),
    ISNUMBER(SEARCH("inactive", tblDocketedComments[[#This Row],[Docketed Consumer Comments]]))
  ),
  0,
  1
)</f>
        <v>1</v>
      </c>
    </row>
    <row r="251" spans="1:22" hidden="1">
      <c r="A251" s="2">
        <v>45903</v>
      </c>
      <c r="B251" s="1" t="s">
        <v>818</v>
      </c>
      <c r="C251" s="1" t="s">
        <v>598</v>
      </c>
      <c r="D251" s="1" t="s">
        <v>63</v>
      </c>
      <c r="E251" s="1">
        <v>85013</v>
      </c>
      <c r="F251" s="1" t="s">
        <v>310</v>
      </c>
      <c r="G251" s="1" t="s">
        <v>503</v>
      </c>
      <c r="H251" s="21" t="s">
        <v>6551</v>
      </c>
      <c r="I251" s="5" t="s">
        <v>73</v>
      </c>
      <c r="J251" s="5" t="s">
        <v>37</v>
      </c>
      <c r="K251" s="5" t="s">
        <v>37</v>
      </c>
      <c r="L251" s="5" t="s">
        <v>38</v>
      </c>
      <c r="M251" s="5" t="s">
        <v>37</v>
      </c>
      <c r="N251" s="5" t="s">
        <v>37</v>
      </c>
      <c r="O251" s="5" t="s">
        <v>38</v>
      </c>
      <c r="P251" s="5" t="s">
        <v>39</v>
      </c>
      <c r="Q251" s="2">
        <v>45968</v>
      </c>
      <c r="V251" s="45">
        <f>IF(
  OR(
    ISNUMBER(SEARCH("unable to locate acct", tblDocketedComments[[#This Row],[Docketed Consumer Comments]])),
    ISNUMBER(SEARCH("unknown", tblDocketedComments[[#This Row],[Docketed Consumer Comments]])),
    ISNUMBER(SEARCH("inactive", tblDocketedComments[[#This Row],[Docketed Consumer Comments]]))
  ),
  0,
  1
)</f>
        <v>1</v>
      </c>
    </row>
    <row r="252" spans="1:22" hidden="1">
      <c r="A252" s="2">
        <v>45903</v>
      </c>
      <c r="B252" s="1" t="s">
        <v>819</v>
      </c>
      <c r="C252" s="1" t="s">
        <v>820</v>
      </c>
      <c r="D252" s="1" t="s">
        <v>63</v>
      </c>
      <c r="E252" s="1">
        <v>85024</v>
      </c>
      <c r="F252" s="1" t="s">
        <v>310</v>
      </c>
      <c r="G252" s="1" t="s">
        <v>503</v>
      </c>
      <c r="H252" s="21" t="s">
        <v>6552</v>
      </c>
      <c r="I252" s="5" t="s">
        <v>416</v>
      </c>
      <c r="J252" s="5" t="s">
        <v>37</v>
      </c>
      <c r="K252" s="5" t="s">
        <v>37</v>
      </c>
      <c r="L252" s="5" t="s">
        <v>387</v>
      </c>
      <c r="M252" s="5" t="s">
        <v>37</v>
      </c>
      <c r="N252" s="5" t="s">
        <v>37</v>
      </c>
      <c r="O252" s="5" t="s">
        <v>38</v>
      </c>
      <c r="P252" s="5" t="s">
        <v>39</v>
      </c>
      <c r="Q252" s="2">
        <v>45968</v>
      </c>
      <c r="V252" s="45">
        <f>IF(
  OR(
    ISNUMBER(SEARCH("unable to locate acct", tblDocketedComments[[#This Row],[Docketed Consumer Comments]])),
    ISNUMBER(SEARCH("unknown", tblDocketedComments[[#This Row],[Docketed Consumer Comments]])),
    ISNUMBER(SEARCH("inactive", tblDocketedComments[[#This Row],[Docketed Consumer Comments]]))
  ),
  0,
  1
)</f>
        <v>1</v>
      </c>
    </row>
    <row r="253" spans="1:22" hidden="1">
      <c r="A253" s="2">
        <v>45903</v>
      </c>
      <c r="B253" s="1" t="s">
        <v>821</v>
      </c>
      <c r="C253" s="1" t="s">
        <v>822</v>
      </c>
      <c r="D253" s="1" t="s">
        <v>24</v>
      </c>
      <c r="E253" s="1">
        <v>85308</v>
      </c>
      <c r="F253" s="1" t="s">
        <v>310</v>
      </c>
      <c r="G253" s="1" t="s">
        <v>503</v>
      </c>
      <c r="H253" s="21" t="s">
        <v>6553</v>
      </c>
      <c r="I253" s="5" t="s">
        <v>196</v>
      </c>
      <c r="J253" s="5" t="s">
        <v>37</v>
      </c>
      <c r="K253" s="5" t="s">
        <v>37</v>
      </c>
      <c r="L253" s="7" t="s">
        <v>823</v>
      </c>
      <c r="M253" s="5" t="s">
        <v>37</v>
      </c>
      <c r="N253" s="5" t="s">
        <v>37</v>
      </c>
      <c r="O253" s="5" t="s">
        <v>38</v>
      </c>
      <c r="P253" s="2">
        <v>45933</v>
      </c>
      <c r="Q253" s="2">
        <v>45968</v>
      </c>
      <c r="R253" s="1" t="s">
        <v>558</v>
      </c>
      <c r="V253" s="45">
        <f>IF(
  OR(
    ISNUMBER(SEARCH("unable to locate acct", tblDocketedComments[[#This Row],[Docketed Consumer Comments]])),
    ISNUMBER(SEARCH("unknown", tblDocketedComments[[#This Row],[Docketed Consumer Comments]])),
    ISNUMBER(SEARCH("inactive", tblDocketedComments[[#This Row],[Docketed Consumer Comments]]))
  ),
  0,
  1
)</f>
        <v>1</v>
      </c>
    </row>
    <row r="254" spans="1:22" hidden="1">
      <c r="A254" s="2">
        <v>45903</v>
      </c>
      <c r="B254" s="1" t="s">
        <v>824</v>
      </c>
      <c r="C254" s="1" t="s">
        <v>825</v>
      </c>
      <c r="D254" s="1" t="s">
        <v>63</v>
      </c>
      <c r="E254" s="1">
        <v>85050</v>
      </c>
      <c r="F254" s="1" t="s">
        <v>31</v>
      </c>
      <c r="G254" s="1" t="s">
        <v>503</v>
      </c>
      <c r="H254" s="21" t="s">
        <v>6554</v>
      </c>
      <c r="I254" s="5" t="s">
        <v>73</v>
      </c>
      <c r="J254" s="5" t="s">
        <v>37</v>
      </c>
      <c r="K254" s="5" t="s">
        <v>37</v>
      </c>
      <c r="L254" s="5" t="s">
        <v>38</v>
      </c>
      <c r="M254" s="5" t="s">
        <v>37</v>
      </c>
      <c r="N254" s="5" t="s">
        <v>37</v>
      </c>
      <c r="O254" s="5" t="s">
        <v>38</v>
      </c>
      <c r="P254" s="5" t="s">
        <v>39</v>
      </c>
      <c r="Q254" s="2">
        <v>45968</v>
      </c>
      <c r="V254" s="45">
        <f>IF(
  OR(
    ISNUMBER(SEARCH("unable to locate acct", tblDocketedComments[[#This Row],[Docketed Consumer Comments]])),
    ISNUMBER(SEARCH("unknown", tblDocketedComments[[#This Row],[Docketed Consumer Comments]])),
    ISNUMBER(SEARCH("inactive", tblDocketedComments[[#This Row],[Docketed Consumer Comments]]))
  ),
  0,
  1
)</f>
        <v>1</v>
      </c>
    </row>
    <row r="255" spans="1:22" hidden="1">
      <c r="A255" s="2">
        <v>45903</v>
      </c>
      <c r="B255" s="1" t="s">
        <v>647</v>
      </c>
      <c r="C255" s="1" t="s">
        <v>826</v>
      </c>
      <c r="D255" s="1" t="s">
        <v>63</v>
      </c>
      <c r="E255" s="1">
        <v>85029</v>
      </c>
      <c r="F255" s="1" t="s">
        <v>31</v>
      </c>
      <c r="G255" s="1" t="s">
        <v>503</v>
      </c>
      <c r="H255" s="21" t="s">
        <v>6555</v>
      </c>
      <c r="I255" s="5" t="s">
        <v>36</v>
      </c>
      <c r="J255" s="5" t="s">
        <v>37</v>
      </c>
      <c r="K255" s="5" t="s">
        <v>37</v>
      </c>
      <c r="L255" s="5" t="s">
        <v>38</v>
      </c>
      <c r="M255" s="5" t="s">
        <v>37</v>
      </c>
      <c r="N255" s="5" t="s">
        <v>37</v>
      </c>
      <c r="O255" s="5" t="s">
        <v>38</v>
      </c>
      <c r="P255" s="5" t="s">
        <v>39</v>
      </c>
      <c r="Q255" s="2">
        <v>45968</v>
      </c>
      <c r="V255" s="45">
        <f>IF(
  OR(
    ISNUMBER(SEARCH("unable to locate acct", tblDocketedComments[[#This Row],[Docketed Consumer Comments]])),
    ISNUMBER(SEARCH("unknown", tblDocketedComments[[#This Row],[Docketed Consumer Comments]])),
    ISNUMBER(SEARCH("inactive", tblDocketedComments[[#This Row],[Docketed Consumer Comments]]))
  ),
  0,
  1
)</f>
        <v>1</v>
      </c>
    </row>
    <row r="256" spans="1:22" hidden="1">
      <c r="A256" s="2">
        <v>45903</v>
      </c>
      <c r="B256" s="1" t="s">
        <v>827</v>
      </c>
      <c r="C256" s="1" t="s">
        <v>828</v>
      </c>
      <c r="D256" s="1" t="s">
        <v>63</v>
      </c>
      <c r="E256" s="1">
        <v>85028</v>
      </c>
      <c r="F256" s="1" t="s">
        <v>31</v>
      </c>
      <c r="G256" s="1" t="s">
        <v>503</v>
      </c>
      <c r="H256" s="21" t="s">
        <v>6556</v>
      </c>
      <c r="I256" s="5" t="s">
        <v>36</v>
      </c>
      <c r="J256" s="5" t="s">
        <v>38</v>
      </c>
      <c r="K256" s="5" t="s">
        <v>37</v>
      </c>
      <c r="L256" s="5" t="s">
        <v>38</v>
      </c>
      <c r="M256" s="5" t="s">
        <v>37</v>
      </c>
      <c r="N256" s="5" t="s">
        <v>37</v>
      </c>
      <c r="O256" s="5" t="s">
        <v>38</v>
      </c>
      <c r="P256" s="5" t="s">
        <v>39</v>
      </c>
      <c r="Q256" s="2">
        <v>45968</v>
      </c>
      <c r="V256" s="45">
        <f>IF(
  OR(
    ISNUMBER(SEARCH("unable to locate acct", tblDocketedComments[[#This Row],[Docketed Consumer Comments]])),
    ISNUMBER(SEARCH("unknown", tblDocketedComments[[#This Row],[Docketed Consumer Comments]])),
    ISNUMBER(SEARCH("inactive", tblDocketedComments[[#This Row],[Docketed Consumer Comments]]))
  ),
  0,
  1
)</f>
        <v>1</v>
      </c>
    </row>
    <row r="257" spans="1:22" hidden="1">
      <c r="A257" s="2">
        <v>45903</v>
      </c>
      <c r="B257" s="1" t="s">
        <v>829</v>
      </c>
      <c r="C257" s="1" t="s">
        <v>830</v>
      </c>
      <c r="D257" s="1" t="s">
        <v>125</v>
      </c>
      <c r="E257" s="1">
        <v>85251</v>
      </c>
      <c r="F257" s="1" t="s">
        <v>310</v>
      </c>
      <c r="G257" s="1" t="s">
        <v>503</v>
      </c>
      <c r="H257" s="4" t="s">
        <v>27</v>
      </c>
      <c r="V257" s="45">
        <f>IF(
  OR(
    ISNUMBER(SEARCH("unable to locate acct", tblDocketedComments[[#This Row],[Docketed Consumer Comments]])),
    ISNUMBER(SEARCH("unknown", tblDocketedComments[[#This Row],[Docketed Consumer Comments]])),
    ISNUMBER(SEARCH("inactive", tblDocketedComments[[#This Row],[Docketed Consumer Comments]]))
  ),
  0,
  1
)</f>
        <v>1</v>
      </c>
    </row>
    <row r="258" spans="1:22" hidden="1">
      <c r="A258" s="2">
        <v>45903</v>
      </c>
      <c r="B258" s="1" t="s">
        <v>831</v>
      </c>
      <c r="C258" s="1" t="s">
        <v>832</v>
      </c>
      <c r="D258" s="1" t="s">
        <v>632</v>
      </c>
      <c r="E258" s="1">
        <v>85281</v>
      </c>
      <c r="F258" s="1" t="s">
        <v>833</v>
      </c>
      <c r="G258" s="1" t="s">
        <v>503</v>
      </c>
      <c r="H258" s="21" t="s">
        <v>6557</v>
      </c>
      <c r="I258" s="5" t="s">
        <v>538</v>
      </c>
      <c r="J258" s="5" t="s">
        <v>37</v>
      </c>
      <c r="K258" s="5" t="s">
        <v>37</v>
      </c>
      <c r="L258" s="5" t="s">
        <v>387</v>
      </c>
      <c r="M258" s="5" t="s">
        <v>37</v>
      </c>
      <c r="N258" s="5" t="s">
        <v>37</v>
      </c>
      <c r="O258" s="5" t="s">
        <v>38</v>
      </c>
      <c r="P258" s="5" t="s">
        <v>39</v>
      </c>
      <c r="Q258" s="2">
        <v>45968</v>
      </c>
      <c r="V258" s="45">
        <f>IF(
  OR(
    ISNUMBER(SEARCH("unable to locate acct", tblDocketedComments[[#This Row],[Docketed Consumer Comments]])),
    ISNUMBER(SEARCH("unknown", tblDocketedComments[[#This Row],[Docketed Consumer Comments]])),
    ISNUMBER(SEARCH("inactive", tblDocketedComments[[#This Row],[Docketed Consumer Comments]]))
  ),
  0,
  1
)</f>
        <v>1</v>
      </c>
    </row>
    <row r="259" spans="1:22" hidden="1">
      <c r="A259" s="2">
        <v>45903</v>
      </c>
      <c r="B259" s="1" t="s">
        <v>834</v>
      </c>
      <c r="C259" s="1" t="s">
        <v>135</v>
      </c>
      <c r="D259" s="1" t="s">
        <v>169</v>
      </c>
      <c r="E259" s="1">
        <v>85338</v>
      </c>
      <c r="F259" s="1" t="s">
        <v>835</v>
      </c>
      <c r="G259" s="1" t="s">
        <v>503</v>
      </c>
      <c r="H259" s="4" t="s">
        <v>6012</v>
      </c>
      <c r="I259" s="5" t="s">
        <v>196</v>
      </c>
      <c r="J259" s="5" t="s">
        <v>37</v>
      </c>
      <c r="K259" s="5" t="s">
        <v>37</v>
      </c>
      <c r="L259" s="5" t="s">
        <v>836</v>
      </c>
      <c r="M259" s="5" t="s">
        <v>37</v>
      </c>
      <c r="N259" s="5" t="s">
        <v>37</v>
      </c>
      <c r="O259" s="5" t="s">
        <v>38</v>
      </c>
      <c r="P259" s="5" t="s">
        <v>39</v>
      </c>
      <c r="Q259" s="2">
        <v>45968</v>
      </c>
      <c r="R259" s="1" t="s">
        <v>837</v>
      </c>
      <c r="V259" s="45">
        <f>IF(
  OR(
    ISNUMBER(SEARCH("unable to locate acct", tblDocketedComments[[#This Row],[Docketed Consumer Comments]])),
    ISNUMBER(SEARCH("unknown", tblDocketedComments[[#This Row],[Docketed Consumer Comments]])),
    ISNUMBER(SEARCH("inactive", tblDocketedComments[[#This Row],[Docketed Consumer Comments]]))
  ),
  0,
  1
)</f>
        <v>1</v>
      </c>
    </row>
    <row r="260" spans="1:22" hidden="1">
      <c r="A260" s="2">
        <v>45903</v>
      </c>
      <c r="B260" s="1" t="s">
        <v>838</v>
      </c>
      <c r="C260" s="1" t="s">
        <v>839</v>
      </c>
      <c r="D260" s="1" t="s">
        <v>63</v>
      </c>
      <c r="E260" s="1">
        <v>85016</v>
      </c>
      <c r="F260" s="1" t="s">
        <v>31</v>
      </c>
      <c r="G260" s="1" t="s">
        <v>503</v>
      </c>
      <c r="H260" s="21" t="s">
        <v>6558</v>
      </c>
      <c r="I260" s="5" t="s">
        <v>57</v>
      </c>
      <c r="J260" s="5" t="s">
        <v>37</v>
      </c>
      <c r="K260" s="5" t="s">
        <v>37</v>
      </c>
      <c r="L260" s="5" t="s">
        <v>840</v>
      </c>
      <c r="M260" s="5" t="s">
        <v>37</v>
      </c>
      <c r="N260" s="5" t="s">
        <v>37</v>
      </c>
      <c r="O260" s="5" t="s">
        <v>38</v>
      </c>
      <c r="P260" s="5" t="s">
        <v>39</v>
      </c>
      <c r="Q260" s="2">
        <v>45968</v>
      </c>
      <c r="V260" s="45">
        <f>IF(
  OR(
    ISNUMBER(SEARCH("unable to locate acct", tblDocketedComments[[#This Row],[Docketed Consumer Comments]])),
    ISNUMBER(SEARCH("unknown", tblDocketedComments[[#This Row],[Docketed Consumer Comments]])),
    ISNUMBER(SEARCH("inactive", tblDocketedComments[[#This Row],[Docketed Consumer Comments]]))
  ),
  0,
  1
)</f>
        <v>1</v>
      </c>
    </row>
    <row r="261" spans="1:22" hidden="1">
      <c r="A261" s="2">
        <v>45903</v>
      </c>
      <c r="B261" s="1" t="s">
        <v>841</v>
      </c>
      <c r="C261" s="1" t="s">
        <v>842</v>
      </c>
      <c r="D261" s="1" t="s">
        <v>63</v>
      </c>
      <c r="E261" s="1">
        <v>85028</v>
      </c>
      <c r="F261" s="1" t="s">
        <v>310</v>
      </c>
      <c r="G261" s="1" t="s">
        <v>503</v>
      </c>
      <c r="H261" s="21" t="s">
        <v>6559</v>
      </c>
      <c r="I261" s="5" t="s">
        <v>36</v>
      </c>
      <c r="J261" s="5" t="s">
        <v>37</v>
      </c>
      <c r="K261" s="5" t="s">
        <v>37</v>
      </c>
      <c r="L261" s="5" t="s">
        <v>38</v>
      </c>
      <c r="M261" s="5" t="s">
        <v>37</v>
      </c>
      <c r="N261" s="5" t="s">
        <v>37</v>
      </c>
      <c r="O261" s="5" t="s">
        <v>38</v>
      </c>
      <c r="P261" s="5" t="s">
        <v>39</v>
      </c>
      <c r="Q261" s="2">
        <v>45968</v>
      </c>
      <c r="V261" s="45">
        <f>IF(
  OR(
    ISNUMBER(SEARCH("unable to locate acct", tblDocketedComments[[#This Row],[Docketed Consumer Comments]])),
    ISNUMBER(SEARCH("unknown", tblDocketedComments[[#This Row],[Docketed Consumer Comments]])),
    ISNUMBER(SEARCH("inactive", tblDocketedComments[[#This Row],[Docketed Consumer Comments]]))
  ),
  0,
  1
)</f>
        <v>1</v>
      </c>
    </row>
    <row r="262" spans="1:22" hidden="1">
      <c r="A262" s="2">
        <v>45903</v>
      </c>
      <c r="B262" s="1" t="s">
        <v>219</v>
      </c>
      <c r="C262" s="1" t="s">
        <v>843</v>
      </c>
      <c r="D262" s="1" t="s">
        <v>520</v>
      </c>
      <c r="E262" s="1">
        <v>85392</v>
      </c>
      <c r="F262" s="1" t="s">
        <v>844</v>
      </c>
      <c r="G262" s="1" t="s">
        <v>503</v>
      </c>
      <c r="H262" s="21" t="s">
        <v>6560</v>
      </c>
      <c r="I262" s="5" t="s">
        <v>196</v>
      </c>
      <c r="J262" s="5" t="s">
        <v>38</v>
      </c>
      <c r="K262" s="5" t="s">
        <v>37</v>
      </c>
      <c r="L262" s="5" t="s">
        <v>38</v>
      </c>
      <c r="M262" s="5" t="s">
        <v>37</v>
      </c>
      <c r="N262" s="5" t="s">
        <v>37</v>
      </c>
      <c r="O262" s="5" t="s">
        <v>38</v>
      </c>
      <c r="P262" s="5" t="s">
        <v>39</v>
      </c>
      <c r="Q262" s="2">
        <v>45968</v>
      </c>
      <c r="V262" s="45">
        <f>IF(
  OR(
    ISNUMBER(SEARCH("unable to locate acct", tblDocketedComments[[#This Row],[Docketed Consumer Comments]])),
    ISNUMBER(SEARCH("unknown", tblDocketedComments[[#This Row],[Docketed Consumer Comments]])),
    ISNUMBER(SEARCH("inactive", tblDocketedComments[[#This Row],[Docketed Consumer Comments]]))
  ),
  0,
  1
)</f>
        <v>1</v>
      </c>
    </row>
    <row r="263" spans="1:22" hidden="1">
      <c r="A263" s="2">
        <v>45903</v>
      </c>
      <c r="B263" s="1" t="s">
        <v>845</v>
      </c>
      <c r="C263" s="1" t="s">
        <v>438</v>
      </c>
      <c r="D263" s="1" t="s">
        <v>169</v>
      </c>
      <c r="E263" s="1">
        <v>85338</v>
      </c>
      <c r="F263" s="1" t="s">
        <v>846</v>
      </c>
      <c r="G263" s="1" t="s">
        <v>503</v>
      </c>
      <c r="H263" s="4" t="s">
        <v>6013</v>
      </c>
      <c r="I263" s="5" t="s">
        <v>196</v>
      </c>
      <c r="J263" s="5" t="s">
        <v>37</v>
      </c>
      <c r="K263" s="5" t="s">
        <v>37</v>
      </c>
      <c r="L263" s="5" t="s">
        <v>847</v>
      </c>
      <c r="M263" s="5" t="s">
        <v>37</v>
      </c>
      <c r="N263" s="5" t="s">
        <v>37</v>
      </c>
      <c r="O263" s="5" t="s">
        <v>38</v>
      </c>
      <c r="P263" s="5" t="s">
        <v>39</v>
      </c>
      <c r="Q263" s="2">
        <v>45968</v>
      </c>
      <c r="V263" s="45">
        <f>IF(
  OR(
    ISNUMBER(SEARCH("unable to locate acct", tblDocketedComments[[#This Row],[Docketed Consumer Comments]])),
    ISNUMBER(SEARCH("unknown", tblDocketedComments[[#This Row],[Docketed Consumer Comments]])),
    ISNUMBER(SEARCH("inactive", tblDocketedComments[[#This Row],[Docketed Consumer Comments]]))
  ),
  0,
  1
)</f>
        <v>1</v>
      </c>
    </row>
    <row r="264" spans="1:22" hidden="1">
      <c r="A264" s="2">
        <v>45903</v>
      </c>
      <c r="B264" s="1" t="s">
        <v>848</v>
      </c>
      <c r="C264" s="1" t="s">
        <v>849</v>
      </c>
      <c r="D264" s="1" t="s">
        <v>169</v>
      </c>
      <c r="E264" s="1">
        <v>85395</v>
      </c>
      <c r="F264" s="1" t="s">
        <v>850</v>
      </c>
      <c r="G264" s="1" t="s">
        <v>503</v>
      </c>
      <c r="H264" s="21" t="s">
        <v>6561</v>
      </c>
      <c r="I264" s="5" t="s">
        <v>36</v>
      </c>
      <c r="J264" s="5" t="s">
        <v>37</v>
      </c>
      <c r="K264" s="5" t="s">
        <v>37</v>
      </c>
      <c r="L264" s="5" t="s">
        <v>38</v>
      </c>
      <c r="M264" s="5" t="s">
        <v>37</v>
      </c>
      <c r="N264" s="5" t="s">
        <v>37</v>
      </c>
      <c r="O264" s="5" t="s">
        <v>38</v>
      </c>
      <c r="P264" s="5" t="s">
        <v>39</v>
      </c>
      <c r="Q264" s="2">
        <v>45968</v>
      </c>
      <c r="V264" s="45">
        <f>IF(
  OR(
    ISNUMBER(SEARCH("unable to locate acct", tblDocketedComments[[#This Row],[Docketed Consumer Comments]])),
    ISNUMBER(SEARCH("unknown", tblDocketedComments[[#This Row],[Docketed Consumer Comments]])),
    ISNUMBER(SEARCH("inactive", tblDocketedComments[[#This Row],[Docketed Consumer Comments]]))
  ),
  0,
  1
)</f>
        <v>1</v>
      </c>
    </row>
    <row r="265" spans="1:22" hidden="1">
      <c r="A265" s="2">
        <v>45903</v>
      </c>
      <c r="B265" s="1" t="s">
        <v>851</v>
      </c>
      <c r="C265" s="1" t="s">
        <v>852</v>
      </c>
      <c r="D265" s="1" t="s">
        <v>853</v>
      </c>
      <c r="E265" s="1">
        <v>85086</v>
      </c>
      <c r="F265" s="1" t="s">
        <v>793</v>
      </c>
      <c r="G265" s="1" t="s">
        <v>503</v>
      </c>
      <c r="H265" s="21" t="s">
        <v>6562</v>
      </c>
      <c r="I265" s="5" t="s">
        <v>36</v>
      </c>
      <c r="J265" s="5" t="s">
        <v>37</v>
      </c>
      <c r="K265" s="5" t="s">
        <v>37</v>
      </c>
      <c r="L265" s="5" t="s">
        <v>854</v>
      </c>
      <c r="M265" s="5" t="s">
        <v>37</v>
      </c>
      <c r="N265" s="5" t="s">
        <v>37</v>
      </c>
      <c r="O265" s="5" t="s">
        <v>38</v>
      </c>
      <c r="P265" s="5" t="s">
        <v>39</v>
      </c>
      <c r="Q265" s="2">
        <v>45968</v>
      </c>
      <c r="V265" s="45">
        <f>IF(
  OR(
    ISNUMBER(SEARCH("unable to locate acct", tblDocketedComments[[#This Row],[Docketed Consumer Comments]])),
    ISNUMBER(SEARCH("unknown", tblDocketedComments[[#This Row],[Docketed Consumer Comments]])),
    ISNUMBER(SEARCH("inactive", tblDocketedComments[[#This Row],[Docketed Consumer Comments]]))
  ),
  0,
  1
)</f>
        <v>1</v>
      </c>
    </row>
    <row r="266" spans="1:22" hidden="1">
      <c r="A266" s="2">
        <v>45903</v>
      </c>
      <c r="B266" s="1" t="s">
        <v>855</v>
      </c>
      <c r="C266" s="1" t="s">
        <v>457</v>
      </c>
      <c r="D266" s="1" t="s">
        <v>63</v>
      </c>
      <c r="E266" s="1">
        <v>85024</v>
      </c>
      <c r="F266" s="1" t="s">
        <v>310</v>
      </c>
      <c r="G266" s="1" t="s">
        <v>503</v>
      </c>
      <c r="H266" s="154" t="s">
        <v>6563</v>
      </c>
      <c r="I266" s="5" t="s">
        <v>196</v>
      </c>
      <c r="J266" s="5" t="s">
        <v>37</v>
      </c>
      <c r="K266" s="5" t="s">
        <v>37</v>
      </c>
      <c r="L266" s="7" t="s">
        <v>856</v>
      </c>
      <c r="M266" s="5" t="s">
        <v>37</v>
      </c>
      <c r="N266" s="5" t="s">
        <v>37</v>
      </c>
      <c r="O266" s="5" t="s">
        <v>38</v>
      </c>
      <c r="P266" s="2">
        <v>45933</v>
      </c>
      <c r="Q266" s="2">
        <v>45968</v>
      </c>
      <c r="R266" s="1" t="s">
        <v>558</v>
      </c>
      <c r="V266" s="45">
        <f>IF(
  OR(
    ISNUMBER(SEARCH("unable to locate acct", tblDocketedComments[[#This Row],[Docketed Consumer Comments]])),
    ISNUMBER(SEARCH("unknown", tblDocketedComments[[#This Row],[Docketed Consumer Comments]])),
    ISNUMBER(SEARCH("inactive", tblDocketedComments[[#This Row],[Docketed Consumer Comments]]))
  ),
  0,
  1
)</f>
        <v>1</v>
      </c>
    </row>
    <row r="267" spans="1:22" hidden="1">
      <c r="A267" s="2">
        <v>45903</v>
      </c>
      <c r="B267" s="1" t="s">
        <v>857</v>
      </c>
      <c r="C267" s="1" t="s">
        <v>858</v>
      </c>
      <c r="D267" s="1" t="s">
        <v>169</v>
      </c>
      <c r="E267" s="1">
        <v>85338</v>
      </c>
      <c r="F267" s="1" t="s">
        <v>859</v>
      </c>
      <c r="G267" s="1" t="s">
        <v>503</v>
      </c>
      <c r="H267" s="21" t="s">
        <v>6183</v>
      </c>
      <c r="I267" s="5" t="s">
        <v>73</v>
      </c>
      <c r="J267" s="5" t="s">
        <v>37</v>
      </c>
      <c r="K267" s="5" t="s">
        <v>37</v>
      </c>
      <c r="L267" s="5" t="s">
        <v>38</v>
      </c>
      <c r="M267" s="5" t="s">
        <v>37</v>
      </c>
      <c r="N267" s="5" t="s">
        <v>37</v>
      </c>
      <c r="O267" s="5" t="s">
        <v>38</v>
      </c>
      <c r="P267" s="5" t="s">
        <v>39</v>
      </c>
      <c r="Q267" s="2">
        <v>45968</v>
      </c>
      <c r="V267" s="45">
        <f>IF(
  OR(
    ISNUMBER(SEARCH("unable to locate acct", tblDocketedComments[[#This Row],[Docketed Consumer Comments]])),
    ISNUMBER(SEARCH("unknown", tblDocketedComments[[#This Row],[Docketed Consumer Comments]])),
    ISNUMBER(SEARCH("inactive", tblDocketedComments[[#This Row],[Docketed Consumer Comments]]))
  ),
  0,
  1
)</f>
        <v>1</v>
      </c>
    </row>
    <row r="268" spans="1:22" hidden="1">
      <c r="A268" s="2">
        <v>45903</v>
      </c>
      <c r="B268" s="1" t="s">
        <v>860</v>
      </c>
      <c r="C268" s="1" t="s">
        <v>861</v>
      </c>
      <c r="D268" s="1" t="s">
        <v>202</v>
      </c>
      <c r="E268" s="1">
        <v>85383</v>
      </c>
      <c r="F268" s="1" t="s">
        <v>31</v>
      </c>
      <c r="G268" s="1" t="s">
        <v>503</v>
      </c>
      <c r="H268" s="21" t="s">
        <v>6564</v>
      </c>
      <c r="I268" s="5" t="s">
        <v>196</v>
      </c>
      <c r="J268" s="5" t="s">
        <v>37</v>
      </c>
      <c r="K268" s="5" t="s">
        <v>37</v>
      </c>
      <c r="L268" s="5" t="s">
        <v>862</v>
      </c>
      <c r="M268" s="5" t="s">
        <v>37</v>
      </c>
      <c r="N268" s="5" t="s">
        <v>37</v>
      </c>
      <c r="O268" s="5" t="s">
        <v>38</v>
      </c>
      <c r="P268" s="5" t="s">
        <v>39</v>
      </c>
      <c r="Q268" s="2">
        <v>45968</v>
      </c>
      <c r="V268" s="45">
        <f>IF(
  OR(
    ISNUMBER(SEARCH("unable to locate acct", tblDocketedComments[[#This Row],[Docketed Consumer Comments]])),
    ISNUMBER(SEARCH("unknown", tblDocketedComments[[#This Row],[Docketed Consumer Comments]])),
    ISNUMBER(SEARCH("inactive", tblDocketedComments[[#This Row],[Docketed Consumer Comments]]))
  ),
  0,
  1
)</f>
        <v>1</v>
      </c>
    </row>
    <row r="269" spans="1:22" hidden="1">
      <c r="A269" s="2">
        <v>45903</v>
      </c>
      <c r="B269" s="1" t="s">
        <v>863</v>
      </c>
      <c r="C269" s="1" t="s">
        <v>774</v>
      </c>
      <c r="D269" s="1" t="s">
        <v>24</v>
      </c>
      <c r="E269" s="1">
        <v>85308</v>
      </c>
      <c r="F269" s="1" t="s">
        <v>864</v>
      </c>
      <c r="G269" s="1" t="s">
        <v>503</v>
      </c>
      <c r="H269" s="21" t="s">
        <v>6565</v>
      </c>
      <c r="I269" s="5" t="s">
        <v>73</v>
      </c>
      <c r="J269" s="5" t="s">
        <v>37</v>
      </c>
      <c r="K269" s="5" t="s">
        <v>37</v>
      </c>
      <c r="L269" s="5" t="s">
        <v>38</v>
      </c>
      <c r="M269" s="5" t="s">
        <v>37</v>
      </c>
      <c r="N269" s="5" t="s">
        <v>37</v>
      </c>
      <c r="O269" s="5" t="s">
        <v>38</v>
      </c>
      <c r="P269" s="5" t="s">
        <v>39</v>
      </c>
      <c r="Q269" s="2">
        <v>45968</v>
      </c>
      <c r="V269" s="45">
        <f>IF(
  OR(
    ISNUMBER(SEARCH("unable to locate acct", tblDocketedComments[[#This Row],[Docketed Consumer Comments]])),
    ISNUMBER(SEARCH("unknown", tblDocketedComments[[#This Row],[Docketed Consumer Comments]])),
    ISNUMBER(SEARCH("inactive", tblDocketedComments[[#This Row],[Docketed Consumer Comments]]))
  ),
  0,
  1
)</f>
        <v>1</v>
      </c>
    </row>
    <row r="270" spans="1:22" hidden="1">
      <c r="A270" s="2">
        <v>45903</v>
      </c>
      <c r="B270" s="1" t="s">
        <v>865</v>
      </c>
      <c r="C270" s="1" t="s">
        <v>866</v>
      </c>
      <c r="D270" s="1" t="s">
        <v>240</v>
      </c>
      <c r="E270" s="1">
        <v>85340</v>
      </c>
      <c r="F270" s="1" t="s">
        <v>31</v>
      </c>
      <c r="G270" s="1" t="s">
        <v>503</v>
      </c>
      <c r="H270" s="4" t="s">
        <v>6184</v>
      </c>
      <c r="I270" s="5" t="s">
        <v>73</v>
      </c>
      <c r="J270" s="5" t="s">
        <v>37</v>
      </c>
      <c r="K270" s="5" t="s">
        <v>37</v>
      </c>
      <c r="L270" s="5" t="s">
        <v>38</v>
      </c>
      <c r="M270" s="5" t="s">
        <v>37</v>
      </c>
      <c r="N270" s="5" t="s">
        <v>37</v>
      </c>
      <c r="O270" s="5" t="s">
        <v>38</v>
      </c>
      <c r="P270" s="5" t="s">
        <v>39</v>
      </c>
      <c r="Q270" s="2">
        <v>45968</v>
      </c>
      <c r="V270" s="45">
        <f>IF(
  OR(
    ISNUMBER(SEARCH("unable to locate acct", tblDocketedComments[[#This Row],[Docketed Consumer Comments]])),
    ISNUMBER(SEARCH("unknown", tblDocketedComments[[#This Row],[Docketed Consumer Comments]])),
    ISNUMBER(SEARCH("inactive", tblDocketedComments[[#This Row],[Docketed Consumer Comments]]))
  ),
  0,
  1
)</f>
        <v>1</v>
      </c>
    </row>
    <row r="271" spans="1:22" hidden="1">
      <c r="A271" s="2">
        <v>45903</v>
      </c>
      <c r="B271" s="1" t="s">
        <v>465</v>
      </c>
      <c r="C271" s="1" t="s">
        <v>867</v>
      </c>
      <c r="D271" s="1" t="s">
        <v>202</v>
      </c>
      <c r="E271" s="1">
        <v>85382</v>
      </c>
      <c r="F271" s="1" t="s">
        <v>310</v>
      </c>
      <c r="G271" s="1" t="s">
        <v>503</v>
      </c>
      <c r="H271" s="4" t="s">
        <v>27</v>
      </c>
      <c r="V271" s="45">
        <f>IF(
  OR(
    ISNUMBER(SEARCH("unable to locate acct", tblDocketedComments[[#This Row],[Docketed Consumer Comments]])),
    ISNUMBER(SEARCH("unknown", tblDocketedComments[[#This Row],[Docketed Consumer Comments]])),
    ISNUMBER(SEARCH("inactive", tblDocketedComments[[#This Row],[Docketed Consumer Comments]]))
  ),
  0,
  1
)</f>
        <v>1</v>
      </c>
    </row>
    <row r="272" spans="1:22" hidden="1">
      <c r="A272" s="2">
        <v>45903</v>
      </c>
      <c r="B272" s="1" t="s">
        <v>868</v>
      </c>
      <c r="C272" s="1" t="s">
        <v>869</v>
      </c>
      <c r="D272" s="1" t="s">
        <v>125</v>
      </c>
      <c r="E272" s="1">
        <v>85255</v>
      </c>
      <c r="F272" s="1" t="s">
        <v>310</v>
      </c>
      <c r="G272" s="1" t="s">
        <v>503</v>
      </c>
      <c r="H272" s="21" t="s">
        <v>6566</v>
      </c>
      <c r="I272" s="5" t="s">
        <v>36</v>
      </c>
      <c r="J272" s="5" t="s">
        <v>37</v>
      </c>
      <c r="K272" s="5" t="s">
        <v>37</v>
      </c>
      <c r="L272" s="5" t="s">
        <v>38</v>
      </c>
      <c r="M272" s="5" t="s">
        <v>37</v>
      </c>
      <c r="N272" s="5" t="s">
        <v>37</v>
      </c>
      <c r="O272" s="5" t="s">
        <v>38</v>
      </c>
      <c r="P272" s="5" t="s">
        <v>39</v>
      </c>
      <c r="Q272" s="2">
        <v>45968</v>
      </c>
      <c r="V272" s="45">
        <f>IF(
  OR(
    ISNUMBER(SEARCH("unable to locate acct", tblDocketedComments[[#This Row],[Docketed Consumer Comments]])),
    ISNUMBER(SEARCH("unknown", tblDocketedComments[[#This Row],[Docketed Consumer Comments]])),
    ISNUMBER(SEARCH("inactive", tblDocketedComments[[#This Row],[Docketed Consumer Comments]]))
  ),
  0,
  1
)</f>
        <v>1</v>
      </c>
    </row>
    <row r="273" spans="1:22" hidden="1">
      <c r="A273" s="2">
        <v>45903</v>
      </c>
      <c r="B273" s="1" t="s">
        <v>870</v>
      </c>
      <c r="C273" s="1" t="s">
        <v>871</v>
      </c>
      <c r="D273" s="1" t="s">
        <v>240</v>
      </c>
      <c r="E273" s="1">
        <v>85340</v>
      </c>
      <c r="F273" s="1" t="s">
        <v>872</v>
      </c>
      <c r="G273" s="1" t="s">
        <v>503</v>
      </c>
      <c r="H273" s="21" t="s">
        <v>6567</v>
      </c>
      <c r="I273" s="5" t="s">
        <v>36</v>
      </c>
      <c r="J273" s="5" t="s">
        <v>37</v>
      </c>
      <c r="K273" s="5" t="s">
        <v>37</v>
      </c>
      <c r="L273" s="5" t="s">
        <v>38</v>
      </c>
      <c r="M273" s="5" t="s">
        <v>37</v>
      </c>
      <c r="N273" s="5" t="s">
        <v>37</v>
      </c>
      <c r="O273" s="5" t="s">
        <v>38</v>
      </c>
      <c r="P273" s="5" t="s">
        <v>39</v>
      </c>
      <c r="Q273" s="2">
        <v>45968</v>
      </c>
      <c r="V273" s="45">
        <f>IF(
  OR(
    ISNUMBER(SEARCH("unable to locate acct", tblDocketedComments[[#This Row],[Docketed Consumer Comments]])),
    ISNUMBER(SEARCH("unknown", tblDocketedComments[[#This Row],[Docketed Consumer Comments]])),
    ISNUMBER(SEARCH("inactive", tblDocketedComments[[#This Row],[Docketed Consumer Comments]]))
  ),
  0,
  1
)</f>
        <v>1</v>
      </c>
    </row>
    <row r="274" spans="1:22" hidden="1">
      <c r="A274" s="2">
        <v>45903</v>
      </c>
      <c r="B274" s="1" t="s">
        <v>873</v>
      </c>
      <c r="C274" s="1" t="s">
        <v>874</v>
      </c>
      <c r="D274" s="1" t="s">
        <v>169</v>
      </c>
      <c r="E274" s="1">
        <v>85338</v>
      </c>
      <c r="F274" s="1" t="s">
        <v>875</v>
      </c>
      <c r="G274" s="1" t="s">
        <v>503</v>
      </c>
      <c r="H274" s="4" t="s">
        <v>27</v>
      </c>
      <c r="V274" s="45">
        <f>IF(
  OR(
    ISNUMBER(SEARCH("unable to locate acct", tblDocketedComments[[#This Row],[Docketed Consumer Comments]])),
    ISNUMBER(SEARCH("unknown", tblDocketedComments[[#This Row],[Docketed Consumer Comments]])),
    ISNUMBER(SEARCH("inactive", tblDocketedComments[[#This Row],[Docketed Consumer Comments]]))
  ),
  0,
  1
)</f>
        <v>1</v>
      </c>
    </row>
    <row r="275" spans="1:22" hidden="1">
      <c r="A275" s="2">
        <v>45903</v>
      </c>
      <c r="B275" s="1" t="s">
        <v>876</v>
      </c>
      <c r="C275" s="1" t="s">
        <v>877</v>
      </c>
      <c r="D275" s="1" t="s">
        <v>24</v>
      </c>
      <c r="E275" s="1">
        <v>85301</v>
      </c>
      <c r="F275" s="1" t="s">
        <v>310</v>
      </c>
      <c r="G275" s="1" t="s">
        <v>503</v>
      </c>
      <c r="H275" s="21" t="s">
        <v>6568</v>
      </c>
      <c r="I275" s="5" t="s">
        <v>196</v>
      </c>
      <c r="J275" s="5" t="s">
        <v>37</v>
      </c>
      <c r="K275" s="5" t="s">
        <v>37</v>
      </c>
      <c r="L275" s="5" t="s">
        <v>38</v>
      </c>
      <c r="M275" s="5" t="s">
        <v>37</v>
      </c>
      <c r="N275" s="5" t="s">
        <v>37</v>
      </c>
      <c r="O275" s="5" t="s">
        <v>38</v>
      </c>
      <c r="P275" s="5" t="s">
        <v>39</v>
      </c>
      <c r="Q275" s="2">
        <v>45968</v>
      </c>
      <c r="V275" s="45">
        <f>IF(
  OR(
    ISNUMBER(SEARCH("unable to locate acct", tblDocketedComments[[#This Row],[Docketed Consumer Comments]])),
    ISNUMBER(SEARCH("unknown", tblDocketedComments[[#This Row],[Docketed Consumer Comments]])),
    ISNUMBER(SEARCH("inactive", tblDocketedComments[[#This Row],[Docketed Consumer Comments]]))
  ),
  0,
  1
)</f>
        <v>1</v>
      </c>
    </row>
    <row r="276" spans="1:22" hidden="1">
      <c r="A276" s="2">
        <v>45903</v>
      </c>
      <c r="B276" s="1" t="s">
        <v>878</v>
      </c>
      <c r="C276" s="1" t="s">
        <v>879</v>
      </c>
      <c r="D276" s="1" t="s">
        <v>112</v>
      </c>
      <c r="E276" s="1">
        <v>85388</v>
      </c>
      <c r="F276" s="1" t="s">
        <v>310</v>
      </c>
      <c r="G276" s="1" t="s">
        <v>503</v>
      </c>
      <c r="H276" s="21" t="s">
        <v>6569</v>
      </c>
      <c r="I276" s="5" t="s">
        <v>36</v>
      </c>
      <c r="J276" s="5" t="s">
        <v>37</v>
      </c>
      <c r="K276" s="5" t="s">
        <v>37</v>
      </c>
      <c r="L276" s="5" t="s">
        <v>38</v>
      </c>
      <c r="M276" s="5" t="s">
        <v>37</v>
      </c>
      <c r="N276" s="5" t="s">
        <v>37</v>
      </c>
      <c r="O276" s="5" t="s">
        <v>38</v>
      </c>
      <c r="P276" s="5" t="s">
        <v>39</v>
      </c>
      <c r="Q276" s="2">
        <v>45968</v>
      </c>
      <c r="V276" s="45">
        <f>IF(
  OR(
    ISNUMBER(SEARCH("unable to locate acct", tblDocketedComments[[#This Row],[Docketed Consumer Comments]])),
    ISNUMBER(SEARCH("unknown", tblDocketedComments[[#This Row],[Docketed Consumer Comments]])),
    ISNUMBER(SEARCH("inactive", tblDocketedComments[[#This Row],[Docketed Consumer Comments]]))
  ),
  0,
  1
)</f>
        <v>1</v>
      </c>
    </row>
    <row r="277" spans="1:22" hidden="1">
      <c r="A277" s="2">
        <v>45903</v>
      </c>
      <c r="B277" s="1" t="s">
        <v>880</v>
      </c>
      <c r="C277" s="1" t="s">
        <v>881</v>
      </c>
      <c r="D277" s="1" t="s">
        <v>24</v>
      </c>
      <c r="E277" s="1">
        <v>85301</v>
      </c>
      <c r="F277" s="1" t="s">
        <v>31</v>
      </c>
      <c r="G277" s="1" t="s">
        <v>503</v>
      </c>
      <c r="H277" s="4" t="s">
        <v>6185</v>
      </c>
      <c r="I277" s="5" t="s">
        <v>73</v>
      </c>
      <c r="J277" s="5" t="s">
        <v>37</v>
      </c>
      <c r="K277" s="5" t="s">
        <v>37</v>
      </c>
      <c r="L277" s="5" t="s">
        <v>38</v>
      </c>
      <c r="M277" s="5" t="s">
        <v>37</v>
      </c>
      <c r="N277" s="5" t="s">
        <v>37</v>
      </c>
      <c r="O277" s="5" t="s">
        <v>38</v>
      </c>
      <c r="P277" s="5" t="s">
        <v>39</v>
      </c>
      <c r="Q277" s="2">
        <v>45968</v>
      </c>
      <c r="V277" s="45">
        <f>IF(
  OR(
    ISNUMBER(SEARCH("unable to locate acct", tblDocketedComments[[#This Row],[Docketed Consumer Comments]])),
    ISNUMBER(SEARCH("unknown", tblDocketedComments[[#This Row],[Docketed Consumer Comments]])),
    ISNUMBER(SEARCH("inactive", tblDocketedComments[[#This Row],[Docketed Consumer Comments]]))
  ),
  0,
  1
)</f>
        <v>1</v>
      </c>
    </row>
    <row r="278" spans="1:22" hidden="1">
      <c r="A278" s="2">
        <v>45903</v>
      </c>
      <c r="B278" s="1" t="s">
        <v>882</v>
      </c>
      <c r="C278" s="1" t="s">
        <v>883</v>
      </c>
      <c r="D278" s="1" t="s">
        <v>63</v>
      </c>
      <c r="E278" s="1">
        <v>85054</v>
      </c>
      <c r="F278" s="1" t="s">
        <v>310</v>
      </c>
      <c r="G278" s="1" t="s">
        <v>503</v>
      </c>
      <c r="H278" s="4" t="s">
        <v>209</v>
      </c>
      <c r="V278" s="45">
        <f>IF(
  OR(
    ISNUMBER(SEARCH("unable to locate acct", tblDocketedComments[[#This Row],[Docketed Consumer Comments]])),
    ISNUMBER(SEARCH("unknown", tblDocketedComments[[#This Row],[Docketed Consumer Comments]])),
    ISNUMBER(SEARCH("inactive", tblDocketedComments[[#This Row],[Docketed Consumer Comments]]))
  ),
  0,
  1
)</f>
        <v>1</v>
      </c>
    </row>
    <row r="279" spans="1:22" hidden="1">
      <c r="A279" s="2">
        <v>45903</v>
      </c>
      <c r="B279" s="1" t="s">
        <v>884</v>
      </c>
      <c r="C279" s="1" t="s">
        <v>885</v>
      </c>
      <c r="D279" s="1" t="s">
        <v>886</v>
      </c>
      <c r="E279" s="1">
        <v>85501</v>
      </c>
      <c r="F279" s="1" t="s">
        <v>31</v>
      </c>
      <c r="G279" s="1" t="s">
        <v>503</v>
      </c>
      <c r="H279" s="21" t="s">
        <v>6570</v>
      </c>
      <c r="I279" s="5" t="s">
        <v>196</v>
      </c>
      <c r="J279" s="5" t="s">
        <v>37</v>
      </c>
      <c r="K279" s="5" t="s">
        <v>37</v>
      </c>
      <c r="L279" s="5" t="s">
        <v>887</v>
      </c>
      <c r="M279" s="5" t="s">
        <v>37</v>
      </c>
      <c r="N279" s="5" t="s">
        <v>37</v>
      </c>
      <c r="O279" s="5" t="s">
        <v>38</v>
      </c>
      <c r="P279" s="5" t="s">
        <v>39</v>
      </c>
      <c r="Q279" s="2">
        <v>45968</v>
      </c>
      <c r="V279" s="45">
        <f>IF(
  OR(
    ISNUMBER(SEARCH("unable to locate acct", tblDocketedComments[[#This Row],[Docketed Consumer Comments]])),
    ISNUMBER(SEARCH("unknown", tblDocketedComments[[#This Row],[Docketed Consumer Comments]])),
    ISNUMBER(SEARCH("inactive", tblDocketedComments[[#This Row],[Docketed Consumer Comments]]))
  ),
  0,
  1
)</f>
        <v>1</v>
      </c>
    </row>
    <row r="280" spans="1:22" hidden="1">
      <c r="A280" s="2">
        <v>45903</v>
      </c>
      <c r="B280" s="1" t="s">
        <v>888</v>
      </c>
      <c r="C280" s="1" t="s">
        <v>889</v>
      </c>
      <c r="D280" s="1" t="s">
        <v>63</v>
      </c>
      <c r="E280" s="1">
        <v>85013</v>
      </c>
      <c r="F280" s="1" t="s">
        <v>310</v>
      </c>
      <c r="G280" s="1" t="s">
        <v>503</v>
      </c>
      <c r="H280" s="21" t="s">
        <v>6571</v>
      </c>
      <c r="I280" s="5" t="s">
        <v>126</v>
      </c>
      <c r="J280" s="5" t="s">
        <v>37</v>
      </c>
      <c r="K280" s="5" t="s">
        <v>37</v>
      </c>
      <c r="L280" s="5" t="s">
        <v>890</v>
      </c>
      <c r="M280" s="5" t="s">
        <v>37</v>
      </c>
      <c r="N280" s="5" t="s">
        <v>37</v>
      </c>
      <c r="O280" s="5" t="s">
        <v>38</v>
      </c>
      <c r="P280" s="5" t="s">
        <v>39</v>
      </c>
      <c r="Q280" s="2">
        <v>45968</v>
      </c>
      <c r="V280" s="45">
        <f>IF(
  OR(
    ISNUMBER(SEARCH("unable to locate acct", tblDocketedComments[[#This Row],[Docketed Consumer Comments]])),
    ISNUMBER(SEARCH("unknown", tblDocketedComments[[#This Row],[Docketed Consumer Comments]])),
    ISNUMBER(SEARCH("inactive", tblDocketedComments[[#This Row],[Docketed Consumer Comments]]))
  ),
  0,
  1
)</f>
        <v>1</v>
      </c>
    </row>
    <row r="281" spans="1:22" hidden="1">
      <c r="A281" s="2">
        <v>45903</v>
      </c>
      <c r="B281" s="1" t="s">
        <v>891</v>
      </c>
      <c r="C281" s="1" t="s">
        <v>892</v>
      </c>
      <c r="D281" s="1" t="s">
        <v>169</v>
      </c>
      <c r="E281" s="1">
        <v>85395</v>
      </c>
      <c r="F281" s="1" t="s">
        <v>31</v>
      </c>
      <c r="G281" s="1" t="s">
        <v>503</v>
      </c>
      <c r="H281" s="21" t="s">
        <v>6572</v>
      </c>
      <c r="I281" s="5" t="s">
        <v>36</v>
      </c>
      <c r="J281" s="5" t="s">
        <v>37</v>
      </c>
      <c r="K281" s="5" t="s">
        <v>37</v>
      </c>
      <c r="L281" s="5" t="s">
        <v>893</v>
      </c>
      <c r="M281" s="5" t="s">
        <v>37</v>
      </c>
      <c r="N281" s="5" t="s">
        <v>37</v>
      </c>
      <c r="O281" s="5" t="s">
        <v>38</v>
      </c>
      <c r="P281" s="5" t="s">
        <v>39</v>
      </c>
      <c r="Q281" s="2">
        <v>45968</v>
      </c>
      <c r="V281" s="45">
        <f>IF(
  OR(
    ISNUMBER(SEARCH("unable to locate acct", tblDocketedComments[[#This Row],[Docketed Consumer Comments]])),
    ISNUMBER(SEARCH("unknown", tblDocketedComments[[#This Row],[Docketed Consumer Comments]])),
    ISNUMBER(SEARCH("inactive", tblDocketedComments[[#This Row],[Docketed Consumer Comments]]))
  ),
  0,
  1
)</f>
        <v>1</v>
      </c>
    </row>
    <row r="282" spans="1:22" hidden="1">
      <c r="A282" s="2">
        <v>45903</v>
      </c>
      <c r="B282" s="1" t="s">
        <v>894</v>
      </c>
      <c r="C282" s="1" t="s">
        <v>895</v>
      </c>
      <c r="D282" s="1" t="s">
        <v>202</v>
      </c>
      <c r="E282" s="1">
        <v>85383</v>
      </c>
      <c r="F282" s="1" t="s">
        <v>310</v>
      </c>
      <c r="G282" s="1" t="s">
        <v>503</v>
      </c>
      <c r="H282" s="21" t="s">
        <v>6573</v>
      </c>
      <c r="I282" s="5" t="s">
        <v>538</v>
      </c>
      <c r="J282" s="5" t="s">
        <v>37</v>
      </c>
      <c r="K282" s="5" t="s">
        <v>37</v>
      </c>
      <c r="L282" s="5" t="s">
        <v>387</v>
      </c>
      <c r="M282" s="5" t="s">
        <v>37</v>
      </c>
      <c r="N282" s="5" t="s">
        <v>37</v>
      </c>
      <c r="O282" s="5" t="s">
        <v>38</v>
      </c>
      <c r="P282" s="5" t="s">
        <v>39</v>
      </c>
      <c r="Q282" s="2">
        <v>45968</v>
      </c>
      <c r="V282" s="45">
        <f>IF(
  OR(
    ISNUMBER(SEARCH("unable to locate acct", tblDocketedComments[[#This Row],[Docketed Consumer Comments]])),
    ISNUMBER(SEARCH("unknown", tblDocketedComments[[#This Row],[Docketed Consumer Comments]])),
    ISNUMBER(SEARCH("inactive", tblDocketedComments[[#This Row],[Docketed Consumer Comments]]))
  ),
  0,
  1
)</f>
        <v>1</v>
      </c>
    </row>
    <row r="283" spans="1:22" hidden="1">
      <c r="A283" s="2">
        <v>45903</v>
      </c>
      <c r="B283" s="1" t="s">
        <v>896</v>
      </c>
      <c r="C283" s="1" t="s">
        <v>897</v>
      </c>
      <c r="D283" s="1" t="s">
        <v>63</v>
      </c>
      <c r="E283" s="1">
        <v>85083</v>
      </c>
      <c r="F283" s="1" t="s">
        <v>31</v>
      </c>
      <c r="G283" s="1" t="s">
        <v>503</v>
      </c>
      <c r="H283" s="21" t="s">
        <v>6574</v>
      </c>
      <c r="I283" s="5" t="s">
        <v>73</v>
      </c>
      <c r="J283" s="5" t="s">
        <v>37</v>
      </c>
      <c r="K283" s="5" t="s">
        <v>37</v>
      </c>
      <c r="L283" s="5" t="s">
        <v>399</v>
      </c>
      <c r="M283" s="5" t="s">
        <v>37</v>
      </c>
      <c r="N283" s="5" t="s">
        <v>37</v>
      </c>
      <c r="O283" s="5" t="s">
        <v>38</v>
      </c>
      <c r="P283" s="5" t="s">
        <v>39</v>
      </c>
      <c r="Q283" s="2">
        <v>45968</v>
      </c>
      <c r="V283" s="45">
        <f>IF(
  OR(
    ISNUMBER(SEARCH("unable to locate acct", tblDocketedComments[[#This Row],[Docketed Consumer Comments]])),
    ISNUMBER(SEARCH("unknown", tblDocketedComments[[#This Row],[Docketed Consumer Comments]])),
    ISNUMBER(SEARCH("inactive", tblDocketedComments[[#This Row],[Docketed Consumer Comments]]))
  ),
  0,
  1
)</f>
        <v>1</v>
      </c>
    </row>
    <row r="284" spans="1:22" hidden="1">
      <c r="A284" s="2">
        <v>45903</v>
      </c>
      <c r="B284" s="1" t="s">
        <v>898</v>
      </c>
      <c r="C284" s="1" t="s">
        <v>899</v>
      </c>
      <c r="D284" s="1" t="s">
        <v>63</v>
      </c>
      <c r="E284" s="1">
        <v>85014</v>
      </c>
      <c r="F284" s="1" t="s">
        <v>310</v>
      </c>
      <c r="G284" s="1" t="s">
        <v>503</v>
      </c>
      <c r="H284" s="21" t="s">
        <v>6575</v>
      </c>
      <c r="I284" s="5" t="s">
        <v>73</v>
      </c>
      <c r="J284" s="5" t="s">
        <v>37</v>
      </c>
      <c r="K284" s="5" t="s">
        <v>37</v>
      </c>
      <c r="L284" s="5" t="s">
        <v>38</v>
      </c>
      <c r="M284" s="5" t="s">
        <v>37</v>
      </c>
      <c r="N284" s="5" t="s">
        <v>37</v>
      </c>
      <c r="O284" s="5" t="s">
        <v>38</v>
      </c>
      <c r="P284" s="5" t="s">
        <v>39</v>
      </c>
      <c r="Q284" s="2">
        <v>45968</v>
      </c>
      <c r="V284" s="45">
        <f>IF(
  OR(
    ISNUMBER(SEARCH("unable to locate acct", tblDocketedComments[[#This Row],[Docketed Consumer Comments]])),
    ISNUMBER(SEARCH("unknown", tblDocketedComments[[#This Row],[Docketed Consumer Comments]])),
    ISNUMBER(SEARCH("inactive", tblDocketedComments[[#This Row],[Docketed Consumer Comments]]))
  ),
  0,
  1
)</f>
        <v>1</v>
      </c>
    </row>
    <row r="285" spans="1:22" hidden="1">
      <c r="A285" s="2">
        <v>45903</v>
      </c>
      <c r="B285" s="1" t="s">
        <v>900</v>
      </c>
      <c r="C285" s="1" t="s">
        <v>901</v>
      </c>
      <c r="D285" s="1" t="s">
        <v>202</v>
      </c>
      <c r="E285" s="1">
        <v>85382</v>
      </c>
      <c r="F285" s="1" t="s">
        <v>310</v>
      </c>
      <c r="G285" s="1" t="s">
        <v>503</v>
      </c>
      <c r="H285" s="4" t="s">
        <v>6014</v>
      </c>
      <c r="I285" s="5" t="s">
        <v>36</v>
      </c>
      <c r="J285" s="5" t="s">
        <v>37</v>
      </c>
      <c r="K285" s="5" t="s">
        <v>37</v>
      </c>
      <c r="L285" s="5" t="s">
        <v>902</v>
      </c>
      <c r="M285" s="5" t="s">
        <v>37</v>
      </c>
      <c r="N285" s="5" t="s">
        <v>37</v>
      </c>
      <c r="O285" s="5" t="s">
        <v>38</v>
      </c>
      <c r="P285" s="5" t="s">
        <v>39</v>
      </c>
      <c r="Q285" s="2">
        <v>45968</v>
      </c>
      <c r="V285" s="45">
        <f>IF(
  OR(
    ISNUMBER(SEARCH("unable to locate acct", tblDocketedComments[[#This Row],[Docketed Consumer Comments]])),
    ISNUMBER(SEARCH("unknown", tblDocketedComments[[#This Row],[Docketed Consumer Comments]])),
    ISNUMBER(SEARCH("inactive", tblDocketedComments[[#This Row],[Docketed Consumer Comments]]))
  ),
  0,
  1
)</f>
        <v>1</v>
      </c>
    </row>
    <row r="286" spans="1:22" hidden="1">
      <c r="A286" s="2">
        <v>45903</v>
      </c>
      <c r="B286" s="1" t="s">
        <v>903</v>
      </c>
      <c r="C286" s="1" t="s">
        <v>904</v>
      </c>
      <c r="D286" s="1" t="s">
        <v>125</v>
      </c>
      <c r="E286" s="1">
        <v>85251</v>
      </c>
      <c r="F286" s="1" t="s">
        <v>310</v>
      </c>
      <c r="G286" s="1" t="s">
        <v>503</v>
      </c>
      <c r="H286" s="21" t="s">
        <v>6576</v>
      </c>
      <c r="I286" s="5" t="s">
        <v>73</v>
      </c>
      <c r="J286" s="5" t="s">
        <v>37</v>
      </c>
      <c r="K286" s="5" t="s">
        <v>37</v>
      </c>
      <c r="L286" s="5" t="s">
        <v>38</v>
      </c>
      <c r="M286" s="5" t="s">
        <v>37</v>
      </c>
      <c r="N286" s="5" t="s">
        <v>37</v>
      </c>
      <c r="O286" s="5" t="s">
        <v>38</v>
      </c>
      <c r="P286" s="5" t="s">
        <v>39</v>
      </c>
      <c r="Q286" s="2">
        <v>45968</v>
      </c>
      <c r="V286" s="45">
        <f>IF(
  OR(
    ISNUMBER(SEARCH("unable to locate acct", tblDocketedComments[[#This Row],[Docketed Consumer Comments]])),
    ISNUMBER(SEARCH("unknown", tblDocketedComments[[#This Row],[Docketed Consumer Comments]])),
    ISNUMBER(SEARCH("inactive", tblDocketedComments[[#This Row],[Docketed Consumer Comments]]))
  ),
  0,
  1
)</f>
        <v>1</v>
      </c>
    </row>
    <row r="287" spans="1:22" hidden="1">
      <c r="A287" s="2">
        <v>45903</v>
      </c>
      <c r="B287" s="1" t="s">
        <v>905</v>
      </c>
      <c r="C287" s="1" t="s">
        <v>820</v>
      </c>
      <c r="D287" s="1" t="s">
        <v>63</v>
      </c>
      <c r="E287" s="1">
        <v>85016</v>
      </c>
      <c r="F287" s="1" t="s">
        <v>310</v>
      </c>
      <c r="G287" s="1" t="s">
        <v>503</v>
      </c>
      <c r="H287" s="21" t="s">
        <v>6577</v>
      </c>
      <c r="I287" s="5" t="s">
        <v>126</v>
      </c>
      <c r="J287" s="5" t="s">
        <v>37</v>
      </c>
      <c r="K287" s="5" t="s">
        <v>37</v>
      </c>
      <c r="L287" s="5" t="s">
        <v>906</v>
      </c>
      <c r="M287" s="5" t="s">
        <v>37</v>
      </c>
      <c r="N287" s="5" t="s">
        <v>37</v>
      </c>
      <c r="O287" s="5" t="s">
        <v>38</v>
      </c>
      <c r="P287" s="5" t="s">
        <v>39</v>
      </c>
      <c r="Q287" s="2">
        <v>45968</v>
      </c>
      <c r="V287" s="45">
        <f>IF(
  OR(
    ISNUMBER(SEARCH("unable to locate acct", tblDocketedComments[[#This Row],[Docketed Consumer Comments]])),
    ISNUMBER(SEARCH("unknown", tblDocketedComments[[#This Row],[Docketed Consumer Comments]])),
    ISNUMBER(SEARCH("inactive", tblDocketedComments[[#This Row],[Docketed Consumer Comments]]))
  ),
  0,
  1
)</f>
        <v>1</v>
      </c>
    </row>
    <row r="288" spans="1:22" hidden="1">
      <c r="A288" s="2">
        <v>45903</v>
      </c>
      <c r="B288" s="1" t="s">
        <v>523</v>
      </c>
      <c r="C288" s="1" t="s">
        <v>129</v>
      </c>
      <c r="D288" s="1" t="s">
        <v>169</v>
      </c>
      <c r="E288" s="1">
        <v>85338</v>
      </c>
      <c r="F288" s="1" t="s">
        <v>31</v>
      </c>
      <c r="G288" s="1" t="s">
        <v>503</v>
      </c>
      <c r="H288" s="4" t="s">
        <v>209</v>
      </c>
      <c r="V288" s="45">
        <f>IF(
  OR(
    ISNUMBER(SEARCH("unable to locate acct", tblDocketedComments[[#This Row],[Docketed Consumer Comments]])),
    ISNUMBER(SEARCH("unknown", tblDocketedComments[[#This Row],[Docketed Consumer Comments]])),
    ISNUMBER(SEARCH("inactive", tblDocketedComments[[#This Row],[Docketed Consumer Comments]]))
  ),
  0,
  1
)</f>
        <v>1</v>
      </c>
    </row>
    <row r="289" spans="1:22" hidden="1">
      <c r="A289" s="2">
        <v>45903</v>
      </c>
      <c r="B289" s="1" t="s">
        <v>290</v>
      </c>
      <c r="C289" s="1" t="s">
        <v>907</v>
      </c>
      <c r="D289" s="1" t="s">
        <v>63</v>
      </c>
      <c r="E289" s="1">
        <v>85013</v>
      </c>
      <c r="F289" s="1" t="s">
        <v>310</v>
      </c>
      <c r="G289" s="1" t="s">
        <v>503</v>
      </c>
      <c r="H289" s="21" t="s">
        <v>6578</v>
      </c>
      <c r="I289" s="5" t="s">
        <v>73</v>
      </c>
      <c r="J289" s="5" t="s">
        <v>37</v>
      </c>
      <c r="K289" s="5" t="s">
        <v>37</v>
      </c>
      <c r="L289" s="5" t="s">
        <v>38</v>
      </c>
      <c r="M289" s="5" t="s">
        <v>37</v>
      </c>
      <c r="N289" s="5" t="s">
        <v>37</v>
      </c>
      <c r="O289" s="5" t="s">
        <v>38</v>
      </c>
      <c r="P289" s="5" t="s">
        <v>39</v>
      </c>
      <c r="Q289" s="2">
        <v>45968</v>
      </c>
      <c r="V289" s="45">
        <f>IF(
  OR(
    ISNUMBER(SEARCH("unable to locate acct", tblDocketedComments[[#This Row],[Docketed Consumer Comments]])),
    ISNUMBER(SEARCH("unknown", tblDocketedComments[[#This Row],[Docketed Consumer Comments]])),
    ISNUMBER(SEARCH("inactive", tblDocketedComments[[#This Row],[Docketed Consumer Comments]]))
  ),
  0,
  1
)</f>
        <v>1</v>
      </c>
    </row>
    <row r="290" spans="1:22" hidden="1">
      <c r="A290" s="2">
        <v>45903</v>
      </c>
      <c r="B290" s="1" t="s">
        <v>908</v>
      </c>
      <c r="C290" s="1" t="s">
        <v>909</v>
      </c>
      <c r="D290" s="1" t="s">
        <v>63</v>
      </c>
      <c r="E290" s="1">
        <v>85028</v>
      </c>
      <c r="F290" s="1" t="s">
        <v>310</v>
      </c>
      <c r="G290" s="1" t="s">
        <v>503</v>
      </c>
      <c r="H290" s="21" t="s">
        <v>6579</v>
      </c>
      <c r="I290" s="5" t="s">
        <v>196</v>
      </c>
      <c r="J290" s="5" t="s">
        <v>37</v>
      </c>
      <c r="K290" s="5" t="s">
        <v>37</v>
      </c>
      <c r="L290" s="5" t="s">
        <v>910</v>
      </c>
      <c r="M290" s="5" t="s">
        <v>37</v>
      </c>
      <c r="N290" s="5" t="s">
        <v>37</v>
      </c>
      <c r="O290" s="5" t="s">
        <v>38</v>
      </c>
      <c r="P290" s="5" t="s">
        <v>39</v>
      </c>
      <c r="Q290" s="2">
        <v>45968</v>
      </c>
      <c r="V290" s="45">
        <f>IF(
  OR(
    ISNUMBER(SEARCH("unable to locate acct", tblDocketedComments[[#This Row],[Docketed Consumer Comments]])),
    ISNUMBER(SEARCH("unknown", tblDocketedComments[[#This Row],[Docketed Consumer Comments]])),
    ISNUMBER(SEARCH("inactive", tblDocketedComments[[#This Row],[Docketed Consumer Comments]]))
  ),
  0,
  1
)</f>
        <v>1</v>
      </c>
    </row>
    <row r="291" spans="1:22" hidden="1">
      <c r="A291" s="2">
        <v>45903</v>
      </c>
      <c r="B291" s="1" t="s">
        <v>176</v>
      </c>
      <c r="C291" s="1" t="s">
        <v>877</v>
      </c>
      <c r="D291" s="1" t="s">
        <v>169</v>
      </c>
      <c r="E291" s="1">
        <v>85338</v>
      </c>
      <c r="F291" s="1" t="s">
        <v>514</v>
      </c>
      <c r="G291" s="1" t="s">
        <v>503</v>
      </c>
      <c r="H291" s="4" t="s">
        <v>209</v>
      </c>
      <c r="V291" s="45">
        <f>IF(
  OR(
    ISNUMBER(SEARCH("unable to locate acct", tblDocketedComments[[#This Row],[Docketed Consumer Comments]])),
    ISNUMBER(SEARCH("unknown", tblDocketedComments[[#This Row],[Docketed Consumer Comments]])),
    ISNUMBER(SEARCH("inactive", tblDocketedComments[[#This Row],[Docketed Consumer Comments]]))
  ),
  0,
  1
)</f>
        <v>1</v>
      </c>
    </row>
    <row r="292" spans="1:22" hidden="1">
      <c r="A292" s="2">
        <v>45903</v>
      </c>
      <c r="B292" s="1" t="s">
        <v>911</v>
      </c>
      <c r="C292" s="1" t="s">
        <v>228</v>
      </c>
      <c r="D292" s="1" t="s">
        <v>202</v>
      </c>
      <c r="E292" s="1">
        <v>85381</v>
      </c>
      <c r="F292" s="1" t="s">
        <v>31</v>
      </c>
      <c r="G292" s="1" t="s">
        <v>503</v>
      </c>
      <c r="H292" s="21" t="s">
        <v>6580</v>
      </c>
      <c r="I292" s="5" t="s">
        <v>36</v>
      </c>
      <c r="J292" s="5" t="s">
        <v>37</v>
      </c>
      <c r="K292" s="5" t="s">
        <v>37</v>
      </c>
      <c r="L292" s="5" t="s">
        <v>38</v>
      </c>
      <c r="M292" s="5" t="s">
        <v>37</v>
      </c>
      <c r="N292" s="5" t="s">
        <v>37</v>
      </c>
      <c r="O292" s="5" t="s">
        <v>38</v>
      </c>
      <c r="P292" s="5" t="s">
        <v>39</v>
      </c>
      <c r="Q292" s="2">
        <v>45968</v>
      </c>
      <c r="V292" s="45">
        <f>IF(
  OR(
    ISNUMBER(SEARCH("unable to locate acct", tblDocketedComments[[#This Row],[Docketed Consumer Comments]])),
    ISNUMBER(SEARCH("unknown", tblDocketedComments[[#This Row],[Docketed Consumer Comments]])),
    ISNUMBER(SEARCH("inactive", tblDocketedComments[[#This Row],[Docketed Consumer Comments]]))
  ),
  0,
  1
)</f>
        <v>1</v>
      </c>
    </row>
    <row r="293" spans="1:22" hidden="1">
      <c r="A293" s="2">
        <v>45903</v>
      </c>
      <c r="B293" s="1" t="s">
        <v>912</v>
      </c>
      <c r="C293" s="1" t="s">
        <v>913</v>
      </c>
      <c r="D293" s="1" t="s">
        <v>112</v>
      </c>
      <c r="E293" s="1">
        <v>85388</v>
      </c>
      <c r="F293" s="1" t="s">
        <v>310</v>
      </c>
      <c r="G293" s="1" t="s">
        <v>503</v>
      </c>
      <c r="H293" s="21" t="s">
        <v>6581</v>
      </c>
      <c r="I293" s="5" t="s">
        <v>416</v>
      </c>
      <c r="J293" s="5" t="s">
        <v>37</v>
      </c>
      <c r="K293" s="5" t="s">
        <v>37</v>
      </c>
      <c r="L293" s="5" t="s">
        <v>387</v>
      </c>
      <c r="M293" s="5" t="s">
        <v>37</v>
      </c>
      <c r="N293" s="5" t="s">
        <v>37</v>
      </c>
      <c r="O293" s="5" t="s">
        <v>38</v>
      </c>
      <c r="P293" s="5" t="s">
        <v>39</v>
      </c>
      <c r="Q293" s="2">
        <v>45968</v>
      </c>
      <c r="V293" s="45">
        <f>IF(
  OR(
    ISNUMBER(SEARCH("unable to locate acct", tblDocketedComments[[#This Row],[Docketed Consumer Comments]])),
    ISNUMBER(SEARCH("unknown", tblDocketedComments[[#This Row],[Docketed Consumer Comments]])),
    ISNUMBER(SEARCH("inactive", tblDocketedComments[[#This Row],[Docketed Consumer Comments]]))
  ),
  0,
  1
)</f>
        <v>1</v>
      </c>
    </row>
    <row r="294" spans="1:22" hidden="1">
      <c r="A294" s="2">
        <v>45903</v>
      </c>
      <c r="B294" s="1" t="s">
        <v>914</v>
      </c>
      <c r="C294" s="1" t="s">
        <v>915</v>
      </c>
      <c r="D294" s="1" t="s">
        <v>125</v>
      </c>
      <c r="E294" s="1">
        <v>85254</v>
      </c>
      <c r="F294" s="1" t="s">
        <v>31</v>
      </c>
      <c r="G294" s="1" t="s">
        <v>503</v>
      </c>
      <c r="H294" s="21" t="s">
        <v>6582</v>
      </c>
      <c r="I294" s="5" t="s">
        <v>196</v>
      </c>
      <c r="J294" s="5" t="s">
        <v>37</v>
      </c>
      <c r="K294" s="5" t="s">
        <v>37</v>
      </c>
      <c r="L294" s="5" t="s">
        <v>38</v>
      </c>
      <c r="M294" s="5" t="s">
        <v>37</v>
      </c>
      <c r="N294" s="5" t="s">
        <v>37</v>
      </c>
      <c r="O294" s="5" t="s">
        <v>38</v>
      </c>
      <c r="P294" s="5" t="s">
        <v>39</v>
      </c>
      <c r="Q294" s="2">
        <v>45968</v>
      </c>
      <c r="V294" s="45">
        <f>IF(
  OR(
    ISNUMBER(SEARCH("unable to locate acct", tblDocketedComments[[#This Row],[Docketed Consumer Comments]])),
    ISNUMBER(SEARCH("unknown", tblDocketedComments[[#This Row],[Docketed Consumer Comments]])),
    ISNUMBER(SEARCH("inactive", tblDocketedComments[[#This Row],[Docketed Consumer Comments]]))
  ),
  0,
  1
)</f>
        <v>1</v>
      </c>
    </row>
    <row r="295" spans="1:22" hidden="1">
      <c r="A295" s="2">
        <v>45903</v>
      </c>
      <c r="B295" s="1" t="s">
        <v>916</v>
      </c>
      <c r="C295" s="1" t="s">
        <v>861</v>
      </c>
      <c r="D295" s="1" t="s">
        <v>202</v>
      </c>
      <c r="E295" s="1">
        <v>85383</v>
      </c>
      <c r="F295" s="1" t="s">
        <v>310</v>
      </c>
      <c r="G295" s="1" t="s">
        <v>503</v>
      </c>
      <c r="H295" s="4" t="s">
        <v>27</v>
      </c>
      <c r="V295" s="45">
        <f>IF(
  OR(
    ISNUMBER(SEARCH("unable to locate acct", tblDocketedComments[[#This Row],[Docketed Consumer Comments]])),
    ISNUMBER(SEARCH("unknown", tblDocketedComments[[#This Row],[Docketed Consumer Comments]])),
    ISNUMBER(SEARCH("inactive", tblDocketedComments[[#This Row],[Docketed Consumer Comments]]))
  ),
  0,
  1
)</f>
        <v>1</v>
      </c>
    </row>
    <row r="296" spans="1:22" hidden="1">
      <c r="A296" s="2">
        <v>45903</v>
      </c>
      <c r="B296" s="1" t="s">
        <v>160</v>
      </c>
      <c r="C296" s="1" t="s">
        <v>917</v>
      </c>
      <c r="D296" s="1" t="s">
        <v>240</v>
      </c>
      <c r="E296" s="1">
        <v>85340</v>
      </c>
      <c r="F296" s="1" t="s">
        <v>918</v>
      </c>
      <c r="G296" s="1" t="s">
        <v>503</v>
      </c>
      <c r="H296" s="4" t="s">
        <v>27</v>
      </c>
      <c r="V296" s="45">
        <f>IF(
  OR(
    ISNUMBER(SEARCH("unable to locate acct", tblDocketedComments[[#This Row],[Docketed Consumer Comments]])),
    ISNUMBER(SEARCH("unknown", tblDocketedComments[[#This Row],[Docketed Consumer Comments]])),
    ISNUMBER(SEARCH("inactive", tblDocketedComments[[#This Row],[Docketed Consumer Comments]]))
  ),
  0,
  1
)</f>
        <v>1</v>
      </c>
    </row>
    <row r="297" spans="1:22" hidden="1">
      <c r="A297" s="2">
        <v>45903</v>
      </c>
      <c r="B297" s="1" t="s">
        <v>919</v>
      </c>
      <c r="C297" s="1" t="s">
        <v>354</v>
      </c>
      <c r="D297" s="1" t="s">
        <v>202</v>
      </c>
      <c r="E297" s="1">
        <v>85382</v>
      </c>
      <c r="F297" s="1" t="s">
        <v>920</v>
      </c>
      <c r="G297" s="1" t="s">
        <v>503</v>
      </c>
      <c r="H297" s="21" t="s">
        <v>6583</v>
      </c>
      <c r="I297" s="5" t="s">
        <v>538</v>
      </c>
      <c r="J297" s="5" t="s">
        <v>37</v>
      </c>
      <c r="K297" s="5" t="s">
        <v>37</v>
      </c>
      <c r="L297" s="5" t="s">
        <v>387</v>
      </c>
      <c r="M297" s="5" t="s">
        <v>37</v>
      </c>
      <c r="N297" s="5" t="s">
        <v>37</v>
      </c>
      <c r="O297" s="5" t="s">
        <v>38</v>
      </c>
      <c r="P297" s="5" t="s">
        <v>39</v>
      </c>
      <c r="Q297" s="2">
        <v>45968</v>
      </c>
      <c r="V297" s="45">
        <f>IF(
  OR(
    ISNUMBER(SEARCH("unable to locate acct", tblDocketedComments[[#This Row],[Docketed Consumer Comments]])),
    ISNUMBER(SEARCH("unknown", tblDocketedComments[[#This Row],[Docketed Consumer Comments]])),
    ISNUMBER(SEARCH("inactive", tblDocketedComments[[#This Row],[Docketed Consumer Comments]]))
  ),
  0,
  1
)</f>
        <v>1</v>
      </c>
    </row>
    <row r="298" spans="1:22" hidden="1">
      <c r="A298" s="2">
        <v>45903</v>
      </c>
      <c r="B298" s="1" t="s">
        <v>134</v>
      </c>
      <c r="C298" s="1" t="s">
        <v>785</v>
      </c>
      <c r="D298" s="1" t="s">
        <v>240</v>
      </c>
      <c r="E298" s="1">
        <v>85340</v>
      </c>
      <c r="F298" s="1" t="s">
        <v>31</v>
      </c>
      <c r="G298" s="1" t="s">
        <v>503</v>
      </c>
      <c r="H298" s="21" t="s">
        <v>6584</v>
      </c>
      <c r="I298" s="5" t="s">
        <v>416</v>
      </c>
      <c r="J298" s="5" t="s">
        <v>37</v>
      </c>
      <c r="K298" s="5" t="s">
        <v>37</v>
      </c>
      <c r="L298" s="5" t="s">
        <v>387</v>
      </c>
      <c r="M298" s="5" t="s">
        <v>37</v>
      </c>
      <c r="N298" s="5" t="s">
        <v>37</v>
      </c>
      <c r="O298" s="5" t="s">
        <v>38</v>
      </c>
      <c r="P298" s="5" t="s">
        <v>39</v>
      </c>
      <c r="Q298" s="2">
        <v>45968</v>
      </c>
      <c r="V298" s="45">
        <f>IF(
  OR(
    ISNUMBER(SEARCH("unable to locate acct", tblDocketedComments[[#This Row],[Docketed Consumer Comments]])),
    ISNUMBER(SEARCH("unknown", tblDocketedComments[[#This Row],[Docketed Consumer Comments]])),
    ISNUMBER(SEARCH("inactive", tblDocketedComments[[#This Row],[Docketed Consumer Comments]]))
  ),
  0,
  1
)</f>
        <v>1</v>
      </c>
    </row>
    <row r="299" spans="1:22" hidden="1">
      <c r="A299" s="2">
        <v>45903</v>
      </c>
      <c r="B299" s="1" t="s">
        <v>921</v>
      </c>
      <c r="C299" s="1" t="s">
        <v>922</v>
      </c>
      <c r="D299" s="1" t="s">
        <v>125</v>
      </c>
      <c r="E299" s="1">
        <v>85251</v>
      </c>
      <c r="F299" s="1" t="s">
        <v>310</v>
      </c>
      <c r="G299" s="1" t="s">
        <v>503</v>
      </c>
      <c r="H299" s="21" t="s">
        <v>6585</v>
      </c>
      <c r="I299" s="5" t="s">
        <v>126</v>
      </c>
      <c r="J299" s="5" t="s">
        <v>37</v>
      </c>
      <c r="K299" s="5" t="s">
        <v>37</v>
      </c>
      <c r="L299" s="7" t="s">
        <v>923</v>
      </c>
      <c r="M299" s="5" t="s">
        <v>37</v>
      </c>
      <c r="N299" s="5" t="s">
        <v>37</v>
      </c>
      <c r="O299" s="5" t="s">
        <v>38</v>
      </c>
      <c r="P299" s="2">
        <v>45933</v>
      </c>
      <c r="Q299" s="2">
        <v>45967</v>
      </c>
      <c r="R299" s="1" t="s">
        <v>924</v>
      </c>
      <c r="V299" s="45">
        <f>IF(
  OR(
    ISNUMBER(SEARCH("unable to locate acct", tblDocketedComments[[#This Row],[Docketed Consumer Comments]])),
    ISNUMBER(SEARCH("unknown", tblDocketedComments[[#This Row],[Docketed Consumer Comments]])),
    ISNUMBER(SEARCH("inactive", tblDocketedComments[[#This Row],[Docketed Consumer Comments]]))
  ),
  0,
  1
)</f>
        <v>1</v>
      </c>
    </row>
    <row r="300" spans="1:22" hidden="1">
      <c r="A300" s="2">
        <v>45903</v>
      </c>
      <c r="B300" s="1" t="s">
        <v>925</v>
      </c>
      <c r="C300" s="1" t="s">
        <v>670</v>
      </c>
      <c r="D300" s="1" t="s">
        <v>202</v>
      </c>
      <c r="E300" s="1">
        <v>85383</v>
      </c>
      <c r="F300" s="1" t="s">
        <v>310</v>
      </c>
      <c r="G300" s="1" t="s">
        <v>503</v>
      </c>
      <c r="H300" s="21" t="s">
        <v>6586</v>
      </c>
      <c r="I300" s="5" t="s">
        <v>36</v>
      </c>
      <c r="J300" s="5" t="s">
        <v>37</v>
      </c>
      <c r="K300" s="5" t="s">
        <v>37</v>
      </c>
      <c r="L300" s="5" t="s">
        <v>38</v>
      </c>
      <c r="M300" s="5" t="s">
        <v>37</v>
      </c>
      <c r="N300" s="5" t="s">
        <v>37</v>
      </c>
      <c r="O300" s="5" t="s">
        <v>38</v>
      </c>
      <c r="P300" s="5" t="s">
        <v>39</v>
      </c>
      <c r="Q300" s="2">
        <v>45967</v>
      </c>
      <c r="V300" s="45">
        <f>IF(
  OR(
    ISNUMBER(SEARCH("unable to locate acct", tblDocketedComments[[#This Row],[Docketed Consumer Comments]])),
    ISNUMBER(SEARCH("unknown", tblDocketedComments[[#This Row],[Docketed Consumer Comments]])),
    ISNUMBER(SEARCH("inactive", tblDocketedComments[[#This Row],[Docketed Consumer Comments]]))
  ),
  0,
  1
)</f>
        <v>1</v>
      </c>
    </row>
    <row r="301" spans="1:22" hidden="1">
      <c r="A301" s="2">
        <v>45903</v>
      </c>
      <c r="B301" s="1" t="s">
        <v>926</v>
      </c>
      <c r="C301" s="1" t="s">
        <v>208</v>
      </c>
      <c r="D301" s="1" t="s">
        <v>261</v>
      </c>
      <c r="E301" s="1">
        <v>86314</v>
      </c>
      <c r="F301" s="1" t="s">
        <v>31</v>
      </c>
      <c r="G301" s="1" t="s">
        <v>503</v>
      </c>
      <c r="H301" s="21" t="s">
        <v>6587</v>
      </c>
      <c r="I301" s="5" t="s">
        <v>126</v>
      </c>
      <c r="J301" s="5" t="s">
        <v>37</v>
      </c>
      <c r="K301" s="5" t="s">
        <v>37</v>
      </c>
      <c r="L301" s="5" t="s">
        <v>927</v>
      </c>
      <c r="M301" s="5" t="s">
        <v>37</v>
      </c>
      <c r="N301" s="5" t="s">
        <v>37</v>
      </c>
      <c r="O301" s="5" t="s">
        <v>38</v>
      </c>
      <c r="P301" s="5" t="s">
        <v>39</v>
      </c>
      <c r="Q301" s="2">
        <v>45967</v>
      </c>
      <c r="R301" s="1" t="s">
        <v>928</v>
      </c>
      <c r="V301" s="45">
        <f>IF(
  OR(
    ISNUMBER(SEARCH("unable to locate acct", tblDocketedComments[[#This Row],[Docketed Consumer Comments]])),
    ISNUMBER(SEARCH("unknown", tblDocketedComments[[#This Row],[Docketed Consumer Comments]])),
    ISNUMBER(SEARCH("inactive", tblDocketedComments[[#This Row],[Docketed Consumer Comments]]))
  ),
  0,
  1
)</f>
        <v>1</v>
      </c>
    </row>
    <row r="302" spans="1:22" hidden="1">
      <c r="A302" s="2">
        <v>45903</v>
      </c>
      <c r="B302" s="1" t="s">
        <v>929</v>
      </c>
      <c r="C302" s="1" t="s">
        <v>263</v>
      </c>
      <c r="D302" s="1" t="s">
        <v>169</v>
      </c>
      <c r="E302" s="1">
        <v>85395</v>
      </c>
      <c r="F302" s="1" t="s">
        <v>930</v>
      </c>
      <c r="G302" s="1" t="s">
        <v>503</v>
      </c>
      <c r="H302" s="21" t="s">
        <v>1194</v>
      </c>
      <c r="I302" s="5" t="s">
        <v>196</v>
      </c>
      <c r="J302" s="5" t="s">
        <v>37</v>
      </c>
      <c r="K302" s="5" t="s">
        <v>37</v>
      </c>
      <c r="L302" s="5" t="s">
        <v>38</v>
      </c>
      <c r="M302" s="5" t="s">
        <v>37</v>
      </c>
      <c r="N302" s="5" t="s">
        <v>37</v>
      </c>
      <c r="O302" s="5" t="s">
        <v>38</v>
      </c>
      <c r="P302" s="5" t="s">
        <v>39</v>
      </c>
      <c r="Q302" s="2">
        <v>45967</v>
      </c>
      <c r="V302" s="45">
        <f>IF(
  OR(
    ISNUMBER(SEARCH("unable to locate acct", tblDocketedComments[[#This Row],[Docketed Consumer Comments]])),
    ISNUMBER(SEARCH("unknown", tblDocketedComments[[#This Row],[Docketed Consumer Comments]])),
    ISNUMBER(SEARCH("inactive", tblDocketedComments[[#This Row],[Docketed Consumer Comments]]))
  ),
  0,
  1
)</f>
        <v>1</v>
      </c>
    </row>
    <row r="303" spans="1:22" hidden="1">
      <c r="A303" s="2">
        <v>45903</v>
      </c>
      <c r="B303" s="1" t="s">
        <v>134</v>
      </c>
      <c r="C303" s="1" t="s">
        <v>774</v>
      </c>
      <c r="D303" s="1" t="s">
        <v>240</v>
      </c>
      <c r="E303" s="1">
        <v>85340</v>
      </c>
      <c r="F303" s="1" t="s">
        <v>31</v>
      </c>
      <c r="G303" s="1" t="s">
        <v>503</v>
      </c>
      <c r="H303" s="21" t="s">
        <v>6588</v>
      </c>
      <c r="I303" s="5" t="s">
        <v>243</v>
      </c>
      <c r="J303" s="5" t="s">
        <v>37</v>
      </c>
      <c r="K303" s="5" t="s">
        <v>37</v>
      </c>
      <c r="L303" s="5" t="s">
        <v>387</v>
      </c>
      <c r="M303" s="5" t="s">
        <v>37</v>
      </c>
      <c r="N303" s="5" t="s">
        <v>37</v>
      </c>
      <c r="O303" s="5" t="s">
        <v>38</v>
      </c>
      <c r="P303" s="5" t="s">
        <v>39</v>
      </c>
      <c r="Q303" s="2">
        <v>45967</v>
      </c>
      <c r="V303" s="45">
        <f>IF(
  OR(
    ISNUMBER(SEARCH("unable to locate acct", tblDocketedComments[[#This Row],[Docketed Consumer Comments]])),
    ISNUMBER(SEARCH("unknown", tblDocketedComments[[#This Row],[Docketed Consumer Comments]])),
    ISNUMBER(SEARCH("inactive", tblDocketedComments[[#This Row],[Docketed Consumer Comments]]))
  ),
  0,
  1
)</f>
        <v>1</v>
      </c>
    </row>
    <row r="304" spans="1:22" hidden="1">
      <c r="A304" s="2">
        <v>45903</v>
      </c>
      <c r="B304" s="1" t="s">
        <v>931</v>
      </c>
      <c r="C304" s="1" t="s">
        <v>435</v>
      </c>
      <c r="D304" s="1" t="s">
        <v>63</v>
      </c>
      <c r="E304" s="1">
        <v>85028</v>
      </c>
      <c r="F304" s="1" t="s">
        <v>310</v>
      </c>
      <c r="G304" s="1" t="s">
        <v>503</v>
      </c>
      <c r="H304" s="4" t="s">
        <v>27</v>
      </c>
      <c r="V304" s="45">
        <f>IF(
  OR(
    ISNUMBER(SEARCH("unable to locate acct", tblDocketedComments[[#This Row],[Docketed Consumer Comments]])),
    ISNUMBER(SEARCH("unknown", tblDocketedComments[[#This Row],[Docketed Consumer Comments]])),
    ISNUMBER(SEARCH("inactive", tblDocketedComments[[#This Row],[Docketed Consumer Comments]]))
  ),
  0,
  1
)</f>
        <v>1</v>
      </c>
    </row>
    <row r="305" spans="1:22" hidden="1">
      <c r="A305" s="2">
        <v>45903</v>
      </c>
      <c r="B305" s="1" t="s">
        <v>932</v>
      </c>
      <c r="C305" s="1" t="s">
        <v>933</v>
      </c>
      <c r="D305" s="1" t="s">
        <v>169</v>
      </c>
      <c r="E305" s="1">
        <v>85338</v>
      </c>
      <c r="F305" s="1" t="s">
        <v>934</v>
      </c>
      <c r="G305" s="1" t="s">
        <v>503</v>
      </c>
      <c r="H305" s="21" t="s">
        <v>6589</v>
      </c>
      <c r="I305" s="5" t="s">
        <v>416</v>
      </c>
      <c r="J305" s="5" t="s">
        <v>37</v>
      </c>
      <c r="K305" s="5" t="s">
        <v>37</v>
      </c>
      <c r="L305" s="5" t="s">
        <v>387</v>
      </c>
      <c r="M305" s="5" t="s">
        <v>37</v>
      </c>
      <c r="N305" s="5" t="s">
        <v>37</v>
      </c>
      <c r="O305" s="5" t="s">
        <v>38</v>
      </c>
      <c r="P305" s="5" t="s">
        <v>39</v>
      </c>
      <c r="Q305" s="2">
        <v>45967</v>
      </c>
      <c r="V305" s="45">
        <f>IF(
  OR(
    ISNUMBER(SEARCH("unable to locate acct", tblDocketedComments[[#This Row],[Docketed Consumer Comments]])),
    ISNUMBER(SEARCH("unknown", tblDocketedComments[[#This Row],[Docketed Consumer Comments]])),
    ISNUMBER(SEARCH("inactive", tblDocketedComments[[#This Row],[Docketed Consumer Comments]]))
  ),
  0,
  1
)</f>
        <v>1</v>
      </c>
    </row>
    <row r="306" spans="1:22" hidden="1">
      <c r="A306" s="2">
        <v>45903</v>
      </c>
      <c r="B306" s="1" t="s">
        <v>821</v>
      </c>
      <c r="C306" s="1" t="s">
        <v>935</v>
      </c>
      <c r="D306" s="1" t="s">
        <v>202</v>
      </c>
      <c r="E306" s="1">
        <v>85383</v>
      </c>
      <c r="F306" s="1" t="s">
        <v>31</v>
      </c>
      <c r="G306" s="1" t="s">
        <v>503</v>
      </c>
      <c r="H306" s="4" t="s">
        <v>27</v>
      </c>
      <c r="V306" s="45">
        <f>IF(
  OR(
    ISNUMBER(SEARCH("unable to locate acct", tblDocketedComments[[#This Row],[Docketed Consumer Comments]])),
    ISNUMBER(SEARCH("unknown", tblDocketedComments[[#This Row],[Docketed Consumer Comments]])),
    ISNUMBER(SEARCH("inactive", tblDocketedComments[[#This Row],[Docketed Consumer Comments]]))
  ),
  0,
  1
)</f>
        <v>1</v>
      </c>
    </row>
    <row r="307" spans="1:22" hidden="1">
      <c r="A307" s="2">
        <v>45903</v>
      </c>
      <c r="B307" s="1" t="s">
        <v>654</v>
      </c>
      <c r="C307" s="1" t="s">
        <v>42</v>
      </c>
      <c r="D307" s="1" t="s">
        <v>169</v>
      </c>
      <c r="E307" s="1">
        <v>85395</v>
      </c>
      <c r="F307" s="1" t="s">
        <v>31</v>
      </c>
      <c r="G307" s="1" t="s">
        <v>503</v>
      </c>
      <c r="H307" s="21" t="s">
        <v>6590</v>
      </c>
      <c r="I307" s="5" t="s">
        <v>538</v>
      </c>
      <c r="J307" s="5" t="s">
        <v>37</v>
      </c>
      <c r="K307" s="5" t="s">
        <v>37</v>
      </c>
      <c r="L307" s="5" t="s">
        <v>387</v>
      </c>
      <c r="M307" s="5" t="s">
        <v>37</v>
      </c>
      <c r="N307" s="5" t="s">
        <v>37</v>
      </c>
      <c r="O307" s="5" t="s">
        <v>38</v>
      </c>
      <c r="P307" s="5" t="s">
        <v>39</v>
      </c>
      <c r="Q307" s="2">
        <v>45967</v>
      </c>
      <c r="V307" s="45">
        <f>IF(
  OR(
    ISNUMBER(SEARCH("unable to locate acct", tblDocketedComments[[#This Row],[Docketed Consumer Comments]])),
    ISNUMBER(SEARCH("unknown", tblDocketedComments[[#This Row],[Docketed Consumer Comments]])),
    ISNUMBER(SEARCH("inactive", tblDocketedComments[[#This Row],[Docketed Consumer Comments]]))
  ),
  0,
  1
)</f>
        <v>1</v>
      </c>
    </row>
    <row r="308" spans="1:22" hidden="1">
      <c r="A308" s="2">
        <v>45903</v>
      </c>
      <c r="B308" s="1" t="s">
        <v>936</v>
      </c>
      <c r="C308" s="1" t="s">
        <v>937</v>
      </c>
      <c r="D308" s="1" t="s">
        <v>129</v>
      </c>
      <c r="E308" s="1">
        <v>85298</v>
      </c>
      <c r="F308" s="1" t="s">
        <v>310</v>
      </c>
      <c r="G308" s="1" t="s">
        <v>503</v>
      </c>
      <c r="H308" s="4" t="s">
        <v>27</v>
      </c>
      <c r="V308" s="45">
        <f>IF(
  OR(
    ISNUMBER(SEARCH("unable to locate acct", tblDocketedComments[[#This Row],[Docketed Consumer Comments]])),
    ISNUMBER(SEARCH("unknown", tblDocketedComments[[#This Row],[Docketed Consumer Comments]])),
    ISNUMBER(SEARCH("inactive", tblDocketedComments[[#This Row],[Docketed Consumer Comments]]))
  ),
  0,
  1
)</f>
        <v>1</v>
      </c>
    </row>
    <row r="309" spans="1:22" hidden="1">
      <c r="A309" s="2">
        <v>45903</v>
      </c>
      <c r="B309" s="1" t="s">
        <v>938</v>
      </c>
      <c r="C309" s="1" t="s">
        <v>883</v>
      </c>
      <c r="D309" s="1" t="s">
        <v>63</v>
      </c>
      <c r="E309" s="1">
        <v>85004</v>
      </c>
      <c r="F309" s="1" t="s">
        <v>310</v>
      </c>
      <c r="G309" s="1" t="s">
        <v>503</v>
      </c>
      <c r="H309" s="21" t="s">
        <v>6591</v>
      </c>
      <c r="I309" s="5" t="s">
        <v>126</v>
      </c>
      <c r="J309" s="5" t="s">
        <v>38</v>
      </c>
      <c r="K309" s="5" t="s">
        <v>37</v>
      </c>
      <c r="L309" s="5" t="s">
        <v>38</v>
      </c>
      <c r="M309" s="5" t="s">
        <v>37</v>
      </c>
      <c r="N309" s="5" t="s">
        <v>37</v>
      </c>
      <c r="O309" s="5" t="s">
        <v>38</v>
      </c>
      <c r="P309" s="5" t="s">
        <v>39</v>
      </c>
      <c r="Q309" s="2">
        <v>45967</v>
      </c>
      <c r="V309" s="45">
        <f>IF(
  OR(
    ISNUMBER(SEARCH("unable to locate acct", tblDocketedComments[[#This Row],[Docketed Consumer Comments]])),
    ISNUMBER(SEARCH("unknown", tblDocketedComments[[#This Row],[Docketed Consumer Comments]])),
    ISNUMBER(SEARCH("inactive", tblDocketedComments[[#This Row],[Docketed Consumer Comments]]))
  ),
  0,
  1
)</f>
        <v>1</v>
      </c>
    </row>
    <row r="310" spans="1:22" hidden="1">
      <c r="A310" s="2">
        <v>45903</v>
      </c>
      <c r="B310" s="1" t="s">
        <v>939</v>
      </c>
      <c r="C310" s="1" t="s">
        <v>940</v>
      </c>
      <c r="D310" s="1" t="s">
        <v>63</v>
      </c>
      <c r="E310" s="1">
        <v>85012</v>
      </c>
      <c r="F310" s="1" t="s">
        <v>941</v>
      </c>
      <c r="G310" s="1" t="s">
        <v>503</v>
      </c>
      <c r="H310" s="21" t="s">
        <v>6592</v>
      </c>
      <c r="I310" s="5" t="s">
        <v>36</v>
      </c>
      <c r="J310" s="5" t="s">
        <v>37</v>
      </c>
      <c r="K310" s="5" t="s">
        <v>37</v>
      </c>
      <c r="L310" s="5" t="s">
        <v>942</v>
      </c>
      <c r="M310" s="5" t="s">
        <v>37</v>
      </c>
      <c r="N310" s="5" t="s">
        <v>37</v>
      </c>
      <c r="O310" s="5" t="s">
        <v>38</v>
      </c>
      <c r="P310" s="5" t="s">
        <v>39</v>
      </c>
      <c r="Q310" s="2">
        <v>45967</v>
      </c>
      <c r="V310" s="45">
        <f>IF(
  OR(
    ISNUMBER(SEARCH("unable to locate acct", tblDocketedComments[[#This Row],[Docketed Consumer Comments]])),
    ISNUMBER(SEARCH("unknown", tblDocketedComments[[#This Row],[Docketed Consumer Comments]])),
    ISNUMBER(SEARCH("inactive", tblDocketedComments[[#This Row],[Docketed Consumer Comments]]))
  ),
  0,
  1
)</f>
        <v>1</v>
      </c>
    </row>
    <row r="311" spans="1:22" hidden="1">
      <c r="A311" s="2">
        <v>45903</v>
      </c>
      <c r="B311" s="1" t="s">
        <v>943</v>
      </c>
      <c r="C311" s="1" t="s">
        <v>441</v>
      </c>
      <c r="D311" s="1" t="s">
        <v>63</v>
      </c>
      <c r="E311" s="1">
        <v>85027</v>
      </c>
      <c r="F311" s="1" t="s">
        <v>310</v>
      </c>
      <c r="G311" s="1" t="s">
        <v>503</v>
      </c>
      <c r="H311" s="4" t="s">
        <v>27</v>
      </c>
      <c r="V311" s="45">
        <f>IF(
  OR(
    ISNUMBER(SEARCH("unable to locate acct", tblDocketedComments[[#This Row],[Docketed Consumer Comments]])),
    ISNUMBER(SEARCH("unknown", tblDocketedComments[[#This Row],[Docketed Consumer Comments]])),
    ISNUMBER(SEARCH("inactive", tblDocketedComments[[#This Row],[Docketed Consumer Comments]]))
  ),
  0,
  1
)</f>
        <v>1</v>
      </c>
    </row>
    <row r="312" spans="1:22" hidden="1">
      <c r="A312" s="2">
        <v>45903</v>
      </c>
      <c r="B312" s="1" t="s">
        <v>944</v>
      </c>
      <c r="C312" s="1" t="s">
        <v>945</v>
      </c>
      <c r="D312" s="1" t="s">
        <v>63</v>
      </c>
      <c r="E312" s="1">
        <v>85085</v>
      </c>
      <c r="F312" s="1" t="s">
        <v>31</v>
      </c>
      <c r="G312" s="1" t="s">
        <v>503</v>
      </c>
      <c r="H312" s="21" t="s">
        <v>6593</v>
      </c>
      <c r="I312" s="5" t="s">
        <v>36</v>
      </c>
      <c r="J312" s="5" t="s">
        <v>37</v>
      </c>
      <c r="K312" s="5" t="s">
        <v>37</v>
      </c>
      <c r="L312" s="5" t="s">
        <v>38</v>
      </c>
      <c r="M312" s="5" t="s">
        <v>37</v>
      </c>
      <c r="N312" s="5" t="s">
        <v>37</v>
      </c>
      <c r="O312" s="5" t="s">
        <v>38</v>
      </c>
      <c r="P312" s="5" t="s">
        <v>39</v>
      </c>
      <c r="Q312" s="2">
        <v>45967</v>
      </c>
      <c r="U312" s="1" t="s">
        <v>946</v>
      </c>
      <c r="V312" s="45">
        <f>IF(
  OR(
    ISNUMBER(SEARCH("unable to locate acct", tblDocketedComments[[#This Row],[Docketed Consumer Comments]])),
    ISNUMBER(SEARCH("unknown", tblDocketedComments[[#This Row],[Docketed Consumer Comments]])),
    ISNUMBER(SEARCH("inactive", tblDocketedComments[[#This Row],[Docketed Consumer Comments]]))
  ),
  0,
  1
)</f>
        <v>1</v>
      </c>
    </row>
    <row r="313" spans="1:22" hidden="1">
      <c r="A313" s="2">
        <v>45903</v>
      </c>
      <c r="B313" s="1" t="s">
        <v>947</v>
      </c>
      <c r="C313" s="1" t="s">
        <v>948</v>
      </c>
      <c r="D313" s="1" t="s">
        <v>63</v>
      </c>
      <c r="E313" s="1">
        <v>85024</v>
      </c>
      <c r="F313" s="1" t="s">
        <v>310</v>
      </c>
      <c r="G313" s="1" t="s">
        <v>503</v>
      </c>
      <c r="H313" s="21" t="s">
        <v>6594</v>
      </c>
      <c r="I313" s="5" t="s">
        <v>196</v>
      </c>
      <c r="J313" s="5" t="s">
        <v>37</v>
      </c>
      <c r="K313" s="5" t="s">
        <v>37</v>
      </c>
      <c r="L313" s="5" t="s">
        <v>38</v>
      </c>
      <c r="M313" s="5" t="s">
        <v>37</v>
      </c>
      <c r="N313" s="5" t="s">
        <v>37</v>
      </c>
      <c r="O313" s="5" t="s">
        <v>38</v>
      </c>
      <c r="P313" s="5" t="s">
        <v>39</v>
      </c>
      <c r="Q313" s="2">
        <v>45967</v>
      </c>
      <c r="V313" s="45">
        <f>IF(
  OR(
    ISNUMBER(SEARCH("unable to locate acct", tblDocketedComments[[#This Row],[Docketed Consumer Comments]])),
    ISNUMBER(SEARCH("unknown", tblDocketedComments[[#This Row],[Docketed Consumer Comments]])),
    ISNUMBER(SEARCH("inactive", tblDocketedComments[[#This Row],[Docketed Consumer Comments]]))
  ),
  0,
  1
)</f>
        <v>1</v>
      </c>
    </row>
    <row r="314" spans="1:22" hidden="1">
      <c r="A314" s="2">
        <v>45903</v>
      </c>
      <c r="B314" s="1" t="s">
        <v>949</v>
      </c>
      <c r="C314" s="1" t="s">
        <v>950</v>
      </c>
      <c r="D314" s="1" t="s">
        <v>125</v>
      </c>
      <c r="E314" s="1">
        <v>85259</v>
      </c>
      <c r="F314" s="1" t="s">
        <v>310</v>
      </c>
      <c r="G314" s="1" t="s">
        <v>503</v>
      </c>
      <c r="H314" s="4" t="s">
        <v>209</v>
      </c>
      <c r="V314" s="45">
        <f>IF(
  OR(
    ISNUMBER(SEARCH("unable to locate acct", tblDocketedComments[[#This Row],[Docketed Consumer Comments]])),
    ISNUMBER(SEARCH("unknown", tblDocketedComments[[#This Row],[Docketed Consumer Comments]])),
    ISNUMBER(SEARCH("inactive", tblDocketedComments[[#This Row],[Docketed Consumer Comments]]))
  ),
  0,
  1
)</f>
        <v>1</v>
      </c>
    </row>
    <row r="315" spans="1:22" hidden="1">
      <c r="A315" s="2">
        <v>45903</v>
      </c>
      <c r="B315" s="1" t="s">
        <v>775</v>
      </c>
      <c r="C315" s="1" t="s">
        <v>476</v>
      </c>
      <c r="D315" s="1" t="s">
        <v>63</v>
      </c>
      <c r="E315" s="1">
        <v>85023</v>
      </c>
      <c r="F315" s="1" t="s">
        <v>31</v>
      </c>
      <c r="G315" s="1" t="s">
        <v>503</v>
      </c>
      <c r="H315" s="4" t="s">
        <v>6186</v>
      </c>
      <c r="I315" s="5" t="s">
        <v>538</v>
      </c>
      <c r="J315" s="5" t="s">
        <v>38</v>
      </c>
      <c r="K315" s="5" t="s">
        <v>37</v>
      </c>
      <c r="L315" s="5" t="s">
        <v>387</v>
      </c>
      <c r="M315" s="5" t="s">
        <v>37</v>
      </c>
      <c r="N315" s="5" t="s">
        <v>37</v>
      </c>
      <c r="O315" s="5" t="s">
        <v>38</v>
      </c>
      <c r="P315" s="5" t="s">
        <v>39</v>
      </c>
      <c r="Q315" s="2">
        <v>45967</v>
      </c>
      <c r="V315" s="45">
        <f>IF(
  OR(
    ISNUMBER(SEARCH("unable to locate acct", tblDocketedComments[[#This Row],[Docketed Consumer Comments]])),
    ISNUMBER(SEARCH("unknown", tblDocketedComments[[#This Row],[Docketed Consumer Comments]])),
    ISNUMBER(SEARCH("inactive", tblDocketedComments[[#This Row],[Docketed Consumer Comments]]))
  ),
  0,
  1
)</f>
        <v>1</v>
      </c>
    </row>
    <row r="316" spans="1:22" hidden="1">
      <c r="A316" s="2">
        <v>45903</v>
      </c>
      <c r="B316" s="1" t="s">
        <v>951</v>
      </c>
      <c r="C316" s="1" t="s">
        <v>952</v>
      </c>
      <c r="D316" s="1" t="s">
        <v>112</v>
      </c>
      <c r="E316" s="1">
        <v>85387</v>
      </c>
      <c r="F316" s="1" t="s">
        <v>310</v>
      </c>
      <c r="G316" s="1" t="s">
        <v>503</v>
      </c>
      <c r="H316" s="21" t="s">
        <v>6595</v>
      </c>
      <c r="I316" s="5" t="s">
        <v>126</v>
      </c>
      <c r="J316" s="5" t="s">
        <v>37</v>
      </c>
      <c r="K316" s="5" t="s">
        <v>37</v>
      </c>
      <c r="L316" s="5" t="s">
        <v>38</v>
      </c>
      <c r="M316" s="5" t="s">
        <v>37</v>
      </c>
      <c r="N316" s="5" t="s">
        <v>37</v>
      </c>
      <c r="O316" s="5" t="s">
        <v>38</v>
      </c>
      <c r="P316" s="5" t="s">
        <v>39</v>
      </c>
      <c r="Q316" s="2">
        <v>45967</v>
      </c>
      <c r="V316" s="45">
        <f>IF(
  OR(
    ISNUMBER(SEARCH("unable to locate acct", tblDocketedComments[[#This Row],[Docketed Consumer Comments]])),
    ISNUMBER(SEARCH("unknown", tblDocketedComments[[#This Row],[Docketed Consumer Comments]])),
    ISNUMBER(SEARCH("inactive", tblDocketedComments[[#This Row],[Docketed Consumer Comments]]))
  ),
  0,
  1
)</f>
        <v>1</v>
      </c>
    </row>
    <row r="317" spans="1:22" hidden="1">
      <c r="A317" s="2">
        <v>45903</v>
      </c>
      <c r="B317" s="1" t="s">
        <v>953</v>
      </c>
      <c r="C317" s="1" t="s">
        <v>954</v>
      </c>
      <c r="D317" s="1" t="s">
        <v>616</v>
      </c>
      <c r="E317" s="1">
        <v>85366</v>
      </c>
      <c r="F317" s="1" t="s">
        <v>31</v>
      </c>
      <c r="G317" s="1" t="s">
        <v>503</v>
      </c>
      <c r="H317" s="4" t="s">
        <v>27</v>
      </c>
      <c r="V317" s="45">
        <f>IF(
  OR(
    ISNUMBER(SEARCH("unable to locate acct", tblDocketedComments[[#This Row],[Docketed Consumer Comments]])),
    ISNUMBER(SEARCH("unknown", tblDocketedComments[[#This Row],[Docketed Consumer Comments]])),
    ISNUMBER(SEARCH("inactive", tblDocketedComments[[#This Row],[Docketed Consumer Comments]]))
  ),
  0,
  1
)</f>
        <v>1</v>
      </c>
    </row>
    <row r="318" spans="1:22" hidden="1">
      <c r="A318" s="2">
        <v>45903</v>
      </c>
      <c r="B318" s="1" t="s">
        <v>955</v>
      </c>
      <c r="C318" s="1" t="s">
        <v>768</v>
      </c>
      <c r="D318" s="1" t="s">
        <v>125</v>
      </c>
      <c r="E318" s="1">
        <v>85258</v>
      </c>
      <c r="F318" s="1" t="s">
        <v>310</v>
      </c>
      <c r="G318" s="1" t="s">
        <v>503</v>
      </c>
      <c r="H318" s="21" t="s">
        <v>6596</v>
      </c>
      <c r="I318" s="5" t="s">
        <v>36</v>
      </c>
      <c r="J318" s="5" t="s">
        <v>37</v>
      </c>
      <c r="K318" s="5" t="s">
        <v>37</v>
      </c>
      <c r="L318" s="7" t="s">
        <v>956</v>
      </c>
      <c r="M318" s="5" t="s">
        <v>37</v>
      </c>
      <c r="N318" s="5" t="s">
        <v>37</v>
      </c>
      <c r="O318" s="5" t="s">
        <v>38</v>
      </c>
      <c r="P318" s="5" t="s">
        <v>39</v>
      </c>
      <c r="Q318" s="2">
        <v>45967</v>
      </c>
      <c r="R318" s="1" t="s">
        <v>957</v>
      </c>
      <c r="V318" s="45">
        <f>IF(
  OR(
    ISNUMBER(SEARCH("unable to locate acct", tblDocketedComments[[#This Row],[Docketed Consumer Comments]])),
    ISNUMBER(SEARCH("unknown", tblDocketedComments[[#This Row],[Docketed Consumer Comments]])),
    ISNUMBER(SEARCH("inactive", tblDocketedComments[[#This Row],[Docketed Consumer Comments]]))
  ),
  0,
  1
)</f>
        <v>1</v>
      </c>
    </row>
    <row r="319" spans="1:22" ht="11.25" hidden="1" customHeight="1">
      <c r="A319" s="2">
        <v>45903</v>
      </c>
      <c r="B319" s="1" t="s">
        <v>958</v>
      </c>
      <c r="C319" s="1" t="s">
        <v>959</v>
      </c>
      <c r="D319" s="1" t="s">
        <v>202</v>
      </c>
      <c r="E319" s="1">
        <v>85383</v>
      </c>
      <c r="F319" s="1" t="s">
        <v>31</v>
      </c>
      <c r="G319" s="1" t="s">
        <v>503</v>
      </c>
      <c r="H319" s="21" t="s">
        <v>6597</v>
      </c>
      <c r="I319" s="5" t="s">
        <v>126</v>
      </c>
      <c r="J319" s="5" t="s">
        <v>37</v>
      </c>
      <c r="K319" s="5" t="s">
        <v>37</v>
      </c>
      <c r="L319" s="5" t="s">
        <v>960</v>
      </c>
      <c r="M319" s="5" t="s">
        <v>37</v>
      </c>
      <c r="N319" s="5" t="s">
        <v>37</v>
      </c>
      <c r="O319" s="5" t="s">
        <v>38</v>
      </c>
      <c r="P319" s="5" t="s">
        <v>39</v>
      </c>
      <c r="Q319" s="2">
        <v>45967</v>
      </c>
      <c r="R319" s="1" t="s">
        <v>961</v>
      </c>
      <c r="V319" s="45">
        <f>IF(
  OR(
    ISNUMBER(SEARCH("unable to locate acct", tblDocketedComments[[#This Row],[Docketed Consumer Comments]])),
    ISNUMBER(SEARCH("unknown", tblDocketedComments[[#This Row],[Docketed Consumer Comments]])),
    ISNUMBER(SEARCH("inactive", tblDocketedComments[[#This Row],[Docketed Consumer Comments]]))
  ),
  0,
  1
)</f>
        <v>1</v>
      </c>
    </row>
    <row r="320" spans="1:22" hidden="1">
      <c r="A320" s="2">
        <v>45903</v>
      </c>
      <c r="B320" s="1" t="s">
        <v>808</v>
      </c>
      <c r="C320" s="1" t="s">
        <v>135</v>
      </c>
      <c r="D320" s="1" t="s">
        <v>63</v>
      </c>
      <c r="E320" s="1">
        <v>85028</v>
      </c>
      <c r="F320" s="1" t="s">
        <v>31</v>
      </c>
      <c r="G320" s="1" t="s">
        <v>503</v>
      </c>
      <c r="H320" s="21" t="s">
        <v>6549</v>
      </c>
      <c r="I320" s="5" t="s">
        <v>36</v>
      </c>
      <c r="J320" s="5" t="s">
        <v>37</v>
      </c>
      <c r="K320" s="5" t="s">
        <v>37</v>
      </c>
      <c r="L320" s="5" t="s">
        <v>38</v>
      </c>
      <c r="M320" s="5" t="s">
        <v>37</v>
      </c>
      <c r="N320" s="5" t="s">
        <v>37</v>
      </c>
      <c r="O320" s="5" t="s">
        <v>38</v>
      </c>
      <c r="P320" s="5" t="s">
        <v>39</v>
      </c>
      <c r="Q320" s="2">
        <v>45967</v>
      </c>
      <c r="U320" s="1" t="s">
        <v>721</v>
      </c>
      <c r="V320" s="45">
        <f>IF(
  OR(
    ISNUMBER(SEARCH("unable to locate acct", tblDocketedComments[[#This Row],[Docketed Consumer Comments]])),
    ISNUMBER(SEARCH("unknown", tblDocketedComments[[#This Row],[Docketed Consumer Comments]])),
    ISNUMBER(SEARCH("inactive", tblDocketedComments[[#This Row],[Docketed Consumer Comments]]))
  ),
  0,
  1
)</f>
        <v>1</v>
      </c>
    </row>
    <row r="321" spans="1:22" hidden="1">
      <c r="A321" s="2">
        <v>45903</v>
      </c>
      <c r="B321" s="1" t="s">
        <v>962</v>
      </c>
      <c r="C321" s="1" t="s">
        <v>649</v>
      </c>
      <c r="D321" s="1" t="s">
        <v>63</v>
      </c>
      <c r="E321" s="1">
        <v>85016</v>
      </c>
      <c r="F321" s="1" t="s">
        <v>310</v>
      </c>
      <c r="G321" s="1" t="s">
        <v>503</v>
      </c>
      <c r="H321" s="21" t="s">
        <v>6598</v>
      </c>
      <c r="I321" s="5" t="s">
        <v>36</v>
      </c>
      <c r="J321" s="5" t="s">
        <v>37</v>
      </c>
      <c r="K321" s="5" t="s">
        <v>37</v>
      </c>
      <c r="L321" s="5" t="s">
        <v>38</v>
      </c>
      <c r="M321" s="5" t="s">
        <v>37</v>
      </c>
      <c r="N321" s="5" t="s">
        <v>37</v>
      </c>
      <c r="O321" s="5" t="s">
        <v>38</v>
      </c>
      <c r="P321" s="5" t="s">
        <v>39</v>
      </c>
      <c r="Q321" s="2">
        <v>45967</v>
      </c>
      <c r="V321" s="45">
        <f>IF(
  OR(
    ISNUMBER(SEARCH("unable to locate acct", tblDocketedComments[[#This Row],[Docketed Consumer Comments]])),
    ISNUMBER(SEARCH("unknown", tblDocketedComments[[#This Row],[Docketed Consumer Comments]])),
    ISNUMBER(SEARCH("inactive", tblDocketedComments[[#This Row],[Docketed Consumer Comments]]))
  ),
  0,
  1
)</f>
        <v>1</v>
      </c>
    </row>
    <row r="322" spans="1:22" hidden="1">
      <c r="A322" s="2">
        <v>45903</v>
      </c>
      <c r="B322" s="1" t="s">
        <v>963</v>
      </c>
      <c r="C322" s="1" t="s">
        <v>780</v>
      </c>
      <c r="D322" s="1" t="s">
        <v>169</v>
      </c>
      <c r="E322" s="1">
        <v>85395</v>
      </c>
      <c r="F322" s="1" t="s">
        <v>964</v>
      </c>
      <c r="G322" s="1" t="s">
        <v>503</v>
      </c>
      <c r="H322" s="21" t="s">
        <v>6599</v>
      </c>
      <c r="I322" s="5" t="s">
        <v>36</v>
      </c>
      <c r="J322" s="5" t="s">
        <v>37</v>
      </c>
      <c r="K322" s="5" t="s">
        <v>37</v>
      </c>
      <c r="L322" s="5" t="s">
        <v>38</v>
      </c>
      <c r="M322" s="5" t="s">
        <v>37</v>
      </c>
      <c r="N322" s="5" t="s">
        <v>37</v>
      </c>
      <c r="O322" s="5" t="s">
        <v>38</v>
      </c>
      <c r="P322" s="5" t="s">
        <v>39</v>
      </c>
      <c r="Q322" s="2">
        <v>45967</v>
      </c>
      <c r="V322" s="45">
        <f>IF(
  OR(
    ISNUMBER(SEARCH("unable to locate acct", tblDocketedComments[[#This Row],[Docketed Consumer Comments]])),
    ISNUMBER(SEARCH("unknown", tblDocketedComments[[#This Row],[Docketed Consumer Comments]])),
    ISNUMBER(SEARCH("inactive", tblDocketedComments[[#This Row],[Docketed Consumer Comments]]))
  ),
  0,
  1
)</f>
        <v>1</v>
      </c>
    </row>
    <row r="323" spans="1:22" hidden="1">
      <c r="A323" s="2">
        <v>45903</v>
      </c>
      <c r="B323" s="1" t="s">
        <v>965</v>
      </c>
      <c r="C323" s="1" t="s">
        <v>655</v>
      </c>
      <c r="D323" s="1" t="s">
        <v>24</v>
      </c>
      <c r="E323" s="1">
        <v>85310</v>
      </c>
      <c r="F323" s="1" t="s">
        <v>310</v>
      </c>
      <c r="G323" s="1" t="s">
        <v>503</v>
      </c>
      <c r="H323" s="4" t="s">
        <v>90</v>
      </c>
      <c r="V323" s="45">
        <f>IF(
  OR(
    ISNUMBER(SEARCH("unable to locate acct", tblDocketedComments[[#This Row],[Docketed Consumer Comments]])),
    ISNUMBER(SEARCH("unknown", tblDocketedComments[[#This Row],[Docketed Consumer Comments]])),
    ISNUMBER(SEARCH("inactive", tblDocketedComments[[#This Row],[Docketed Consumer Comments]]))
  ),
  0,
  1
)</f>
        <v>1</v>
      </c>
    </row>
    <row r="324" spans="1:22" hidden="1">
      <c r="A324" s="2">
        <v>45903</v>
      </c>
      <c r="B324" s="1" t="s">
        <v>966</v>
      </c>
      <c r="C324" s="1" t="s">
        <v>967</v>
      </c>
      <c r="D324" s="1" t="s">
        <v>202</v>
      </c>
      <c r="E324" s="1">
        <v>85383</v>
      </c>
      <c r="F324" s="1" t="s">
        <v>31</v>
      </c>
      <c r="G324" s="1" t="s">
        <v>503</v>
      </c>
      <c r="H324" s="21" t="s">
        <v>6600</v>
      </c>
      <c r="I324" s="5" t="s">
        <v>968</v>
      </c>
      <c r="J324" s="5" t="s">
        <v>37</v>
      </c>
      <c r="K324" s="5" t="s">
        <v>37</v>
      </c>
      <c r="L324" s="5" t="s">
        <v>399</v>
      </c>
      <c r="M324" s="5" t="s">
        <v>37</v>
      </c>
      <c r="N324" s="5" t="s">
        <v>37</v>
      </c>
      <c r="O324" s="5" t="s">
        <v>38</v>
      </c>
      <c r="P324" s="5" t="s">
        <v>39</v>
      </c>
      <c r="Q324" s="2">
        <v>45967</v>
      </c>
      <c r="V324" s="45">
        <f>IF(
  OR(
    ISNUMBER(SEARCH("unable to locate acct", tblDocketedComments[[#This Row],[Docketed Consumer Comments]])),
    ISNUMBER(SEARCH("unknown", tblDocketedComments[[#This Row],[Docketed Consumer Comments]])),
    ISNUMBER(SEARCH("inactive", tblDocketedComments[[#This Row],[Docketed Consumer Comments]]))
  ),
  0,
  1
)</f>
        <v>1</v>
      </c>
    </row>
    <row r="325" spans="1:22" hidden="1">
      <c r="A325" s="2">
        <v>45903</v>
      </c>
      <c r="B325" s="1" t="s">
        <v>969</v>
      </c>
      <c r="C325" s="1" t="s">
        <v>970</v>
      </c>
      <c r="D325" s="1" t="s">
        <v>202</v>
      </c>
      <c r="E325" s="1">
        <v>85483</v>
      </c>
      <c r="F325" s="1" t="s">
        <v>310</v>
      </c>
      <c r="G325" s="1" t="s">
        <v>503</v>
      </c>
      <c r="H325" s="21" t="s">
        <v>6601</v>
      </c>
      <c r="I325" s="5" t="s">
        <v>36</v>
      </c>
      <c r="J325" s="5" t="s">
        <v>37</v>
      </c>
      <c r="K325" s="5" t="s">
        <v>37</v>
      </c>
      <c r="L325" s="5" t="s">
        <v>38</v>
      </c>
      <c r="M325" s="5" t="s">
        <v>37</v>
      </c>
      <c r="N325" s="5" t="s">
        <v>37</v>
      </c>
      <c r="O325" s="5" t="s">
        <v>38</v>
      </c>
      <c r="P325" s="5" t="s">
        <v>39</v>
      </c>
      <c r="Q325" s="2">
        <v>45967</v>
      </c>
      <c r="V325" s="45">
        <f>IF(
  OR(
    ISNUMBER(SEARCH("unable to locate acct", tblDocketedComments[[#This Row],[Docketed Consumer Comments]])),
    ISNUMBER(SEARCH("unknown", tblDocketedComments[[#This Row],[Docketed Consumer Comments]])),
    ISNUMBER(SEARCH("inactive", tblDocketedComments[[#This Row],[Docketed Consumer Comments]]))
  ),
  0,
  1
)</f>
        <v>1</v>
      </c>
    </row>
    <row r="326" spans="1:22" hidden="1">
      <c r="A326" s="2">
        <v>45903</v>
      </c>
      <c r="B326" s="1" t="s">
        <v>971</v>
      </c>
      <c r="C326" s="1" t="s">
        <v>594</v>
      </c>
      <c r="D326" s="1" t="s">
        <v>63</v>
      </c>
      <c r="E326" s="1">
        <v>85015</v>
      </c>
      <c r="F326" s="1" t="s">
        <v>310</v>
      </c>
      <c r="G326" s="1" t="s">
        <v>503</v>
      </c>
      <c r="H326" s="21" t="s">
        <v>6602</v>
      </c>
      <c r="I326" s="5" t="s">
        <v>196</v>
      </c>
      <c r="J326" s="5" t="s">
        <v>37</v>
      </c>
      <c r="K326" s="5" t="s">
        <v>37</v>
      </c>
      <c r="L326" s="5" t="s">
        <v>38</v>
      </c>
      <c r="M326" s="5" t="s">
        <v>37</v>
      </c>
      <c r="N326" s="5" t="s">
        <v>37</v>
      </c>
      <c r="O326" s="5" t="s">
        <v>38</v>
      </c>
      <c r="P326" s="5" t="s">
        <v>39</v>
      </c>
      <c r="Q326" s="2">
        <v>45967</v>
      </c>
      <c r="V326" s="45">
        <f>IF(
  OR(
    ISNUMBER(SEARCH("unable to locate acct", tblDocketedComments[[#This Row],[Docketed Consumer Comments]])),
    ISNUMBER(SEARCH("unknown", tblDocketedComments[[#This Row],[Docketed Consumer Comments]])),
    ISNUMBER(SEARCH("inactive", tblDocketedComments[[#This Row],[Docketed Consumer Comments]]))
  ),
  0,
  1
)</f>
        <v>1</v>
      </c>
    </row>
    <row r="327" spans="1:22" hidden="1">
      <c r="A327" s="2">
        <v>45903</v>
      </c>
      <c r="B327" s="1" t="s">
        <v>972</v>
      </c>
      <c r="C327" s="1" t="s">
        <v>973</v>
      </c>
      <c r="D327" s="1" t="s">
        <v>125</v>
      </c>
      <c r="E327" s="1">
        <v>85260</v>
      </c>
      <c r="F327" s="1" t="s">
        <v>310</v>
      </c>
      <c r="G327" s="1" t="s">
        <v>503</v>
      </c>
      <c r="H327" s="21" t="s">
        <v>6603</v>
      </c>
      <c r="I327" s="5" t="s">
        <v>36</v>
      </c>
      <c r="J327" s="5" t="s">
        <v>37</v>
      </c>
      <c r="K327" s="5" t="s">
        <v>37</v>
      </c>
      <c r="L327" s="5" t="s">
        <v>38</v>
      </c>
      <c r="M327" s="5" t="s">
        <v>37</v>
      </c>
      <c r="N327" s="5" t="s">
        <v>37</v>
      </c>
      <c r="O327" s="5" t="s">
        <v>38</v>
      </c>
      <c r="P327" s="5" t="s">
        <v>39</v>
      </c>
      <c r="Q327" s="2">
        <v>45967</v>
      </c>
      <c r="V327" s="45">
        <f>IF(
  OR(
    ISNUMBER(SEARCH("unable to locate acct", tblDocketedComments[[#This Row],[Docketed Consumer Comments]])),
    ISNUMBER(SEARCH("unknown", tblDocketedComments[[#This Row],[Docketed Consumer Comments]])),
    ISNUMBER(SEARCH("inactive", tblDocketedComments[[#This Row],[Docketed Consumer Comments]]))
  ),
  0,
  1
)</f>
        <v>1</v>
      </c>
    </row>
    <row r="328" spans="1:22" hidden="1">
      <c r="A328" s="2">
        <v>45903</v>
      </c>
      <c r="B328" s="1" t="s">
        <v>974</v>
      </c>
      <c r="C328" s="1" t="s">
        <v>975</v>
      </c>
      <c r="D328" s="1" t="s">
        <v>63</v>
      </c>
      <c r="E328" s="1">
        <v>85085</v>
      </c>
      <c r="F328" s="1" t="s">
        <v>310</v>
      </c>
      <c r="G328" s="1" t="s">
        <v>503</v>
      </c>
      <c r="H328" s="21" t="s">
        <v>6604</v>
      </c>
      <c r="I328" s="5" t="s">
        <v>36</v>
      </c>
      <c r="J328" s="5" t="s">
        <v>37</v>
      </c>
      <c r="K328" s="5" t="s">
        <v>37</v>
      </c>
      <c r="L328" s="5" t="s">
        <v>38</v>
      </c>
      <c r="M328" s="5" t="s">
        <v>37</v>
      </c>
      <c r="N328" s="5" t="s">
        <v>37</v>
      </c>
      <c r="O328" s="5" t="s">
        <v>38</v>
      </c>
      <c r="P328" s="5" t="s">
        <v>39</v>
      </c>
      <c r="Q328" s="2">
        <v>45967</v>
      </c>
      <c r="V328" s="45">
        <f>IF(
  OR(
    ISNUMBER(SEARCH("unable to locate acct", tblDocketedComments[[#This Row],[Docketed Consumer Comments]])),
    ISNUMBER(SEARCH("unknown", tblDocketedComments[[#This Row],[Docketed Consumer Comments]])),
    ISNUMBER(SEARCH("inactive", tblDocketedComments[[#This Row],[Docketed Consumer Comments]]))
  ),
  0,
  1
)</f>
        <v>1</v>
      </c>
    </row>
    <row r="329" spans="1:22" hidden="1">
      <c r="A329" s="2">
        <v>45903</v>
      </c>
      <c r="B329" s="1" t="s">
        <v>976</v>
      </c>
      <c r="C329" s="1" t="s">
        <v>977</v>
      </c>
      <c r="D329" s="1" t="s">
        <v>978</v>
      </c>
      <c r="E329" s="1">
        <v>85268</v>
      </c>
      <c r="F329" s="1" t="s">
        <v>979</v>
      </c>
      <c r="G329" s="1" t="s">
        <v>503</v>
      </c>
      <c r="H329" s="4" t="s">
        <v>27</v>
      </c>
      <c r="V329" s="45">
        <f>IF(
  OR(
    ISNUMBER(SEARCH("unable to locate acct", tblDocketedComments[[#This Row],[Docketed Consumer Comments]])),
    ISNUMBER(SEARCH("unknown", tblDocketedComments[[#This Row],[Docketed Consumer Comments]])),
    ISNUMBER(SEARCH("inactive", tblDocketedComments[[#This Row],[Docketed Consumer Comments]]))
  ),
  0,
  1
)</f>
        <v>1</v>
      </c>
    </row>
    <row r="330" spans="1:22" hidden="1">
      <c r="A330" s="2">
        <v>45903</v>
      </c>
      <c r="B330" s="1" t="s">
        <v>980</v>
      </c>
      <c r="C330" s="1" t="s">
        <v>754</v>
      </c>
      <c r="D330" s="1" t="s">
        <v>63</v>
      </c>
      <c r="E330" s="1">
        <v>85024</v>
      </c>
      <c r="F330" s="1" t="s">
        <v>31</v>
      </c>
      <c r="G330" s="1" t="s">
        <v>503</v>
      </c>
      <c r="H330" s="21" t="s">
        <v>6605</v>
      </c>
      <c r="I330" s="5" t="s">
        <v>196</v>
      </c>
      <c r="J330" s="5" t="s">
        <v>37</v>
      </c>
      <c r="K330" s="5" t="s">
        <v>37</v>
      </c>
      <c r="L330" s="7" t="s">
        <v>981</v>
      </c>
      <c r="M330" s="5" t="s">
        <v>37</v>
      </c>
      <c r="N330" s="5" t="s">
        <v>37</v>
      </c>
      <c r="O330" s="5" t="s">
        <v>38</v>
      </c>
      <c r="P330" s="2">
        <v>45936</v>
      </c>
      <c r="Q330" s="2">
        <v>45967</v>
      </c>
      <c r="R330" s="1" t="s">
        <v>982</v>
      </c>
      <c r="V330" s="45">
        <f>IF(
  OR(
    ISNUMBER(SEARCH("unable to locate acct", tblDocketedComments[[#This Row],[Docketed Consumer Comments]])),
    ISNUMBER(SEARCH("unknown", tblDocketedComments[[#This Row],[Docketed Consumer Comments]])),
    ISNUMBER(SEARCH("inactive", tblDocketedComments[[#This Row],[Docketed Consumer Comments]]))
  ),
  0,
  1
)</f>
        <v>1</v>
      </c>
    </row>
    <row r="331" spans="1:22" hidden="1">
      <c r="A331" s="2">
        <v>45903</v>
      </c>
      <c r="B331" s="1" t="s">
        <v>983</v>
      </c>
      <c r="C331" s="1" t="s">
        <v>135</v>
      </c>
      <c r="D331" s="1" t="s">
        <v>169</v>
      </c>
      <c r="E331" s="1">
        <v>85338</v>
      </c>
      <c r="F331" s="1" t="s">
        <v>984</v>
      </c>
      <c r="G331" s="1" t="s">
        <v>503</v>
      </c>
      <c r="H331" s="21" t="s">
        <v>6606</v>
      </c>
      <c r="I331" s="5" t="s">
        <v>36</v>
      </c>
      <c r="J331" s="5" t="s">
        <v>37</v>
      </c>
      <c r="K331" s="5" t="s">
        <v>37</v>
      </c>
      <c r="L331" s="5" t="s">
        <v>38</v>
      </c>
      <c r="M331" s="5" t="s">
        <v>37</v>
      </c>
      <c r="N331" s="5" t="s">
        <v>37</v>
      </c>
      <c r="O331" s="5" t="s">
        <v>38</v>
      </c>
      <c r="P331" s="5" t="s">
        <v>39</v>
      </c>
      <c r="Q331" s="2">
        <v>45967</v>
      </c>
      <c r="V331" s="45">
        <f>IF(
  OR(
    ISNUMBER(SEARCH("unable to locate acct", tblDocketedComments[[#This Row],[Docketed Consumer Comments]])),
    ISNUMBER(SEARCH("unknown", tblDocketedComments[[#This Row],[Docketed Consumer Comments]])),
    ISNUMBER(SEARCH("inactive", tblDocketedComments[[#This Row],[Docketed Consumer Comments]]))
  ),
  0,
  1
)</f>
        <v>1</v>
      </c>
    </row>
    <row r="332" spans="1:22" hidden="1">
      <c r="A332" s="2">
        <v>45903</v>
      </c>
      <c r="B332" s="1" t="s">
        <v>985</v>
      </c>
      <c r="C332" s="1" t="s">
        <v>986</v>
      </c>
      <c r="D332" s="1" t="s">
        <v>202</v>
      </c>
      <c r="E332" s="1">
        <v>85345</v>
      </c>
      <c r="F332" s="1" t="s">
        <v>310</v>
      </c>
      <c r="G332" s="1" t="s">
        <v>503</v>
      </c>
      <c r="H332" s="21" t="s">
        <v>6607</v>
      </c>
      <c r="I332" s="5" t="s">
        <v>36</v>
      </c>
      <c r="J332" s="5" t="s">
        <v>37</v>
      </c>
      <c r="K332" s="5" t="s">
        <v>37</v>
      </c>
      <c r="L332" s="5" t="s">
        <v>38</v>
      </c>
      <c r="M332" s="5" t="s">
        <v>37</v>
      </c>
      <c r="N332" s="5" t="s">
        <v>37</v>
      </c>
      <c r="O332" s="5" t="s">
        <v>38</v>
      </c>
      <c r="P332" s="5" t="s">
        <v>39</v>
      </c>
      <c r="Q332" s="2">
        <v>45967</v>
      </c>
      <c r="V332" s="45">
        <f>IF(
  OR(
    ISNUMBER(SEARCH("unable to locate acct", tblDocketedComments[[#This Row],[Docketed Consumer Comments]])),
    ISNUMBER(SEARCH("unknown", tblDocketedComments[[#This Row],[Docketed Consumer Comments]])),
    ISNUMBER(SEARCH("inactive", tblDocketedComments[[#This Row],[Docketed Consumer Comments]]))
  ),
  0,
  1
)</f>
        <v>1</v>
      </c>
    </row>
    <row r="333" spans="1:22" hidden="1">
      <c r="A333" s="2">
        <v>45903</v>
      </c>
      <c r="B333" s="1" t="s">
        <v>987</v>
      </c>
      <c r="C333" s="1" t="s">
        <v>988</v>
      </c>
      <c r="D333" s="1" t="s">
        <v>202</v>
      </c>
      <c r="E333" s="1">
        <v>85383</v>
      </c>
      <c r="F333" s="1" t="s">
        <v>310</v>
      </c>
      <c r="G333" s="1" t="s">
        <v>503</v>
      </c>
      <c r="H333" s="21" t="s">
        <v>6608</v>
      </c>
      <c r="I333" s="5" t="s">
        <v>196</v>
      </c>
      <c r="J333" s="5" t="s">
        <v>37</v>
      </c>
      <c r="K333" s="5" t="s">
        <v>37</v>
      </c>
      <c r="L333" s="5" t="s">
        <v>38</v>
      </c>
      <c r="M333" s="5" t="s">
        <v>37</v>
      </c>
      <c r="N333" s="5" t="s">
        <v>37</v>
      </c>
      <c r="O333" s="5" t="s">
        <v>38</v>
      </c>
      <c r="P333" s="5" t="s">
        <v>39</v>
      </c>
      <c r="Q333" s="2">
        <v>45967</v>
      </c>
      <c r="V333" s="45">
        <f>IF(
  OR(
    ISNUMBER(SEARCH("unable to locate acct", tblDocketedComments[[#This Row],[Docketed Consumer Comments]])),
    ISNUMBER(SEARCH("unknown", tblDocketedComments[[#This Row],[Docketed Consumer Comments]])),
    ISNUMBER(SEARCH("inactive", tblDocketedComments[[#This Row],[Docketed Consumer Comments]]))
  ),
  0,
  1
)</f>
        <v>1</v>
      </c>
    </row>
    <row r="334" spans="1:22" hidden="1">
      <c r="A334" s="2">
        <v>45903</v>
      </c>
      <c r="B334" s="1" t="s">
        <v>989</v>
      </c>
      <c r="C334" s="1" t="s">
        <v>990</v>
      </c>
      <c r="D334" s="1" t="s">
        <v>202</v>
      </c>
      <c r="E334" s="1">
        <v>85383</v>
      </c>
      <c r="F334" s="1" t="s">
        <v>310</v>
      </c>
      <c r="G334" s="1" t="s">
        <v>503</v>
      </c>
      <c r="H334" s="21" t="s">
        <v>6609</v>
      </c>
      <c r="I334" s="5" t="s">
        <v>196</v>
      </c>
      <c r="J334" s="5" t="s">
        <v>37</v>
      </c>
      <c r="K334" s="5" t="s">
        <v>37</v>
      </c>
      <c r="L334" s="7" t="s">
        <v>991</v>
      </c>
      <c r="M334" s="5" t="s">
        <v>37</v>
      </c>
      <c r="N334" s="5" t="s">
        <v>37</v>
      </c>
      <c r="O334" s="5" t="s">
        <v>38</v>
      </c>
      <c r="P334" s="2">
        <v>45936</v>
      </c>
      <c r="Q334" s="2">
        <v>45967</v>
      </c>
      <c r="R334" s="1" t="s">
        <v>992</v>
      </c>
      <c r="V334" s="45">
        <f>IF(
  OR(
    ISNUMBER(SEARCH("unable to locate acct", tblDocketedComments[[#This Row],[Docketed Consumer Comments]])),
    ISNUMBER(SEARCH("unknown", tblDocketedComments[[#This Row],[Docketed Consumer Comments]])),
    ISNUMBER(SEARCH("inactive", tblDocketedComments[[#This Row],[Docketed Consumer Comments]]))
  ),
  0,
  1
)</f>
        <v>1</v>
      </c>
    </row>
    <row r="335" spans="1:22" hidden="1">
      <c r="A335" s="2">
        <v>45903</v>
      </c>
      <c r="B335" s="1" t="s">
        <v>993</v>
      </c>
      <c r="C335" s="1" t="s">
        <v>994</v>
      </c>
      <c r="D335" s="1" t="s">
        <v>202</v>
      </c>
      <c r="E335" s="1">
        <v>85383</v>
      </c>
      <c r="F335" s="1" t="s">
        <v>310</v>
      </c>
      <c r="G335" s="1" t="s">
        <v>503</v>
      </c>
      <c r="H335" s="21" t="s">
        <v>6610</v>
      </c>
      <c r="I335" s="5" t="s">
        <v>36</v>
      </c>
      <c r="J335" s="5" t="s">
        <v>37</v>
      </c>
      <c r="K335" s="5" t="s">
        <v>37</v>
      </c>
      <c r="L335" s="5" t="s">
        <v>38</v>
      </c>
      <c r="M335" s="5" t="s">
        <v>37</v>
      </c>
      <c r="N335" s="5" t="s">
        <v>37</v>
      </c>
      <c r="O335" s="5" t="s">
        <v>38</v>
      </c>
      <c r="P335" s="5" t="s">
        <v>39</v>
      </c>
      <c r="Q335" s="2">
        <v>45967</v>
      </c>
      <c r="R335" s="1" t="s">
        <v>995</v>
      </c>
      <c r="V335" s="45">
        <f>IF(
  OR(
    ISNUMBER(SEARCH("unable to locate acct", tblDocketedComments[[#This Row],[Docketed Consumer Comments]])),
    ISNUMBER(SEARCH("unknown", tblDocketedComments[[#This Row],[Docketed Consumer Comments]])),
    ISNUMBER(SEARCH("inactive", tblDocketedComments[[#This Row],[Docketed Consumer Comments]]))
  ),
  0,
  1
)</f>
        <v>1</v>
      </c>
    </row>
    <row r="336" spans="1:22" hidden="1">
      <c r="A336" s="2">
        <v>45903</v>
      </c>
      <c r="B336" s="1" t="s">
        <v>996</v>
      </c>
      <c r="C336" s="1" t="s">
        <v>997</v>
      </c>
      <c r="D336" s="1" t="s">
        <v>169</v>
      </c>
      <c r="E336" s="1">
        <v>85338</v>
      </c>
      <c r="F336" s="1" t="s">
        <v>31</v>
      </c>
      <c r="G336" s="1" t="s">
        <v>503</v>
      </c>
      <c r="H336" s="21" t="s">
        <v>6611</v>
      </c>
      <c r="I336" s="5" t="s">
        <v>416</v>
      </c>
      <c r="J336" s="5" t="s">
        <v>37</v>
      </c>
      <c r="K336" s="5" t="s">
        <v>37</v>
      </c>
      <c r="L336" s="5" t="s">
        <v>387</v>
      </c>
      <c r="M336" s="5" t="s">
        <v>37</v>
      </c>
      <c r="N336" s="5" t="s">
        <v>37</v>
      </c>
      <c r="O336" s="5" t="s">
        <v>38</v>
      </c>
      <c r="P336" s="5" t="s">
        <v>39</v>
      </c>
      <c r="Q336" s="2">
        <v>45967</v>
      </c>
      <c r="V336" s="45">
        <f>IF(
  OR(
    ISNUMBER(SEARCH("unable to locate acct", tblDocketedComments[[#This Row],[Docketed Consumer Comments]])),
    ISNUMBER(SEARCH("unknown", tblDocketedComments[[#This Row],[Docketed Consumer Comments]])),
    ISNUMBER(SEARCH("inactive", tblDocketedComments[[#This Row],[Docketed Consumer Comments]]))
  ),
  0,
  1
)</f>
        <v>1</v>
      </c>
    </row>
    <row r="337" spans="1:22" hidden="1">
      <c r="A337" s="2">
        <v>45903</v>
      </c>
      <c r="B337" s="1" t="s">
        <v>998</v>
      </c>
      <c r="C337" s="1" t="s">
        <v>999</v>
      </c>
      <c r="D337" s="1" t="s">
        <v>520</v>
      </c>
      <c r="E337" s="1">
        <v>85392</v>
      </c>
      <c r="F337" s="1" t="s">
        <v>310</v>
      </c>
      <c r="G337" s="1" t="s">
        <v>503</v>
      </c>
      <c r="H337" s="21" t="s">
        <v>6612</v>
      </c>
      <c r="I337" s="5" t="s">
        <v>36</v>
      </c>
      <c r="J337" s="5" t="s">
        <v>37</v>
      </c>
      <c r="K337" s="5" t="s">
        <v>37</v>
      </c>
      <c r="L337" s="5" t="s">
        <v>38</v>
      </c>
      <c r="M337" s="5" t="s">
        <v>37</v>
      </c>
      <c r="N337" s="5" t="s">
        <v>37</v>
      </c>
      <c r="O337" s="5" t="s">
        <v>38</v>
      </c>
      <c r="P337" s="5" t="s">
        <v>39</v>
      </c>
      <c r="Q337" s="2">
        <v>45967</v>
      </c>
      <c r="V337" s="45">
        <f>IF(
  OR(
    ISNUMBER(SEARCH("unable to locate acct", tblDocketedComments[[#This Row],[Docketed Consumer Comments]])),
    ISNUMBER(SEARCH("unknown", tblDocketedComments[[#This Row],[Docketed Consumer Comments]])),
    ISNUMBER(SEARCH("inactive", tblDocketedComments[[#This Row],[Docketed Consumer Comments]]))
  ),
  0,
  1
)</f>
        <v>1</v>
      </c>
    </row>
    <row r="338" spans="1:22" hidden="1">
      <c r="A338" s="2">
        <v>45903</v>
      </c>
      <c r="B338" s="1" t="s">
        <v>1000</v>
      </c>
      <c r="C338" s="1" t="s">
        <v>1001</v>
      </c>
      <c r="D338" s="1" t="s">
        <v>169</v>
      </c>
      <c r="E338" s="1">
        <v>85395</v>
      </c>
      <c r="F338" s="1" t="s">
        <v>1002</v>
      </c>
      <c r="G338" s="1" t="s">
        <v>503</v>
      </c>
      <c r="H338" s="21" t="s">
        <v>6613</v>
      </c>
      <c r="I338" s="5" t="s">
        <v>36</v>
      </c>
      <c r="J338" s="5" t="s">
        <v>37</v>
      </c>
      <c r="K338" s="5" t="s">
        <v>37</v>
      </c>
      <c r="L338" s="5" t="s">
        <v>38</v>
      </c>
      <c r="M338" s="5" t="s">
        <v>37</v>
      </c>
      <c r="N338" s="5" t="s">
        <v>37</v>
      </c>
      <c r="O338" s="5" t="s">
        <v>38</v>
      </c>
      <c r="P338" s="5" t="s">
        <v>39</v>
      </c>
      <c r="Q338" s="2">
        <v>45967</v>
      </c>
      <c r="V338" s="45">
        <f>IF(
  OR(
    ISNUMBER(SEARCH("unable to locate acct", tblDocketedComments[[#This Row],[Docketed Consumer Comments]])),
    ISNUMBER(SEARCH("unknown", tblDocketedComments[[#This Row],[Docketed Consumer Comments]])),
    ISNUMBER(SEARCH("inactive", tblDocketedComments[[#This Row],[Docketed Consumer Comments]]))
  ),
  0,
  1
)</f>
        <v>1</v>
      </c>
    </row>
    <row r="339" spans="1:22" hidden="1">
      <c r="A339" s="2">
        <v>45903</v>
      </c>
      <c r="B339" s="1" t="s">
        <v>1003</v>
      </c>
      <c r="C339" s="1" t="s">
        <v>1004</v>
      </c>
      <c r="D339" s="1" t="s">
        <v>169</v>
      </c>
      <c r="E339" s="1">
        <v>85338</v>
      </c>
      <c r="F339" s="1" t="s">
        <v>758</v>
      </c>
      <c r="G339" s="1" t="s">
        <v>503</v>
      </c>
      <c r="H339" s="21" t="s">
        <v>6614</v>
      </c>
      <c r="I339" s="5" t="s">
        <v>36</v>
      </c>
      <c r="J339" s="5" t="s">
        <v>37</v>
      </c>
      <c r="K339" s="5" t="s">
        <v>37</v>
      </c>
      <c r="L339" s="5" t="s">
        <v>38</v>
      </c>
      <c r="M339" s="5" t="s">
        <v>38</v>
      </c>
      <c r="N339" s="15">
        <v>2144.27</v>
      </c>
      <c r="O339" s="5" t="s">
        <v>38</v>
      </c>
      <c r="P339" s="7"/>
      <c r="Q339" s="2">
        <v>45967</v>
      </c>
      <c r="R339" s="1" t="s">
        <v>492</v>
      </c>
      <c r="V339" s="45">
        <f>IF(
  OR(
    ISNUMBER(SEARCH("unable to locate acct", tblDocketedComments[[#This Row],[Docketed Consumer Comments]])),
    ISNUMBER(SEARCH("unknown", tblDocketedComments[[#This Row],[Docketed Consumer Comments]])),
    ISNUMBER(SEARCH("inactive", tblDocketedComments[[#This Row],[Docketed Consumer Comments]]))
  ),
  0,
  1
)</f>
        <v>1</v>
      </c>
    </row>
    <row r="340" spans="1:22" hidden="1">
      <c r="A340" s="2">
        <v>45903</v>
      </c>
      <c r="B340" s="1" t="s">
        <v>1005</v>
      </c>
      <c r="C340" s="1" t="s">
        <v>62</v>
      </c>
      <c r="D340" s="1" t="s">
        <v>520</v>
      </c>
      <c r="E340" s="1">
        <v>85392</v>
      </c>
      <c r="F340" s="1" t="s">
        <v>31</v>
      </c>
      <c r="G340" s="1" t="s">
        <v>503</v>
      </c>
      <c r="H340" s="4" t="s">
        <v>27</v>
      </c>
      <c r="V340" s="45">
        <f>IF(
  OR(
    ISNUMBER(SEARCH("unable to locate acct", tblDocketedComments[[#This Row],[Docketed Consumer Comments]])),
    ISNUMBER(SEARCH("unknown", tblDocketedComments[[#This Row],[Docketed Consumer Comments]])),
    ISNUMBER(SEARCH("inactive", tblDocketedComments[[#This Row],[Docketed Consumer Comments]]))
  ),
  0,
  1
)</f>
        <v>1</v>
      </c>
    </row>
    <row r="341" spans="1:22" hidden="1">
      <c r="A341" s="2">
        <v>45903</v>
      </c>
      <c r="B341" s="1" t="s">
        <v>1006</v>
      </c>
      <c r="C341" s="1" t="s">
        <v>1007</v>
      </c>
      <c r="D341" s="1" t="s">
        <v>202</v>
      </c>
      <c r="E341" s="1">
        <v>85383</v>
      </c>
      <c r="F341" s="1" t="s">
        <v>310</v>
      </c>
      <c r="G341" s="1" t="s">
        <v>503</v>
      </c>
      <c r="H341" s="21" t="s">
        <v>6615</v>
      </c>
      <c r="I341" s="5" t="s">
        <v>36</v>
      </c>
      <c r="J341" s="5" t="s">
        <v>37</v>
      </c>
      <c r="K341" s="5" t="s">
        <v>37</v>
      </c>
      <c r="L341" s="5" t="s">
        <v>38</v>
      </c>
      <c r="M341" s="5" t="s">
        <v>37</v>
      </c>
      <c r="N341" s="5" t="s">
        <v>37</v>
      </c>
      <c r="O341" s="5" t="s">
        <v>38</v>
      </c>
      <c r="P341" s="5" t="s">
        <v>39</v>
      </c>
      <c r="Q341" s="2">
        <v>45967</v>
      </c>
      <c r="V341" s="45">
        <f>IF(
  OR(
    ISNUMBER(SEARCH("unable to locate acct", tblDocketedComments[[#This Row],[Docketed Consumer Comments]])),
    ISNUMBER(SEARCH("unknown", tblDocketedComments[[#This Row],[Docketed Consumer Comments]])),
    ISNUMBER(SEARCH("inactive", tblDocketedComments[[#This Row],[Docketed Consumer Comments]]))
  ),
  0,
  1
)</f>
        <v>1</v>
      </c>
    </row>
    <row r="342" spans="1:22" hidden="1">
      <c r="A342" s="2">
        <v>45903</v>
      </c>
      <c r="B342" s="1" t="s">
        <v>1008</v>
      </c>
      <c r="C342" s="1" t="s">
        <v>156</v>
      </c>
      <c r="D342" s="1" t="s">
        <v>24</v>
      </c>
      <c r="E342" s="1">
        <v>85308</v>
      </c>
      <c r="F342" s="1" t="s">
        <v>310</v>
      </c>
      <c r="G342" s="1" t="s">
        <v>503</v>
      </c>
      <c r="H342" s="21" t="s">
        <v>6616</v>
      </c>
      <c r="I342" s="5" t="s">
        <v>196</v>
      </c>
      <c r="J342" s="5" t="s">
        <v>37</v>
      </c>
      <c r="K342" s="5" t="s">
        <v>37</v>
      </c>
      <c r="L342" s="5" t="s">
        <v>1009</v>
      </c>
      <c r="M342" s="5" t="s">
        <v>37</v>
      </c>
      <c r="N342" s="5" t="s">
        <v>37</v>
      </c>
      <c r="O342" s="5" t="s">
        <v>38</v>
      </c>
      <c r="P342" s="5" t="s">
        <v>39</v>
      </c>
      <c r="Q342" s="2">
        <v>45967</v>
      </c>
      <c r="V342" s="45">
        <f>IF(
  OR(
    ISNUMBER(SEARCH("unable to locate acct", tblDocketedComments[[#This Row],[Docketed Consumer Comments]])),
    ISNUMBER(SEARCH("unknown", tblDocketedComments[[#This Row],[Docketed Consumer Comments]])),
    ISNUMBER(SEARCH("inactive", tblDocketedComments[[#This Row],[Docketed Consumer Comments]]))
  ),
  0,
  1
)</f>
        <v>1</v>
      </c>
    </row>
    <row r="343" spans="1:22" hidden="1">
      <c r="A343" s="2">
        <v>45903</v>
      </c>
      <c r="B343" s="1" t="s">
        <v>1010</v>
      </c>
      <c r="C343" s="1" t="s">
        <v>1011</v>
      </c>
      <c r="D343" s="1" t="s">
        <v>125</v>
      </c>
      <c r="E343" s="1">
        <v>85251</v>
      </c>
      <c r="F343" s="1" t="s">
        <v>310</v>
      </c>
      <c r="G343" s="1" t="s">
        <v>503</v>
      </c>
      <c r="H343" s="21" t="s">
        <v>6617</v>
      </c>
      <c r="I343" s="5" t="s">
        <v>126</v>
      </c>
      <c r="J343" s="5" t="s">
        <v>37</v>
      </c>
      <c r="K343" s="5" t="s">
        <v>37</v>
      </c>
      <c r="L343" s="5" t="s">
        <v>1012</v>
      </c>
      <c r="M343" s="5" t="s">
        <v>37</v>
      </c>
      <c r="N343" s="5" t="s">
        <v>37</v>
      </c>
      <c r="O343" s="5" t="s">
        <v>38</v>
      </c>
      <c r="P343" s="5" t="s">
        <v>39</v>
      </c>
      <c r="Q343" s="2">
        <v>45967</v>
      </c>
      <c r="V343" s="45">
        <f>IF(
  OR(
    ISNUMBER(SEARCH("unable to locate acct", tblDocketedComments[[#This Row],[Docketed Consumer Comments]])),
    ISNUMBER(SEARCH("unknown", tblDocketedComments[[#This Row],[Docketed Consumer Comments]])),
    ISNUMBER(SEARCH("inactive", tblDocketedComments[[#This Row],[Docketed Consumer Comments]]))
  ),
  0,
  1
)</f>
        <v>1</v>
      </c>
    </row>
    <row r="344" spans="1:22" hidden="1">
      <c r="A344" s="2">
        <v>45903</v>
      </c>
      <c r="B344" s="1" t="s">
        <v>1013</v>
      </c>
      <c r="C344" s="1" t="s">
        <v>1014</v>
      </c>
      <c r="D344" s="1" t="s">
        <v>125</v>
      </c>
      <c r="E344" s="1">
        <v>85266</v>
      </c>
      <c r="F344" s="1" t="s">
        <v>31</v>
      </c>
      <c r="G344" s="1" t="s">
        <v>503</v>
      </c>
      <c r="H344" s="21" t="s">
        <v>6187</v>
      </c>
      <c r="I344" s="5" t="s">
        <v>36</v>
      </c>
      <c r="J344" s="5" t="s">
        <v>37</v>
      </c>
      <c r="K344" s="5" t="s">
        <v>37</v>
      </c>
      <c r="L344" s="5" t="s">
        <v>38</v>
      </c>
      <c r="M344" s="5" t="s">
        <v>37</v>
      </c>
      <c r="N344" s="5" t="s">
        <v>37</v>
      </c>
      <c r="O344" s="5" t="s">
        <v>38</v>
      </c>
      <c r="P344" s="5" t="s">
        <v>39</v>
      </c>
      <c r="Q344" s="2">
        <v>45967</v>
      </c>
      <c r="V344" s="45">
        <f>IF(
  OR(
    ISNUMBER(SEARCH("unable to locate acct", tblDocketedComments[[#This Row],[Docketed Consumer Comments]])),
    ISNUMBER(SEARCH("unknown", tblDocketedComments[[#This Row],[Docketed Consumer Comments]])),
    ISNUMBER(SEARCH("inactive", tblDocketedComments[[#This Row],[Docketed Consumer Comments]]))
  ),
  0,
  1
)</f>
        <v>1</v>
      </c>
    </row>
    <row r="345" spans="1:22" hidden="1">
      <c r="A345" s="2">
        <v>45903</v>
      </c>
      <c r="B345" s="1" t="s">
        <v>1015</v>
      </c>
      <c r="C345" s="1" t="s">
        <v>1016</v>
      </c>
      <c r="D345" s="1" t="s">
        <v>174</v>
      </c>
      <c r="E345" s="1">
        <v>85396</v>
      </c>
      <c r="F345" s="1" t="s">
        <v>1017</v>
      </c>
      <c r="G345" s="1" t="s">
        <v>503</v>
      </c>
      <c r="H345" s="4" t="s">
        <v>90</v>
      </c>
      <c r="V345" s="45">
        <f>IF(
  OR(
    ISNUMBER(SEARCH("unable to locate acct", tblDocketedComments[[#This Row],[Docketed Consumer Comments]])),
    ISNUMBER(SEARCH("unknown", tblDocketedComments[[#This Row],[Docketed Consumer Comments]])),
    ISNUMBER(SEARCH("inactive", tblDocketedComments[[#This Row],[Docketed Consumer Comments]]))
  ),
  0,
  1
)</f>
        <v>1</v>
      </c>
    </row>
    <row r="346" spans="1:22" hidden="1">
      <c r="A346" s="2">
        <v>45903</v>
      </c>
      <c r="B346" s="1" t="s">
        <v>1018</v>
      </c>
      <c r="C346" s="1" t="s">
        <v>1019</v>
      </c>
      <c r="D346" s="1" t="s">
        <v>63</v>
      </c>
      <c r="E346" s="1">
        <v>85085</v>
      </c>
      <c r="F346" s="1" t="s">
        <v>310</v>
      </c>
      <c r="G346" s="1" t="s">
        <v>503</v>
      </c>
      <c r="H346" s="21" t="s">
        <v>6618</v>
      </c>
      <c r="I346" s="5" t="s">
        <v>73</v>
      </c>
      <c r="J346" s="5" t="s">
        <v>37</v>
      </c>
      <c r="K346" s="5" t="s">
        <v>37</v>
      </c>
      <c r="L346" s="5" t="s">
        <v>38</v>
      </c>
      <c r="M346" s="5" t="s">
        <v>37</v>
      </c>
      <c r="N346" s="5" t="s">
        <v>37</v>
      </c>
      <c r="O346" s="5" t="s">
        <v>38</v>
      </c>
      <c r="P346" s="5" t="s">
        <v>39</v>
      </c>
      <c r="Q346" s="2">
        <v>45967</v>
      </c>
      <c r="V346" s="45">
        <f>IF(
  OR(
    ISNUMBER(SEARCH("unable to locate acct", tblDocketedComments[[#This Row],[Docketed Consumer Comments]])),
    ISNUMBER(SEARCH("unknown", tblDocketedComments[[#This Row],[Docketed Consumer Comments]])),
    ISNUMBER(SEARCH("inactive", tblDocketedComments[[#This Row],[Docketed Consumer Comments]]))
  ),
  0,
  1
)</f>
        <v>1</v>
      </c>
    </row>
    <row r="347" spans="1:22" hidden="1">
      <c r="A347" s="2">
        <v>45903</v>
      </c>
      <c r="B347" s="1" t="s">
        <v>1020</v>
      </c>
      <c r="C347" s="1" t="s">
        <v>131</v>
      </c>
      <c r="D347" s="1" t="s">
        <v>169</v>
      </c>
      <c r="E347" s="1">
        <v>85395</v>
      </c>
      <c r="F347" s="1" t="s">
        <v>1021</v>
      </c>
      <c r="G347" s="1" t="s">
        <v>503</v>
      </c>
      <c r="H347" s="4" t="s">
        <v>27</v>
      </c>
      <c r="V347" s="45">
        <f>IF(
  OR(
    ISNUMBER(SEARCH("unable to locate acct", tblDocketedComments[[#This Row],[Docketed Consumer Comments]])),
    ISNUMBER(SEARCH("unknown", tblDocketedComments[[#This Row],[Docketed Consumer Comments]])),
    ISNUMBER(SEARCH("inactive", tblDocketedComments[[#This Row],[Docketed Consumer Comments]]))
  ),
  0,
  1
)</f>
        <v>1</v>
      </c>
    </row>
    <row r="348" spans="1:22" hidden="1">
      <c r="A348" s="2">
        <v>45903</v>
      </c>
      <c r="B348" s="1" t="s">
        <v>1022</v>
      </c>
      <c r="C348" s="1" t="s">
        <v>1023</v>
      </c>
      <c r="D348" s="1" t="s">
        <v>520</v>
      </c>
      <c r="E348" s="1">
        <v>85392</v>
      </c>
      <c r="F348" s="1" t="s">
        <v>31</v>
      </c>
      <c r="G348" s="1" t="s">
        <v>503</v>
      </c>
      <c r="H348" s="21" t="s">
        <v>6188</v>
      </c>
      <c r="I348" s="5" t="s">
        <v>196</v>
      </c>
      <c r="J348" s="5" t="s">
        <v>37</v>
      </c>
      <c r="K348" s="5" t="s">
        <v>37</v>
      </c>
      <c r="L348" s="5" t="s">
        <v>38</v>
      </c>
      <c r="M348" s="5" t="s">
        <v>37</v>
      </c>
      <c r="N348" s="5" t="s">
        <v>37</v>
      </c>
      <c r="O348" s="5" t="s">
        <v>38</v>
      </c>
      <c r="P348" s="5" t="s">
        <v>39</v>
      </c>
      <c r="Q348" s="2">
        <v>45967</v>
      </c>
      <c r="V348" s="45">
        <f>IF(
  OR(
    ISNUMBER(SEARCH("unable to locate acct", tblDocketedComments[[#This Row],[Docketed Consumer Comments]])),
    ISNUMBER(SEARCH("unknown", tblDocketedComments[[#This Row],[Docketed Consumer Comments]])),
    ISNUMBER(SEARCH("inactive", tblDocketedComments[[#This Row],[Docketed Consumer Comments]]))
  ),
  0,
  1
)</f>
        <v>1</v>
      </c>
    </row>
    <row r="349" spans="1:22" hidden="1">
      <c r="A349" s="2">
        <v>45903</v>
      </c>
      <c r="B349" s="1" t="s">
        <v>1024</v>
      </c>
      <c r="C349" s="1" t="s">
        <v>1025</v>
      </c>
      <c r="D349" s="1" t="s">
        <v>63</v>
      </c>
      <c r="E349" s="1">
        <v>85024</v>
      </c>
      <c r="F349" s="1" t="s">
        <v>31</v>
      </c>
      <c r="G349" s="1" t="s">
        <v>503</v>
      </c>
      <c r="H349" s="4" t="s">
        <v>27</v>
      </c>
      <c r="V349" s="45">
        <f>IF(
  OR(
    ISNUMBER(SEARCH("unable to locate acct", tblDocketedComments[[#This Row],[Docketed Consumer Comments]])),
    ISNUMBER(SEARCH("unknown", tblDocketedComments[[#This Row],[Docketed Consumer Comments]])),
    ISNUMBER(SEARCH("inactive", tblDocketedComments[[#This Row],[Docketed Consumer Comments]]))
  ),
  0,
  1
)</f>
        <v>1</v>
      </c>
    </row>
    <row r="350" spans="1:22" hidden="1">
      <c r="A350" s="2">
        <v>45903</v>
      </c>
      <c r="B350" s="1" t="s">
        <v>1026</v>
      </c>
      <c r="C350" s="1" t="s">
        <v>1027</v>
      </c>
      <c r="D350" s="1" t="s">
        <v>63</v>
      </c>
      <c r="E350" s="1">
        <v>85020</v>
      </c>
      <c r="F350" s="1" t="s">
        <v>310</v>
      </c>
      <c r="G350" s="1" t="s">
        <v>503</v>
      </c>
      <c r="H350" s="21" t="s">
        <v>6619</v>
      </c>
      <c r="I350" s="5" t="s">
        <v>36</v>
      </c>
      <c r="J350" s="5" t="s">
        <v>37</v>
      </c>
      <c r="K350" s="5" t="s">
        <v>37</v>
      </c>
      <c r="L350" s="5" t="s">
        <v>38</v>
      </c>
      <c r="M350" s="5" t="s">
        <v>37</v>
      </c>
      <c r="N350" s="5" t="s">
        <v>37</v>
      </c>
      <c r="O350" s="5" t="s">
        <v>38</v>
      </c>
      <c r="P350" s="5" t="s">
        <v>39</v>
      </c>
      <c r="Q350" s="2">
        <v>45967</v>
      </c>
      <c r="V350" s="45">
        <f>IF(
  OR(
    ISNUMBER(SEARCH("unable to locate acct", tblDocketedComments[[#This Row],[Docketed Consumer Comments]])),
    ISNUMBER(SEARCH("unknown", tblDocketedComments[[#This Row],[Docketed Consumer Comments]])),
    ISNUMBER(SEARCH("inactive", tblDocketedComments[[#This Row],[Docketed Consumer Comments]]))
  ),
  0,
  1
)</f>
        <v>1</v>
      </c>
    </row>
    <row r="351" spans="1:22" hidden="1">
      <c r="A351" s="2">
        <v>45903</v>
      </c>
      <c r="B351" s="1" t="s">
        <v>1028</v>
      </c>
      <c r="C351" s="1" t="s">
        <v>1029</v>
      </c>
      <c r="D351" s="1" t="s">
        <v>63</v>
      </c>
      <c r="E351" s="1">
        <v>85050</v>
      </c>
      <c r="F351" s="1" t="s">
        <v>1030</v>
      </c>
      <c r="G351" s="1" t="s">
        <v>503</v>
      </c>
      <c r="H351" s="21" t="s">
        <v>6620</v>
      </c>
      <c r="I351" s="5" t="s">
        <v>36</v>
      </c>
      <c r="J351" s="5" t="s">
        <v>37</v>
      </c>
      <c r="K351" s="5" t="s">
        <v>37</v>
      </c>
      <c r="L351" s="5" t="s">
        <v>38</v>
      </c>
      <c r="M351" s="5" t="s">
        <v>37</v>
      </c>
      <c r="N351" s="5" t="s">
        <v>37</v>
      </c>
      <c r="O351" s="5" t="s">
        <v>38</v>
      </c>
      <c r="P351" s="5" t="s">
        <v>39</v>
      </c>
      <c r="Q351" s="2">
        <v>45967</v>
      </c>
      <c r="V351" s="45">
        <f>IF(
  OR(
    ISNUMBER(SEARCH("unable to locate acct", tblDocketedComments[[#This Row],[Docketed Consumer Comments]])),
    ISNUMBER(SEARCH("unknown", tblDocketedComments[[#This Row],[Docketed Consumer Comments]])),
    ISNUMBER(SEARCH("inactive", tblDocketedComments[[#This Row],[Docketed Consumer Comments]]))
  ),
  0,
  1
)</f>
        <v>1</v>
      </c>
    </row>
    <row r="352" spans="1:22" hidden="1">
      <c r="A352" s="2">
        <v>45903</v>
      </c>
      <c r="B352" s="1" t="s">
        <v>1031</v>
      </c>
      <c r="C352" s="1" t="s">
        <v>1032</v>
      </c>
      <c r="D352" s="1" t="s">
        <v>24</v>
      </c>
      <c r="E352" s="1">
        <v>85307</v>
      </c>
      <c r="F352" s="1" t="s">
        <v>31</v>
      </c>
      <c r="G352" s="1" t="s">
        <v>503</v>
      </c>
      <c r="H352" s="21" t="s">
        <v>6621</v>
      </c>
      <c r="I352" s="5" t="s">
        <v>36</v>
      </c>
      <c r="J352" s="5" t="s">
        <v>37</v>
      </c>
      <c r="K352" s="5" t="s">
        <v>37</v>
      </c>
      <c r="L352" s="5" t="s">
        <v>38</v>
      </c>
      <c r="M352" s="5" t="s">
        <v>37</v>
      </c>
      <c r="N352" s="5" t="s">
        <v>37</v>
      </c>
      <c r="O352" s="5" t="s">
        <v>38</v>
      </c>
      <c r="P352" s="5" t="s">
        <v>39</v>
      </c>
      <c r="Q352" s="2">
        <v>45967</v>
      </c>
      <c r="V352" s="45">
        <f>IF(
  OR(
    ISNUMBER(SEARCH("unable to locate acct", tblDocketedComments[[#This Row],[Docketed Consumer Comments]])),
    ISNUMBER(SEARCH("unknown", tblDocketedComments[[#This Row],[Docketed Consumer Comments]])),
    ISNUMBER(SEARCH("inactive", tblDocketedComments[[#This Row],[Docketed Consumer Comments]]))
  ),
  0,
  1
)</f>
        <v>1</v>
      </c>
    </row>
    <row r="353" spans="1:22" hidden="1">
      <c r="A353" s="2">
        <v>45903</v>
      </c>
      <c r="B353" s="1" t="s">
        <v>1033</v>
      </c>
      <c r="C353" s="1" t="s">
        <v>1034</v>
      </c>
      <c r="D353" s="1" t="s">
        <v>24</v>
      </c>
      <c r="E353" s="1">
        <v>85308</v>
      </c>
      <c r="F353" s="1" t="s">
        <v>310</v>
      </c>
      <c r="G353" s="1" t="s">
        <v>503</v>
      </c>
      <c r="H353" s="21" t="s">
        <v>6622</v>
      </c>
      <c r="I353" s="5" t="s">
        <v>36</v>
      </c>
      <c r="J353" s="5" t="s">
        <v>37</v>
      </c>
      <c r="K353" s="5" t="s">
        <v>37</v>
      </c>
      <c r="L353" s="5" t="s">
        <v>38</v>
      </c>
      <c r="M353" s="5" t="s">
        <v>37</v>
      </c>
      <c r="N353" s="5" t="s">
        <v>37</v>
      </c>
      <c r="O353" s="5" t="s">
        <v>38</v>
      </c>
      <c r="P353" s="5" t="s">
        <v>39</v>
      </c>
      <c r="Q353" s="2">
        <v>45967</v>
      </c>
      <c r="V353" s="45">
        <f>IF(
  OR(
    ISNUMBER(SEARCH("unable to locate acct", tblDocketedComments[[#This Row],[Docketed Consumer Comments]])),
    ISNUMBER(SEARCH("unknown", tblDocketedComments[[#This Row],[Docketed Consumer Comments]])),
    ISNUMBER(SEARCH("inactive", tblDocketedComments[[#This Row],[Docketed Consumer Comments]]))
  ),
  0,
  1
)</f>
        <v>1</v>
      </c>
    </row>
    <row r="354" spans="1:22" hidden="1">
      <c r="A354" s="2">
        <v>45903</v>
      </c>
      <c r="B354" s="1" t="s">
        <v>1035</v>
      </c>
      <c r="C354" s="1" t="s">
        <v>1036</v>
      </c>
      <c r="D354" s="1" t="s">
        <v>63</v>
      </c>
      <c r="E354" s="1">
        <v>85050</v>
      </c>
      <c r="F354" s="1" t="s">
        <v>31</v>
      </c>
      <c r="G354" s="1" t="s">
        <v>503</v>
      </c>
      <c r="H354" s="21" t="s">
        <v>6623</v>
      </c>
      <c r="I354" s="5" t="s">
        <v>196</v>
      </c>
      <c r="J354" s="5" t="s">
        <v>37</v>
      </c>
      <c r="K354" s="5" t="s">
        <v>37</v>
      </c>
      <c r="L354" s="5" t="s">
        <v>38</v>
      </c>
      <c r="M354" s="5" t="s">
        <v>37</v>
      </c>
      <c r="N354" s="5" t="s">
        <v>37</v>
      </c>
      <c r="O354" s="5" t="s">
        <v>38</v>
      </c>
      <c r="P354" s="5" t="s">
        <v>39</v>
      </c>
      <c r="Q354" s="2">
        <v>45967</v>
      </c>
      <c r="V354" s="45">
        <f>IF(
  OR(
    ISNUMBER(SEARCH("unable to locate acct", tblDocketedComments[[#This Row],[Docketed Consumer Comments]])),
    ISNUMBER(SEARCH("unknown", tblDocketedComments[[#This Row],[Docketed Consumer Comments]])),
    ISNUMBER(SEARCH("inactive", tblDocketedComments[[#This Row],[Docketed Consumer Comments]]))
  ),
  0,
  1
)</f>
        <v>1</v>
      </c>
    </row>
    <row r="355" spans="1:22" hidden="1">
      <c r="A355" s="2">
        <v>45903</v>
      </c>
      <c r="B355" s="1" t="s">
        <v>1037</v>
      </c>
      <c r="C355" s="1" t="s">
        <v>1038</v>
      </c>
      <c r="D355" s="1" t="s">
        <v>63</v>
      </c>
      <c r="E355" s="1">
        <v>85024</v>
      </c>
      <c r="F355" s="1" t="s">
        <v>310</v>
      </c>
      <c r="G355" s="1" t="s">
        <v>503</v>
      </c>
      <c r="H355" s="21" t="s">
        <v>6189</v>
      </c>
      <c r="I355" s="5" t="s">
        <v>196</v>
      </c>
      <c r="J355" s="5" t="s">
        <v>37</v>
      </c>
      <c r="K355" s="5" t="s">
        <v>37</v>
      </c>
      <c r="L355" s="5" t="s">
        <v>38</v>
      </c>
      <c r="M355" s="5" t="s">
        <v>37</v>
      </c>
      <c r="N355" s="5" t="s">
        <v>37</v>
      </c>
      <c r="O355" s="5" t="s">
        <v>38</v>
      </c>
      <c r="P355" s="5" t="s">
        <v>39</v>
      </c>
      <c r="Q355" s="2">
        <v>45967</v>
      </c>
      <c r="V355" s="45">
        <f>IF(
  OR(
    ISNUMBER(SEARCH("unable to locate acct", tblDocketedComments[[#This Row],[Docketed Consumer Comments]])),
    ISNUMBER(SEARCH("unknown", tblDocketedComments[[#This Row],[Docketed Consumer Comments]])),
    ISNUMBER(SEARCH("inactive", tblDocketedComments[[#This Row],[Docketed Consumer Comments]]))
  ),
  0,
  1
)</f>
        <v>1</v>
      </c>
    </row>
    <row r="356" spans="1:22" hidden="1">
      <c r="A356" s="2">
        <v>45903</v>
      </c>
      <c r="B356" s="1" t="s">
        <v>1039</v>
      </c>
      <c r="C356" s="1" t="s">
        <v>933</v>
      </c>
      <c r="D356" s="1" t="s">
        <v>240</v>
      </c>
      <c r="E356" s="1">
        <v>85395</v>
      </c>
      <c r="F356" s="1" t="s">
        <v>1040</v>
      </c>
      <c r="G356" s="1" t="s">
        <v>503</v>
      </c>
      <c r="H356" s="4" t="s">
        <v>209</v>
      </c>
      <c r="V356" s="45">
        <f>IF(
  OR(
    ISNUMBER(SEARCH("unable to locate acct", tblDocketedComments[[#This Row],[Docketed Consumer Comments]])),
    ISNUMBER(SEARCH("unknown", tblDocketedComments[[#This Row],[Docketed Consumer Comments]])),
    ISNUMBER(SEARCH("inactive", tblDocketedComments[[#This Row],[Docketed Consumer Comments]]))
  ),
  0,
  1
)</f>
        <v>1</v>
      </c>
    </row>
    <row r="357" spans="1:22" hidden="1">
      <c r="A357" s="2">
        <v>45903</v>
      </c>
      <c r="B357" s="1" t="s">
        <v>1041</v>
      </c>
      <c r="C357" s="1" t="s">
        <v>177</v>
      </c>
      <c r="D357" s="1" t="s">
        <v>169</v>
      </c>
      <c r="E357" s="1">
        <v>85338</v>
      </c>
      <c r="F357" s="1" t="s">
        <v>1042</v>
      </c>
      <c r="G357" s="1" t="s">
        <v>503</v>
      </c>
      <c r="H357" s="4" t="s">
        <v>1043</v>
      </c>
      <c r="I357" s="5" t="s">
        <v>36</v>
      </c>
      <c r="J357" s="5" t="s">
        <v>38</v>
      </c>
      <c r="K357" s="5" t="s">
        <v>37</v>
      </c>
      <c r="L357" s="5" t="s">
        <v>38</v>
      </c>
      <c r="M357" s="5" t="s">
        <v>37</v>
      </c>
      <c r="N357" s="5" t="s">
        <v>37</v>
      </c>
      <c r="O357" s="5" t="s">
        <v>38</v>
      </c>
      <c r="P357" s="5" t="s">
        <v>39</v>
      </c>
      <c r="Q357" s="2">
        <v>45967</v>
      </c>
      <c r="V357" s="45">
        <f>IF(
  OR(
    ISNUMBER(SEARCH("unable to locate acct", tblDocketedComments[[#This Row],[Docketed Consumer Comments]])),
    ISNUMBER(SEARCH("unknown", tblDocketedComments[[#This Row],[Docketed Consumer Comments]])),
    ISNUMBER(SEARCH("inactive", tblDocketedComments[[#This Row],[Docketed Consumer Comments]]))
  ),
  0,
  1
)</f>
        <v>1</v>
      </c>
    </row>
    <row r="358" spans="1:22" hidden="1">
      <c r="A358" s="2">
        <v>45903</v>
      </c>
      <c r="B358" s="1" t="s">
        <v>1044</v>
      </c>
      <c r="C358" s="1" t="s">
        <v>1045</v>
      </c>
      <c r="D358" s="1" t="s">
        <v>169</v>
      </c>
      <c r="E358" s="1">
        <v>85395</v>
      </c>
      <c r="F358" s="1" t="s">
        <v>1046</v>
      </c>
      <c r="G358" s="1" t="s">
        <v>503</v>
      </c>
      <c r="H358" s="21" t="s">
        <v>6190</v>
      </c>
      <c r="I358" s="5" t="s">
        <v>36</v>
      </c>
      <c r="J358" s="5" t="s">
        <v>37</v>
      </c>
      <c r="K358" s="5" t="s">
        <v>37</v>
      </c>
      <c r="L358" s="5" t="s">
        <v>38</v>
      </c>
      <c r="M358" s="5" t="s">
        <v>37</v>
      </c>
      <c r="N358" s="5" t="s">
        <v>37</v>
      </c>
      <c r="O358" s="5" t="s">
        <v>38</v>
      </c>
      <c r="P358" s="5" t="s">
        <v>39</v>
      </c>
      <c r="Q358" s="2">
        <v>45967</v>
      </c>
      <c r="V358" s="45">
        <f>IF(
  OR(
    ISNUMBER(SEARCH("unable to locate acct", tblDocketedComments[[#This Row],[Docketed Consumer Comments]])),
    ISNUMBER(SEARCH("unknown", tblDocketedComments[[#This Row],[Docketed Consumer Comments]])),
    ISNUMBER(SEARCH("inactive", tblDocketedComments[[#This Row],[Docketed Consumer Comments]]))
  ),
  0,
  1
)</f>
        <v>1</v>
      </c>
    </row>
    <row r="359" spans="1:22" hidden="1">
      <c r="A359" s="2">
        <v>45903</v>
      </c>
      <c r="B359" s="1" t="s">
        <v>1047</v>
      </c>
      <c r="C359" s="1" t="s">
        <v>1048</v>
      </c>
      <c r="D359" s="1" t="s">
        <v>125</v>
      </c>
      <c r="E359" s="1">
        <v>85266</v>
      </c>
      <c r="F359" s="1" t="s">
        <v>310</v>
      </c>
      <c r="G359" s="1" t="s">
        <v>503</v>
      </c>
      <c r="H359" s="21" t="s">
        <v>6624</v>
      </c>
      <c r="I359" s="5" t="s">
        <v>36</v>
      </c>
      <c r="J359" s="5" t="s">
        <v>37</v>
      </c>
      <c r="K359" s="5" t="s">
        <v>37</v>
      </c>
      <c r="L359" s="5" t="s">
        <v>38</v>
      </c>
      <c r="M359" s="5" t="s">
        <v>37</v>
      </c>
      <c r="N359" s="5" t="s">
        <v>37</v>
      </c>
      <c r="O359" s="5" t="s">
        <v>38</v>
      </c>
      <c r="P359" s="5" t="s">
        <v>39</v>
      </c>
      <c r="Q359" s="2">
        <v>45967</v>
      </c>
      <c r="V359" s="45">
        <f>IF(
  OR(
    ISNUMBER(SEARCH("unable to locate acct", tblDocketedComments[[#This Row],[Docketed Consumer Comments]])),
    ISNUMBER(SEARCH("unknown", tblDocketedComments[[#This Row],[Docketed Consumer Comments]])),
    ISNUMBER(SEARCH("inactive", tblDocketedComments[[#This Row],[Docketed Consumer Comments]]))
  ),
  0,
  1
)</f>
        <v>1</v>
      </c>
    </row>
    <row r="360" spans="1:22" hidden="1">
      <c r="A360" s="2">
        <v>45903</v>
      </c>
      <c r="B360" s="1" t="s">
        <v>1049</v>
      </c>
      <c r="C360" s="1" t="s">
        <v>1050</v>
      </c>
      <c r="D360" s="1" t="s">
        <v>125</v>
      </c>
      <c r="E360" s="1">
        <v>85259</v>
      </c>
      <c r="F360" s="1" t="s">
        <v>31</v>
      </c>
      <c r="G360" s="1" t="s">
        <v>503</v>
      </c>
      <c r="H360" s="4" t="s">
        <v>209</v>
      </c>
      <c r="V360" s="45">
        <f>IF(
  OR(
    ISNUMBER(SEARCH("unable to locate acct", tblDocketedComments[[#This Row],[Docketed Consumer Comments]])),
    ISNUMBER(SEARCH("unknown", tblDocketedComments[[#This Row],[Docketed Consumer Comments]])),
    ISNUMBER(SEARCH("inactive", tblDocketedComments[[#This Row],[Docketed Consumer Comments]]))
  ),
  0,
  1
)</f>
        <v>1</v>
      </c>
    </row>
    <row r="361" spans="1:22" hidden="1">
      <c r="A361" s="2">
        <v>45903</v>
      </c>
      <c r="B361" s="1" t="s">
        <v>1051</v>
      </c>
      <c r="C361" s="1" t="s">
        <v>1048</v>
      </c>
      <c r="D361" s="1" t="s">
        <v>63</v>
      </c>
      <c r="E361" s="1">
        <v>85050</v>
      </c>
      <c r="F361" s="1" t="s">
        <v>31</v>
      </c>
      <c r="G361" s="1" t="s">
        <v>503</v>
      </c>
      <c r="H361" s="4" t="s">
        <v>27</v>
      </c>
      <c r="V361" s="45">
        <f>IF(
  OR(
    ISNUMBER(SEARCH("unable to locate acct", tblDocketedComments[[#This Row],[Docketed Consumer Comments]])),
    ISNUMBER(SEARCH("unknown", tblDocketedComments[[#This Row],[Docketed Consumer Comments]])),
    ISNUMBER(SEARCH("inactive", tblDocketedComments[[#This Row],[Docketed Consumer Comments]]))
  ),
  0,
  1
)</f>
        <v>1</v>
      </c>
    </row>
    <row r="362" spans="1:22" hidden="1">
      <c r="A362" s="2">
        <v>45903</v>
      </c>
      <c r="B362" s="1" t="s">
        <v>1052</v>
      </c>
      <c r="C362" s="1" t="s">
        <v>1053</v>
      </c>
      <c r="D362" s="1" t="s">
        <v>169</v>
      </c>
      <c r="E362" s="1">
        <v>85338</v>
      </c>
      <c r="F362" s="1" t="s">
        <v>1054</v>
      </c>
      <c r="G362" s="1" t="s">
        <v>503</v>
      </c>
      <c r="H362" s="4" t="s">
        <v>90</v>
      </c>
      <c r="V362" s="45">
        <f>IF(
  OR(
    ISNUMBER(SEARCH("unable to locate acct", tblDocketedComments[[#This Row],[Docketed Consumer Comments]])),
    ISNUMBER(SEARCH("unknown", tblDocketedComments[[#This Row],[Docketed Consumer Comments]])),
    ISNUMBER(SEARCH("inactive", tblDocketedComments[[#This Row],[Docketed Consumer Comments]]))
  ),
  0,
  1
)</f>
        <v>1</v>
      </c>
    </row>
    <row r="363" spans="1:22" hidden="1">
      <c r="A363" s="2">
        <v>45903</v>
      </c>
      <c r="B363" s="1" t="s">
        <v>1055</v>
      </c>
      <c r="C363" s="1" t="s">
        <v>1056</v>
      </c>
      <c r="D363" s="1" t="s">
        <v>202</v>
      </c>
      <c r="E363" s="1">
        <v>85383</v>
      </c>
      <c r="F363" s="1" t="s">
        <v>310</v>
      </c>
      <c r="G363" s="1" t="s">
        <v>503</v>
      </c>
      <c r="H363" s="21" t="s">
        <v>6191</v>
      </c>
      <c r="I363" s="5" t="s">
        <v>538</v>
      </c>
      <c r="J363" s="5" t="s">
        <v>37</v>
      </c>
      <c r="K363" s="5" t="s">
        <v>37</v>
      </c>
      <c r="L363" s="5" t="s">
        <v>387</v>
      </c>
      <c r="M363" s="5" t="s">
        <v>37</v>
      </c>
      <c r="N363" s="5" t="s">
        <v>37</v>
      </c>
      <c r="O363" s="5" t="s">
        <v>38</v>
      </c>
      <c r="P363" s="5" t="s">
        <v>39</v>
      </c>
      <c r="Q363" s="2">
        <v>45967</v>
      </c>
      <c r="V363" s="45">
        <f>IF(
  OR(
    ISNUMBER(SEARCH("unable to locate acct", tblDocketedComments[[#This Row],[Docketed Consumer Comments]])),
    ISNUMBER(SEARCH("unknown", tblDocketedComments[[#This Row],[Docketed Consumer Comments]])),
    ISNUMBER(SEARCH("inactive", tblDocketedComments[[#This Row],[Docketed Consumer Comments]]))
  ),
  0,
  1
)</f>
        <v>1</v>
      </c>
    </row>
    <row r="364" spans="1:22" hidden="1">
      <c r="A364" s="2">
        <v>45903</v>
      </c>
      <c r="B364" s="1" t="s">
        <v>1057</v>
      </c>
      <c r="C364" s="1" t="s">
        <v>1058</v>
      </c>
      <c r="D364" s="1" t="s">
        <v>63</v>
      </c>
      <c r="E364" s="1">
        <v>85024</v>
      </c>
      <c r="F364" s="1" t="s">
        <v>1059</v>
      </c>
      <c r="G364" s="1" t="s">
        <v>503</v>
      </c>
      <c r="H364" s="21" t="s">
        <v>6625</v>
      </c>
      <c r="I364" s="5" t="s">
        <v>196</v>
      </c>
      <c r="J364" s="5" t="s">
        <v>37</v>
      </c>
      <c r="K364" s="5" t="s">
        <v>37</v>
      </c>
      <c r="L364" s="7" t="s">
        <v>1060</v>
      </c>
      <c r="M364" s="5" t="s">
        <v>37</v>
      </c>
      <c r="N364" s="5" t="s">
        <v>37</v>
      </c>
      <c r="O364" s="5" t="s">
        <v>38</v>
      </c>
      <c r="P364" s="2">
        <v>45936</v>
      </c>
      <c r="Q364" s="2">
        <v>45967</v>
      </c>
      <c r="R364" s="1" t="s">
        <v>1061</v>
      </c>
      <c r="V364" s="45">
        <f>IF(
  OR(
    ISNUMBER(SEARCH("unable to locate acct", tblDocketedComments[[#This Row],[Docketed Consumer Comments]])),
    ISNUMBER(SEARCH("unknown", tblDocketedComments[[#This Row],[Docketed Consumer Comments]])),
    ISNUMBER(SEARCH("inactive", tblDocketedComments[[#This Row],[Docketed Consumer Comments]]))
  ),
  0,
  1
)</f>
        <v>1</v>
      </c>
    </row>
    <row r="365" spans="1:22" hidden="1">
      <c r="A365" s="2">
        <v>45903</v>
      </c>
      <c r="B365" s="1" t="s">
        <v>1062</v>
      </c>
      <c r="C365" s="1" t="s">
        <v>1063</v>
      </c>
      <c r="D365" s="1" t="s">
        <v>202</v>
      </c>
      <c r="E365" s="1">
        <v>85383</v>
      </c>
      <c r="F365" s="1" t="s">
        <v>310</v>
      </c>
      <c r="G365" s="1" t="s">
        <v>503</v>
      </c>
      <c r="H365" s="21" t="s">
        <v>6626</v>
      </c>
      <c r="I365" s="5" t="s">
        <v>36</v>
      </c>
      <c r="J365" s="5" t="s">
        <v>37</v>
      </c>
      <c r="K365" s="5" t="s">
        <v>37</v>
      </c>
      <c r="L365" s="5" t="s">
        <v>38</v>
      </c>
      <c r="M365" s="5" t="s">
        <v>37</v>
      </c>
      <c r="N365" s="5" t="s">
        <v>37</v>
      </c>
      <c r="O365" s="5" t="s">
        <v>38</v>
      </c>
      <c r="P365" s="5" t="s">
        <v>39</v>
      </c>
      <c r="Q365" s="2">
        <v>45967</v>
      </c>
      <c r="V365" s="45">
        <f>IF(
  OR(
    ISNUMBER(SEARCH("unable to locate acct", tblDocketedComments[[#This Row],[Docketed Consumer Comments]])),
    ISNUMBER(SEARCH("unknown", tblDocketedComments[[#This Row],[Docketed Consumer Comments]])),
    ISNUMBER(SEARCH("inactive", tblDocketedComments[[#This Row],[Docketed Consumer Comments]]))
  ),
  0,
  1
)</f>
        <v>1</v>
      </c>
    </row>
    <row r="366" spans="1:22" hidden="1">
      <c r="A366" s="2">
        <v>45903</v>
      </c>
      <c r="B366" s="1" t="s">
        <v>1064</v>
      </c>
      <c r="C366" s="1" t="s">
        <v>1065</v>
      </c>
      <c r="D366" s="1" t="s">
        <v>63</v>
      </c>
      <c r="E366" s="1">
        <v>85085</v>
      </c>
      <c r="F366" s="1" t="s">
        <v>310</v>
      </c>
      <c r="G366" s="1" t="s">
        <v>503</v>
      </c>
      <c r="H366" s="21" t="s">
        <v>6627</v>
      </c>
      <c r="I366" s="5" t="s">
        <v>36</v>
      </c>
      <c r="J366" s="5" t="s">
        <v>37</v>
      </c>
      <c r="K366" s="5" t="s">
        <v>37</v>
      </c>
      <c r="L366" s="5" t="s">
        <v>38</v>
      </c>
      <c r="M366" s="5" t="s">
        <v>37</v>
      </c>
      <c r="N366" s="5" t="s">
        <v>37</v>
      </c>
      <c r="O366" s="5" t="s">
        <v>38</v>
      </c>
      <c r="P366" s="5" t="s">
        <v>39</v>
      </c>
      <c r="Q366" s="2">
        <v>45967</v>
      </c>
      <c r="V366" s="45">
        <f>IF(
  OR(
    ISNUMBER(SEARCH("unable to locate acct", tblDocketedComments[[#This Row],[Docketed Consumer Comments]])),
    ISNUMBER(SEARCH("unknown", tblDocketedComments[[#This Row],[Docketed Consumer Comments]])),
    ISNUMBER(SEARCH("inactive", tblDocketedComments[[#This Row],[Docketed Consumer Comments]]))
  ),
  0,
  1
)</f>
        <v>1</v>
      </c>
    </row>
    <row r="367" spans="1:22" hidden="1">
      <c r="A367" s="2">
        <v>45903</v>
      </c>
      <c r="B367" s="1" t="s">
        <v>1066</v>
      </c>
      <c r="C367" s="1" t="s">
        <v>1067</v>
      </c>
      <c r="D367" s="1" t="s">
        <v>240</v>
      </c>
      <c r="E367" s="1">
        <v>85340</v>
      </c>
      <c r="F367" s="1" t="s">
        <v>1068</v>
      </c>
      <c r="G367" s="1" t="s">
        <v>503</v>
      </c>
      <c r="H367" s="21" t="s">
        <v>6628</v>
      </c>
      <c r="I367" s="5" t="s">
        <v>126</v>
      </c>
      <c r="J367" s="5" t="s">
        <v>38</v>
      </c>
      <c r="K367" s="5" t="s">
        <v>37</v>
      </c>
      <c r="L367" s="5" t="s">
        <v>1069</v>
      </c>
      <c r="M367" s="5" t="s">
        <v>37</v>
      </c>
      <c r="N367" s="5" t="s">
        <v>37</v>
      </c>
      <c r="O367" s="5" t="s">
        <v>38</v>
      </c>
      <c r="P367" s="5" t="s">
        <v>39</v>
      </c>
      <c r="Q367" s="2">
        <v>45967</v>
      </c>
      <c r="V367" s="45">
        <f>IF(
  OR(
    ISNUMBER(SEARCH("unable to locate acct", tblDocketedComments[[#This Row],[Docketed Consumer Comments]])),
    ISNUMBER(SEARCH("unknown", tblDocketedComments[[#This Row],[Docketed Consumer Comments]])),
    ISNUMBER(SEARCH("inactive", tblDocketedComments[[#This Row],[Docketed Consumer Comments]]))
  ),
  0,
  1
)</f>
        <v>1</v>
      </c>
    </row>
    <row r="368" spans="1:22" hidden="1">
      <c r="A368" s="2">
        <v>45903</v>
      </c>
      <c r="B368" s="1" t="s">
        <v>1070</v>
      </c>
      <c r="C368" s="1" t="s">
        <v>1071</v>
      </c>
      <c r="D368" s="1" t="s">
        <v>63</v>
      </c>
      <c r="E368" s="1">
        <v>85050</v>
      </c>
      <c r="F368" s="1" t="s">
        <v>1072</v>
      </c>
      <c r="G368" s="1" t="s">
        <v>503</v>
      </c>
      <c r="H368" s="21" t="s">
        <v>6629</v>
      </c>
      <c r="I368" s="5" t="s">
        <v>968</v>
      </c>
      <c r="J368" s="5" t="s">
        <v>37</v>
      </c>
      <c r="K368" s="5" t="s">
        <v>37</v>
      </c>
      <c r="L368" s="7" t="s">
        <v>1073</v>
      </c>
      <c r="M368" s="5" t="s">
        <v>37</v>
      </c>
      <c r="N368" s="5" t="s">
        <v>37</v>
      </c>
      <c r="O368" s="5" t="s">
        <v>38</v>
      </c>
      <c r="P368" s="2">
        <v>45936</v>
      </c>
      <c r="Q368" s="2">
        <v>45967</v>
      </c>
      <c r="R368" s="1" t="s">
        <v>1074</v>
      </c>
      <c r="V368" s="45">
        <f>IF(
  OR(
    ISNUMBER(SEARCH("unable to locate acct", tblDocketedComments[[#This Row],[Docketed Consumer Comments]])),
    ISNUMBER(SEARCH("unknown", tblDocketedComments[[#This Row],[Docketed Consumer Comments]])),
    ISNUMBER(SEARCH("inactive", tblDocketedComments[[#This Row],[Docketed Consumer Comments]]))
  ),
  0,
  1
)</f>
        <v>1</v>
      </c>
    </row>
    <row r="369" spans="1:22" hidden="1">
      <c r="A369" s="2">
        <v>45903</v>
      </c>
      <c r="B369" s="1" t="s">
        <v>1075</v>
      </c>
      <c r="C369" s="1" t="s">
        <v>1076</v>
      </c>
      <c r="D369" s="1" t="s">
        <v>520</v>
      </c>
      <c r="E369" s="1">
        <v>85392</v>
      </c>
      <c r="F369" s="1" t="s">
        <v>31</v>
      </c>
      <c r="G369" s="1" t="s">
        <v>503</v>
      </c>
      <c r="H369" s="4" t="s">
        <v>27</v>
      </c>
      <c r="V369" s="45">
        <f>IF(
  OR(
    ISNUMBER(SEARCH("unable to locate acct", tblDocketedComments[[#This Row],[Docketed Consumer Comments]])),
    ISNUMBER(SEARCH("unknown", tblDocketedComments[[#This Row],[Docketed Consumer Comments]])),
    ISNUMBER(SEARCH("inactive", tblDocketedComments[[#This Row],[Docketed Consumer Comments]]))
  ),
  0,
  1
)</f>
        <v>1</v>
      </c>
    </row>
    <row r="370" spans="1:22" hidden="1">
      <c r="A370" s="2">
        <v>45903</v>
      </c>
      <c r="B370" s="1" t="s">
        <v>1077</v>
      </c>
      <c r="C370" s="1" t="s">
        <v>1078</v>
      </c>
      <c r="D370" s="1" t="s">
        <v>30</v>
      </c>
      <c r="E370" s="1">
        <v>85085</v>
      </c>
      <c r="F370" s="1" t="s">
        <v>310</v>
      </c>
      <c r="G370" s="1" t="s">
        <v>503</v>
      </c>
      <c r="H370" s="21" t="s">
        <v>6630</v>
      </c>
      <c r="I370" s="5" t="s">
        <v>196</v>
      </c>
      <c r="J370" s="5" t="s">
        <v>37</v>
      </c>
      <c r="K370" s="5" t="s">
        <v>37</v>
      </c>
      <c r="L370" s="5" t="s">
        <v>1079</v>
      </c>
      <c r="M370" s="5" t="s">
        <v>37</v>
      </c>
      <c r="N370" s="5" t="s">
        <v>37</v>
      </c>
      <c r="O370" s="5" t="s">
        <v>38</v>
      </c>
      <c r="P370" s="5" t="s">
        <v>39</v>
      </c>
      <c r="Q370" s="2">
        <v>45967</v>
      </c>
      <c r="V370" s="45">
        <f>IF(
  OR(
    ISNUMBER(SEARCH("unable to locate acct", tblDocketedComments[[#This Row],[Docketed Consumer Comments]])),
    ISNUMBER(SEARCH("unknown", tblDocketedComments[[#This Row],[Docketed Consumer Comments]])),
    ISNUMBER(SEARCH("inactive", tblDocketedComments[[#This Row],[Docketed Consumer Comments]]))
  ),
  0,
  1
)</f>
        <v>1</v>
      </c>
    </row>
    <row r="371" spans="1:22" hidden="1">
      <c r="A371" s="2">
        <v>45903</v>
      </c>
      <c r="B371" s="1" t="s">
        <v>1080</v>
      </c>
      <c r="C371" s="1" t="s">
        <v>1081</v>
      </c>
      <c r="D371" s="1" t="s">
        <v>202</v>
      </c>
      <c r="E371" s="1">
        <v>85383</v>
      </c>
      <c r="F371" s="1" t="s">
        <v>1082</v>
      </c>
      <c r="G371" s="1" t="s">
        <v>503</v>
      </c>
      <c r="H371" s="4" t="s">
        <v>27</v>
      </c>
      <c r="V371" s="45">
        <f>IF(
  OR(
    ISNUMBER(SEARCH("unable to locate acct", tblDocketedComments[[#This Row],[Docketed Consumer Comments]])),
    ISNUMBER(SEARCH("unknown", tblDocketedComments[[#This Row],[Docketed Consumer Comments]])),
    ISNUMBER(SEARCH("inactive", tblDocketedComments[[#This Row],[Docketed Consumer Comments]]))
  ),
  0,
  1
)</f>
        <v>1</v>
      </c>
    </row>
    <row r="372" spans="1:22" hidden="1">
      <c r="A372" s="2">
        <v>45903</v>
      </c>
      <c r="B372" s="1" t="s">
        <v>1083</v>
      </c>
      <c r="C372" s="1" t="s">
        <v>312</v>
      </c>
      <c r="D372" s="1" t="s">
        <v>520</v>
      </c>
      <c r="E372" s="1">
        <v>85323</v>
      </c>
      <c r="F372" s="1" t="s">
        <v>1084</v>
      </c>
      <c r="G372" s="1" t="s">
        <v>503</v>
      </c>
      <c r="H372" s="21" t="s">
        <v>6631</v>
      </c>
      <c r="I372" s="5" t="s">
        <v>73</v>
      </c>
      <c r="J372" s="5" t="s">
        <v>37</v>
      </c>
      <c r="K372" s="5" t="s">
        <v>37</v>
      </c>
      <c r="L372" s="5" t="s">
        <v>38</v>
      </c>
      <c r="M372" s="5" t="s">
        <v>37</v>
      </c>
      <c r="N372" s="5" t="s">
        <v>37</v>
      </c>
      <c r="O372" s="5" t="s">
        <v>38</v>
      </c>
      <c r="P372" s="5" t="s">
        <v>39</v>
      </c>
      <c r="Q372" s="2">
        <v>45967</v>
      </c>
      <c r="V372" s="45">
        <f>IF(
  OR(
    ISNUMBER(SEARCH("unable to locate acct", tblDocketedComments[[#This Row],[Docketed Consumer Comments]])),
    ISNUMBER(SEARCH("unknown", tblDocketedComments[[#This Row],[Docketed Consumer Comments]])),
    ISNUMBER(SEARCH("inactive", tblDocketedComments[[#This Row],[Docketed Consumer Comments]]))
  ),
  0,
  1
)</f>
        <v>1</v>
      </c>
    </row>
    <row r="373" spans="1:22" hidden="1">
      <c r="A373" s="2">
        <v>45903</v>
      </c>
      <c r="B373" s="1" t="s">
        <v>176</v>
      </c>
      <c r="C373" s="1" t="s">
        <v>284</v>
      </c>
      <c r="D373" s="1" t="s">
        <v>63</v>
      </c>
      <c r="E373" s="1">
        <v>85024</v>
      </c>
      <c r="F373" s="1" t="s">
        <v>310</v>
      </c>
      <c r="G373" s="1" t="s">
        <v>503</v>
      </c>
      <c r="H373" s="4" t="s">
        <v>209</v>
      </c>
      <c r="V373" s="45">
        <f>IF(
  OR(
    ISNUMBER(SEARCH("unable to locate acct", tblDocketedComments[[#This Row],[Docketed Consumer Comments]])),
    ISNUMBER(SEARCH("unknown", tblDocketedComments[[#This Row],[Docketed Consumer Comments]])),
    ISNUMBER(SEARCH("inactive", tblDocketedComments[[#This Row],[Docketed Consumer Comments]]))
  ),
  0,
  1
)</f>
        <v>1</v>
      </c>
    </row>
    <row r="374" spans="1:22" hidden="1">
      <c r="A374" s="2">
        <v>45903</v>
      </c>
      <c r="B374" s="1" t="s">
        <v>1085</v>
      </c>
      <c r="C374" s="1" t="s">
        <v>1086</v>
      </c>
      <c r="D374" s="1" t="s">
        <v>63</v>
      </c>
      <c r="E374" s="1">
        <v>85032</v>
      </c>
      <c r="F374" s="1" t="s">
        <v>310</v>
      </c>
      <c r="G374" s="1" t="s">
        <v>503</v>
      </c>
      <c r="H374" s="4" t="s">
        <v>27</v>
      </c>
      <c r="V374" s="45">
        <f>IF(
  OR(
    ISNUMBER(SEARCH("unable to locate acct", tblDocketedComments[[#This Row],[Docketed Consumer Comments]])),
    ISNUMBER(SEARCH("unknown", tblDocketedComments[[#This Row],[Docketed Consumer Comments]])),
    ISNUMBER(SEARCH("inactive", tblDocketedComments[[#This Row],[Docketed Consumer Comments]]))
  ),
  0,
  1
)</f>
        <v>1</v>
      </c>
    </row>
    <row r="375" spans="1:22" hidden="1">
      <c r="A375" s="2">
        <v>45903</v>
      </c>
      <c r="B375" s="1" t="s">
        <v>1087</v>
      </c>
      <c r="C375" s="1" t="s">
        <v>1088</v>
      </c>
      <c r="D375" s="1" t="s">
        <v>520</v>
      </c>
      <c r="E375" s="1">
        <v>85392</v>
      </c>
      <c r="F375" s="1" t="s">
        <v>1084</v>
      </c>
      <c r="G375" s="1" t="s">
        <v>503</v>
      </c>
      <c r="H375" s="21" t="s">
        <v>6632</v>
      </c>
      <c r="I375" s="5" t="s">
        <v>196</v>
      </c>
      <c r="J375" s="5" t="s">
        <v>37</v>
      </c>
      <c r="K375" s="5" t="s">
        <v>37</v>
      </c>
      <c r="L375" s="5" t="s">
        <v>38</v>
      </c>
      <c r="M375" s="5" t="s">
        <v>37</v>
      </c>
      <c r="N375" s="5" t="s">
        <v>37</v>
      </c>
      <c r="O375" s="5" t="s">
        <v>38</v>
      </c>
      <c r="P375" s="5" t="s">
        <v>39</v>
      </c>
      <c r="Q375" s="2">
        <v>45967</v>
      </c>
      <c r="V375" s="45">
        <f>IF(
  OR(
    ISNUMBER(SEARCH("unable to locate acct", tblDocketedComments[[#This Row],[Docketed Consumer Comments]])),
    ISNUMBER(SEARCH("unknown", tblDocketedComments[[#This Row],[Docketed Consumer Comments]])),
    ISNUMBER(SEARCH("inactive", tblDocketedComments[[#This Row],[Docketed Consumer Comments]]))
  ),
  0,
  1
)</f>
        <v>1</v>
      </c>
    </row>
    <row r="376" spans="1:22" hidden="1">
      <c r="A376" s="2">
        <v>45903</v>
      </c>
      <c r="B376" s="1" t="s">
        <v>1089</v>
      </c>
      <c r="C376" s="1" t="s">
        <v>1090</v>
      </c>
      <c r="D376" s="1" t="s">
        <v>63</v>
      </c>
      <c r="E376" s="1">
        <v>85024</v>
      </c>
      <c r="F376" s="1" t="s">
        <v>310</v>
      </c>
      <c r="G376" s="1" t="s">
        <v>503</v>
      </c>
      <c r="H376" s="4" t="s">
        <v>209</v>
      </c>
      <c r="V376" s="45">
        <f>IF(
  OR(
    ISNUMBER(SEARCH("unable to locate acct", tblDocketedComments[[#This Row],[Docketed Consumer Comments]])),
    ISNUMBER(SEARCH("unknown", tblDocketedComments[[#This Row],[Docketed Consumer Comments]])),
    ISNUMBER(SEARCH("inactive", tblDocketedComments[[#This Row],[Docketed Consumer Comments]]))
  ),
  0,
  1
)</f>
        <v>1</v>
      </c>
    </row>
    <row r="377" spans="1:22" hidden="1">
      <c r="A377" s="2">
        <v>45903</v>
      </c>
      <c r="B377" s="1" t="s">
        <v>1091</v>
      </c>
      <c r="C377" s="1" t="s">
        <v>555</v>
      </c>
      <c r="D377" s="1" t="s">
        <v>63</v>
      </c>
      <c r="E377" s="1">
        <v>85050</v>
      </c>
      <c r="F377" s="1" t="s">
        <v>310</v>
      </c>
      <c r="G377" s="1" t="s">
        <v>503</v>
      </c>
      <c r="H377" s="21" t="s">
        <v>6633</v>
      </c>
      <c r="I377" s="5" t="s">
        <v>36</v>
      </c>
      <c r="J377" s="5" t="s">
        <v>37</v>
      </c>
      <c r="K377" s="5" t="s">
        <v>37</v>
      </c>
      <c r="L377" s="5" t="s">
        <v>38</v>
      </c>
      <c r="M377" s="5" t="s">
        <v>37</v>
      </c>
      <c r="N377" s="5" t="s">
        <v>37</v>
      </c>
      <c r="O377" s="5" t="s">
        <v>38</v>
      </c>
      <c r="P377" s="5" t="s">
        <v>39</v>
      </c>
      <c r="Q377" s="2">
        <v>45967</v>
      </c>
      <c r="V377" s="45">
        <f>IF(
  OR(
    ISNUMBER(SEARCH("unable to locate acct", tblDocketedComments[[#This Row],[Docketed Consumer Comments]])),
    ISNUMBER(SEARCH("unknown", tblDocketedComments[[#This Row],[Docketed Consumer Comments]])),
    ISNUMBER(SEARCH("inactive", tblDocketedComments[[#This Row],[Docketed Consumer Comments]]))
  ),
  0,
  1
)</f>
        <v>1</v>
      </c>
    </row>
    <row r="378" spans="1:22" hidden="1">
      <c r="A378" s="2">
        <v>45903</v>
      </c>
      <c r="B378" s="1" t="s">
        <v>1092</v>
      </c>
      <c r="C378" s="1" t="s">
        <v>1093</v>
      </c>
      <c r="D378" s="1" t="s">
        <v>63</v>
      </c>
      <c r="E378" s="1">
        <v>85050</v>
      </c>
      <c r="F378" s="1" t="s">
        <v>1094</v>
      </c>
      <c r="G378" s="1" t="s">
        <v>503</v>
      </c>
      <c r="H378" s="21" t="s">
        <v>6634</v>
      </c>
      <c r="I378" s="5" t="s">
        <v>196</v>
      </c>
      <c r="J378" s="5" t="s">
        <v>37</v>
      </c>
      <c r="K378" s="5" t="s">
        <v>37</v>
      </c>
      <c r="L378" s="5" t="s">
        <v>38</v>
      </c>
      <c r="M378" s="5" t="s">
        <v>37</v>
      </c>
      <c r="N378" s="5" t="s">
        <v>37</v>
      </c>
      <c r="O378" s="5" t="s">
        <v>38</v>
      </c>
      <c r="P378" s="5" t="s">
        <v>39</v>
      </c>
      <c r="Q378" s="2">
        <v>45967</v>
      </c>
      <c r="V378" s="45">
        <f>IF(
  OR(
    ISNUMBER(SEARCH("unable to locate acct", tblDocketedComments[[#This Row],[Docketed Consumer Comments]])),
    ISNUMBER(SEARCH("unknown", tblDocketedComments[[#This Row],[Docketed Consumer Comments]])),
    ISNUMBER(SEARCH("inactive", tblDocketedComments[[#This Row],[Docketed Consumer Comments]]))
  ),
  0,
  1
)</f>
        <v>1</v>
      </c>
    </row>
    <row r="379" spans="1:22" hidden="1">
      <c r="A379" s="2">
        <v>45903</v>
      </c>
      <c r="B379" s="1" t="s">
        <v>1095</v>
      </c>
      <c r="C379" s="1" t="s">
        <v>469</v>
      </c>
      <c r="D379" s="1" t="s">
        <v>63</v>
      </c>
      <c r="E379" s="1">
        <v>85042</v>
      </c>
      <c r="F379" s="1" t="s">
        <v>310</v>
      </c>
      <c r="G379" s="1" t="s">
        <v>503</v>
      </c>
      <c r="H379" s="4" t="s">
        <v>90</v>
      </c>
      <c r="V379" s="45">
        <f>IF(
  OR(
    ISNUMBER(SEARCH("unable to locate acct", tblDocketedComments[[#This Row],[Docketed Consumer Comments]])),
    ISNUMBER(SEARCH("unknown", tblDocketedComments[[#This Row],[Docketed Consumer Comments]])),
    ISNUMBER(SEARCH("inactive", tblDocketedComments[[#This Row],[Docketed Consumer Comments]]))
  ),
  0,
  1
)</f>
        <v>1</v>
      </c>
    </row>
    <row r="380" spans="1:22" hidden="1">
      <c r="A380" s="2">
        <v>45903</v>
      </c>
      <c r="B380" s="1" t="s">
        <v>1096</v>
      </c>
      <c r="C380" s="1" t="s">
        <v>1097</v>
      </c>
      <c r="D380" s="1" t="s">
        <v>1098</v>
      </c>
      <c r="E380" s="1">
        <v>85355</v>
      </c>
      <c r="F380" s="1" t="s">
        <v>1099</v>
      </c>
      <c r="G380" s="1" t="s">
        <v>503</v>
      </c>
      <c r="H380" s="21" t="s">
        <v>6635</v>
      </c>
      <c r="I380" s="5" t="s">
        <v>36</v>
      </c>
      <c r="J380" s="5" t="s">
        <v>37</v>
      </c>
      <c r="K380" s="5" t="s">
        <v>37</v>
      </c>
      <c r="L380" s="5" t="s">
        <v>38</v>
      </c>
      <c r="M380" s="5" t="s">
        <v>37</v>
      </c>
      <c r="N380" s="5" t="s">
        <v>37</v>
      </c>
      <c r="O380" s="5" t="s">
        <v>38</v>
      </c>
      <c r="P380" s="5" t="s">
        <v>39</v>
      </c>
      <c r="Q380" s="2">
        <v>45967</v>
      </c>
      <c r="V380" s="45">
        <f>IF(
  OR(
    ISNUMBER(SEARCH("unable to locate acct", tblDocketedComments[[#This Row],[Docketed Consumer Comments]])),
    ISNUMBER(SEARCH("unknown", tblDocketedComments[[#This Row],[Docketed Consumer Comments]])),
    ISNUMBER(SEARCH("inactive", tblDocketedComments[[#This Row],[Docketed Consumer Comments]]))
  ),
  0,
  1
)</f>
        <v>1</v>
      </c>
    </row>
    <row r="381" spans="1:22" hidden="1">
      <c r="A381" s="2">
        <v>45903</v>
      </c>
      <c r="B381" s="1" t="s">
        <v>812</v>
      </c>
      <c r="C381" s="1" t="s">
        <v>328</v>
      </c>
      <c r="D381" s="1" t="s">
        <v>112</v>
      </c>
      <c r="E381" s="1">
        <v>85379</v>
      </c>
      <c r="F381" s="1" t="s">
        <v>310</v>
      </c>
      <c r="G381" s="1" t="s">
        <v>503</v>
      </c>
      <c r="H381" s="21" t="s">
        <v>6636</v>
      </c>
      <c r="I381" s="5" t="s">
        <v>36</v>
      </c>
      <c r="J381" s="5" t="s">
        <v>37</v>
      </c>
      <c r="K381" s="5" t="s">
        <v>37</v>
      </c>
      <c r="L381" s="5" t="s">
        <v>38</v>
      </c>
      <c r="M381" s="5" t="s">
        <v>37</v>
      </c>
      <c r="N381" s="5" t="s">
        <v>37</v>
      </c>
      <c r="O381" s="5" t="s">
        <v>38</v>
      </c>
      <c r="P381" s="5" t="s">
        <v>39</v>
      </c>
      <c r="Q381" s="2">
        <v>45967</v>
      </c>
      <c r="V381" s="45">
        <f>IF(
  OR(
    ISNUMBER(SEARCH("unable to locate acct", tblDocketedComments[[#This Row],[Docketed Consumer Comments]])),
    ISNUMBER(SEARCH("unknown", tblDocketedComments[[#This Row],[Docketed Consumer Comments]])),
    ISNUMBER(SEARCH("inactive", tblDocketedComments[[#This Row],[Docketed Consumer Comments]]))
  ),
  0,
  1
)</f>
        <v>1</v>
      </c>
    </row>
    <row r="382" spans="1:22" hidden="1">
      <c r="A382" s="2">
        <v>45903</v>
      </c>
      <c r="B382" s="1" t="s">
        <v>1100</v>
      </c>
      <c r="C382" s="1" t="s">
        <v>1101</v>
      </c>
      <c r="D382" s="1" t="s">
        <v>202</v>
      </c>
      <c r="E382" s="1">
        <v>85383</v>
      </c>
      <c r="F382" s="1" t="s">
        <v>310</v>
      </c>
      <c r="G382" s="1" t="s">
        <v>503</v>
      </c>
      <c r="H382" s="4" t="s">
        <v>90</v>
      </c>
      <c r="V382" s="45">
        <f>IF(
  OR(
    ISNUMBER(SEARCH("unable to locate acct", tblDocketedComments[[#This Row],[Docketed Consumer Comments]])),
    ISNUMBER(SEARCH("unknown", tblDocketedComments[[#This Row],[Docketed Consumer Comments]])),
    ISNUMBER(SEARCH("inactive", tblDocketedComments[[#This Row],[Docketed Consumer Comments]]))
  ),
  0,
  1
)</f>
        <v>1</v>
      </c>
    </row>
    <row r="383" spans="1:22" hidden="1">
      <c r="A383" s="2">
        <v>45903</v>
      </c>
      <c r="B383" s="1" t="s">
        <v>1102</v>
      </c>
      <c r="C383" s="1" t="s">
        <v>115</v>
      </c>
      <c r="D383" s="1" t="s">
        <v>169</v>
      </c>
      <c r="E383" s="1">
        <v>85338</v>
      </c>
      <c r="F383" s="1" t="s">
        <v>1103</v>
      </c>
      <c r="G383" s="1" t="s">
        <v>503</v>
      </c>
      <c r="H383" s="21" t="s">
        <v>6637</v>
      </c>
      <c r="I383" s="5" t="s">
        <v>36</v>
      </c>
      <c r="J383" s="5" t="s">
        <v>37</v>
      </c>
      <c r="K383" s="5" t="s">
        <v>37</v>
      </c>
      <c r="L383" s="5" t="s">
        <v>38</v>
      </c>
      <c r="M383" s="5" t="s">
        <v>37</v>
      </c>
      <c r="N383" s="5" t="s">
        <v>37</v>
      </c>
      <c r="O383" s="5" t="s">
        <v>38</v>
      </c>
      <c r="P383" s="5" t="s">
        <v>39</v>
      </c>
      <c r="Q383" s="2">
        <v>45967</v>
      </c>
      <c r="V383" s="45">
        <f>IF(
  OR(
    ISNUMBER(SEARCH("unable to locate acct", tblDocketedComments[[#This Row],[Docketed Consumer Comments]])),
    ISNUMBER(SEARCH("unknown", tblDocketedComments[[#This Row],[Docketed Consumer Comments]])),
    ISNUMBER(SEARCH("inactive", tblDocketedComments[[#This Row],[Docketed Consumer Comments]]))
  ),
  0,
  1
)</f>
        <v>1</v>
      </c>
    </row>
    <row r="384" spans="1:22" hidden="1">
      <c r="A384" s="2">
        <v>45903</v>
      </c>
      <c r="B384" s="1" t="s">
        <v>1104</v>
      </c>
      <c r="C384" s="1" t="s">
        <v>1105</v>
      </c>
      <c r="D384" s="1" t="s">
        <v>169</v>
      </c>
      <c r="E384" s="1">
        <v>85338</v>
      </c>
      <c r="F384" s="1" t="s">
        <v>1106</v>
      </c>
      <c r="G384" s="1" t="s">
        <v>503</v>
      </c>
      <c r="H384" s="21" t="s">
        <v>6638</v>
      </c>
      <c r="I384" s="5" t="s">
        <v>46</v>
      </c>
      <c r="J384" s="5" t="s">
        <v>37</v>
      </c>
      <c r="K384" s="5" t="s">
        <v>37</v>
      </c>
      <c r="L384" s="7" t="s">
        <v>1107</v>
      </c>
      <c r="M384" s="5" t="s">
        <v>37</v>
      </c>
      <c r="N384" s="5" t="s">
        <v>37</v>
      </c>
      <c r="O384" s="5" t="s">
        <v>38</v>
      </c>
      <c r="P384" s="2">
        <v>46301</v>
      </c>
      <c r="Q384" s="2">
        <v>45967</v>
      </c>
      <c r="R384" s="1" t="s">
        <v>1108</v>
      </c>
      <c r="V384" s="45">
        <f>IF(
  OR(
    ISNUMBER(SEARCH("unable to locate acct", tblDocketedComments[[#This Row],[Docketed Consumer Comments]])),
    ISNUMBER(SEARCH("unknown", tblDocketedComments[[#This Row],[Docketed Consumer Comments]])),
    ISNUMBER(SEARCH("inactive", tblDocketedComments[[#This Row],[Docketed Consumer Comments]]))
  ),
  0,
  1
)</f>
        <v>1</v>
      </c>
    </row>
    <row r="385" spans="1:22" hidden="1">
      <c r="A385" s="2">
        <v>45903</v>
      </c>
      <c r="B385" s="1" t="s">
        <v>1109</v>
      </c>
      <c r="C385" s="1" t="s">
        <v>1110</v>
      </c>
      <c r="D385" s="1" t="s">
        <v>240</v>
      </c>
      <c r="E385" s="1">
        <v>85340</v>
      </c>
      <c r="F385" s="1" t="s">
        <v>31</v>
      </c>
      <c r="G385" s="1" t="s">
        <v>503</v>
      </c>
      <c r="H385" s="21" t="s">
        <v>6639</v>
      </c>
      <c r="I385" s="5" t="s">
        <v>36</v>
      </c>
      <c r="J385" s="5" t="s">
        <v>37</v>
      </c>
      <c r="K385" s="5" t="s">
        <v>37</v>
      </c>
      <c r="L385" s="5" t="s">
        <v>38</v>
      </c>
      <c r="M385" s="5" t="s">
        <v>37</v>
      </c>
      <c r="N385" s="5" t="s">
        <v>37</v>
      </c>
      <c r="O385" s="5" t="s">
        <v>38</v>
      </c>
      <c r="P385" s="5" t="s">
        <v>39</v>
      </c>
      <c r="Q385" s="2">
        <v>45967</v>
      </c>
      <c r="V385" s="45">
        <f>IF(
  OR(
    ISNUMBER(SEARCH("unable to locate acct", tblDocketedComments[[#This Row],[Docketed Consumer Comments]])),
    ISNUMBER(SEARCH("unknown", tblDocketedComments[[#This Row],[Docketed Consumer Comments]])),
    ISNUMBER(SEARCH("inactive", tblDocketedComments[[#This Row],[Docketed Consumer Comments]]))
  ),
  0,
  1
)</f>
        <v>1</v>
      </c>
    </row>
    <row r="386" spans="1:22" hidden="1">
      <c r="A386" s="2">
        <v>45903</v>
      </c>
      <c r="B386" s="1" t="s">
        <v>1111</v>
      </c>
      <c r="C386" s="1" t="s">
        <v>1112</v>
      </c>
      <c r="D386" s="1" t="s">
        <v>169</v>
      </c>
      <c r="E386" s="1">
        <v>85395</v>
      </c>
      <c r="F386" s="1" t="s">
        <v>1113</v>
      </c>
      <c r="G386" s="1" t="s">
        <v>503</v>
      </c>
      <c r="H386" s="21" t="s">
        <v>6640</v>
      </c>
      <c r="I386" s="5" t="s">
        <v>46</v>
      </c>
      <c r="J386" s="5" t="s">
        <v>37</v>
      </c>
      <c r="K386" s="5" t="s">
        <v>37</v>
      </c>
      <c r="L386" s="5" t="s">
        <v>38</v>
      </c>
      <c r="M386" s="5" t="s">
        <v>37</v>
      </c>
      <c r="N386" s="5" t="s">
        <v>37</v>
      </c>
      <c r="O386" s="5" t="s">
        <v>38</v>
      </c>
      <c r="P386" s="5" t="s">
        <v>39</v>
      </c>
      <c r="Q386" s="2">
        <v>45967</v>
      </c>
      <c r="V386" s="45">
        <f>IF(
  OR(
    ISNUMBER(SEARCH("unable to locate acct", tblDocketedComments[[#This Row],[Docketed Consumer Comments]])),
    ISNUMBER(SEARCH("unknown", tblDocketedComments[[#This Row],[Docketed Consumer Comments]])),
    ISNUMBER(SEARCH("inactive", tblDocketedComments[[#This Row],[Docketed Consumer Comments]]))
  ),
  0,
  1
)</f>
        <v>1</v>
      </c>
    </row>
    <row r="387" spans="1:22" hidden="1">
      <c r="A387" s="2">
        <v>45903</v>
      </c>
      <c r="B387" s="1" t="s">
        <v>1114</v>
      </c>
      <c r="C387" s="1" t="s">
        <v>1115</v>
      </c>
      <c r="D387" s="1" t="s">
        <v>112</v>
      </c>
      <c r="E387" s="1">
        <v>85387</v>
      </c>
      <c r="F387" s="1" t="s">
        <v>31</v>
      </c>
      <c r="G387" s="1" t="s">
        <v>503</v>
      </c>
      <c r="H387" s="21" t="s">
        <v>6641</v>
      </c>
      <c r="I387" s="5" t="s">
        <v>196</v>
      </c>
      <c r="J387" s="5" t="s">
        <v>37</v>
      </c>
      <c r="K387" s="5" t="s">
        <v>37</v>
      </c>
      <c r="L387" s="5" t="s">
        <v>1116</v>
      </c>
      <c r="M387" s="5" t="s">
        <v>37</v>
      </c>
      <c r="N387" s="5" t="s">
        <v>37</v>
      </c>
      <c r="O387" s="5" t="s">
        <v>38</v>
      </c>
      <c r="P387" s="5" t="s">
        <v>39</v>
      </c>
      <c r="Q387" s="2">
        <v>45967</v>
      </c>
      <c r="R387" s="1" t="s">
        <v>1117</v>
      </c>
      <c r="V387" s="45">
        <f>IF(
  OR(
    ISNUMBER(SEARCH("unable to locate acct", tblDocketedComments[[#This Row],[Docketed Consumer Comments]])),
    ISNUMBER(SEARCH("unknown", tblDocketedComments[[#This Row],[Docketed Consumer Comments]])),
    ISNUMBER(SEARCH("inactive", tblDocketedComments[[#This Row],[Docketed Consumer Comments]]))
  ),
  0,
  1
)</f>
        <v>1</v>
      </c>
    </row>
    <row r="388" spans="1:22" hidden="1">
      <c r="A388" s="2">
        <v>45903</v>
      </c>
      <c r="B388" s="1" t="s">
        <v>1118</v>
      </c>
      <c r="C388" s="1" t="s">
        <v>1119</v>
      </c>
      <c r="D388" s="1" t="s">
        <v>174</v>
      </c>
      <c r="E388" s="1">
        <v>85326</v>
      </c>
      <c r="F388" s="1" t="s">
        <v>310</v>
      </c>
      <c r="G388" s="1" t="s">
        <v>503</v>
      </c>
      <c r="H388" s="4" t="s">
        <v>90</v>
      </c>
      <c r="V388" s="45">
        <f>IF(
  OR(
    ISNUMBER(SEARCH("unable to locate acct", tblDocketedComments[[#This Row],[Docketed Consumer Comments]])),
    ISNUMBER(SEARCH("unknown", tblDocketedComments[[#This Row],[Docketed Consumer Comments]])),
    ISNUMBER(SEARCH("inactive", tblDocketedComments[[#This Row],[Docketed Consumer Comments]]))
  ),
  0,
  1
)</f>
        <v>1</v>
      </c>
    </row>
    <row r="389" spans="1:22" hidden="1">
      <c r="A389" s="2">
        <v>45903</v>
      </c>
      <c r="B389" s="1" t="s">
        <v>1120</v>
      </c>
      <c r="C389" s="1" t="s">
        <v>358</v>
      </c>
      <c r="D389" s="1" t="s">
        <v>169</v>
      </c>
      <c r="E389" s="1">
        <v>85338</v>
      </c>
      <c r="F389" s="1" t="s">
        <v>310</v>
      </c>
      <c r="G389" s="1" t="s">
        <v>503</v>
      </c>
      <c r="H389" s="21" t="s">
        <v>6642</v>
      </c>
      <c r="I389" s="5" t="s">
        <v>196</v>
      </c>
      <c r="J389" s="5" t="s">
        <v>37</v>
      </c>
      <c r="K389" s="5" t="s">
        <v>37</v>
      </c>
      <c r="L389" s="7" t="s">
        <v>1121</v>
      </c>
      <c r="M389" s="5" t="s">
        <v>37</v>
      </c>
      <c r="N389" s="5" t="s">
        <v>37</v>
      </c>
      <c r="O389" s="5" t="s">
        <v>38</v>
      </c>
      <c r="P389" s="2">
        <v>45936</v>
      </c>
      <c r="Q389" s="2">
        <v>45967</v>
      </c>
      <c r="R389" s="1" t="s">
        <v>1122</v>
      </c>
      <c r="V389" s="45">
        <f>IF(
  OR(
    ISNUMBER(SEARCH("unable to locate acct", tblDocketedComments[[#This Row],[Docketed Consumer Comments]])),
    ISNUMBER(SEARCH("unknown", tblDocketedComments[[#This Row],[Docketed Consumer Comments]])),
    ISNUMBER(SEARCH("inactive", tblDocketedComments[[#This Row],[Docketed Consumer Comments]]))
  ),
  0,
  1
)</f>
        <v>1</v>
      </c>
    </row>
    <row r="390" spans="1:22" hidden="1">
      <c r="A390" s="2">
        <v>45903</v>
      </c>
      <c r="B390" s="1" t="s">
        <v>1123</v>
      </c>
      <c r="C390" s="1" t="s">
        <v>1124</v>
      </c>
      <c r="D390" s="1" t="s">
        <v>169</v>
      </c>
      <c r="E390" s="1">
        <v>85338</v>
      </c>
      <c r="F390" s="1" t="s">
        <v>1125</v>
      </c>
      <c r="G390" s="1" t="s">
        <v>503</v>
      </c>
      <c r="H390" s="21" t="s">
        <v>6643</v>
      </c>
      <c r="I390" s="5" t="s">
        <v>243</v>
      </c>
      <c r="J390" s="5" t="s">
        <v>38</v>
      </c>
      <c r="K390" s="5" t="s">
        <v>37</v>
      </c>
      <c r="L390" s="5" t="s">
        <v>387</v>
      </c>
      <c r="M390" s="5" t="s">
        <v>38</v>
      </c>
      <c r="N390" s="15">
        <v>520.65</v>
      </c>
      <c r="O390" s="5" t="s">
        <v>38</v>
      </c>
      <c r="P390" s="7"/>
      <c r="Q390" s="2">
        <v>45967</v>
      </c>
      <c r="R390" s="1" t="s">
        <v>492</v>
      </c>
      <c r="V390" s="45">
        <f>IF(
  OR(
    ISNUMBER(SEARCH("unable to locate acct", tblDocketedComments[[#This Row],[Docketed Consumer Comments]])),
    ISNUMBER(SEARCH("unknown", tblDocketedComments[[#This Row],[Docketed Consumer Comments]])),
    ISNUMBER(SEARCH("inactive", tblDocketedComments[[#This Row],[Docketed Consumer Comments]]))
  ),
  0,
  1
)</f>
        <v>1</v>
      </c>
    </row>
    <row r="391" spans="1:22" hidden="1">
      <c r="A391" s="2">
        <v>45903</v>
      </c>
      <c r="B391" s="1" t="s">
        <v>1126</v>
      </c>
      <c r="C391" s="1" t="s">
        <v>1127</v>
      </c>
      <c r="D391" s="1" t="s">
        <v>169</v>
      </c>
      <c r="E391" s="1">
        <v>85338</v>
      </c>
      <c r="F391" s="1" t="s">
        <v>31</v>
      </c>
      <c r="G391" s="1" t="s">
        <v>503</v>
      </c>
      <c r="H391" s="21" t="s">
        <v>6644</v>
      </c>
      <c r="I391" s="5" t="s">
        <v>196</v>
      </c>
      <c r="J391" s="5" t="s">
        <v>37</v>
      </c>
      <c r="K391" s="5" t="s">
        <v>37</v>
      </c>
      <c r="L391" s="7" t="s">
        <v>1128</v>
      </c>
      <c r="M391" s="5" t="s">
        <v>37</v>
      </c>
      <c r="N391" s="5" t="s">
        <v>37</v>
      </c>
      <c r="O391" s="5" t="s">
        <v>38</v>
      </c>
      <c r="P391" s="2">
        <v>45936</v>
      </c>
      <c r="Q391" s="2">
        <v>45967</v>
      </c>
      <c r="R391" s="1" t="s">
        <v>1129</v>
      </c>
      <c r="V391" s="45">
        <f>IF(
  OR(
    ISNUMBER(SEARCH("unable to locate acct", tblDocketedComments[[#This Row],[Docketed Consumer Comments]])),
    ISNUMBER(SEARCH("unknown", tblDocketedComments[[#This Row],[Docketed Consumer Comments]])),
    ISNUMBER(SEARCH("inactive", tblDocketedComments[[#This Row],[Docketed Consumer Comments]]))
  ),
  0,
  1
)</f>
        <v>1</v>
      </c>
    </row>
    <row r="392" spans="1:22" hidden="1">
      <c r="A392" s="2">
        <v>45903</v>
      </c>
      <c r="B392" s="1" t="s">
        <v>1130</v>
      </c>
      <c r="C392" s="1" t="s">
        <v>765</v>
      </c>
      <c r="D392" s="1" t="s">
        <v>202</v>
      </c>
      <c r="E392" s="1">
        <v>85383</v>
      </c>
      <c r="F392" s="1" t="s">
        <v>310</v>
      </c>
      <c r="G392" s="1" t="s">
        <v>503</v>
      </c>
      <c r="H392" s="4" t="s">
        <v>27</v>
      </c>
      <c r="V392" s="45">
        <f>IF(
  OR(
    ISNUMBER(SEARCH("unable to locate acct", tblDocketedComments[[#This Row],[Docketed Consumer Comments]])),
    ISNUMBER(SEARCH("unknown", tblDocketedComments[[#This Row],[Docketed Consumer Comments]])),
    ISNUMBER(SEARCH("inactive", tblDocketedComments[[#This Row],[Docketed Consumer Comments]]))
  ),
  0,
  1
)</f>
        <v>1</v>
      </c>
    </row>
    <row r="393" spans="1:22" hidden="1">
      <c r="A393" s="2">
        <v>45903</v>
      </c>
      <c r="B393" s="1" t="s">
        <v>1131</v>
      </c>
      <c r="C393" s="1" t="s">
        <v>1132</v>
      </c>
      <c r="D393" s="1" t="s">
        <v>369</v>
      </c>
      <c r="E393" s="1">
        <v>85225</v>
      </c>
      <c r="F393" s="1" t="s">
        <v>310</v>
      </c>
      <c r="G393" s="1" t="s">
        <v>503</v>
      </c>
      <c r="H393" s="21" t="s">
        <v>6645</v>
      </c>
      <c r="I393" s="5" t="s">
        <v>36</v>
      </c>
      <c r="J393" s="5" t="s">
        <v>37</v>
      </c>
      <c r="K393" s="5" t="s">
        <v>37</v>
      </c>
      <c r="L393" s="5" t="s">
        <v>38</v>
      </c>
      <c r="M393" s="5" t="s">
        <v>37</v>
      </c>
      <c r="N393" s="5" t="s">
        <v>37</v>
      </c>
      <c r="O393" s="5" t="s">
        <v>38</v>
      </c>
      <c r="P393" s="5" t="s">
        <v>39</v>
      </c>
      <c r="Q393" s="2">
        <v>45967</v>
      </c>
      <c r="V393" s="45">
        <f>IF(
  OR(
    ISNUMBER(SEARCH("unable to locate acct", tblDocketedComments[[#This Row],[Docketed Consumer Comments]])),
    ISNUMBER(SEARCH("unknown", tblDocketedComments[[#This Row],[Docketed Consumer Comments]])),
    ISNUMBER(SEARCH("inactive", tblDocketedComments[[#This Row],[Docketed Consumer Comments]]))
  ),
  0,
  1
)</f>
        <v>1</v>
      </c>
    </row>
    <row r="394" spans="1:22" hidden="1">
      <c r="A394" s="2">
        <v>45903</v>
      </c>
      <c r="B394" s="1" t="s">
        <v>1133</v>
      </c>
      <c r="C394" s="1" t="s">
        <v>156</v>
      </c>
      <c r="D394" s="1" t="s">
        <v>63</v>
      </c>
      <c r="E394" s="1">
        <v>85032</v>
      </c>
      <c r="F394" s="1" t="s">
        <v>310</v>
      </c>
      <c r="G394" s="1" t="s">
        <v>503</v>
      </c>
      <c r="H394" s="21" t="s">
        <v>6646</v>
      </c>
      <c r="I394" s="5" t="s">
        <v>196</v>
      </c>
      <c r="J394" s="5" t="s">
        <v>37</v>
      </c>
      <c r="K394" s="5" t="s">
        <v>37</v>
      </c>
      <c r="L394" s="7" t="s">
        <v>1134</v>
      </c>
      <c r="M394" s="5" t="s">
        <v>37</v>
      </c>
      <c r="N394" s="5" t="s">
        <v>37</v>
      </c>
      <c r="O394" s="5" t="s">
        <v>38</v>
      </c>
      <c r="P394" s="2">
        <v>45936</v>
      </c>
      <c r="Q394" s="2">
        <v>45967</v>
      </c>
      <c r="R394" s="1" t="s">
        <v>1129</v>
      </c>
      <c r="V394" s="45">
        <f>IF(
  OR(
    ISNUMBER(SEARCH("unable to locate acct", tblDocketedComments[[#This Row],[Docketed Consumer Comments]])),
    ISNUMBER(SEARCH("unknown", tblDocketedComments[[#This Row],[Docketed Consumer Comments]])),
    ISNUMBER(SEARCH("inactive", tblDocketedComments[[#This Row],[Docketed Consumer Comments]]))
  ),
  0,
  1
)</f>
        <v>1</v>
      </c>
    </row>
    <row r="395" spans="1:22" hidden="1">
      <c r="A395" s="2">
        <v>45903</v>
      </c>
      <c r="B395" s="1" t="s">
        <v>134</v>
      </c>
      <c r="C395" s="1" t="s">
        <v>454</v>
      </c>
      <c r="D395" s="1" t="s">
        <v>24</v>
      </c>
      <c r="E395" s="1">
        <v>85306</v>
      </c>
      <c r="F395" s="1" t="s">
        <v>310</v>
      </c>
      <c r="G395" s="1" t="s">
        <v>503</v>
      </c>
      <c r="H395" s="21" t="s">
        <v>6647</v>
      </c>
      <c r="I395" s="5" t="s">
        <v>196</v>
      </c>
      <c r="J395" s="5" t="s">
        <v>37</v>
      </c>
      <c r="K395" s="5" t="s">
        <v>37</v>
      </c>
      <c r="L395" s="5" t="s">
        <v>1135</v>
      </c>
      <c r="M395" s="5" t="s">
        <v>37</v>
      </c>
      <c r="N395" s="5" t="s">
        <v>37</v>
      </c>
      <c r="O395" s="5" t="s">
        <v>38</v>
      </c>
      <c r="P395" s="5" t="s">
        <v>39</v>
      </c>
      <c r="Q395" s="2">
        <v>45967</v>
      </c>
      <c r="V395" s="45">
        <f>IF(
  OR(
    ISNUMBER(SEARCH("unable to locate acct", tblDocketedComments[[#This Row],[Docketed Consumer Comments]])),
    ISNUMBER(SEARCH("unknown", tblDocketedComments[[#This Row],[Docketed Consumer Comments]])),
    ISNUMBER(SEARCH("inactive", tblDocketedComments[[#This Row],[Docketed Consumer Comments]]))
  ),
  0,
  1
)</f>
        <v>1</v>
      </c>
    </row>
    <row r="396" spans="1:22" hidden="1">
      <c r="A396" s="2">
        <v>45903</v>
      </c>
      <c r="B396" s="1" t="s">
        <v>1136</v>
      </c>
      <c r="C396" s="1" t="s">
        <v>1006</v>
      </c>
      <c r="D396" s="1" t="s">
        <v>169</v>
      </c>
      <c r="E396" s="1">
        <v>85338</v>
      </c>
      <c r="F396" s="1" t="s">
        <v>758</v>
      </c>
      <c r="G396" s="1" t="s">
        <v>503</v>
      </c>
      <c r="H396" s="21" t="s">
        <v>6648</v>
      </c>
      <c r="I396" s="5" t="s">
        <v>196</v>
      </c>
      <c r="J396" s="5" t="s">
        <v>37</v>
      </c>
      <c r="K396" s="5" t="s">
        <v>37</v>
      </c>
      <c r="L396" s="5" t="s">
        <v>1137</v>
      </c>
      <c r="M396" s="5" t="s">
        <v>37</v>
      </c>
      <c r="N396" s="5" t="s">
        <v>37</v>
      </c>
      <c r="O396" s="5" t="s">
        <v>38</v>
      </c>
      <c r="P396" s="5" t="s">
        <v>39</v>
      </c>
      <c r="Q396" s="2">
        <v>45967</v>
      </c>
      <c r="V396" s="45">
        <f>IF(
  OR(
    ISNUMBER(SEARCH("unable to locate acct", tblDocketedComments[[#This Row],[Docketed Consumer Comments]])),
    ISNUMBER(SEARCH("unknown", tblDocketedComments[[#This Row],[Docketed Consumer Comments]])),
    ISNUMBER(SEARCH("inactive", tblDocketedComments[[#This Row],[Docketed Consumer Comments]]))
  ),
  0,
  1
)</f>
        <v>1</v>
      </c>
    </row>
    <row r="397" spans="1:22" hidden="1">
      <c r="A397" s="2">
        <v>45903</v>
      </c>
      <c r="B397" s="1" t="s">
        <v>1138</v>
      </c>
      <c r="C397" s="1" t="s">
        <v>1139</v>
      </c>
      <c r="D397" s="1" t="s">
        <v>136</v>
      </c>
      <c r="E397" s="1">
        <v>85377</v>
      </c>
      <c r="F397" s="1" t="s">
        <v>1140</v>
      </c>
      <c r="G397" s="1" t="s">
        <v>503</v>
      </c>
      <c r="H397" s="21" t="s">
        <v>6649</v>
      </c>
      <c r="I397" s="5" t="s">
        <v>36</v>
      </c>
      <c r="J397" s="5" t="s">
        <v>37</v>
      </c>
      <c r="K397" s="5" t="s">
        <v>37</v>
      </c>
      <c r="L397" s="5" t="s">
        <v>38</v>
      </c>
      <c r="M397" s="5" t="s">
        <v>37</v>
      </c>
      <c r="N397" s="5" t="s">
        <v>37</v>
      </c>
      <c r="O397" s="5" t="s">
        <v>38</v>
      </c>
      <c r="P397" s="5" t="s">
        <v>39</v>
      </c>
      <c r="Q397" s="2">
        <v>45967</v>
      </c>
      <c r="R397" s="1" t="s">
        <v>1141</v>
      </c>
      <c r="V397" s="45">
        <f>IF(
  OR(
    ISNUMBER(SEARCH("unable to locate acct", tblDocketedComments[[#This Row],[Docketed Consumer Comments]])),
    ISNUMBER(SEARCH("unknown", tblDocketedComments[[#This Row],[Docketed Consumer Comments]])),
    ISNUMBER(SEARCH("inactive", tblDocketedComments[[#This Row],[Docketed Consumer Comments]]))
  ),
  0,
  1
)</f>
        <v>1</v>
      </c>
    </row>
    <row r="398" spans="1:22" hidden="1">
      <c r="A398" s="2">
        <v>45903</v>
      </c>
      <c r="B398" s="1" t="s">
        <v>1142</v>
      </c>
      <c r="C398" s="1" t="s">
        <v>333</v>
      </c>
      <c r="D398" s="1" t="s">
        <v>632</v>
      </c>
      <c r="E398" s="1">
        <v>85281</v>
      </c>
      <c r="F398" s="1" t="s">
        <v>31</v>
      </c>
      <c r="G398" s="1" t="s">
        <v>503</v>
      </c>
      <c r="H398" s="4" t="s">
        <v>27</v>
      </c>
      <c r="V398" s="45">
        <f>IF(
  OR(
    ISNUMBER(SEARCH("unable to locate acct", tblDocketedComments[[#This Row],[Docketed Consumer Comments]])),
    ISNUMBER(SEARCH("unknown", tblDocketedComments[[#This Row],[Docketed Consumer Comments]])),
    ISNUMBER(SEARCH("inactive", tblDocketedComments[[#This Row],[Docketed Consumer Comments]]))
  ),
  0,
  1
)</f>
        <v>1</v>
      </c>
    </row>
    <row r="399" spans="1:22" hidden="1">
      <c r="A399" s="2">
        <v>45903</v>
      </c>
      <c r="B399" s="1" t="s">
        <v>1143</v>
      </c>
      <c r="C399" s="1" t="s">
        <v>1144</v>
      </c>
      <c r="D399" s="1" t="s">
        <v>202</v>
      </c>
      <c r="E399" s="1">
        <v>85383</v>
      </c>
      <c r="F399" s="1" t="s">
        <v>31</v>
      </c>
      <c r="G399" s="1" t="s">
        <v>503</v>
      </c>
      <c r="H399" s="4" t="s">
        <v>27</v>
      </c>
      <c r="V399" s="45">
        <f>IF(
  OR(
    ISNUMBER(SEARCH("unable to locate acct", tblDocketedComments[[#This Row],[Docketed Consumer Comments]])),
    ISNUMBER(SEARCH("unknown", tblDocketedComments[[#This Row],[Docketed Consumer Comments]])),
    ISNUMBER(SEARCH("inactive", tblDocketedComments[[#This Row],[Docketed Consumer Comments]]))
  ),
  0,
  1
)</f>
        <v>1</v>
      </c>
    </row>
    <row r="400" spans="1:22" hidden="1">
      <c r="A400" s="2">
        <v>45903</v>
      </c>
      <c r="B400" s="1" t="s">
        <v>1145</v>
      </c>
      <c r="C400" s="1" t="s">
        <v>1146</v>
      </c>
      <c r="D400" s="1" t="s">
        <v>63</v>
      </c>
      <c r="E400" s="1">
        <v>85007</v>
      </c>
      <c r="F400" s="1" t="s">
        <v>310</v>
      </c>
      <c r="G400" s="1" t="s">
        <v>503</v>
      </c>
      <c r="H400" s="4" t="s">
        <v>90</v>
      </c>
      <c r="V400" s="45">
        <f>IF(
  OR(
    ISNUMBER(SEARCH("unable to locate acct", tblDocketedComments[[#This Row],[Docketed Consumer Comments]])),
    ISNUMBER(SEARCH("unknown", tblDocketedComments[[#This Row],[Docketed Consumer Comments]])),
    ISNUMBER(SEARCH("inactive", tblDocketedComments[[#This Row],[Docketed Consumer Comments]]))
  ),
  0,
  1
)</f>
        <v>1</v>
      </c>
    </row>
    <row r="401" spans="1:22" hidden="1">
      <c r="A401" s="2">
        <v>45903</v>
      </c>
      <c r="B401" s="1" t="s">
        <v>1083</v>
      </c>
      <c r="C401" s="1" t="s">
        <v>1147</v>
      </c>
      <c r="D401" s="1" t="s">
        <v>169</v>
      </c>
      <c r="E401" s="1">
        <v>85338</v>
      </c>
      <c r="F401" s="1" t="s">
        <v>1148</v>
      </c>
      <c r="G401" s="1" t="s">
        <v>503</v>
      </c>
      <c r="H401" s="21" t="s">
        <v>6650</v>
      </c>
      <c r="I401" s="5" t="s">
        <v>416</v>
      </c>
      <c r="J401" s="5" t="s">
        <v>37</v>
      </c>
      <c r="K401" s="5" t="s">
        <v>37</v>
      </c>
      <c r="L401" s="5" t="s">
        <v>387</v>
      </c>
      <c r="M401" s="5" t="s">
        <v>37</v>
      </c>
      <c r="N401" s="5" t="s">
        <v>37</v>
      </c>
      <c r="O401" s="5" t="s">
        <v>38</v>
      </c>
      <c r="P401" s="5" t="s">
        <v>39</v>
      </c>
      <c r="Q401" s="2">
        <v>45967</v>
      </c>
      <c r="V401" s="45">
        <f>IF(
  OR(
    ISNUMBER(SEARCH("unable to locate acct", tblDocketedComments[[#This Row],[Docketed Consumer Comments]])),
    ISNUMBER(SEARCH("unknown", tblDocketedComments[[#This Row],[Docketed Consumer Comments]])),
    ISNUMBER(SEARCH("inactive", tblDocketedComments[[#This Row],[Docketed Consumer Comments]]))
  ),
  0,
  1
)</f>
        <v>1</v>
      </c>
    </row>
    <row r="402" spans="1:22" hidden="1">
      <c r="A402" s="2">
        <v>45903</v>
      </c>
      <c r="B402" s="1" t="s">
        <v>1149</v>
      </c>
      <c r="C402" s="1" t="s">
        <v>75</v>
      </c>
      <c r="D402" s="1" t="s">
        <v>169</v>
      </c>
      <c r="E402" s="1">
        <v>85338</v>
      </c>
      <c r="F402" s="1" t="s">
        <v>1150</v>
      </c>
      <c r="G402" s="1" t="s">
        <v>503</v>
      </c>
      <c r="H402" s="21" t="s">
        <v>6651</v>
      </c>
      <c r="I402" s="5" t="s">
        <v>36</v>
      </c>
      <c r="J402" s="5" t="s">
        <v>37</v>
      </c>
      <c r="K402" s="5" t="s">
        <v>37</v>
      </c>
      <c r="L402" s="5" t="s">
        <v>38</v>
      </c>
      <c r="M402" s="5" t="s">
        <v>37</v>
      </c>
      <c r="N402" s="5" t="s">
        <v>37</v>
      </c>
      <c r="O402" s="5" t="s">
        <v>38</v>
      </c>
      <c r="P402" s="5" t="s">
        <v>39</v>
      </c>
      <c r="Q402" s="2">
        <v>45967</v>
      </c>
      <c r="V402" s="45">
        <f>IF(
  OR(
    ISNUMBER(SEARCH("unable to locate acct", tblDocketedComments[[#This Row],[Docketed Consumer Comments]])),
    ISNUMBER(SEARCH("unknown", tblDocketedComments[[#This Row],[Docketed Consumer Comments]])),
    ISNUMBER(SEARCH("inactive", tblDocketedComments[[#This Row],[Docketed Consumer Comments]]))
  ),
  0,
  1
)</f>
        <v>1</v>
      </c>
    </row>
    <row r="403" spans="1:22" hidden="1">
      <c r="A403" s="2">
        <v>45903</v>
      </c>
      <c r="B403" s="1" t="s">
        <v>1151</v>
      </c>
      <c r="C403" s="1" t="s">
        <v>1152</v>
      </c>
      <c r="D403" s="1" t="s">
        <v>125</v>
      </c>
      <c r="E403" s="1">
        <v>85260</v>
      </c>
      <c r="F403" s="1" t="s">
        <v>310</v>
      </c>
      <c r="G403" s="1" t="s">
        <v>503</v>
      </c>
      <c r="H403" s="21" t="s">
        <v>6652</v>
      </c>
      <c r="I403" s="5" t="s">
        <v>36</v>
      </c>
      <c r="J403" s="5" t="s">
        <v>37</v>
      </c>
      <c r="K403" s="5" t="s">
        <v>37</v>
      </c>
      <c r="L403" s="5" t="s">
        <v>38</v>
      </c>
      <c r="M403" s="5" t="s">
        <v>37</v>
      </c>
      <c r="N403" s="5" t="s">
        <v>37</v>
      </c>
      <c r="O403" s="5" t="s">
        <v>38</v>
      </c>
      <c r="P403" s="5" t="s">
        <v>39</v>
      </c>
      <c r="Q403" s="2">
        <v>45967</v>
      </c>
      <c r="V403" s="45">
        <f>IF(
  OR(
    ISNUMBER(SEARCH("unable to locate acct", tblDocketedComments[[#This Row],[Docketed Consumer Comments]])),
    ISNUMBER(SEARCH("unknown", tblDocketedComments[[#This Row],[Docketed Consumer Comments]])),
    ISNUMBER(SEARCH("inactive", tblDocketedComments[[#This Row],[Docketed Consumer Comments]]))
  ),
  0,
  1
)</f>
        <v>1</v>
      </c>
    </row>
    <row r="404" spans="1:22" hidden="1">
      <c r="A404" s="2">
        <v>45903</v>
      </c>
      <c r="B404" s="1" t="s">
        <v>1153</v>
      </c>
      <c r="C404" s="1" t="s">
        <v>1154</v>
      </c>
      <c r="D404" s="1" t="s">
        <v>520</v>
      </c>
      <c r="E404" s="1">
        <v>85392</v>
      </c>
      <c r="F404" s="1" t="s">
        <v>1155</v>
      </c>
      <c r="G404" s="1" t="s">
        <v>503</v>
      </c>
      <c r="H404" s="4" t="s">
        <v>27</v>
      </c>
      <c r="V404" s="45">
        <f>IF(
  OR(
    ISNUMBER(SEARCH("unable to locate acct", tblDocketedComments[[#This Row],[Docketed Consumer Comments]])),
    ISNUMBER(SEARCH("unknown", tblDocketedComments[[#This Row],[Docketed Consumer Comments]])),
    ISNUMBER(SEARCH("inactive", tblDocketedComments[[#This Row],[Docketed Consumer Comments]]))
  ),
  0,
  1
)</f>
        <v>1</v>
      </c>
    </row>
    <row r="405" spans="1:22" hidden="1">
      <c r="A405" s="2">
        <v>45903</v>
      </c>
      <c r="B405" s="1" t="s">
        <v>1156</v>
      </c>
      <c r="C405" s="1" t="s">
        <v>877</v>
      </c>
      <c r="D405" s="1" t="s">
        <v>112</v>
      </c>
      <c r="E405" s="1">
        <v>85374</v>
      </c>
      <c r="F405" s="1" t="s">
        <v>31</v>
      </c>
      <c r="G405" s="1" t="s">
        <v>503</v>
      </c>
      <c r="H405" s="21" t="s">
        <v>6653</v>
      </c>
      <c r="I405" s="5" t="s">
        <v>36</v>
      </c>
      <c r="J405" s="5" t="s">
        <v>37</v>
      </c>
      <c r="K405" s="5" t="s">
        <v>37</v>
      </c>
      <c r="L405" s="5" t="s">
        <v>38</v>
      </c>
      <c r="M405" s="5" t="s">
        <v>37</v>
      </c>
      <c r="N405" s="5" t="s">
        <v>37</v>
      </c>
      <c r="O405" s="5" t="s">
        <v>38</v>
      </c>
      <c r="P405" s="5" t="s">
        <v>39</v>
      </c>
      <c r="Q405" s="2">
        <v>45967</v>
      </c>
      <c r="V405" s="45">
        <f>IF(
  OR(
    ISNUMBER(SEARCH("unable to locate acct", tblDocketedComments[[#This Row],[Docketed Consumer Comments]])),
    ISNUMBER(SEARCH("unknown", tblDocketedComments[[#This Row],[Docketed Consumer Comments]])),
    ISNUMBER(SEARCH("inactive", tblDocketedComments[[#This Row],[Docketed Consumer Comments]]))
  ),
  0,
  1
)</f>
        <v>1</v>
      </c>
    </row>
    <row r="406" spans="1:22" hidden="1">
      <c r="A406" s="2">
        <v>45903</v>
      </c>
      <c r="B406" s="1" t="s">
        <v>1157</v>
      </c>
      <c r="C406" s="1" t="s">
        <v>469</v>
      </c>
      <c r="D406" s="1" t="s">
        <v>616</v>
      </c>
      <c r="E406" s="1">
        <v>85365</v>
      </c>
      <c r="F406" s="1" t="s">
        <v>1158</v>
      </c>
      <c r="G406" s="1" t="s">
        <v>503</v>
      </c>
      <c r="H406" s="21" t="s">
        <v>6654</v>
      </c>
      <c r="I406" s="5" t="s">
        <v>36</v>
      </c>
      <c r="J406" s="5" t="s">
        <v>37</v>
      </c>
      <c r="K406" s="5" t="s">
        <v>37</v>
      </c>
      <c r="L406" s="5" t="s">
        <v>38</v>
      </c>
      <c r="M406" s="5" t="s">
        <v>37</v>
      </c>
      <c r="N406" s="5" t="s">
        <v>37</v>
      </c>
      <c r="O406" s="5" t="s">
        <v>38</v>
      </c>
      <c r="P406" s="5" t="s">
        <v>39</v>
      </c>
      <c r="Q406" s="2">
        <v>45967</v>
      </c>
      <c r="V406" s="45">
        <f>IF(
  OR(
    ISNUMBER(SEARCH("unable to locate acct", tblDocketedComments[[#This Row],[Docketed Consumer Comments]])),
    ISNUMBER(SEARCH("unknown", tblDocketedComments[[#This Row],[Docketed Consumer Comments]])),
    ISNUMBER(SEARCH("inactive", tblDocketedComments[[#This Row],[Docketed Consumer Comments]]))
  ),
  0,
  1
)</f>
        <v>1</v>
      </c>
    </row>
    <row r="407" spans="1:22" hidden="1">
      <c r="A407" s="2">
        <v>45903</v>
      </c>
      <c r="B407" s="1" t="s">
        <v>1159</v>
      </c>
      <c r="C407" s="1" t="s">
        <v>594</v>
      </c>
      <c r="D407" s="1" t="s">
        <v>520</v>
      </c>
      <c r="E407" s="1">
        <v>85323</v>
      </c>
      <c r="F407" s="1" t="s">
        <v>1160</v>
      </c>
      <c r="G407" s="1" t="s">
        <v>503</v>
      </c>
      <c r="H407" s="21" t="s">
        <v>6655</v>
      </c>
      <c r="I407" s="5" t="s">
        <v>196</v>
      </c>
      <c r="J407" s="5" t="s">
        <v>37</v>
      </c>
      <c r="K407" s="5" t="s">
        <v>37</v>
      </c>
      <c r="L407" s="5" t="s">
        <v>38</v>
      </c>
      <c r="M407" s="5" t="s">
        <v>37</v>
      </c>
      <c r="N407" s="5" t="s">
        <v>37</v>
      </c>
      <c r="O407" s="5" t="s">
        <v>38</v>
      </c>
      <c r="P407" s="5" t="s">
        <v>39</v>
      </c>
      <c r="Q407" s="2">
        <v>45967</v>
      </c>
      <c r="V407" s="45">
        <f>IF(
  OR(
    ISNUMBER(SEARCH("unable to locate acct", tblDocketedComments[[#This Row],[Docketed Consumer Comments]])),
    ISNUMBER(SEARCH("unknown", tblDocketedComments[[#This Row],[Docketed Consumer Comments]])),
    ISNUMBER(SEARCH("inactive", tblDocketedComments[[#This Row],[Docketed Consumer Comments]]))
  ),
  0,
  1
)</f>
        <v>1</v>
      </c>
    </row>
    <row r="408" spans="1:22" hidden="1">
      <c r="A408" s="2">
        <v>45903</v>
      </c>
      <c r="B408" s="1" t="s">
        <v>1161</v>
      </c>
      <c r="C408" s="1" t="s">
        <v>1162</v>
      </c>
      <c r="D408" s="1" t="s">
        <v>63</v>
      </c>
      <c r="E408" s="1">
        <v>85022</v>
      </c>
      <c r="F408" s="1" t="s">
        <v>31</v>
      </c>
      <c r="G408" s="1" t="s">
        <v>503</v>
      </c>
      <c r="H408" s="4" t="s">
        <v>27</v>
      </c>
      <c r="V408" s="45">
        <f>IF(
  OR(
    ISNUMBER(SEARCH("unable to locate acct", tblDocketedComments[[#This Row],[Docketed Consumer Comments]])),
    ISNUMBER(SEARCH("unknown", tblDocketedComments[[#This Row],[Docketed Consumer Comments]])),
    ISNUMBER(SEARCH("inactive", tblDocketedComments[[#This Row],[Docketed Consumer Comments]]))
  ),
  0,
  1
)</f>
        <v>1</v>
      </c>
    </row>
    <row r="409" spans="1:22" hidden="1">
      <c r="A409" s="2">
        <v>45903</v>
      </c>
      <c r="B409" s="1" t="s">
        <v>1163</v>
      </c>
      <c r="C409" s="1" t="s">
        <v>312</v>
      </c>
      <c r="D409" s="1" t="s">
        <v>169</v>
      </c>
      <c r="E409" s="1">
        <v>85338</v>
      </c>
      <c r="F409" s="1" t="s">
        <v>31</v>
      </c>
      <c r="G409" s="1" t="s">
        <v>503</v>
      </c>
      <c r="H409" s="21" t="s">
        <v>6656</v>
      </c>
      <c r="I409" s="5" t="s">
        <v>250</v>
      </c>
      <c r="J409" s="5" t="s">
        <v>37</v>
      </c>
      <c r="K409" s="5" t="s">
        <v>37</v>
      </c>
      <c r="L409" s="5" t="s">
        <v>38</v>
      </c>
      <c r="M409" s="5" t="s">
        <v>37</v>
      </c>
      <c r="N409" s="5" t="s">
        <v>37</v>
      </c>
      <c r="O409" s="5" t="s">
        <v>38</v>
      </c>
      <c r="P409" s="5" t="s">
        <v>39</v>
      </c>
      <c r="Q409" s="2">
        <v>45967</v>
      </c>
      <c r="V409" s="45">
        <f>IF(
  OR(
    ISNUMBER(SEARCH("unable to locate acct", tblDocketedComments[[#This Row],[Docketed Consumer Comments]])),
    ISNUMBER(SEARCH("unknown", tblDocketedComments[[#This Row],[Docketed Consumer Comments]])),
    ISNUMBER(SEARCH("inactive", tblDocketedComments[[#This Row],[Docketed Consumer Comments]]))
  ),
  0,
  1
)</f>
        <v>1</v>
      </c>
    </row>
    <row r="410" spans="1:22" hidden="1">
      <c r="A410" s="2">
        <v>45903</v>
      </c>
      <c r="B410" s="1" t="s">
        <v>1164</v>
      </c>
      <c r="C410" s="1" t="s">
        <v>1165</v>
      </c>
      <c r="D410" s="1" t="s">
        <v>63</v>
      </c>
      <c r="E410" s="1">
        <v>85085</v>
      </c>
      <c r="F410" s="1" t="s">
        <v>310</v>
      </c>
      <c r="G410" s="1" t="s">
        <v>503</v>
      </c>
      <c r="H410" s="21" t="s">
        <v>6657</v>
      </c>
      <c r="I410" s="5" t="s">
        <v>196</v>
      </c>
      <c r="J410" s="5" t="s">
        <v>37</v>
      </c>
      <c r="K410" s="5" t="s">
        <v>37</v>
      </c>
      <c r="L410" s="7" t="s">
        <v>1166</v>
      </c>
      <c r="M410" s="5" t="s">
        <v>37</v>
      </c>
      <c r="N410" s="5" t="s">
        <v>37</v>
      </c>
      <c r="O410" s="5" t="s">
        <v>38</v>
      </c>
      <c r="P410" s="2">
        <v>45936</v>
      </c>
      <c r="Q410" s="2">
        <v>45967</v>
      </c>
      <c r="R410" s="1" t="s">
        <v>1167</v>
      </c>
      <c r="V410" s="45">
        <f>IF(
  OR(
    ISNUMBER(SEARCH("unable to locate acct", tblDocketedComments[[#This Row],[Docketed Consumer Comments]])),
    ISNUMBER(SEARCH("unknown", tblDocketedComments[[#This Row],[Docketed Consumer Comments]])),
    ISNUMBER(SEARCH("inactive", tblDocketedComments[[#This Row],[Docketed Consumer Comments]]))
  ),
  0,
  1
)</f>
        <v>1</v>
      </c>
    </row>
    <row r="411" spans="1:22" hidden="1">
      <c r="A411" s="2">
        <v>45903</v>
      </c>
      <c r="B411" s="1" t="s">
        <v>1168</v>
      </c>
      <c r="C411" s="1" t="s">
        <v>1169</v>
      </c>
      <c r="D411" s="1" t="s">
        <v>1170</v>
      </c>
      <c r="E411" s="1">
        <v>85349</v>
      </c>
      <c r="F411" s="1" t="s">
        <v>31</v>
      </c>
      <c r="G411" s="1" t="s">
        <v>503</v>
      </c>
      <c r="H411" s="4" t="s">
        <v>27</v>
      </c>
      <c r="V411" s="45">
        <f>IF(
  OR(
    ISNUMBER(SEARCH("unable to locate acct", tblDocketedComments[[#This Row],[Docketed Consumer Comments]])),
    ISNUMBER(SEARCH("unknown", tblDocketedComments[[#This Row],[Docketed Consumer Comments]])),
    ISNUMBER(SEARCH("inactive", tblDocketedComments[[#This Row],[Docketed Consumer Comments]]))
  ),
  0,
  1
)</f>
        <v>1</v>
      </c>
    </row>
    <row r="412" spans="1:22" hidden="1">
      <c r="A412" s="2">
        <v>45903</v>
      </c>
      <c r="B412" s="1" t="s">
        <v>1171</v>
      </c>
      <c r="C412" s="1" t="s">
        <v>1172</v>
      </c>
      <c r="D412" s="1" t="s">
        <v>1173</v>
      </c>
      <c r="E412" s="1">
        <v>85390</v>
      </c>
      <c r="F412" s="1" t="s">
        <v>31</v>
      </c>
      <c r="G412" s="1" t="s">
        <v>503</v>
      </c>
      <c r="H412" s="21" t="s">
        <v>6658</v>
      </c>
      <c r="I412" s="5" t="s">
        <v>196</v>
      </c>
      <c r="J412" s="5" t="s">
        <v>37</v>
      </c>
      <c r="K412" s="5" t="s">
        <v>37</v>
      </c>
      <c r="L412" s="5" t="s">
        <v>38</v>
      </c>
      <c r="M412" s="5" t="s">
        <v>37</v>
      </c>
      <c r="N412" s="5" t="s">
        <v>37</v>
      </c>
      <c r="O412" s="5" t="s">
        <v>38</v>
      </c>
      <c r="P412" s="5" t="s">
        <v>39</v>
      </c>
      <c r="Q412" s="2">
        <v>45967</v>
      </c>
      <c r="R412" s="1" t="s">
        <v>492</v>
      </c>
      <c r="V412" s="45">
        <f>IF(
  OR(
    ISNUMBER(SEARCH("unable to locate acct", tblDocketedComments[[#This Row],[Docketed Consumer Comments]])),
    ISNUMBER(SEARCH("unknown", tblDocketedComments[[#This Row],[Docketed Consumer Comments]])),
    ISNUMBER(SEARCH("inactive", tblDocketedComments[[#This Row],[Docketed Consumer Comments]]))
  ),
  0,
  1
)</f>
        <v>1</v>
      </c>
    </row>
    <row r="413" spans="1:22" hidden="1">
      <c r="A413" s="2">
        <v>45903</v>
      </c>
      <c r="B413" s="1" t="s">
        <v>1174</v>
      </c>
      <c r="C413" s="1" t="s">
        <v>478</v>
      </c>
      <c r="D413" s="1" t="s">
        <v>169</v>
      </c>
      <c r="E413" s="1">
        <v>85338</v>
      </c>
      <c r="F413" s="1" t="s">
        <v>1068</v>
      </c>
      <c r="G413" s="1" t="s">
        <v>503</v>
      </c>
      <c r="H413" s="4" t="s">
        <v>27</v>
      </c>
      <c r="V413" s="45">
        <f>IF(
  OR(
    ISNUMBER(SEARCH("unable to locate acct", tblDocketedComments[[#This Row],[Docketed Consumer Comments]])),
    ISNUMBER(SEARCH("unknown", tblDocketedComments[[#This Row],[Docketed Consumer Comments]])),
    ISNUMBER(SEARCH("inactive", tblDocketedComments[[#This Row],[Docketed Consumer Comments]]))
  ),
  0,
  1
)</f>
        <v>1</v>
      </c>
    </row>
    <row r="414" spans="1:22" hidden="1">
      <c r="A414" s="2">
        <v>45903</v>
      </c>
      <c r="B414" s="1" t="s">
        <v>1175</v>
      </c>
      <c r="C414" s="1" t="s">
        <v>1176</v>
      </c>
      <c r="D414" s="1" t="s">
        <v>426</v>
      </c>
      <c r="E414" s="1">
        <v>85335</v>
      </c>
      <c r="F414" s="1" t="s">
        <v>31</v>
      </c>
      <c r="G414" s="1" t="s">
        <v>503</v>
      </c>
      <c r="H414" s="21" t="s">
        <v>6659</v>
      </c>
      <c r="I414" s="5" t="s">
        <v>36</v>
      </c>
      <c r="J414" s="5" t="s">
        <v>37</v>
      </c>
      <c r="K414" s="5" t="s">
        <v>37</v>
      </c>
      <c r="L414" s="5" t="s">
        <v>38</v>
      </c>
      <c r="M414" s="5" t="s">
        <v>38</v>
      </c>
      <c r="N414" s="15">
        <v>1191.03</v>
      </c>
      <c r="O414" s="5" t="s">
        <v>38</v>
      </c>
      <c r="P414" s="7"/>
      <c r="Q414" s="2">
        <v>45967</v>
      </c>
      <c r="R414" s="1" t="s">
        <v>492</v>
      </c>
      <c r="U414" s="1" t="s">
        <v>1177</v>
      </c>
      <c r="V414" s="45">
        <f>IF(
  OR(
    ISNUMBER(SEARCH("unable to locate acct", tblDocketedComments[[#This Row],[Docketed Consumer Comments]])),
    ISNUMBER(SEARCH("unknown", tblDocketedComments[[#This Row],[Docketed Consumer Comments]])),
    ISNUMBER(SEARCH("inactive", tblDocketedComments[[#This Row],[Docketed Consumer Comments]]))
  ),
  0,
  1
)</f>
        <v>1</v>
      </c>
    </row>
    <row r="415" spans="1:22" hidden="1">
      <c r="A415" s="2">
        <v>45903</v>
      </c>
      <c r="B415" s="1" t="s">
        <v>1178</v>
      </c>
      <c r="C415" s="1" t="s">
        <v>1179</v>
      </c>
      <c r="D415" s="1" t="s">
        <v>63</v>
      </c>
      <c r="E415" s="1">
        <v>85015</v>
      </c>
      <c r="F415" s="1" t="s">
        <v>31</v>
      </c>
      <c r="G415" s="1" t="s">
        <v>503</v>
      </c>
      <c r="H415" s="4" t="s">
        <v>27</v>
      </c>
      <c r="V415" s="45">
        <f>IF(
  OR(
    ISNUMBER(SEARCH("unable to locate acct", tblDocketedComments[[#This Row],[Docketed Consumer Comments]])),
    ISNUMBER(SEARCH("unknown", tblDocketedComments[[#This Row],[Docketed Consumer Comments]])),
    ISNUMBER(SEARCH("inactive", tblDocketedComments[[#This Row],[Docketed Consumer Comments]]))
  ),
  0,
  1
)</f>
        <v>1</v>
      </c>
    </row>
    <row r="416" spans="1:22" hidden="1">
      <c r="A416" s="2">
        <v>45903</v>
      </c>
      <c r="B416" s="1" t="s">
        <v>525</v>
      </c>
      <c r="C416" s="1" t="s">
        <v>1180</v>
      </c>
      <c r="D416" s="1" t="s">
        <v>63</v>
      </c>
      <c r="E416" s="1">
        <v>85014</v>
      </c>
      <c r="F416" s="1" t="s">
        <v>310</v>
      </c>
      <c r="G416" s="1" t="s">
        <v>503</v>
      </c>
      <c r="H416" s="21" t="s">
        <v>6660</v>
      </c>
      <c r="I416" s="5" t="s">
        <v>57</v>
      </c>
      <c r="J416" s="5" t="s">
        <v>37</v>
      </c>
      <c r="K416" s="5" t="s">
        <v>37</v>
      </c>
      <c r="L416" s="5" t="s">
        <v>1181</v>
      </c>
      <c r="M416" s="5" t="s">
        <v>37</v>
      </c>
      <c r="N416" s="5" t="s">
        <v>37</v>
      </c>
      <c r="O416" s="5" t="s">
        <v>38</v>
      </c>
      <c r="P416" s="5" t="s">
        <v>39</v>
      </c>
      <c r="Q416" s="2">
        <v>45967</v>
      </c>
      <c r="V416" s="45">
        <f>IF(
  OR(
    ISNUMBER(SEARCH("unable to locate acct", tblDocketedComments[[#This Row],[Docketed Consumer Comments]])),
    ISNUMBER(SEARCH("unknown", tblDocketedComments[[#This Row],[Docketed Consumer Comments]])),
    ISNUMBER(SEARCH("inactive", tblDocketedComments[[#This Row],[Docketed Consumer Comments]]))
  ),
  0,
  1
)</f>
        <v>1</v>
      </c>
    </row>
    <row r="417" spans="1:22" hidden="1">
      <c r="A417" s="2">
        <v>45903</v>
      </c>
      <c r="B417" s="1" t="s">
        <v>1182</v>
      </c>
      <c r="C417" s="1" t="s">
        <v>225</v>
      </c>
      <c r="D417" s="1" t="s">
        <v>169</v>
      </c>
      <c r="E417" s="1">
        <v>85395</v>
      </c>
      <c r="F417" s="1" t="s">
        <v>1183</v>
      </c>
      <c r="G417" s="1" t="s">
        <v>503</v>
      </c>
      <c r="H417" s="21" t="s">
        <v>6661</v>
      </c>
      <c r="I417" s="5" t="s">
        <v>73</v>
      </c>
      <c r="J417" s="5" t="s">
        <v>37</v>
      </c>
      <c r="K417" s="5" t="s">
        <v>37</v>
      </c>
      <c r="L417" s="5" t="s">
        <v>38</v>
      </c>
      <c r="M417" s="5" t="s">
        <v>37</v>
      </c>
      <c r="N417" s="5" t="s">
        <v>37</v>
      </c>
      <c r="O417" s="5" t="s">
        <v>38</v>
      </c>
      <c r="P417" s="5" t="s">
        <v>39</v>
      </c>
      <c r="Q417" s="2">
        <v>45967</v>
      </c>
      <c r="V417" s="45">
        <f>IF(
  OR(
    ISNUMBER(SEARCH("unable to locate acct", tblDocketedComments[[#This Row],[Docketed Consumer Comments]])),
    ISNUMBER(SEARCH("unknown", tblDocketedComments[[#This Row],[Docketed Consumer Comments]])),
    ISNUMBER(SEARCH("inactive", tblDocketedComments[[#This Row],[Docketed Consumer Comments]]))
  ),
  0,
  1
)</f>
        <v>1</v>
      </c>
    </row>
    <row r="418" spans="1:22" hidden="1">
      <c r="A418" s="2">
        <v>45903</v>
      </c>
      <c r="B418" s="1" t="s">
        <v>1184</v>
      </c>
      <c r="C418" s="1" t="s">
        <v>545</v>
      </c>
      <c r="D418" s="1" t="s">
        <v>112</v>
      </c>
      <c r="E418" s="1">
        <v>85388</v>
      </c>
      <c r="F418" s="1" t="s">
        <v>310</v>
      </c>
      <c r="G418" s="1" t="s">
        <v>503</v>
      </c>
      <c r="H418" s="21" t="s">
        <v>6662</v>
      </c>
      <c r="I418" s="5" t="s">
        <v>46</v>
      </c>
      <c r="J418" s="5" t="s">
        <v>37</v>
      </c>
      <c r="K418" s="5" t="s">
        <v>37</v>
      </c>
      <c r="L418" s="5" t="s">
        <v>38</v>
      </c>
      <c r="M418" s="5" t="s">
        <v>37</v>
      </c>
      <c r="N418" s="5" t="s">
        <v>37</v>
      </c>
      <c r="O418" s="5" t="s">
        <v>38</v>
      </c>
      <c r="P418" s="5" t="s">
        <v>39</v>
      </c>
      <c r="Q418" s="2">
        <v>45967</v>
      </c>
      <c r="R418" s="1" t="s">
        <v>1185</v>
      </c>
      <c r="V418" s="45">
        <f>IF(
  OR(
    ISNUMBER(SEARCH("unable to locate acct", tblDocketedComments[[#This Row],[Docketed Consumer Comments]])),
    ISNUMBER(SEARCH("unknown", tblDocketedComments[[#This Row],[Docketed Consumer Comments]])),
    ISNUMBER(SEARCH("inactive", tblDocketedComments[[#This Row],[Docketed Consumer Comments]]))
  ),
  0,
  1
)</f>
        <v>1</v>
      </c>
    </row>
    <row r="419" spans="1:22" hidden="1">
      <c r="A419" s="2">
        <v>45903</v>
      </c>
      <c r="B419" s="1" t="s">
        <v>1186</v>
      </c>
      <c r="C419" s="1" t="s">
        <v>1187</v>
      </c>
      <c r="D419" s="1" t="s">
        <v>112</v>
      </c>
      <c r="E419" s="1">
        <v>85387</v>
      </c>
      <c r="F419" s="1" t="s">
        <v>310</v>
      </c>
      <c r="G419" s="1" t="s">
        <v>503</v>
      </c>
      <c r="H419" s="4" t="s">
        <v>27</v>
      </c>
      <c r="V419" s="45">
        <f>IF(
  OR(
    ISNUMBER(SEARCH("unable to locate acct", tblDocketedComments[[#This Row],[Docketed Consumer Comments]])),
    ISNUMBER(SEARCH("unknown", tblDocketedComments[[#This Row],[Docketed Consumer Comments]])),
    ISNUMBER(SEARCH("inactive", tblDocketedComments[[#This Row],[Docketed Consumer Comments]]))
  ),
  0,
  1
)</f>
        <v>1</v>
      </c>
    </row>
    <row r="420" spans="1:22" hidden="1">
      <c r="A420" s="2">
        <v>45903</v>
      </c>
      <c r="B420" s="1" t="s">
        <v>1188</v>
      </c>
      <c r="C420" s="1" t="s">
        <v>1189</v>
      </c>
      <c r="D420" s="1" t="s">
        <v>63</v>
      </c>
      <c r="E420" s="1">
        <v>85013</v>
      </c>
      <c r="F420" s="1" t="s">
        <v>1190</v>
      </c>
      <c r="G420" s="1" t="s">
        <v>503</v>
      </c>
      <c r="H420" s="21" t="s">
        <v>6663</v>
      </c>
      <c r="I420" s="5" t="s">
        <v>538</v>
      </c>
      <c r="J420" s="5" t="s">
        <v>38</v>
      </c>
      <c r="K420" s="5" t="s">
        <v>37</v>
      </c>
      <c r="L420" s="5" t="s">
        <v>387</v>
      </c>
      <c r="M420" s="5" t="s">
        <v>37</v>
      </c>
      <c r="N420" s="5" t="s">
        <v>37</v>
      </c>
      <c r="O420" s="5" t="s">
        <v>38</v>
      </c>
      <c r="P420" s="5" t="s">
        <v>39</v>
      </c>
      <c r="Q420" s="2">
        <v>45967</v>
      </c>
      <c r="V420" s="45">
        <f>IF(
  OR(
    ISNUMBER(SEARCH("unable to locate acct", tblDocketedComments[[#This Row],[Docketed Consumer Comments]])),
    ISNUMBER(SEARCH("unknown", tblDocketedComments[[#This Row],[Docketed Consumer Comments]])),
    ISNUMBER(SEARCH("inactive", tblDocketedComments[[#This Row],[Docketed Consumer Comments]]))
  ),
  0,
  1
)</f>
        <v>1</v>
      </c>
    </row>
    <row r="421" spans="1:22" hidden="1">
      <c r="A421" s="2">
        <v>45903</v>
      </c>
      <c r="B421" s="1" t="s">
        <v>1191</v>
      </c>
      <c r="C421" s="1" t="s">
        <v>1192</v>
      </c>
      <c r="D421" s="1" t="s">
        <v>853</v>
      </c>
      <c r="E421" s="1">
        <v>85086</v>
      </c>
      <c r="F421" s="1" t="s">
        <v>31</v>
      </c>
      <c r="G421" s="1" t="s">
        <v>503</v>
      </c>
      <c r="H421" s="21" t="s">
        <v>6664</v>
      </c>
      <c r="I421" s="5" t="s">
        <v>538</v>
      </c>
      <c r="J421" s="5" t="s">
        <v>37</v>
      </c>
      <c r="K421" s="5" t="s">
        <v>37</v>
      </c>
      <c r="L421" s="5" t="s">
        <v>387</v>
      </c>
      <c r="M421" s="5" t="s">
        <v>37</v>
      </c>
      <c r="N421" s="5" t="s">
        <v>37</v>
      </c>
      <c r="O421" s="5" t="s">
        <v>38</v>
      </c>
      <c r="P421" s="5" t="s">
        <v>39</v>
      </c>
      <c r="Q421" s="2">
        <v>45967</v>
      </c>
      <c r="V421" s="45">
        <f>IF(
  OR(
    ISNUMBER(SEARCH("unable to locate acct", tblDocketedComments[[#This Row],[Docketed Consumer Comments]])),
    ISNUMBER(SEARCH("unknown", tblDocketedComments[[#This Row],[Docketed Consumer Comments]])),
    ISNUMBER(SEARCH("inactive", tblDocketedComments[[#This Row],[Docketed Consumer Comments]]))
  ),
  0,
  1
)</f>
        <v>1</v>
      </c>
    </row>
    <row r="422" spans="1:22" hidden="1">
      <c r="A422" s="2">
        <v>45903</v>
      </c>
      <c r="B422" s="1" t="s">
        <v>929</v>
      </c>
      <c r="C422" s="1" t="s">
        <v>263</v>
      </c>
      <c r="D422" s="1" t="s">
        <v>169</v>
      </c>
      <c r="E422" s="1">
        <v>85395</v>
      </c>
      <c r="F422" s="1" t="s">
        <v>930</v>
      </c>
      <c r="G422" s="1" t="s">
        <v>1193</v>
      </c>
      <c r="H422" s="4" t="s">
        <v>1194</v>
      </c>
      <c r="I422" s="5" t="s">
        <v>46</v>
      </c>
      <c r="J422" s="5" t="s">
        <v>37</v>
      </c>
      <c r="K422" s="5" t="s">
        <v>37</v>
      </c>
      <c r="L422" s="5" t="s">
        <v>38</v>
      </c>
      <c r="M422" s="5" t="s">
        <v>37</v>
      </c>
      <c r="N422" s="5" t="s">
        <v>37</v>
      </c>
      <c r="O422" s="5" t="s">
        <v>38</v>
      </c>
      <c r="P422" s="5" t="s">
        <v>39</v>
      </c>
      <c r="Q422" s="2">
        <v>45967</v>
      </c>
      <c r="V422" s="45">
        <f>IF(
  OR(
    ISNUMBER(SEARCH("unable to locate acct", tblDocketedComments[[#This Row],[Docketed Consumer Comments]])),
    ISNUMBER(SEARCH("unknown", tblDocketedComments[[#This Row],[Docketed Consumer Comments]])),
    ISNUMBER(SEARCH("inactive", tblDocketedComments[[#This Row],[Docketed Consumer Comments]]))
  ),
  0,
  1
)</f>
        <v>1</v>
      </c>
    </row>
    <row r="423" spans="1:22" hidden="1">
      <c r="A423" s="2">
        <v>45903</v>
      </c>
      <c r="B423" s="1" t="s">
        <v>1195</v>
      </c>
      <c r="C423" s="1" t="s">
        <v>1196</v>
      </c>
      <c r="D423" s="1" t="s">
        <v>63</v>
      </c>
      <c r="E423" s="1">
        <v>86032</v>
      </c>
      <c r="F423" s="1" t="s">
        <v>31</v>
      </c>
      <c r="G423" s="1" t="s">
        <v>1193</v>
      </c>
      <c r="H423" s="4" t="s">
        <v>27</v>
      </c>
      <c r="V423" s="45">
        <f>IF(
  OR(
    ISNUMBER(SEARCH("unable to locate acct", tblDocketedComments[[#This Row],[Docketed Consumer Comments]])),
    ISNUMBER(SEARCH("unknown", tblDocketedComments[[#This Row],[Docketed Consumer Comments]])),
    ISNUMBER(SEARCH("inactive", tblDocketedComments[[#This Row],[Docketed Consumer Comments]]))
  ),
  0,
  1
)</f>
        <v>1</v>
      </c>
    </row>
    <row r="424" spans="1:22" hidden="1">
      <c r="A424" s="2">
        <v>45903</v>
      </c>
      <c r="B424" s="1" t="s">
        <v>1197</v>
      </c>
      <c r="C424" s="1" t="s">
        <v>1198</v>
      </c>
      <c r="D424" s="1" t="s">
        <v>520</v>
      </c>
      <c r="E424" s="1">
        <v>85392</v>
      </c>
      <c r="F424" s="1" t="s">
        <v>1199</v>
      </c>
      <c r="G424" s="1" t="s">
        <v>1193</v>
      </c>
      <c r="H424" s="4" t="s">
        <v>1200</v>
      </c>
      <c r="I424" s="5" t="s">
        <v>416</v>
      </c>
      <c r="J424" s="5" t="s">
        <v>37</v>
      </c>
      <c r="K424" s="5" t="s">
        <v>37</v>
      </c>
      <c r="L424" s="5" t="s">
        <v>387</v>
      </c>
      <c r="M424" s="5" t="s">
        <v>37</v>
      </c>
      <c r="N424" s="5" t="s">
        <v>37</v>
      </c>
      <c r="O424" s="5" t="s">
        <v>38</v>
      </c>
      <c r="P424" s="5" t="s">
        <v>39</v>
      </c>
      <c r="Q424" s="2">
        <v>45967</v>
      </c>
      <c r="V424" s="45">
        <f>IF(
  OR(
    ISNUMBER(SEARCH("unable to locate acct", tblDocketedComments[[#This Row],[Docketed Consumer Comments]])),
    ISNUMBER(SEARCH("unknown", tblDocketedComments[[#This Row],[Docketed Consumer Comments]])),
    ISNUMBER(SEARCH("inactive", tblDocketedComments[[#This Row],[Docketed Consumer Comments]]))
  ),
  0,
  1
)</f>
        <v>1</v>
      </c>
    </row>
    <row r="425" spans="1:22" hidden="1">
      <c r="A425" s="2">
        <v>45903</v>
      </c>
      <c r="B425" s="1" t="s">
        <v>1201</v>
      </c>
      <c r="C425" s="1" t="s">
        <v>358</v>
      </c>
      <c r="D425" s="1" t="s">
        <v>112</v>
      </c>
      <c r="E425" s="1">
        <v>85379</v>
      </c>
      <c r="F425" s="1" t="s">
        <v>31</v>
      </c>
      <c r="G425" s="1" t="s">
        <v>1193</v>
      </c>
      <c r="H425" s="4" t="s">
        <v>1202</v>
      </c>
      <c r="I425" s="5" t="s">
        <v>538</v>
      </c>
      <c r="J425" s="5" t="s">
        <v>37</v>
      </c>
      <c r="K425" s="5" t="s">
        <v>37</v>
      </c>
      <c r="L425" s="5" t="s">
        <v>387</v>
      </c>
      <c r="M425" s="5" t="s">
        <v>38</v>
      </c>
      <c r="N425" s="15">
        <v>1773.15</v>
      </c>
      <c r="O425" s="5" t="s">
        <v>38</v>
      </c>
      <c r="P425" s="7"/>
      <c r="Q425" s="2">
        <v>45967</v>
      </c>
      <c r="R425" s="1" t="s">
        <v>492</v>
      </c>
      <c r="V425" s="45">
        <f>IF(
  OR(
    ISNUMBER(SEARCH("unable to locate acct", tblDocketedComments[[#This Row],[Docketed Consumer Comments]])),
    ISNUMBER(SEARCH("unknown", tblDocketedComments[[#This Row],[Docketed Consumer Comments]])),
    ISNUMBER(SEARCH("inactive", tblDocketedComments[[#This Row],[Docketed Consumer Comments]]))
  ),
  0,
  1
)</f>
        <v>1</v>
      </c>
    </row>
    <row r="426" spans="1:22" hidden="1">
      <c r="A426" s="2">
        <v>45903</v>
      </c>
      <c r="B426" s="1" t="s">
        <v>1203</v>
      </c>
      <c r="C426" s="1" t="s">
        <v>774</v>
      </c>
      <c r="D426" s="1" t="s">
        <v>169</v>
      </c>
      <c r="E426" s="1">
        <v>85338</v>
      </c>
      <c r="F426" s="1" t="s">
        <v>31</v>
      </c>
      <c r="G426" s="1" t="s">
        <v>1193</v>
      </c>
      <c r="H426" s="4" t="s">
        <v>1204</v>
      </c>
      <c r="I426" s="5" t="s">
        <v>538</v>
      </c>
      <c r="J426" s="5" t="s">
        <v>38</v>
      </c>
      <c r="K426" s="5" t="s">
        <v>37</v>
      </c>
      <c r="L426" s="5" t="s">
        <v>387</v>
      </c>
      <c r="M426" s="5" t="s">
        <v>38</v>
      </c>
      <c r="N426" s="15">
        <v>3130.07</v>
      </c>
      <c r="O426" s="5" t="s">
        <v>38</v>
      </c>
      <c r="P426" s="7"/>
      <c r="Q426" s="2">
        <v>45967</v>
      </c>
      <c r="R426" s="1" t="s">
        <v>492</v>
      </c>
      <c r="V426" s="45">
        <f>IF(
  OR(
    ISNUMBER(SEARCH("unable to locate acct", tblDocketedComments[[#This Row],[Docketed Consumer Comments]])),
    ISNUMBER(SEARCH("unknown", tblDocketedComments[[#This Row],[Docketed Consumer Comments]])),
    ISNUMBER(SEARCH("inactive", tblDocketedComments[[#This Row],[Docketed Consumer Comments]]))
  ),
  0,
  1
)</f>
        <v>1</v>
      </c>
    </row>
    <row r="427" spans="1:22" hidden="1">
      <c r="A427" s="2">
        <v>45903</v>
      </c>
      <c r="B427" s="1" t="s">
        <v>1205</v>
      </c>
      <c r="C427" s="1" t="s">
        <v>1206</v>
      </c>
      <c r="D427" s="1" t="s">
        <v>24</v>
      </c>
      <c r="E427" s="1">
        <v>85310</v>
      </c>
      <c r="F427" s="1" t="s">
        <v>31</v>
      </c>
      <c r="G427" s="1" t="s">
        <v>1193</v>
      </c>
      <c r="H427" s="4" t="s">
        <v>1207</v>
      </c>
      <c r="I427" s="5" t="s">
        <v>36</v>
      </c>
      <c r="J427" s="5" t="s">
        <v>38</v>
      </c>
      <c r="K427" s="5" t="s">
        <v>37</v>
      </c>
      <c r="L427" s="5" t="s">
        <v>38</v>
      </c>
      <c r="M427" s="5" t="s">
        <v>37</v>
      </c>
      <c r="N427" s="5" t="s">
        <v>37</v>
      </c>
      <c r="O427" s="5" t="s">
        <v>38</v>
      </c>
      <c r="P427" s="5" t="s">
        <v>39</v>
      </c>
      <c r="Q427" s="2">
        <v>45967</v>
      </c>
      <c r="V427" s="45">
        <f>IF(
  OR(
    ISNUMBER(SEARCH("unable to locate acct", tblDocketedComments[[#This Row],[Docketed Consumer Comments]])),
    ISNUMBER(SEARCH("unknown", tblDocketedComments[[#This Row],[Docketed Consumer Comments]])),
    ISNUMBER(SEARCH("inactive", tblDocketedComments[[#This Row],[Docketed Consumer Comments]]))
  ),
  0,
  1
)</f>
        <v>1</v>
      </c>
    </row>
    <row r="428" spans="1:22" hidden="1">
      <c r="A428" s="2">
        <v>45903</v>
      </c>
      <c r="B428" s="1" t="s">
        <v>1208</v>
      </c>
      <c r="C428" s="1" t="s">
        <v>1209</v>
      </c>
      <c r="D428" s="1" t="s">
        <v>63</v>
      </c>
      <c r="E428" s="1">
        <v>85053</v>
      </c>
      <c r="F428" s="1" t="s">
        <v>1210</v>
      </c>
      <c r="G428" s="1" t="s">
        <v>1193</v>
      </c>
      <c r="H428" s="4" t="s">
        <v>1211</v>
      </c>
      <c r="I428" s="5" t="s">
        <v>36</v>
      </c>
      <c r="J428" s="5" t="s">
        <v>37</v>
      </c>
      <c r="K428" s="5" t="s">
        <v>37</v>
      </c>
      <c r="L428" s="5" t="s">
        <v>38</v>
      </c>
      <c r="M428" s="5" t="s">
        <v>37</v>
      </c>
      <c r="N428" s="5" t="s">
        <v>37</v>
      </c>
      <c r="O428" s="5" t="s">
        <v>38</v>
      </c>
      <c r="P428" s="5" t="s">
        <v>39</v>
      </c>
      <c r="Q428" s="2">
        <v>45967</v>
      </c>
      <c r="V428" s="45">
        <f>IF(
  OR(
    ISNUMBER(SEARCH("unable to locate acct", tblDocketedComments[[#This Row],[Docketed Consumer Comments]])),
    ISNUMBER(SEARCH("unknown", tblDocketedComments[[#This Row],[Docketed Consumer Comments]])),
    ISNUMBER(SEARCH("inactive", tblDocketedComments[[#This Row],[Docketed Consumer Comments]]))
  ),
  0,
  1
)</f>
        <v>1</v>
      </c>
    </row>
    <row r="429" spans="1:22" hidden="1">
      <c r="A429" s="2">
        <v>45903</v>
      </c>
      <c r="B429" s="1" t="s">
        <v>1212</v>
      </c>
      <c r="C429" s="1" t="s">
        <v>1093</v>
      </c>
      <c r="D429" s="1" t="s">
        <v>89</v>
      </c>
      <c r="E429" s="1">
        <v>86336</v>
      </c>
      <c r="F429" s="1" t="s">
        <v>31</v>
      </c>
      <c r="G429" s="1" t="s">
        <v>1193</v>
      </c>
      <c r="H429" s="4" t="s">
        <v>1213</v>
      </c>
      <c r="I429" s="5" t="s">
        <v>73</v>
      </c>
      <c r="J429" s="5" t="s">
        <v>37</v>
      </c>
      <c r="K429" s="5" t="s">
        <v>37</v>
      </c>
      <c r="L429" s="5" t="s">
        <v>38</v>
      </c>
      <c r="M429" s="5" t="s">
        <v>37</v>
      </c>
      <c r="N429" s="5" t="s">
        <v>37</v>
      </c>
      <c r="O429" s="5" t="s">
        <v>38</v>
      </c>
      <c r="P429" s="5" t="s">
        <v>39</v>
      </c>
      <c r="Q429" s="2">
        <v>45967</v>
      </c>
      <c r="V429" s="45">
        <f>IF(
  OR(
    ISNUMBER(SEARCH("unable to locate acct", tblDocketedComments[[#This Row],[Docketed Consumer Comments]])),
    ISNUMBER(SEARCH("unknown", tblDocketedComments[[#This Row],[Docketed Consumer Comments]])),
    ISNUMBER(SEARCH("inactive", tblDocketedComments[[#This Row],[Docketed Consumer Comments]]))
  ),
  0,
  1
)</f>
        <v>1</v>
      </c>
    </row>
    <row r="430" spans="1:22" hidden="1">
      <c r="A430" s="2">
        <v>45903</v>
      </c>
      <c r="B430" s="1" t="s">
        <v>1214</v>
      </c>
      <c r="C430" s="1" t="s">
        <v>1215</v>
      </c>
      <c r="D430" s="1" t="s">
        <v>240</v>
      </c>
      <c r="E430" s="1">
        <v>85340</v>
      </c>
      <c r="F430" s="1" t="s">
        <v>31</v>
      </c>
      <c r="G430" s="1" t="s">
        <v>1193</v>
      </c>
      <c r="H430" s="4" t="s">
        <v>27</v>
      </c>
      <c r="V430" s="45">
        <f>IF(
  OR(
    ISNUMBER(SEARCH("unable to locate acct", tblDocketedComments[[#This Row],[Docketed Consumer Comments]])),
    ISNUMBER(SEARCH("unknown", tblDocketedComments[[#This Row],[Docketed Consumer Comments]])),
    ISNUMBER(SEARCH("inactive", tblDocketedComments[[#This Row],[Docketed Consumer Comments]]))
  ),
  0,
  1
)</f>
        <v>1</v>
      </c>
    </row>
    <row r="431" spans="1:22" hidden="1">
      <c r="A431" s="2">
        <v>45903</v>
      </c>
      <c r="B431" s="1" t="s">
        <v>1216</v>
      </c>
      <c r="C431" s="1" t="s">
        <v>390</v>
      </c>
      <c r="D431" s="1" t="s">
        <v>125</v>
      </c>
      <c r="E431" s="1">
        <v>85255</v>
      </c>
      <c r="F431" s="1" t="s">
        <v>31</v>
      </c>
      <c r="G431" s="1" t="s">
        <v>1193</v>
      </c>
      <c r="H431" s="4" t="s">
        <v>1217</v>
      </c>
      <c r="I431" s="5" t="s">
        <v>416</v>
      </c>
      <c r="J431" s="5" t="s">
        <v>37</v>
      </c>
      <c r="K431" s="5" t="s">
        <v>37</v>
      </c>
      <c r="L431" s="5" t="s">
        <v>387</v>
      </c>
      <c r="M431" s="5" t="s">
        <v>37</v>
      </c>
      <c r="N431" s="5" t="s">
        <v>37</v>
      </c>
      <c r="O431" s="5" t="s">
        <v>38</v>
      </c>
      <c r="P431" s="5" t="s">
        <v>39</v>
      </c>
      <c r="Q431" s="2">
        <v>45967</v>
      </c>
      <c r="V431" s="45">
        <f>IF(
  OR(
    ISNUMBER(SEARCH("unable to locate acct", tblDocketedComments[[#This Row],[Docketed Consumer Comments]])),
    ISNUMBER(SEARCH("unknown", tblDocketedComments[[#This Row],[Docketed Consumer Comments]])),
    ISNUMBER(SEARCH("inactive", tblDocketedComments[[#This Row],[Docketed Consumer Comments]]))
  ),
  0,
  1
)</f>
        <v>1</v>
      </c>
    </row>
    <row r="432" spans="1:22" hidden="1">
      <c r="A432" s="2">
        <v>45903</v>
      </c>
      <c r="B432" s="1" t="s">
        <v>555</v>
      </c>
      <c r="C432" s="1" t="s">
        <v>1218</v>
      </c>
      <c r="D432" s="1" t="s">
        <v>520</v>
      </c>
      <c r="E432" s="1">
        <v>85392</v>
      </c>
      <c r="F432" s="1" t="s">
        <v>31</v>
      </c>
      <c r="G432" s="1" t="s">
        <v>1193</v>
      </c>
      <c r="H432" s="4" t="s">
        <v>1219</v>
      </c>
      <c r="I432" s="5" t="s">
        <v>36</v>
      </c>
      <c r="J432" s="5" t="s">
        <v>37</v>
      </c>
      <c r="K432" s="5" t="s">
        <v>37</v>
      </c>
      <c r="L432" s="5" t="s">
        <v>38</v>
      </c>
      <c r="M432" s="5" t="s">
        <v>38</v>
      </c>
      <c r="N432" s="15">
        <v>870.88</v>
      </c>
      <c r="O432" s="5" t="s">
        <v>38</v>
      </c>
      <c r="P432" s="7"/>
      <c r="Q432" s="2">
        <v>45967</v>
      </c>
      <c r="R432" s="1" t="s">
        <v>492</v>
      </c>
      <c r="V432" s="45">
        <f>IF(
  OR(
    ISNUMBER(SEARCH("unable to locate acct", tblDocketedComments[[#This Row],[Docketed Consumer Comments]])),
    ISNUMBER(SEARCH("unknown", tblDocketedComments[[#This Row],[Docketed Consumer Comments]])),
    ISNUMBER(SEARCH("inactive", tblDocketedComments[[#This Row],[Docketed Consumer Comments]]))
  ),
  0,
  1
)</f>
        <v>1</v>
      </c>
    </row>
    <row r="433" spans="1:22" hidden="1">
      <c r="A433" s="2">
        <v>45903</v>
      </c>
      <c r="B433" s="1" t="s">
        <v>1220</v>
      </c>
      <c r="C433" s="1" t="s">
        <v>184</v>
      </c>
      <c r="D433" s="1" t="s">
        <v>125</v>
      </c>
      <c r="E433" s="1">
        <v>85259</v>
      </c>
      <c r="F433" s="1" t="s">
        <v>31</v>
      </c>
      <c r="G433" s="1" t="s">
        <v>1193</v>
      </c>
      <c r="H433" s="4" t="s">
        <v>209</v>
      </c>
      <c r="V433" s="45">
        <f>IF(
  OR(
    ISNUMBER(SEARCH("unable to locate acct", tblDocketedComments[[#This Row],[Docketed Consumer Comments]])),
    ISNUMBER(SEARCH("unknown", tblDocketedComments[[#This Row],[Docketed Consumer Comments]])),
    ISNUMBER(SEARCH("inactive", tblDocketedComments[[#This Row],[Docketed Consumer Comments]]))
  ),
  0,
  1
)</f>
        <v>1</v>
      </c>
    </row>
    <row r="434" spans="1:22" hidden="1">
      <c r="A434" s="2">
        <v>45903</v>
      </c>
      <c r="B434" s="1" t="s">
        <v>1221</v>
      </c>
      <c r="C434" s="1" t="s">
        <v>199</v>
      </c>
      <c r="D434" s="1" t="s">
        <v>169</v>
      </c>
      <c r="E434" s="1">
        <v>85395</v>
      </c>
      <c r="F434" s="1" t="s">
        <v>31</v>
      </c>
      <c r="G434" s="1" t="s">
        <v>1193</v>
      </c>
      <c r="H434" s="4" t="s">
        <v>1222</v>
      </c>
      <c r="I434" s="5" t="s">
        <v>416</v>
      </c>
      <c r="J434" s="5" t="s">
        <v>37</v>
      </c>
      <c r="K434" s="5" t="s">
        <v>37</v>
      </c>
      <c r="L434" s="5" t="s">
        <v>387</v>
      </c>
      <c r="M434" s="5" t="s">
        <v>37</v>
      </c>
      <c r="N434" s="5" t="s">
        <v>37</v>
      </c>
      <c r="O434" s="5" t="s">
        <v>38</v>
      </c>
      <c r="P434" s="5" t="s">
        <v>39</v>
      </c>
      <c r="Q434" s="2">
        <v>45967</v>
      </c>
      <c r="V434" s="45">
        <f>IF(
  OR(
    ISNUMBER(SEARCH("unable to locate acct", tblDocketedComments[[#This Row],[Docketed Consumer Comments]])),
    ISNUMBER(SEARCH("unknown", tblDocketedComments[[#This Row],[Docketed Consumer Comments]])),
    ISNUMBER(SEARCH("inactive", tblDocketedComments[[#This Row],[Docketed Consumer Comments]]))
  ),
  0,
  1
)</f>
        <v>1</v>
      </c>
    </row>
    <row r="435" spans="1:22" hidden="1">
      <c r="A435" s="2">
        <v>45903</v>
      </c>
      <c r="B435" s="1" t="s">
        <v>1223</v>
      </c>
      <c r="C435" s="1" t="s">
        <v>975</v>
      </c>
      <c r="D435" s="1" t="s">
        <v>125</v>
      </c>
      <c r="E435" s="1">
        <v>85254</v>
      </c>
      <c r="F435" s="1" t="s">
        <v>31</v>
      </c>
      <c r="G435" s="1" t="s">
        <v>1193</v>
      </c>
      <c r="H435" s="4" t="s">
        <v>1224</v>
      </c>
      <c r="I435" s="5" t="s">
        <v>36</v>
      </c>
      <c r="J435" s="5" t="s">
        <v>37</v>
      </c>
      <c r="K435" s="5" t="s">
        <v>37</v>
      </c>
      <c r="L435" s="5" t="s">
        <v>38</v>
      </c>
      <c r="M435" s="5" t="s">
        <v>37</v>
      </c>
      <c r="N435" s="5" t="s">
        <v>37</v>
      </c>
      <c r="O435" s="5" t="s">
        <v>38</v>
      </c>
      <c r="P435" s="5" t="s">
        <v>39</v>
      </c>
      <c r="Q435" s="2">
        <v>45967</v>
      </c>
      <c r="V435" s="45">
        <f>IF(
  OR(
    ISNUMBER(SEARCH("unable to locate acct", tblDocketedComments[[#This Row],[Docketed Consumer Comments]])),
    ISNUMBER(SEARCH("unknown", tblDocketedComments[[#This Row],[Docketed Consumer Comments]])),
    ISNUMBER(SEARCH("inactive", tblDocketedComments[[#This Row],[Docketed Consumer Comments]]))
  ),
  0,
  1
)</f>
        <v>1</v>
      </c>
    </row>
    <row r="436" spans="1:22" hidden="1">
      <c r="A436" s="2">
        <v>45903</v>
      </c>
      <c r="B436" s="1" t="s">
        <v>1225</v>
      </c>
      <c r="C436" s="1" t="s">
        <v>1226</v>
      </c>
      <c r="D436" s="1" t="s">
        <v>63</v>
      </c>
      <c r="E436" s="1">
        <v>85032</v>
      </c>
      <c r="F436" s="1" t="s">
        <v>310</v>
      </c>
      <c r="G436" s="1" t="s">
        <v>1193</v>
      </c>
      <c r="H436" s="4" t="s">
        <v>1227</v>
      </c>
      <c r="I436" s="5" t="s">
        <v>73</v>
      </c>
      <c r="J436" s="5" t="s">
        <v>37</v>
      </c>
      <c r="K436" s="5" t="s">
        <v>37</v>
      </c>
      <c r="L436" s="5" t="s">
        <v>38</v>
      </c>
      <c r="M436" s="5" t="s">
        <v>37</v>
      </c>
      <c r="N436" s="5" t="s">
        <v>37</v>
      </c>
      <c r="O436" s="5" t="s">
        <v>38</v>
      </c>
      <c r="P436" s="5" t="s">
        <v>39</v>
      </c>
      <c r="Q436" s="2">
        <v>45967</v>
      </c>
      <c r="V436" s="45">
        <f>IF(
  OR(
    ISNUMBER(SEARCH("unable to locate acct", tblDocketedComments[[#This Row],[Docketed Consumer Comments]])),
    ISNUMBER(SEARCH("unknown", tblDocketedComments[[#This Row],[Docketed Consumer Comments]])),
    ISNUMBER(SEARCH("inactive", tblDocketedComments[[#This Row],[Docketed Consumer Comments]]))
  ),
  0,
  1
)</f>
        <v>1</v>
      </c>
    </row>
    <row r="437" spans="1:22" hidden="1">
      <c r="A437" s="2">
        <v>45903</v>
      </c>
      <c r="B437" s="1" t="s">
        <v>1228</v>
      </c>
      <c r="C437" s="1" t="s">
        <v>810</v>
      </c>
      <c r="D437" s="1" t="s">
        <v>169</v>
      </c>
      <c r="E437" s="1">
        <v>85395</v>
      </c>
      <c r="F437" s="1" t="s">
        <v>31</v>
      </c>
      <c r="G437" s="1" t="s">
        <v>1193</v>
      </c>
      <c r="H437" s="4" t="s">
        <v>1229</v>
      </c>
      <c r="I437" s="5" t="s">
        <v>538</v>
      </c>
      <c r="J437" s="5" t="s">
        <v>37</v>
      </c>
      <c r="K437" s="5" t="s">
        <v>37</v>
      </c>
      <c r="L437" s="5" t="s">
        <v>387</v>
      </c>
      <c r="M437" s="5" t="s">
        <v>37</v>
      </c>
      <c r="N437" s="5" t="s">
        <v>37</v>
      </c>
      <c r="O437" s="5" t="s">
        <v>38</v>
      </c>
      <c r="P437" s="5" t="s">
        <v>39</v>
      </c>
      <c r="Q437" s="2">
        <v>45967</v>
      </c>
      <c r="V437" s="45">
        <f>IF(
  OR(
    ISNUMBER(SEARCH("unable to locate acct", tblDocketedComments[[#This Row],[Docketed Consumer Comments]])),
    ISNUMBER(SEARCH("unknown", tblDocketedComments[[#This Row],[Docketed Consumer Comments]])),
    ISNUMBER(SEARCH("inactive", tblDocketedComments[[#This Row],[Docketed Consumer Comments]]))
  ),
  0,
  1
)</f>
        <v>1</v>
      </c>
    </row>
    <row r="438" spans="1:22" hidden="1">
      <c r="A438" s="2">
        <v>45903</v>
      </c>
      <c r="B438" s="1" t="s">
        <v>1230</v>
      </c>
      <c r="C438" s="1" t="s">
        <v>594</v>
      </c>
      <c r="D438" s="1" t="s">
        <v>169</v>
      </c>
      <c r="E438" s="1">
        <v>85395</v>
      </c>
      <c r="F438" s="1" t="s">
        <v>1231</v>
      </c>
      <c r="G438" s="1" t="s">
        <v>1193</v>
      </c>
      <c r="H438" s="4" t="s">
        <v>1232</v>
      </c>
      <c r="I438" s="5" t="s">
        <v>36</v>
      </c>
      <c r="J438" s="5" t="s">
        <v>37</v>
      </c>
      <c r="K438" s="5" t="s">
        <v>37</v>
      </c>
      <c r="L438" s="5" t="s">
        <v>38</v>
      </c>
      <c r="M438" s="5" t="s">
        <v>37</v>
      </c>
      <c r="N438" s="5" t="s">
        <v>37</v>
      </c>
      <c r="O438" s="5" t="s">
        <v>38</v>
      </c>
      <c r="P438" s="5" t="s">
        <v>39</v>
      </c>
      <c r="Q438" s="2">
        <v>45967</v>
      </c>
      <c r="V438" s="45">
        <f>IF(
  OR(
    ISNUMBER(SEARCH("unable to locate acct", tblDocketedComments[[#This Row],[Docketed Consumer Comments]])),
    ISNUMBER(SEARCH("unknown", tblDocketedComments[[#This Row],[Docketed Consumer Comments]])),
    ISNUMBER(SEARCH("inactive", tblDocketedComments[[#This Row],[Docketed Consumer Comments]]))
  ),
  0,
  1
)</f>
        <v>1</v>
      </c>
    </row>
    <row r="439" spans="1:22" hidden="1">
      <c r="A439" s="2">
        <v>45903</v>
      </c>
      <c r="B439" s="1" t="s">
        <v>1233</v>
      </c>
      <c r="C439" s="1" t="s">
        <v>1234</v>
      </c>
      <c r="D439" s="1" t="s">
        <v>125</v>
      </c>
      <c r="E439" s="1">
        <v>85259</v>
      </c>
      <c r="F439" s="1" t="s">
        <v>310</v>
      </c>
      <c r="G439" s="1" t="s">
        <v>1193</v>
      </c>
      <c r="H439" s="4" t="s">
        <v>27</v>
      </c>
      <c r="V439" s="45">
        <f>IF(
  OR(
    ISNUMBER(SEARCH("unable to locate acct", tblDocketedComments[[#This Row],[Docketed Consumer Comments]])),
    ISNUMBER(SEARCH("unknown", tblDocketedComments[[#This Row],[Docketed Consumer Comments]])),
    ISNUMBER(SEARCH("inactive", tblDocketedComments[[#This Row],[Docketed Consumer Comments]]))
  ),
  0,
  1
)</f>
        <v>1</v>
      </c>
    </row>
    <row r="440" spans="1:22" hidden="1">
      <c r="A440" s="2">
        <v>45903</v>
      </c>
      <c r="B440" s="1" t="s">
        <v>1235</v>
      </c>
      <c r="C440" s="1" t="s">
        <v>1236</v>
      </c>
      <c r="D440" s="1" t="s">
        <v>616</v>
      </c>
      <c r="E440" s="1">
        <v>85365</v>
      </c>
      <c r="F440" s="1" t="s">
        <v>31</v>
      </c>
      <c r="G440" s="1" t="s">
        <v>1193</v>
      </c>
      <c r="H440" s="4" t="s">
        <v>1237</v>
      </c>
      <c r="I440" s="5" t="s">
        <v>538</v>
      </c>
      <c r="J440" s="5" t="s">
        <v>37</v>
      </c>
      <c r="K440" s="5" t="s">
        <v>37</v>
      </c>
      <c r="L440" s="5" t="s">
        <v>387</v>
      </c>
      <c r="M440" s="5" t="s">
        <v>37</v>
      </c>
      <c r="N440" s="5" t="s">
        <v>37</v>
      </c>
      <c r="O440" s="5" t="s">
        <v>38</v>
      </c>
      <c r="P440" s="5" t="s">
        <v>39</v>
      </c>
      <c r="Q440" s="2">
        <v>45967</v>
      </c>
      <c r="V440" s="45">
        <f>IF(
  OR(
    ISNUMBER(SEARCH("unable to locate acct", tblDocketedComments[[#This Row],[Docketed Consumer Comments]])),
    ISNUMBER(SEARCH("unknown", tblDocketedComments[[#This Row],[Docketed Consumer Comments]])),
    ISNUMBER(SEARCH("inactive", tblDocketedComments[[#This Row],[Docketed Consumer Comments]]))
  ),
  0,
  1
)</f>
        <v>1</v>
      </c>
    </row>
    <row r="441" spans="1:22" hidden="1">
      <c r="A441" s="2">
        <v>45903</v>
      </c>
      <c r="B441" s="1" t="s">
        <v>1238</v>
      </c>
      <c r="C441" s="1" t="s">
        <v>1239</v>
      </c>
      <c r="D441" s="1" t="s">
        <v>24</v>
      </c>
      <c r="E441" s="1">
        <v>85308</v>
      </c>
      <c r="F441" s="1" t="s">
        <v>31</v>
      </c>
      <c r="G441" s="1" t="s">
        <v>1193</v>
      </c>
      <c r="H441" s="4" t="s">
        <v>27</v>
      </c>
      <c r="V441" s="45">
        <f>IF(
  OR(
    ISNUMBER(SEARCH("unable to locate acct", tblDocketedComments[[#This Row],[Docketed Consumer Comments]])),
    ISNUMBER(SEARCH("unknown", tblDocketedComments[[#This Row],[Docketed Consumer Comments]])),
    ISNUMBER(SEARCH("inactive", tblDocketedComments[[#This Row],[Docketed Consumer Comments]]))
  ),
  0,
  1
)</f>
        <v>1</v>
      </c>
    </row>
    <row r="442" spans="1:22" hidden="1">
      <c r="A442" s="2">
        <v>45903</v>
      </c>
      <c r="B442" s="1" t="s">
        <v>1240</v>
      </c>
      <c r="C442" s="1" t="s">
        <v>1241</v>
      </c>
      <c r="D442" s="1" t="s">
        <v>520</v>
      </c>
      <c r="E442" s="1">
        <v>85392</v>
      </c>
      <c r="F442" s="1" t="s">
        <v>31</v>
      </c>
      <c r="G442" s="1" t="s">
        <v>1193</v>
      </c>
      <c r="H442" s="4" t="s">
        <v>27</v>
      </c>
      <c r="V442" s="45">
        <f>IF(
  OR(
    ISNUMBER(SEARCH("unable to locate acct", tblDocketedComments[[#This Row],[Docketed Consumer Comments]])),
    ISNUMBER(SEARCH("unknown", tblDocketedComments[[#This Row],[Docketed Consumer Comments]])),
    ISNUMBER(SEARCH("inactive", tblDocketedComments[[#This Row],[Docketed Consumer Comments]]))
  ),
  0,
  1
)</f>
        <v>1</v>
      </c>
    </row>
    <row r="443" spans="1:22" hidden="1">
      <c r="A443" s="2">
        <v>45903</v>
      </c>
      <c r="B443" s="1" t="s">
        <v>1242</v>
      </c>
      <c r="C443" s="1" t="s">
        <v>135</v>
      </c>
      <c r="D443" s="1" t="s">
        <v>1243</v>
      </c>
      <c r="E443" s="1">
        <v>85353</v>
      </c>
      <c r="F443" s="1" t="s">
        <v>31</v>
      </c>
      <c r="G443" s="1" t="s">
        <v>1193</v>
      </c>
      <c r="H443" s="4" t="s">
        <v>27</v>
      </c>
      <c r="V443" s="45">
        <f>IF(
  OR(
    ISNUMBER(SEARCH("unable to locate acct", tblDocketedComments[[#This Row],[Docketed Consumer Comments]])),
    ISNUMBER(SEARCH("unknown", tblDocketedComments[[#This Row],[Docketed Consumer Comments]])),
    ISNUMBER(SEARCH("inactive", tblDocketedComments[[#This Row],[Docketed Consumer Comments]]))
  ),
  0,
  1
)</f>
        <v>1</v>
      </c>
    </row>
    <row r="444" spans="1:22" hidden="1">
      <c r="A444" s="2">
        <v>45903</v>
      </c>
      <c r="B444" s="1" t="s">
        <v>1244</v>
      </c>
      <c r="C444" s="1" t="s">
        <v>526</v>
      </c>
      <c r="D444" s="1" t="s">
        <v>501</v>
      </c>
      <c r="E444" s="1">
        <v>86001</v>
      </c>
      <c r="F444" s="1" t="s">
        <v>310</v>
      </c>
      <c r="G444" s="1" t="s">
        <v>1193</v>
      </c>
      <c r="H444" s="4" t="s">
        <v>27</v>
      </c>
      <c r="V444" s="45">
        <f>IF(
  OR(
    ISNUMBER(SEARCH("unable to locate acct", tblDocketedComments[[#This Row],[Docketed Consumer Comments]])),
    ISNUMBER(SEARCH("unknown", tblDocketedComments[[#This Row],[Docketed Consumer Comments]])),
    ISNUMBER(SEARCH("inactive", tblDocketedComments[[#This Row],[Docketed Consumer Comments]]))
  ),
  0,
  1
)</f>
        <v>1</v>
      </c>
    </row>
    <row r="445" spans="1:22" hidden="1">
      <c r="A445" s="2">
        <v>45903</v>
      </c>
      <c r="B445" s="1" t="s">
        <v>1245</v>
      </c>
      <c r="C445" s="1" t="s">
        <v>1246</v>
      </c>
      <c r="D445" s="1" t="s">
        <v>125</v>
      </c>
      <c r="E445" s="1">
        <v>85257</v>
      </c>
      <c r="F445" s="1" t="s">
        <v>310</v>
      </c>
      <c r="G445" s="1" t="s">
        <v>1193</v>
      </c>
      <c r="H445" s="4" t="s">
        <v>27</v>
      </c>
      <c r="V445" s="45">
        <f>IF(
  OR(
    ISNUMBER(SEARCH("unable to locate acct", tblDocketedComments[[#This Row],[Docketed Consumer Comments]])),
    ISNUMBER(SEARCH("unknown", tblDocketedComments[[#This Row],[Docketed Consumer Comments]])),
    ISNUMBER(SEARCH("inactive", tblDocketedComments[[#This Row],[Docketed Consumer Comments]]))
  ),
  0,
  1
)</f>
        <v>1</v>
      </c>
    </row>
    <row r="446" spans="1:22" hidden="1">
      <c r="A446" s="2">
        <v>45903</v>
      </c>
      <c r="B446" s="1" t="s">
        <v>1247</v>
      </c>
      <c r="C446" s="1" t="s">
        <v>1248</v>
      </c>
      <c r="D446" s="1" t="s">
        <v>63</v>
      </c>
      <c r="E446" s="1">
        <v>85024</v>
      </c>
      <c r="F446" s="1" t="s">
        <v>31</v>
      </c>
      <c r="G446" s="1" t="s">
        <v>1193</v>
      </c>
      <c r="H446" s="4" t="s">
        <v>1249</v>
      </c>
      <c r="I446" s="5" t="s">
        <v>250</v>
      </c>
      <c r="J446" s="5" t="s">
        <v>37</v>
      </c>
      <c r="K446" s="5" t="s">
        <v>37</v>
      </c>
      <c r="L446" s="7" t="s">
        <v>1250</v>
      </c>
      <c r="M446" s="5" t="s">
        <v>37</v>
      </c>
      <c r="N446" s="5" t="s">
        <v>37</v>
      </c>
      <c r="O446" s="5" t="s">
        <v>38</v>
      </c>
      <c r="P446" s="2">
        <v>45936</v>
      </c>
      <c r="Q446" s="2">
        <v>45967</v>
      </c>
      <c r="R446" s="1" t="s">
        <v>1251</v>
      </c>
      <c r="V446" s="45">
        <f>IF(
  OR(
    ISNUMBER(SEARCH("unable to locate acct", tblDocketedComments[[#This Row],[Docketed Consumer Comments]])),
    ISNUMBER(SEARCH("unknown", tblDocketedComments[[#This Row],[Docketed Consumer Comments]])),
    ISNUMBER(SEARCH("inactive", tblDocketedComments[[#This Row],[Docketed Consumer Comments]]))
  ),
  0,
  1
)</f>
        <v>1</v>
      </c>
    </row>
    <row r="447" spans="1:22" hidden="1">
      <c r="A447" s="2">
        <v>45903</v>
      </c>
      <c r="B447" s="1" t="s">
        <v>1070</v>
      </c>
      <c r="C447" s="1" t="s">
        <v>1252</v>
      </c>
      <c r="D447" s="1" t="s">
        <v>24</v>
      </c>
      <c r="E447" s="1">
        <v>85306</v>
      </c>
      <c r="F447" s="1" t="s">
        <v>310</v>
      </c>
      <c r="G447" s="1" t="s">
        <v>1193</v>
      </c>
      <c r="H447" s="4" t="s">
        <v>1253</v>
      </c>
      <c r="I447" s="5" t="s">
        <v>36</v>
      </c>
      <c r="J447" s="5" t="s">
        <v>37</v>
      </c>
      <c r="K447" s="5" t="s">
        <v>37</v>
      </c>
      <c r="L447" s="5" t="s">
        <v>38</v>
      </c>
      <c r="M447" s="5" t="s">
        <v>37</v>
      </c>
      <c r="N447" s="5" t="s">
        <v>37</v>
      </c>
      <c r="O447" s="5" t="s">
        <v>38</v>
      </c>
      <c r="P447" s="5" t="s">
        <v>39</v>
      </c>
      <c r="Q447" s="2">
        <v>45967</v>
      </c>
      <c r="V447" s="45">
        <f>IF(
  OR(
    ISNUMBER(SEARCH("unable to locate acct", tblDocketedComments[[#This Row],[Docketed Consumer Comments]])),
    ISNUMBER(SEARCH("unknown", tblDocketedComments[[#This Row],[Docketed Consumer Comments]])),
    ISNUMBER(SEARCH("inactive", tblDocketedComments[[#This Row],[Docketed Consumer Comments]]))
  ),
  0,
  1
)</f>
        <v>1</v>
      </c>
    </row>
    <row r="448" spans="1:22" hidden="1">
      <c r="A448" s="2">
        <v>45903</v>
      </c>
      <c r="B448" s="1" t="s">
        <v>1254</v>
      </c>
      <c r="C448" s="1" t="s">
        <v>1255</v>
      </c>
      <c r="D448" s="1" t="s">
        <v>63</v>
      </c>
      <c r="E448" s="1">
        <v>85037</v>
      </c>
      <c r="F448" s="1" t="s">
        <v>310</v>
      </c>
      <c r="G448" s="1" t="s">
        <v>1193</v>
      </c>
      <c r="H448" s="4" t="s">
        <v>90</v>
      </c>
      <c r="V448" s="45">
        <f>IF(
  OR(
    ISNUMBER(SEARCH("unable to locate acct", tblDocketedComments[[#This Row],[Docketed Consumer Comments]])),
    ISNUMBER(SEARCH("unknown", tblDocketedComments[[#This Row],[Docketed Consumer Comments]])),
    ISNUMBER(SEARCH("inactive", tblDocketedComments[[#This Row],[Docketed Consumer Comments]]))
  ),
  0,
  1
)</f>
        <v>1</v>
      </c>
    </row>
    <row r="449" spans="1:22" hidden="1">
      <c r="A449" s="2">
        <v>45903</v>
      </c>
      <c r="B449" s="1" t="s">
        <v>1256</v>
      </c>
      <c r="C449" s="1" t="s">
        <v>1257</v>
      </c>
      <c r="D449" s="1" t="s">
        <v>202</v>
      </c>
      <c r="E449" s="1">
        <v>85382</v>
      </c>
      <c r="F449" s="1" t="s">
        <v>31</v>
      </c>
      <c r="G449" s="1" t="s">
        <v>1193</v>
      </c>
      <c r="H449" s="4" t="s">
        <v>1258</v>
      </c>
      <c r="I449" s="5" t="s">
        <v>968</v>
      </c>
      <c r="J449" s="5" t="s">
        <v>37</v>
      </c>
      <c r="K449" s="5" t="s">
        <v>37</v>
      </c>
      <c r="L449" s="7" t="s">
        <v>1259</v>
      </c>
      <c r="M449" s="5" t="s">
        <v>37</v>
      </c>
      <c r="N449" s="5" t="s">
        <v>37</v>
      </c>
      <c r="O449" s="5" t="s">
        <v>38</v>
      </c>
      <c r="P449" s="7"/>
      <c r="Q449" s="2">
        <v>45967</v>
      </c>
      <c r="V449" s="45">
        <f>IF(
  OR(
    ISNUMBER(SEARCH("unable to locate acct", tblDocketedComments[[#This Row],[Docketed Consumer Comments]])),
    ISNUMBER(SEARCH("unknown", tblDocketedComments[[#This Row],[Docketed Consumer Comments]])),
    ISNUMBER(SEARCH("inactive", tblDocketedComments[[#This Row],[Docketed Consumer Comments]]))
  ),
  0,
  1
)</f>
        <v>1</v>
      </c>
    </row>
    <row r="450" spans="1:22" hidden="1">
      <c r="A450" s="2">
        <v>45903</v>
      </c>
      <c r="B450" s="1" t="s">
        <v>1260</v>
      </c>
      <c r="C450" s="1" t="s">
        <v>1261</v>
      </c>
      <c r="D450" s="1" t="s">
        <v>63</v>
      </c>
      <c r="E450" s="1">
        <v>85085</v>
      </c>
      <c r="F450" s="1" t="s">
        <v>310</v>
      </c>
      <c r="G450" s="1" t="s">
        <v>1193</v>
      </c>
      <c r="H450" s="4" t="s">
        <v>1262</v>
      </c>
      <c r="I450" s="5" t="s">
        <v>538</v>
      </c>
      <c r="J450" s="5" t="s">
        <v>37</v>
      </c>
      <c r="K450" s="5" t="s">
        <v>37</v>
      </c>
      <c r="L450" s="5" t="s">
        <v>387</v>
      </c>
      <c r="M450" s="5" t="s">
        <v>37</v>
      </c>
      <c r="N450" s="5" t="s">
        <v>37</v>
      </c>
      <c r="O450" s="5" t="s">
        <v>38</v>
      </c>
      <c r="P450" s="5" t="s">
        <v>39</v>
      </c>
      <c r="Q450" s="2">
        <v>45967</v>
      </c>
      <c r="V450" s="45">
        <f>IF(
  OR(
    ISNUMBER(SEARCH("unable to locate acct", tblDocketedComments[[#This Row],[Docketed Consumer Comments]])),
    ISNUMBER(SEARCH("unknown", tblDocketedComments[[#This Row],[Docketed Consumer Comments]])),
    ISNUMBER(SEARCH("inactive", tblDocketedComments[[#This Row],[Docketed Consumer Comments]]))
  ),
  0,
  1
)</f>
        <v>1</v>
      </c>
    </row>
    <row r="451" spans="1:22" hidden="1">
      <c r="A451" s="2">
        <v>45903</v>
      </c>
      <c r="B451" s="1" t="s">
        <v>1263</v>
      </c>
      <c r="C451" s="1" t="s">
        <v>1264</v>
      </c>
      <c r="D451" s="1" t="s">
        <v>129</v>
      </c>
      <c r="E451" s="1">
        <v>85298</v>
      </c>
      <c r="F451" s="1" t="s">
        <v>310</v>
      </c>
      <c r="G451" s="1" t="s">
        <v>1193</v>
      </c>
      <c r="H451" s="4" t="s">
        <v>27</v>
      </c>
      <c r="V451" s="45">
        <f>IF(
  OR(
    ISNUMBER(SEARCH("unable to locate acct", tblDocketedComments[[#This Row],[Docketed Consumer Comments]])),
    ISNUMBER(SEARCH("unknown", tblDocketedComments[[#This Row],[Docketed Consumer Comments]])),
    ISNUMBER(SEARCH("inactive", tblDocketedComments[[#This Row],[Docketed Consumer Comments]]))
  ),
  0,
  1
)</f>
        <v>1</v>
      </c>
    </row>
    <row r="452" spans="1:22" hidden="1">
      <c r="A452" s="2">
        <v>45903</v>
      </c>
      <c r="B452" s="1" t="s">
        <v>1265</v>
      </c>
      <c r="C452" s="1" t="s">
        <v>1266</v>
      </c>
      <c r="D452" s="1" t="s">
        <v>63</v>
      </c>
      <c r="E452" s="1">
        <v>85053</v>
      </c>
      <c r="F452" s="1" t="s">
        <v>310</v>
      </c>
      <c r="G452" s="1" t="s">
        <v>1193</v>
      </c>
      <c r="H452" s="4" t="s">
        <v>90</v>
      </c>
      <c r="V452" s="45">
        <f>IF(
  OR(
    ISNUMBER(SEARCH("unable to locate acct", tblDocketedComments[[#This Row],[Docketed Consumer Comments]])),
    ISNUMBER(SEARCH("unknown", tblDocketedComments[[#This Row],[Docketed Consumer Comments]])),
    ISNUMBER(SEARCH("inactive", tblDocketedComments[[#This Row],[Docketed Consumer Comments]]))
  ),
  0,
  1
)</f>
        <v>1</v>
      </c>
    </row>
    <row r="453" spans="1:22" hidden="1">
      <c r="A453" s="2">
        <v>45903</v>
      </c>
      <c r="B453" s="1" t="s">
        <v>1267</v>
      </c>
      <c r="C453" s="1" t="s">
        <v>1268</v>
      </c>
      <c r="D453" s="1" t="s">
        <v>112</v>
      </c>
      <c r="E453" s="1">
        <v>85387</v>
      </c>
      <c r="F453" s="1" t="s">
        <v>310</v>
      </c>
      <c r="G453" s="1" t="s">
        <v>1193</v>
      </c>
      <c r="H453" s="4" t="s">
        <v>1269</v>
      </c>
      <c r="I453" s="5" t="s">
        <v>36</v>
      </c>
      <c r="J453" s="5" t="s">
        <v>37</v>
      </c>
      <c r="K453" s="5" t="s">
        <v>37</v>
      </c>
      <c r="L453" s="5" t="s">
        <v>38</v>
      </c>
      <c r="M453" s="5" t="s">
        <v>37</v>
      </c>
      <c r="N453" s="5" t="s">
        <v>37</v>
      </c>
      <c r="O453" s="5" t="s">
        <v>38</v>
      </c>
      <c r="P453" s="5" t="s">
        <v>39</v>
      </c>
      <c r="Q453" s="2">
        <v>45967</v>
      </c>
      <c r="V453" s="45">
        <f>IF(
  OR(
    ISNUMBER(SEARCH("unable to locate acct", tblDocketedComments[[#This Row],[Docketed Consumer Comments]])),
    ISNUMBER(SEARCH("unknown", tblDocketedComments[[#This Row],[Docketed Consumer Comments]])),
    ISNUMBER(SEARCH("inactive", tblDocketedComments[[#This Row],[Docketed Consumer Comments]]))
  ),
  0,
  1
)</f>
        <v>1</v>
      </c>
    </row>
    <row r="454" spans="1:22" hidden="1">
      <c r="A454" s="2">
        <v>45903</v>
      </c>
      <c r="B454" s="1" t="s">
        <v>891</v>
      </c>
      <c r="C454" s="1" t="s">
        <v>328</v>
      </c>
      <c r="D454" s="1" t="s">
        <v>125</v>
      </c>
      <c r="E454" s="1">
        <v>85251</v>
      </c>
      <c r="F454" s="1" t="s">
        <v>31</v>
      </c>
      <c r="G454" s="1" t="s">
        <v>1193</v>
      </c>
      <c r="H454" s="4" t="s">
        <v>27</v>
      </c>
      <c r="V454" s="45">
        <f>IF(
  OR(
    ISNUMBER(SEARCH("unable to locate acct", tblDocketedComments[[#This Row],[Docketed Consumer Comments]])),
    ISNUMBER(SEARCH("unknown", tblDocketedComments[[#This Row],[Docketed Consumer Comments]])),
    ISNUMBER(SEARCH("inactive", tblDocketedComments[[#This Row],[Docketed Consumer Comments]]))
  ),
  0,
  1
)</f>
        <v>1</v>
      </c>
    </row>
    <row r="455" spans="1:22" hidden="1">
      <c r="A455" s="2">
        <v>45903</v>
      </c>
      <c r="B455" s="1" t="s">
        <v>1270</v>
      </c>
      <c r="C455" s="1" t="s">
        <v>1271</v>
      </c>
      <c r="D455" s="1" t="s">
        <v>202</v>
      </c>
      <c r="E455" s="1">
        <v>85383</v>
      </c>
      <c r="F455" s="1" t="s">
        <v>310</v>
      </c>
      <c r="G455" s="1" t="s">
        <v>1193</v>
      </c>
      <c r="H455" s="4" t="s">
        <v>1272</v>
      </c>
      <c r="I455" s="5" t="s">
        <v>968</v>
      </c>
      <c r="J455" s="5" t="s">
        <v>37</v>
      </c>
      <c r="K455" s="5" t="s">
        <v>37</v>
      </c>
      <c r="L455" s="5" t="s">
        <v>1273</v>
      </c>
      <c r="M455" s="5" t="s">
        <v>37</v>
      </c>
      <c r="N455" s="5" t="s">
        <v>37</v>
      </c>
      <c r="O455" s="5" t="s">
        <v>38</v>
      </c>
      <c r="P455" s="5" t="s">
        <v>39</v>
      </c>
      <c r="Q455" s="2">
        <v>45967</v>
      </c>
      <c r="R455" s="1" t="s">
        <v>1274</v>
      </c>
      <c r="V455" s="45">
        <f>IF(
  OR(
    ISNUMBER(SEARCH("unable to locate acct", tblDocketedComments[[#This Row],[Docketed Consumer Comments]])),
    ISNUMBER(SEARCH("unknown", tblDocketedComments[[#This Row],[Docketed Consumer Comments]])),
    ISNUMBER(SEARCH("inactive", tblDocketedComments[[#This Row],[Docketed Consumer Comments]]))
  ),
  0,
  1
)</f>
        <v>1</v>
      </c>
    </row>
    <row r="456" spans="1:22" hidden="1">
      <c r="A456" s="2">
        <v>45903</v>
      </c>
      <c r="B456" s="1" t="s">
        <v>1275</v>
      </c>
      <c r="C456" s="1" t="s">
        <v>1276</v>
      </c>
      <c r="D456" s="1" t="s">
        <v>202</v>
      </c>
      <c r="E456" s="1">
        <v>85383</v>
      </c>
      <c r="F456" s="1" t="s">
        <v>310</v>
      </c>
      <c r="G456" s="1" t="s">
        <v>1193</v>
      </c>
      <c r="H456" s="4" t="s">
        <v>27</v>
      </c>
      <c r="V456" s="45">
        <f>IF(
  OR(
    ISNUMBER(SEARCH("unable to locate acct", tblDocketedComments[[#This Row],[Docketed Consumer Comments]])),
    ISNUMBER(SEARCH("unknown", tblDocketedComments[[#This Row],[Docketed Consumer Comments]])),
    ISNUMBER(SEARCH("inactive", tblDocketedComments[[#This Row],[Docketed Consumer Comments]]))
  ),
  0,
  1
)</f>
        <v>1</v>
      </c>
    </row>
    <row r="457" spans="1:22" hidden="1">
      <c r="A457" s="2">
        <v>45903</v>
      </c>
      <c r="B457" s="1" t="s">
        <v>1277</v>
      </c>
      <c r="C457" s="1" t="s">
        <v>354</v>
      </c>
      <c r="D457" s="1" t="s">
        <v>63</v>
      </c>
      <c r="E457" s="1">
        <v>85027</v>
      </c>
      <c r="F457" s="1" t="s">
        <v>310</v>
      </c>
      <c r="G457" s="1" t="s">
        <v>1193</v>
      </c>
      <c r="H457" s="4" t="s">
        <v>1278</v>
      </c>
      <c r="I457" s="5" t="s">
        <v>196</v>
      </c>
      <c r="J457" s="5" t="s">
        <v>37</v>
      </c>
      <c r="K457" s="5" t="s">
        <v>37</v>
      </c>
      <c r="L457" s="5" t="s">
        <v>1279</v>
      </c>
      <c r="M457" s="5" t="s">
        <v>37</v>
      </c>
      <c r="N457" s="5" t="s">
        <v>37</v>
      </c>
      <c r="O457" s="5" t="s">
        <v>38</v>
      </c>
      <c r="P457" s="5" t="s">
        <v>39</v>
      </c>
      <c r="Q457" s="2">
        <v>45967</v>
      </c>
      <c r="V457" s="45">
        <f>IF(
  OR(
    ISNUMBER(SEARCH("unable to locate acct", tblDocketedComments[[#This Row],[Docketed Consumer Comments]])),
    ISNUMBER(SEARCH("unknown", tblDocketedComments[[#This Row],[Docketed Consumer Comments]])),
    ISNUMBER(SEARCH("inactive", tblDocketedComments[[#This Row],[Docketed Consumer Comments]]))
  ),
  0,
  1
)</f>
        <v>1</v>
      </c>
    </row>
    <row r="458" spans="1:22" hidden="1">
      <c r="A458" s="2">
        <v>45903</v>
      </c>
      <c r="B458" s="1" t="s">
        <v>1280</v>
      </c>
      <c r="C458" s="1" t="s">
        <v>1281</v>
      </c>
      <c r="D458" s="1" t="s">
        <v>202</v>
      </c>
      <c r="E458" s="1">
        <v>85383</v>
      </c>
      <c r="F458" s="1" t="s">
        <v>31</v>
      </c>
      <c r="G458" s="1" t="s">
        <v>1193</v>
      </c>
      <c r="H458" s="4" t="s">
        <v>209</v>
      </c>
      <c r="V458" s="45">
        <f>IF(
  OR(
    ISNUMBER(SEARCH("unable to locate acct", tblDocketedComments[[#This Row],[Docketed Consumer Comments]])),
    ISNUMBER(SEARCH("unknown", tblDocketedComments[[#This Row],[Docketed Consumer Comments]])),
    ISNUMBER(SEARCH("inactive", tblDocketedComments[[#This Row],[Docketed Consumer Comments]]))
  ),
  0,
  1
)</f>
        <v>1</v>
      </c>
    </row>
    <row r="459" spans="1:22" hidden="1">
      <c r="A459" s="2">
        <v>45903</v>
      </c>
      <c r="B459" s="1" t="s">
        <v>1282</v>
      </c>
      <c r="C459" s="1" t="s">
        <v>1144</v>
      </c>
      <c r="D459" s="1" t="s">
        <v>63</v>
      </c>
      <c r="E459" s="1">
        <v>85086</v>
      </c>
      <c r="F459" s="1" t="s">
        <v>310</v>
      </c>
      <c r="G459" s="1" t="s">
        <v>1193</v>
      </c>
      <c r="H459" s="4" t="s">
        <v>1283</v>
      </c>
      <c r="I459" s="5" t="s">
        <v>46</v>
      </c>
      <c r="J459" s="5" t="s">
        <v>37</v>
      </c>
      <c r="K459" s="5" t="s">
        <v>37</v>
      </c>
      <c r="L459" s="5" t="s">
        <v>1284</v>
      </c>
      <c r="M459" s="5" t="s">
        <v>37</v>
      </c>
      <c r="N459" s="5" t="s">
        <v>37</v>
      </c>
      <c r="O459" s="5" t="s">
        <v>38</v>
      </c>
      <c r="P459" s="5" t="s">
        <v>39</v>
      </c>
      <c r="Q459" s="2">
        <v>45967</v>
      </c>
      <c r="R459" s="1" t="s">
        <v>1285</v>
      </c>
      <c r="V459" s="45">
        <f>IF(
  OR(
    ISNUMBER(SEARCH("unable to locate acct", tblDocketedComments[[#This Row],[Docketed Consumer Comments]])),
    ISNUMBER(SEARCH("unknown", tblDocketedComments[[#This Row],[Docketed Consumer Comments]])),
    ISNUMBER(SEARCH("inactive", tblDocketedComments[[#This Row],[Docketed Consumer Comments]]))
  ),
  0,
  1
)</f>
        <v>1</v>
      </c>
    </row>
    <row r="460" spans="1:22" hidden="1">
      <c r="A460" s="2">
        <v>45903</v>
      </c>
      <c r="B460" s="1" t="s">
        <v>1286</v>
      </c>
      <c r="C460" s="1" t="s">
        <v>1287</v>
      </c>
      <c r="D460" s="1" t="s">
        <v>520</v>
      </c>
      <c r="E460" s="1">
        <v>85392</v>
      </c>
      <c r="F460" s="1" t="s">
        <v>31</v>
      </c>
      <c r="G460" s="1" t="s">
        <v>1193</v>
      </c>
      <c r="H460" s="4" t="s">
        <v>1288</v>
      </c>
      <c r="I460" s="5" t="s">
        <v>416</v>
      </c>
      <c r="J460" s="5" t="s">
        <v>37</v>
      </c>
      <c r="K460" s="5" t="s">
        <v>37</v>
      </c>
      <c r="L460" s="5" t="s">
        <v>387</v>
      </c>
      <c r="M460" s="5" t="s">
        <v>37</v>
      </c>
      <c r="N460" s="5" t="s">
        <v>37</v>
      </c>
      <c r="O460" s="5" t="s">
        <v>38</v>
      </c>
      <c r="P460" s="5" t="s">
        <v>39</v>
      </c>
      <c r="Q460" s="2">
        <v>45967</v>
      </c>
      <c r="V460" s="45">
        <f>IF(
  OR(
    ISNUMBER(SEARCH("unable to locate acct", tblDocketedComments[[#This Row],[Docketed Consumer Comments]])),
    ISNUMBER(SEARCH("unknown", tblDocketedComments[[#This Row],[Docketed Consumer Comments]])),
    ISNUMBER(SEARCH("inactive", tblDocketedComments[[#This Row],[Docketed Consumer Comments]]))
  ),
  0,
  1
)</f>
        <v>1</v>
      </c>
    </row>
    <row r="461" spans="1:22" hidden="1">
      <c r="A461" s="2">
        <v>45903</v>
      </c>
      <c r="B461" s="1" t="s">
        <v>1289</v>
      </c>
      <c r="C461" s="1" t="s">
        <v>1290</v>
      </c>
      <c r="D461" s="1" t="s">
        <v>63</v>
      </c>
      <c r="E461" s="1">
        <v>85021</v>
      </c>
      <c r="F461" s="1" t="s">
        <v>310</v>
      </c>
      <c r="G461" s="1" t="s">
        <v>1193</v>
      </c>
      <c r="H461" s="4" t="s">
        <v>1291</v>
      </c>
      <c r="I461" s="5" t="s">
        <v>196</v>
      </c>
      <c r="J461" s="5" t="s">
        <v>37</v>
      </c>
      <c r="K461" s="5" t="s">
        <v>37</v>
      </c>
      <c r="L461" s="7" t="s">
        <v>1292</v>
      </c>
      <c r="M461" s="5" t="s">
        <v>37</v>
      </c>
      <c r="N461" s="5" t="s">
        <v>37</v>
      </c>
      <c r="O461" s="5" t="s">
        <v>38</v>
      </c>
      <c r="P461" s="2">
        <v>45936</v>
      </c>
      <c r="Q461" s="2">
        <v>45967</v>
      </c>
      <c r="R461" s="1" t="s">
        <v>1293</v>
      </c>
      <c r="V461" s="45">
        <f>IF(
  OR(
    ISNUMBER(SEARCH("unable to locate acct", tblDocketedComments[[#This Row],[Docketed Consumer Comments]])),
    ISNUMBER(SEARCH("unknown", tblDocketedComments[[#This Row],[Docketed Consumer Comments]])),
    ISNUMBER(SEARCH("inactive", tblDocketedComments[[#This Row],[Docketed Consumer Comments]]))
  ),
  0,
  1
)</f>
        <v>1</v>
      </c>
    </row>
    <row r="462" spans="1:22" hidden="1">
      <c r="A462" s="2">
        <v>45903</v>
      </c>
      <c r="B462" s="1" t="s">
        <v>1051</v>
      </c>
      <c r="C462" s="1" t="s">
        <v>1294</v>
      </c>
      <c r="D462" s="1" t="s">
        <v>63</v>
      </c>
      <c r="E462" s="1">
        <v>85032</v>
      </c>
      <c r="F462" s="1" t="s">
        <v>31</v>
      </c>
      <c r="G462" s="1" t="s">
        <v>1193</v>
      </c>
      <c r="H462" s="4" t="s">
        <v>90</v>
      </c>
      <c r="V462" s="45">
        <f>IF(
  OR(
    ISNUMBER(SEARCH("unable to locate acct", tblDocketedComments[[#This Row],[Docketed Consumer Comments]])),
    ISNUMBER(SEARCH("unknown", tblDocketedComments[[#This Row],[Docketed Consumer Comments]])),
    ISNUMBER(SEARCH("inactive", tblDocketedComments[[#This Row],[Docketed Consumer Comments]]))
  ),
  0,
  1
)</f>
        <v>1</v>
      </c>
    </row>
    <row r="463" spans="1:22" hidden="1">
      <c r="A463" s="2">
        <v>45903</v>
      </c>
      <c r="B463" s="1" t="s">
        <v>1295</v>
      </c>
      <c r="C463" s="1" t="s">
        <v>1296</v>
      </c>
      <c r="D463" s="1" t="s">
        <v>63</v>
      </c>
      <c r="E463" s="1">
        <v>85024</v>
      </c>
      <c r="F463" s="1" t="s">
        <v>310</v>
      </c>
      <c r="G463" s="1" t="s">
        <v>1193</v>
      </c>
      <c r="H463" s="4" t="s">
        <v>1297</v>
      </c>
      <c r="I463" s="5" t="s">
        <v>36</v>
      </c>
      <c r="J463" s="5" t="s">
        <v>37</v>
      </c>
      <c r="K463" s="5" t="s">
        <v>37</v>
      </c>
      <c r="L463" s="5" t="s">
        <v>38</v>
      </c>
      <c r="M463" s="5" t="s">
        <v>37</v>
      </c>
      <c r="N463" s="5" t="s">
        <v>37</v>
      </c>
      <c r="O463" s="5" t="s">
        <v>38</v>
      </c>
      <c r="P463" s="5" t="s">
        <v>39</v>
      </c>
      <c r="Q463" s="2">
        <v>45967</v>
      </c>
      <c r="V463" s="45">
        <f>IF(
  OR(
    ISNUMBER(SEARCH("unable to locate acct", tblDocketedComments[[#This Row],[Docketed Consumer Comments]])),
    ISNUMBER(SEARCH("unknown", tblDocketedComments[[#This Row],[Docketed Consumer Comments]])),
    ISNUMBER(SEARCH("inactive", tblDocketedComments[[#This Row],[Docketed Consumer Comments]]))
  ),
  0,
  1
)</f>
        <v>1</v>
      </c>
    </row>
    <row r="464" spans="1:22" hidden="1">
      <c r="A464" s="2">
        <v>45903</v>
      </c>
      <c r="B464" s="1" t="s">
        <v>1298</v>
      </c>
      <c r="C464" s="1" t="s">
        <v>1299</v>
      </c>
      <c r="D464" s="1" t="s">
        <v>169</v>
      </c>
      <c r="E464" s="1">
        <v>85338</v>
      </c>
      <c r="F464" s="1" t="s">
        <v>31</v>
      </c>
      <c r="G464" s="1" t="s">
        <v>1193</v>
      </c>
      <c r="H464" s="4" t="s">
        <v>1300</v>
      </c>
      <c r="I464" s="5" t="s">
        <v>126</v>
      </c>
      <c r="J464" s="5" t="s">
        <v>38</v>
      </c>
      <c r="K464" s="5" t="s">
        <v>37</v>
      </c>
      <c r="L464" s="7" t="s">
        <v>1301</v>
      </c>
      <c r="M464" s="5" t="s">
        <v>37</v>
      </c>
      <c r="N464" s="19" t="s">
        <v>37</v>
      </c>
      <c r="O464" s="5" t="s">
        <v>38</v>
      </c>
      <c r="P464" s="2">
        <v>45936</v>
      </c>
      <c r="Q464" s="2">
        <v>45967</v>
      </c>
      <c r="R464" s="1" t="s">
        <v>1293</v>
      </c>
      <c r="V464" s="45">
        <f>IF(
  OR(
    ISNUMBER(SEARCH("unable to locate acct", tblDocketedComments[[#This Row],[Docketed Consumer Comments]])),
    ISNUMBER(SEARCH("unknown", tblDocketedComments[[#This Row],[Docketed Consumer Comments]])),
    ISNUMBER(SEARCH("inactive", tblDocketedComments[[#This Row],[Docketed Consumer Comments]]))
  ),
  0,
  1
)</f>
        <v>1</v>
      </c>
    </row>
    <row r="465" spans="1:22" hidden="1">
      <c r="A465" s="2">
        <v>45903</v>
      </c>
      <c r="B465" s="1" t="s">
        <v>1302</v>
      </c>
      <c r="C465" s="1" t="s">
        <v>1303</v>
      </c>
      <c r="D465" s="1" t="s">
        <v>112</v>
      </c>
      <c r="E465" s="1">
        <v>85379</v>
      </c>
      <c r="F465" s="1" t="s">
        <v>31</v>
      </c>
      <c r="G465" s="1" t="s">
        <v>1193</v>
      </c>
      <c r="H465" s="4" t="s">
        <v>1304</v>
      </c>
      <c r="I465" s="5" t="s">
        <v>36</v>
      </c>
      <c r="J465" s="5" t="s">
        <v>37</v>
      </c>
      <c r="K465" s="5" t="s">
        <v>37</v>
      </c>
      <c r="L465" s="5" t="s">
        <v>38</v>
      </c>
      <c r="M465" s="5" t="s">
        <v>37</v>
      </c>
      <c r="N465" s="5" t="s">
        <v>37</v>
      </c>
      <c r="O465" s="5" t="s">
        <v>38</v>
      </c>
      <c r="P465" s="5" t="s">
        <v>39</v>
      </c>
      <c r="Q465" s="2">
        <v>45967</v>
      </c>
      <c r="V465" s="45">
        <f>IF(
  OR(
    ISNUMBER(SEARCH("unable to locate acct", tblDocketedComments[[#This Row],[Docketed Consumer Comments]])),
    ISNUMBER(SEARCH("unknown", tblDocketedComments[[#This Row],[Docketed Consumer Comments]])),
    ISNUMBER(SEARCH("inactive", tblDocketedComments[[#This Row],[Docketed Consumer Comments]]))
  ),
  0,
  1
)</f>
        <v>1</v>
      </c>
    </row>
    <row r="466" spans="1:22" hidden="1">
      <c r="A466" s="2">
        <v>45903</v>
      </c>
      <c r="B466" s="1" t="s">
        <v>1305</v>
      </c>
      <c r="C466" s="1" t="s">
        <v>1236</v>
      </c>
      <c r="D466" s="1" t="s">
        <v>169</v>
      </c>
      <c r="E466" s="1">
        <v>85338</v>
      </c>
      <c r="F466" s="1" t="s">
        <v>310</v>
      </c>
      <c r="G466" s="1" t="s">
        <v>1193</v>
      </c>
      <c r="H466" s="4" t="s">
        <v>1306</v>
      </c>
      <c r="I466" s="5" t="s">
        <v>57</v>
      </c>
      <c r="J466" s="5" t="s">
        <v>37</v>
      </c>
      <c r="K466" s="5" t="s">
        <v>37</v>
      </c>
      <c r="L466" s="5" t="s">
        <v>1307</v>
      </c>
      <c r="M466" s="5" t="s">
        <v>37</v>
      </c>
      <c r="N466" s="5" t="s">
        <v>37</v>
      </c>
      <c r="O466" s="5" t="s">
        <v>38</v>
      </c>
      <c r="P466" s="5" t="s">
        <v>39</v>
      </c>
      <c r="Q466" s="2">
        <v>45967</v>
      </c>
      <c r="V466" s="45">
        <f>IF(
  OR(
    ISNUMBER(SEARCH("unable to locate acct", tblDocketedComments[[#This Row],[Docketed Consumer Comments]])),
    ISNUMBER(SEARCH("unknown", tblDocketedComments[[#This Row],[Docketed Consumer Comments]])),
    ISNUMBER(SEARCH("inactive", tblDocketedComments[[#This Row],[Docketed Consumer Comments]]))
  ),
  0,
  1
)</f>
        <v>1</v>
      </c>
    </row>
    <row r="467" spans="1:22" hidden="1">
      <c r="A467" s="2">
        <v>45903</v>
      </c>
      <c r="B467" s="1" t="s">
        <v>362</v>
      </c>
      <c r="C467" s="1" t="s">
        <v>1308</v>
      </c>
      <c r="D467" s="1" t="s">
        <v>63</v>
      </c>
      <c r="E467" s="1">
        <v>85085</v>
      </c>
      <c r="F467" s="1" t="s">
        <v>31</v>
      </c>
      <c r="G467" s="1" t="s">
        <v>1193</v>
      </c>
      <c r="H467" s="4" t="s">
        <v>1309</v>
      </c>
      <c r="I467" s="5" t="s">
        <v>250</v>
      </c>
      <c r="J467" s="5" t="s">
        <v>37</v>
      </c>
      <c r="K467" s="5" t="s">
        <v>37</v>
      </c>
      <c r="L467" s="5" t="s">
        <v>38</v>
      </c>
      <c r="M467" s="5" t="s">
        <v>37</v>
      </c>
      <c r="N467" s="5" t="s">
        <v>37</v>
      </c>
      <c r="O467" s="5" t="s">
        <v>38</v>
      </c>
      <c r="P467" s="5" t="s">
        <v>39</v>
      </c>
      <c r="Q467" s="2">
        <v>45967</v>
      </c>
      <c r="V467" s="45">
        <f>IF(
  OR(
    ISNUMBER(SEARCH("unable to locate acct", tblDocketedComments[[#This Row],[Docketed Consumer Comments]])),
    ISNUMBER(SEARCH("unknown", tblDocketedComments[[#This Row],[Docketed Consumer Comments]])),
    ISNUMBER(SEARCH("inactive", tblDocketedComments[[#This Row],[Docketed Consumer Comments]]))
  ),
  0,
  1
)</f>
        <v>1</v>
      </c>
    </row>
    <row r="468" spans="1:22" hidden="1">
      <c r="A468" s="2">
        <v>45903</v>
      </c>
      <c r="B468" s="1" t="s">
        <v>1310</v>
      </c>
      <c r="C468" s="1" t="s">
        <v>1311</v>
      </c>
      <c r="D468" s="1" t="s">
        <v>63</v>
      </c>
      <c r="E468" s="1">
        <v>85053</v>
      </c>
      <c r="F468" s="1" t="s">
        <v>31</v>
      </c>
      <c r="G468" s="1" t="s">
        <v>1193</v>
      </c>
      <c r="H468" s="4" t="s">
        <v>1312</v>
      </c>
      <c r="I468" s="5" t="s">
        <v>250</v>
      </c>
      <c r="J468" s="5" t="s">
        <v>37</v>
      </c>
      <c r="K468" s="5" t="s">
        <v>37</v>
      </c>
      <c r="L468" s="5" t="s">
        <v>38</v>
      </c>
      <c r="M468" s="5" t="s">
        <v>37</v>
      </c>
      <c r="N468" s="5" t="s">
        <v>37</v>
      </c>
      <c r="O468" s="5" t="s">
        <v>38</v>
      </c>
      <c r="P468" s="5" t="s">
        <v>39</v>
      </c>
      <c r="Q468" s="2">
        <v>45967</v>
      </c>
      <c r="V468" s="45">
        <f>IF(
  OR(
    ISNUMBER(SEARCH("unable to locate acct", tblDocketedComments[[#This Row],[Docketed Consumer Comments]])),
    ISNUMBER(SEARCH("unknown", tblDocketedComments[[#This Row],[Docketed Consumer Comments]])),
    ISNUMBER(SEARCH("inactive", tblDocketedComments[[#This Row],[Docketed Consumer Comments]]))
  ),
  0,
  1
)</f>
        <v>1</v>
      </c>
    </row>
    <row r="469" spans="1:22" hidden="1">
      <c r="A469" s="2">
        <v>45903</v>
      </c>
      <c r="B469" s="1" t="s">
        <v>1310</v>
      </c>
      <c r="C469" s="1" t="s">
        <v>312</v>
      </c>
      <c r="D469" s="1" t="s">
        <v>63</v>
      </c>
      <c r="E469" s="1">
        <v>85053</v>
      </c>
      <c r="F469" s="1" t="s">
        <v>310</v>
      </c>
      <c r="G469" s="1" t="s">
        <v>1193</v>
      </c>
      <c r="H469" s="4" t="s">
        <v>27</v>
      </c>
      <c r="V469" s="45">
        <f>IF(
  OR(
    ISNUMBER(SEARCH("unable to locate acct", tblDocketedComments[[#This Row],[Docketed Consumer Comments]])),
    ISNUMBER(SEARCH("unknown", tblDocketedComments[[#This Row],[Docketed Consumer Comments]])),
    ISNUMBER(SEARCH("inactive", tblDocketedComments[[#This Row],[Docketed Consumer Comments]]))
  ),
  0,
  1
)</f>
        <v>1</v>
      </c>
    </row>
    <row r="470" spans="1:22" hidden="1">
      <c r="A470" s="2">
        <v>45903</v>
      </c>
      <c r="B470" s="1" t="s">
        <v>1313</v>
      </c>
      <c r="C470" s="1" t="s">
        <v>1314</v>
      </c>
      <c r="D470" s="1" t="s">
        <v>169</v>
      </c>
      <c r="E470" s="1">
        <v>85395</v>
      </c>
      <c r="F470" s="1" t="s">
        <v>31</v>
      </c>
      <c r="G470" s="1" t="s">
        <v>1193</v>
      </c>
      <c r="H470" s="4" t="s">
        <v>1315</v>
      </c>
      <c r="I470" s="5" t="s">
        <v>243</v>
      </c>
      <c r="J470" s="5" t="s">
        <v>37</v>
      </c>
      <c r="K470" s="5" t="s">
        <v>37</v>
      </c>
      <c r="L470" s="5" t="s">
        <v>387</v>
      </c>
      <c r="M470" s="5" t="s">
        <v>37</v>
      </c>
      <c r="N470" s="5" t="s">
        <v>37</v>
      </c>
      <c r="O470" s="5" t="s">
        <v>38</v>
      </c>
      <c r="P470" s="5" t="s">
        <v>39</v>
      </c>
      <c r="Q470" s="2">
        <v>45967</v>
      </c>
      <c r="V470" s="45">
        <f>IF(
  OR(
    ISNUMBER(SEARCH("unable to locate acct", tblDocketedComments[[#This Row],[Docketed Consumer Comments]])),
    ISNUMBER(SEARCH("unknown", tblDocketedComments[[#This Row],[Docketed Consumer Comments]])),
    ISNUMBER(SEARCH("inactive", tblDocketedComments[[#This Row],[Docketed Consumer Comments]]))
  ),
  0,
  1
)</f>
        <v>1</v>
      </c>
    </row>
    <row r="471" spans="1:22" hidden="1">
      <c r="A471" s="2">
        <v>45903</v>
      </c>
      <c r="B471" s="1" t="s">
        <v>1316</v>
      </c>
      <c r="C471" s="1" t="s">
        <v>206</v>
      </c>
      <c r="D471" s="1" t="s">
        <v>536</v>
      </c>
      <c r="E471" s="1">
        <v>85123</v>
      </c>
      <c r="F471" s="1" t="s">
        <v>31</v>
      </c>
      <c r="G471" s="1" t="s">
        <v>1193</v>
      </c>
      <c r="H471" s="4" t="s">
        <v>1317</v>
      </c>
      <c r="I471" s="5" t="s">
        <v>126</v>
      </c>
      <c r="J471" s="5" t="s">
        <v>37</v>
      </c>
      <c r="K471" s="5" t="s">
        <v>37</v>
      </c>
      <c r="L471" s="5" t="s">
        <v>38</v>
      </c>
      <c r="M471" s="5" t="s">
        <v>37</v>
      </c>
      <c r="N471" s="5" t="s">
        <v>37</v>
      </c>
      <c r="O471" s="5" t="s">
        <v>38</v>
      </c>
      <c r="P471" s="5" t="s">
        <v>39</v>
      </c>
      <c r="Q471" s="2">
        <v>45967</v>
      </c>
      <c r="V471" s="45">
        <f>IF(
  OR(
    ISNUMBER(SEARCH("unable to locate acct", tblDocketedComments[[#This Row],[Docketed Consumer Comments]])),
    ISNUMBER(SEARCH("unknown", tblDocketedComments[[#This Row],[Docketed Consumer Comments]])),
    ISNUMBER(SEARCH("inactive", tblDocketedComments[[#This Row],[Docketed Consumer Comments]]))
  ),
  0,
  1
)</f>
        <v>1</v>
      </c>
    </row>
    <row r="472" spans="1:22" hidden="1">
      <c r="A472" s="2">
        <v>45903</v>
      </c>
      <c r="B472" s="1" t="s">
        <v>1318</v>
      </c>
      <c r="C472" s="1" t="s">
        <v>1319</v>
      </c>
      <c r="D472" s="1" t="s">
        <v>202</v>
      </c>
      <c r="E472" s="1">
        <v>85383</v>
      </c>
      <c r="F472" s="1" t="s">
        <v>310</v>
      </c>
      <c r="G472" s="1" t="s">
        <v>1193</v>
      </c>
      <c r="H472" s="4" t="s">
        <v>27</v>
      </c>
      <c r="V472" s="45">
        <f>IF(
  OR(
    ISNUMBER(SEARCH("unable to locate acct", tblDocketedComments[[#This Row],[Docketed Consumer Comments]])),
    ISNUMBER(SEARCH("unknown", tblDocketedComments[[#This Row],[Docketed Consumer Comments]])),
    ISNUMBER(SEARCH("inactive", tblDocketedComments[[#This Row],[Docketed Consumer Comments]]))
  ),
  0,
  1
)</f>
        <v>1</v>
      </c>
    </row>
    <row r="473" spans="1:22" hidden="1">
      <c r="A473" s="2">
        <v>45903</v>
      </c>
      <c r="B473" s="1" t="s">
        <v>1320</v>
      </c>
      <c r="C473" s="1" t="s">
        <v>1321</v>
      </c>
      <c r="D473" s="1" t="s">
        <v>202</v>
      </c>
      <c r="E473" s="1">
        <v>85383</v>
      </c>
      <c r="F473" s="1" t="s">
        <v>310</v>
      </c>
      <c r="G473" s="1" t="s">
        <v>1193</v>
      </c>
      <c r="H473" s="4" t="s">
        <v>27</v>
      </c>
      <c r="V473" s="45">
        <f>IF(
  OR(
    ISNUMBER(SEARCH("unable to locate acct", tblDocketedComments[[#This Row],[Docketed Consumer Comments]])),
    ISNUMBER(SEARCH("unknown", tblDocketedComments[[#This Row],[Docketed Consumer Comments]])),
    ISNUMBER(SEARCH("inactive", tblDocketedComments[[#This Row],[Docketed Consumer Comments]]))
  ),
  0,
  1
)</f>
        <v>1</v>
      </c>
    </row>
    <row r="474" spans="1:22" hidden="1">
      <c r="A474" s="2">
        <v>45903</v>
      </c>
      <c r="B474" s="1" t="s">
        <v>1322</v>
      </c>
      <c r="C474" s="1" t="s">
        <v>1323</v>
      </c>
      <c r="D474" s="1" t="s">
        <v>63</v>
      </c>
      <c r="E474" s="1">
        <v>85085</v>
      </c>
      <c r="F474" s="1" t="s">
        <v>31</v>
      </c>
      <c r="G474" s="1" t="s">
        <v>1193</v>
      </c>
      <c r="H474" s="4" t="s">
        <v>1324</v>
      </c>
      <c r="I474" s="5" t="s">
        <v>73</v>
      </c>
      <c r="J474" s="5" t="s">
        <v>37</v>
      </c>
      <c r="K474" s="5" t="s">
        <v>37</v>
      </c>
      <c r="L474" s="5" t="s">
        <v>38</v>
      </c>
      <c r="M474" s="5" t="s">
        <v>37</v>
      </c>
      <c r="N474" s="5" t="s">
        <v>37</v>
      </c>
      <c r="O474" s="5" t="s">
        <v>38</v>
      </c>
      <c r="P474" s="5" t="s">
        <v>39</v>
      </c>
      <c r="Q474" s="2">
        <v>45967</v>
      </c>
      <c r="V474" s="45">
        <f>IF(
  OR(
    ISNUMBER(SEARCH("unable to locate acct", tblDocketedComments[[#This Row],[Docketed Consumer Comments]])),
    ISNUMBER(SEARCH("unknown", tblDocketedComments[[#This Row],[Docketed Consumer Comments]])),
    ISNUMBER(SEARCH("inactive", tblDocketedComments[[#This Row],[Docketed Consumer Comments]]))
  ),
  0,
  1
)</f>
        <v>1</v>
      </c>
    </row>
    <row r="475" spans="1:22" hidden="1">
      <c r="A475" s="2">
        <v>45903</v>
      </c>
      <c r="B475" s="1" t="s">
        <v>1325</v>
      </c>
      <c r="C475" s="1" t="s">
        <v>42</v>
      </c>
      <c r="D475" s="1" t="s">
        <v>240</v>
      </c>
      <c r="E475" s="1">
        <v>85340</v>
      </c>
      <c r="F475" s="1" t="s">
        <v>31</v>
      </c>
      <c r="G475" s="1" t="s">
        <v>1193</v>
      </c>
      <c r="H475" s="4" t="s">
        <v>27</v>
      </c>
      <c r="V475" s="45">
        <f>IF(
  OR(
    ISNUMBER(SEARCH("unable to locate acct", tblDocketedComments[[#This Row],[Docketed Consumer Comments]])),
    ISNUMBER(SEARCH("unknown", tblDocketedComments[[#This Row],[Docketed Consumer Comments]])),
    ISNUMBER(SEARCH("inactive", tblDocketedComments[[#This Row],[Docketed Consumer Comments]]))
  ),
  0,
  1
)</f>
        <v>1</v>
      </c>
    </row>
    <row r="476" spans="1:22" hidden="1">
      <c r="A476" s="2">
        <v>45903</v>
      </c>
      <c r="B476" s="1" t="s">
        <v>1326</v>
      </c>
      <c r="C476" s="1" t="s">
        <v>1327</v>
      </c>
      <c r="D476" s="1" t="s">
        <v>169</v>
      </c>
      <c r="E476" s="1">
        <v>85338</v>
      </c>
      <c r="F476" s="1" t="s">
        <v>31</v>
      </c>
      <c r="G476" s="1" t="s">
        <v>1193</v>
      </c>
      <c r="H476" s="4" t="s">
        <v>1328</v>
      </c>
      <c r="I476" s="5" t="s">
        <v>73</v>
      </c>
      <c r="J476" s="5" t="s">
        <v>37</v>
      </c>
      <c r="K476" s="5" t="s">
        <v>37</v>
      </c>
      <c r="L476" s="5" t="s">
        <v>38</v>
      </c>
      <c r="M476" s="5" t="s">
        <v>37</v>
      </c>
      <c r="N476" s="5" t="s">
        <v>37</v>
      </c>
      <c r="O476" s="5" t="s">
        <v>38</v>
      </c>
      <c r="P476" s="5" t="s">
        <v>39</v>
      </c>
      <c r="Q476" s="2">
        <v>45967</v>
      </c>
      <c r="V476" s="45">
        <f>IF(
  OR(
    ISNUMBER(SEARCH("unable to locate acct", tblDocketedComments[[#This Row],[Docketed Consumer Comments]])),
    ISNUMBER(SEARCH("unknown", tblDocketedComments[[#This Row],[Docketed Consumer Comments]])),
    ISNUMBER(SEARCH("inactive", tblDocketedComments[[#This Row],[Docketed Consumer Comments]]))
  ),
  0,
  1
)</f>
        <v>1</v>
      </c>
    </row>
    <row r="477" spans="1:22" hidden="1">
      <c r="A477" s="2">
        <v>45903</v>
      </c>
      <c r="B477" s="1" t="s">
        <v>1329</v>
      </c>
      <c r="C477" s="1" t="s">
        <v>145</v>
      </c>
      <c r="D477" s="1" t="s">
        <v>169</v>
      </c>
      <c r="E477" s="1">
        <v>85338</v>
      </c>
      <c r="F477" s="1" t="s">
        <v>31</v>
      </c>
      <c r="G477" s="1" t="s">
        <v>1193</v>
      </c>
      <c r="H477" s="4" t="s">
        <v>27</v>
      </c>
      <c r="V477" s="45">
        <f>IF(
  OR(
    ISNUMBER(SEARCH("unable to locate acct", tblDocketedComments[[#This Row],[Docketed Consumer Comments]])),
    ISNUMBER(SEARCH("unknown", tblDocketedComments[[#This Row],[Docketed Consumer Comments]])),
    ISNUMBER(SEARCH("inactive", tblDocketedComments[[#This Row],[Docketed Consumer Comments]]))
  ),
  0,
  1
)</f>
        <v>1</v>
      </c>
    </row>
    <row r="478" spans="1:22" hidden="1">
      <c r="A478" s="2">
        <v>45903</v>
      </c>
      <c r="B478" s="1" t="s">
        <v>1330</v>
      </c>
      <c r="C478" s="1" t="s">
        <v>354</v>
      </c>
      <c r="D478" s="1" t="s">
        <v>63</v>
      </c>
      <c r="E478" s="1">
        <v>85085</v>
      </c>
      <c r="F478" s="1" t="s">
        <v>310</v>
      </c>
      <c r="G478" s="1" t="s">
        <v>1193</v>
      </c>
      <c r="H478" s="4" t="s">
        <v>209</v>
      </c>
      <c r="V478" s="45">
        <f>IF(
  OR(
    ISNUMBER(SEARCH("unable to locate acct", tblDocketedComments[[#This Row],[Docketed Consumer Comments]])),
    ISNUMBER(SEARCH("unknown", tblDocketedComments[[#This Row],[Docketed Consumer Comments]])),
    ISNUMBER(SEARCH("inactive", tblDocketedComments[[#This Row],[Docketed Consumer Comments]]))
  ),
  0,
  1
)</f>
        <v>1</v>
      </c>
    </row>
    <row r="479" spans="1:22" hidden="1">
      <c r="A479" s="2">
        <v>45903</v>
      </c>
      <c r="B479" s="1" t="s">
        <v>1331</v>
      </c>
      <c r="C479" s="1" t="s">
        <v>133</v>
      </c>
      <c r="D479" s="1" t="s">
        <v>169</v>
      </c>
      <c r="E479" s="1">
        <v>85338</v>
      </c>
      <c r="F479" s="1" t="s">
        <v>31</v>
      </c>
      <c r="G479" s="1" t="s">
        <v>1193</v>
      </c>
      <c r="H479" s="4" t="s">
        <v>1332</v>
      </c>
      <c r="I479" s="5" t="s">
        <v>46</v>
      </c>
      <c r="J479" s="5" t="s">
        <v>37</v>
      </c>
      <c r="K479" s="5" t="s">
        <v>37</v>
      </c>
      <c r="L479" s="5" t="s">
        <v>38</v>
      </c>
      <c r="M479" s="5" t="s">
        <v>37</v>
      </c>
      <c r="N479" s="5" t="s">
        <v>37</v>
      </c>
      <c r="O479" s="5" t="s">
        <v>38</v>
      </c>
      <c r="P479" s="5" t="s">
        <v>39</v>
      </c>
      <c r="Q479" s="2">
        <v>45967</v>
      </c>
      <c r="V479" s="45">
        <f>IF(
  OR(
    ISNUMBER(SEARCH("unable to locate acct", tblDocketedComments[[#This Row],[Docketed Consumer Comments]])),
    ISNUMBER(SEARCH("unknown", tblDocketedComments[[#This Row],[Docketed Consumer Comments]])),
    ISNUMBER(SEARCH("inactive", tblDocketedComments[[#This Row],[Docketed Consumer Comments]]))
  ),
  0,
  1
)</f>
        <v>1</v>
      </c>
    </row>
    <row r="480" spans="1:22" hidden="1">
      <c r="A480" s="2">
        <v>45903</v>
      </c>
      <c r="B480" s="1" t="s">
        <v>1333</v>
      </c>
      <c r="C480" s="1" t="s">
        <v>1334</v>
      </c>
      <c r="D480" s="1" t="s">
        <v>202</v>
      </c>
      <c r="E480" s="1">
        <v>85382</v>
      </c>
      <c r="F480" s="1" t="s">
        <v>31</v>
      </c>
      <c r="G480" s="1" t="s">
        <v>1193</v>
      </c>
      <c r="H480" s="4" t="s">
        <v>27</v>
      </c>
      <c r="V480" s="45">
        <f>IF(
  OR(
    ISNUMBER(SEARCH("unable to locate acct", tblDocketedComments[[#This Row],[Docketed Consumer Comments]])),
    ISNUMBER(SEARCH("unknown", tblDocketedComments[[#This Row],[Docketed Consumer Comments]])),
    ISNUMBER(SEARCH("inactive", tblDocketedComments[[#This Row],[Docketed Consumer Comments]]))
  ),
  0,
  1
)</f>
        <v>1</v>
      </c>
    </row>
    <row r="481" spans="1:22" hidden="1">
      <c r="A481" s="2">
        <v>45903</v>
      </c>
      <c r="B481" s="1" t="s">
        <v>1335</v>
      </c>
      <c r="C481" s="1" t="s">
        <v>1336</v>
      </c>
      <c r="D481" s="1" t="s">
        <v>169</v>
      </c>
      <c r="E481" s="1">
        <v>85395</v>
      </c>
      <c r="F481" s="1" t="s">
        <v>31</v>
      </c>
      <c r="G481" s="1" t="s">
        <v>1193</v>
      </c>
      <c r="H481" s="4" t="s">
        <v>1337</v>
      </c>
      <c r="I481" s="5" t="s">
        <v>250</v>
      </c>
      <c r="J481" s="5" t="s">
        <v>37</v>
      </c>
      <c r="K481" s="5" t="s">
        <v>37</v>
      </c>
      <c r="L481" s="5" t="s">
        <v>38</v>
      </c>
      <c r="M481" s="5" t="s">
        <v>37</v>
      </c>
      <c r="N481" s="5" t="s">
        <v>37</v>
      </c>
      <c r="O481" s="5" t="s">
        <v>38</v>
      </c>
      <c r="P481" s="5" t="s">
        <v>39</v>
      </c>
      <c r="Q481" s="2">
        <v>45967</v>
      </c>
      <c r="V481" s="45">
        <f>IF(
  OR(
    ISNUMBER(SEARCH("unable to locate acct", tblDocketedComments[[#This Row],[Docketed Consumer Comments]])),
    ISNUMBER(SEARCH("unknown", tblDocketedComments[[#This Row],[Docketed Consumer Comments]])),
    ISNUMBER(SEARCH("inactive", tblDocketedComments[[#This Row],[Docketed Consumer Comments]]))
  ),
  0,
  1
)</f>
        <v>1</v>
      </c>
    </row>
    <row r="482" spans="1:22" hidden="1">
      <c r="A482" s="2">
        <v>45903</v>
      </c>
      <c r="B482" s="1" t="s">
        <v>1338</v>
      </c>
      <c r="C482" s="1" t="s">
        <v>1339</v>
      </c>
      <c r="D482" s="1" t="s">
        <v>520</v>
      </c>
      <c r="E482" s="1">
        <v>85392</v>
      </c>
      <c r="F482" s="1" t="s">
        <v>31</v>
      </c>
      <c r="G482" s="1" t="s">
        <v>1193</v>
      </c>
      <c r="H482" s="4" t="s">
        <v>1340</v>
      </c>
      <c r="I482" s="5" t="s">
        <v>126</v>
      </c>
      <c r="J482" s="5" t="s">
        <v>37</v>
      </c>
      <c r="K482" s="5" t="s">
        <v>37</v>
      </c>
      <c r="L482" s="7" t="s">
        <v>1341</v>
      </c>
      <c r="M482" s="5" t="s">
        <v>37</v>
      </c>
      <c r="N482" s="5" t="s">
        <v>37</v>
      </c>
      <c r="O482" s="5" t="s">
        <v>38</v>
      </c>
      <c r="P482" s="2">
        <v>45936</v>
      </c>
      <c r="Q482" s="2">
        <v>45967</v>
      </c>
      <c r="R482" s="1" t="s">
        <v>1293</v>
      </c>
      <c r="V482" s="45">
        <f>IF(
  OR(
    ISNUMBER(SEARCH("unable to locate acct", tblDocketedComments[[#This Row],[Docketed Consumer Comments]])),
    ISNUMBER(SEARCH("unknown", tblDocketedComments[[#This Row],[Docketed Consumer Comments]])),
    ISNUMBER(SEARCH("inactive", tblDocketedComments[[#This Row],[Docketed Consumer Comments]]))
  ),
  0,
  1
)</f>
        <v>1</v>
      </c>
    </row>
    <row r="483" spans="1:22" hidden="1">
      <c r="A483" s="2">
        <v>45903</v>
      </c>
      <c r="B483" s="1" t="s">
        <v>1342</v>
      </c>
      <c r="C483" s="1" t="s">
        <v>1343</v>
      </c>
      <c r="D483" s="1" t="s">
        <v>202</v>
      </c>
      <c r="E483" s="1">
        <v>85383</v>
      </c>
      <c r="F483" s="1" t="s">
        <v>310</v>
      </c>
      <c r="G483" s="1" t="s">
        <v>1193</v>
      </c>
      <c r="H483" s="4" t="s">
        <v>1344</v>
      </c>
      <c r="I483" s="5" t="s">
        <v>36</v>
      </c>
      <c r="J483" s="5" t="s">
        <v>37</v>
      </c>
      <c r="K483" s="5" t="s">
        <v>37</v>
      </c>
      <c r="L483" s="5" t="s">
        <v>38</v>
      </c>
      <c r="M483" s="5" t="s">
        <v>37</v>
      </c>
      <c r="N483" s="5" t="s">
        <v>37</v>
      </c>
      <c r="O483" s="5" t="s">
        <v>38</v>
      </c>
      <c r="P483" s="5" t="s">
        <v>39</v>
      </c>
      <c r="Q483" s="2">
        <v>45967</v>
      </c>
      <c r="V483" s="45">
        <f>IF(
  OR(
    ISNUMBER(SEARCH("unable to locate acct", tblDocketedComments[[#This Row],[Docketed Consumer Comments]])),
    ISNUMBER(SEARCH("unknown", tblDocketedComments[[#This Row],[Docketed Consumer Comments]])),
    ISNUMBER(SEARCH("inactive", tblDocketedComments[[#This Row],[Docketed Consumer Comments]]))
  ),
  0,
  1
)</f>
        <v>1</v>
      </c>
    </row>
    <row r="484" spans="1:22" hidden="1">
      <c r="A484" s="2">
        <v>45903</v>
      </c>
      <c r="B484" s="1" t="s">
        <v>1345</v>
      </c>
      <c r="C484" s="1" t="s">
        <v>1346</v>
      </c>
      <c r="D484" s="1" t="s">
        <v>202</v>
      </c>
      <c r="E484" s="1">
        <v>85383</v>
      </c>
      <c r="F484" s="1" t="s">
        <v>310</v>
      </c>
      <c r="G484" s="1" t="s">
        <v>1193</v>
      </c>
      <c r="H484" s="4" t="s">
        <v>1347</v>
      </c>
      <c r="I484" s="5" t="s">
        <v>196</v>
      </c>
      <c r="J484" s="5" t="s">
        <v>37</v>
      </c>
      <c r="K484" s="5" t="s">
        <v>37</v>
      </c>
      <c r="L484" s="5" t="s">
        <v>1348</v>
      </c>
      <c r="M484" s="5" t="s">
        <v>37</v>
      </c>
      <c r="N484" s="5" t="s">
        <v>37</v>
      </c>
      <c r="O484" s="5" t="s">
        <v>38</v>
      </c>
      <c r="P484" s="5" t="s">
        <v>39</v>
      </c>
      <c r="Q484" s="2">
        <v>45967</v>
      </c>
      <c r="V484" s="45">
        <f>IF(
  OR(
    ISNUMBER(SEARCH("unable to locate acct", tblDocketedComments[[#This Row],[Docketed Consumer Comments]])),
    ISNUMBER(SEARCH("unknown", tblDocketedComments[[#This Row],[Docketed Consumer Comments]])),
    ISNUMBER(SEARCH("inactive", tblDocketedComments[[#This Row],[Docketed Consumer Comments]]))
  ),
  0,
  1
)</f>
        <v>1</v>
      </c>
    </row>
    <row r="485" spans="1:22" hidden="1">
      <c r="A485" s="2">
        <v>45903</v>
      </c>
      <c r="B485" s="1" t="s">
        <v>1349</v>
      </c>
      <c r="C485" s="1" t="s">
        <v>1350</v>
      </c>
      <c r="D485" s="1" t="s">
        <v>202</v>
      </c>
      <c r="E485" s="1">
        <v>85383</v>
      </c>
      <c r="F485" s="1" t="s">
        <v>31</v>
      </c>
      <c r="G485" s="1" t="s">
        <v>1193</v>
      </c>
      <c r="H485" s="4" t="s">
        <v>1351</v>
      </c>
      <c r="I485" s="5" t="s">
        <v>1352</v>
      </c>
      <c r="J485" s="5" t="s">
        <v>37</v>
      </c>
      <c r="K485" s="5" t="s">
        <v>37</v>
      </c>
      <c r="L485" s="5" t="s">
        <v>387</v>
      </c>
      <c r="M485" s="5" t="s">
        <v>37</v>
      </c>
      <c r="N485" s="5" t="s">
        <v>37</v>
      </c>
      <c r="O485" s="5" t="s">
        <v>38</v>
      </c>
      <c r="P485" s="5" t="s">
        <v>39</v>
      </c>
      <c r="Q485" s="2">
        <v>45967</v>
      </c>
      <c r="V485" s="45">
        <f>IF(
  OR(
    ISNUMBER(SEARCH("unable to locate acct", tblDocketedComments[[#This Row],[Docketed Consumer Comments]])),
    ISNUMBER(SEARCH("unknown", tblDocketedComments[[#This Row],[Docketed Consumer Comments]])),
    ISNUMBER(SEARCH("inactive", tblDocketedComments[[#This Row],[Docketed Consumer Comments]]))
  ),
  0,
  1
)</f>
        <v>1</v>
      </c>
    </row>
    <row r="486" spans="1:22" hidden="1">
      <c r="A486" s="2">
        <v>45903</v>
      </c>
      <c r="B486" s="1" t="s">
        <v>1353</v>
      </c>
      <c r="C486" s="1" t="s">
        <v>1354</v>
      </c>
      <c r="D486" s="1" t="s">
        <v>169</v>
      </c>
      <c r="E486" s="1">
        <v>85338</v>
      </c>
      <c r="F486" s="1" t="s">
        <v>31</v>
      </c>
      <c r="G486" s="1" t="s">
        <v>1193</v>
      </c>
      <c r="H486" s="4" t="s">
        <v>27</v>
      </c>
      <c r="V486" s="45">
        <f>IF(
  OR(
    ISNUMBER(SEARCH("unable to locate acct", tblDocketedComments[[#This Row],[Docketed Consumer Comments]])),
    ISNUMBER(SEARCH("unknown", tblDocketedComments[[#This Row],[Docketed Consumer Comments]])),
    ISNUMBER(SEARCH("inactive", tblDocketedComments[[#This Row],[Docketed Consumer Comments]]))
  ),
  0,
  1
)</f>
        <v>1</v>
      </c>
    </row>
    <row r="487" spans="1:22" hidden="1">
      <c r="A487" s="2">
        <v>45903</v>
      </c>
      <c r="B487" s="1" t="s">
        <v>238</v>
      </c>
      <c r="C487" s="1" t="s">
        <v>256</v>
      </c>
      <c r="D487" s="1" t="s">
        <v>240</v>
      </c>
      <c r="E487" s="1">
        <v>85340</v>
      </c>
      <c r="F487" s="1" t="s">
        <v>31</v>
      </c>
      <c r="G487" s="1" t="s">
        <v>1193</v>
      </c>
      <c r="H487" s="4" t="s">
        <v>1355</v>
      </c>
      <c r="I487" s="5" t="s">
        <v>57</v>
      </c>
      <c r="J487" s="5" t="s">
        <v>37</v>
      </c>
      <c r="K487" s="5" t="s">
        <v>37</v>
      </c>
      <c r="L487" s="7" t="s">
        <v>1356</v>
      </c>
      <c r="M487" s="5" t="s">
        <v>37</v>
      </c>
      <c r="N487" s="5" t="s">
        <v>37</v>
      </c>
      <c r="O487" s="5" t="s">
        <v>38</v>
      </c>
      <c r="P487" s="2">
        <v>45936</v>
      </c>
      <c r="Q487" s="2">
        <v>45967</v>
      </c>
      <c r="R487" s="1" t="s">
        <v>1293</v>
      </c>
      <c r="V487" s="45">
        <f>IF(
  OR(
    ISNUMBER(SEARCH("unable to locate acct", tblDocketedComments[[#This Row],[Docketed Consumer Comments]])),
    ISNUMBER(SEARCH("unknown", tblDocketedComments[[#This Row],[Docketed Consumer Comments]])),
    ISNUMBER(SEARCH("inactive", tblDocketedComments[[#This Row],[Docketed Consumer Comments]]))
  ),
  0,
  1
)</f>
        <v>1</v>
      </c>
    </row>
    <row r="488" spans="1:22" hidden="1">
      <c r="A488" s="2">
        <v>45903</v>
      </c>
      <c r="B488" s="1" t="s">
        <v>1357</v>
      </c>
      <c r="C488" s="1" t="s">
        <v>594</v>
      </c>
      <c r="D488" s="1" t="s">
        <v>1098</v>
      </c>
      <c r="E488" s="1">
        <v>85355</v>
      </c>
      <c r="F488" s="1" t="s">
        <v>31</v>
      </c>
      <c r="G488" s="1" t="s">
        <v>1193</v>
      </c>
      <c r="H488" s="4" t="s">
        <v>1358</v>
      </c>
      <c r="I488" s="5" t="s">
        <v>46</v>
      </c>
      <c r="J488" s="5" t="s">
        <v>37</v>
      </c>
      <c r="K488" s="5" t="s">
        <v>37</v>
      </c>
      <c r="L488" s="5" t="s">
        <v>38</v>
      </c>
      <c r="M488" s="5" t="s">
        <v>37</v>
      </c>
      <c r="N488" s="5" t="s">
        <v>37</v>
      </c>
      <c r="O488" s="5" t="s">
        <v>38</v>
      </c>
      <c r="P488" s="5" t="s">
        <v>39</v>
      </c>
      <c r="Q488" s="2">
        <v>45967</v>
      </c>
      <c r="V488" s="45">
        <f>IF(
  OR(
    ISNUMBER(SEARCH("unable to locate acct", tblDocketedComments[[#This Row],[Docketed Consumer Comments]])),
    ISNUMBER(SEARCH("unknown", tblDocketedComments[[#This Row],[Docketed Consumer Comments]])),
    ISNUMBER(SEARCH("inactive", tblDocketedComments[[#This Row],[Docketed Consumer Comments]]))
  ),
  0,
  1
)</f>
        <v>1</v>
      </c>
    </row>
    <row r="489" spans="1:22" hidden="1">
      <c r="A489" s="2">
        <v>45903</v>
      </c>
      <c r="B489" s="1" t="s">
        <v>1359</v>
      </c>
      <c r="C489" s="1" t="s">
        <v>1360</v>
      </c>
      <c r="D489" s="1" t="s">
        <v>202</v>
      </c>
      <c r="E489" s="1">
        <v>85383</v>
      </c>
      <c r="F489" s="1" t="s">
        <v>31</v>
      </c>
      <c r="G489" s="1" t="s">
        <v>1193</v>
      </c>
      <c r="H489" s="4" t="s">
        <v>209</v>
      </c>
      <c r="V489" s="45">
        <f>IF(
  OR(
    ISNUMBER(SEARCH("unable to locate acct", tblDocketedComments[[#This Row],[Docketed Consumer Comments]])),
    ISNUMBER(SEARCH("unknown", tblDocketedComments[[#This Row],[Docketed Consumer Comments]])),
    ISNUMBER(SEARCH("inactive", tblDocketedComments[[#This Row],[Docketed Consumer Comments]]))
  ),
  0,
  1
)</f>
        <v>1</v>
      </c>
    </row>
    <row r="490" spans="1:22" hidden="1">
      <c r="A490" s="2">
        <v>45903</v>
      </c>
      <c r="B490" s="1" t="s">
        <v>1361</v>
      </c>
      <c r="C490" s="1" t="s">
        <v>1362</v>
      </c>
      <c r="D490" s="1" t="s">
        <v>63</v>
      </c>
      <c r="E490" s="1">
        <v>85024</v>
      </c>
      <c r="F490" s="1" t="s">
        <v>31</v>
      </c>
      <c r="G490" s="1" t="s">
        <v>1193</v>
      </c>
      <c r="H490" s="4" t="s">
        <v>1363</v>
      </c>
      <c r="I490" s="5" t="s">
        <v>968</v>
      </c>
      <c r="J490" s="5" t="s">
        <v>37</v>
      </c>
      <c r="K490" s="5" t="s">
        <v>37</v>
      </c>
      <c r="L490" s="5" t="s">
        <v>38</v>
      </c>
      <c r="M490" s="5" t="s">
        <v>37</v>
      </c>
      <c r="N490" s="5" t="s">
        <v>37</v>
      </c>
      <c r="O490" s="5" t="s">
        <v>38</v>
      </c>
      <c r="P490" s="5" t="s">
        <v>39</v>
      </c>
      <c r="Q490" s="2">
        <v>45967</v>
      </c>
      <c r="V490" s="45">
        <f>IF(
  OR(
    ISNUMBER(SEARCH("unable to locate acct", tblDocketedComments[[#This Row],[Docketed Consumer Comments]])),
    ISNUMBER(SEARCH("unknown", tblDocketedComments[[#This Row],[Docketed Consumer Comments]])),
    ISNUMBER(SEARCH("inactive", tblDocketedComments[[#This Row],[Docketed Consumer Comments]]))
  ),
  0,
  1
)</f>
        <v>1</v>
      </c>
    </row>
    <row r="491" spans="1:22" hidden="1">
      <c r="A491" s="2">
        <v>45903</v>
      </c>
      <c r="B491" s="1" t="s">
        <v>1364</v>
      </c>
      <c r="C491" s="1" t="s">
        <v>1365</v>
      </c>
      <c r="D491" s="1" t="s">
        <v>63</v>
      </c>
      <c r="E491" s="1">
        <v>85085</v>
      </c>
      <c r="F491" s="1" t="s">
        <v>310</v>
      </c>
      <c r="G491" s="1" t="s">
        <v>1193</v>
      </c>
      <c r="H491" s="4" t="s">
        <v>1366</v>
      </c>
      <c r="I491" s="5" t="s">
        <v>36</v>
      </c>
      <c r="J491" s="5" t="s">
        <v>37</v>
      </c>
      <c r="K491" s="5" t="s">
        <v>37</v>
      </c>
      <c r="L491" s="5" t="s">
        <v>38</v>
      </c>
      <c r="M491" s="5" t="s">
        <v>37</v>
      </c>
      <c r="N491" s="5" t="s">
        <v>37</v>
      </c>
      <c r="O491" s="5" t="s">
        <v>38</v>
      </c>
      <c r="P491" s="5" t="s">
        <v>39</v>
      </c>
      <c r="Q491" s="2">
        <v>45967</v>
      </c>
      <c r="V491" s="45">
        <f>IF(
  OR(
    ISNUMBER(SEARCH("unable to locate acct", tblDocketedComments[[#This Row],[Docketed Consumer Comments]])),
    ISNUMBER(SEARCH("unknown", tblDocketedComments[[#This Row],[Docketed Consumer Comments]])),
    ISNUMBER(SEARCH("inactive", tblDocketedComments[[#This Row],[Docketed Consumer Comments]]))
  ),
  0,
  1
)</f>
        <v>1</v>
      </c>
    </row>
    <row r="492" spans="1:22" hidden="1">
      <c r="A492" s="2">
        <v>45903</v>
      </c>
      <c r="B492" s="1" t="s">
        <v>1367</v>
      </c>
      <c r="C492" s="1" t="s">
        <v>1368</v>
      </c>
      <c r="D492" s="1" t="s">
        <v>63</v>
      </c>
      <c r="E492" s="1">
        <v>85003</v>
      </c>
      <c r="F492" s="1" t="s">
        <v>310</v>
      </c>
      <c r="G492" s="1" t="s">
        <v>1193</v>
      </c>
      <c r="H492" s="4" t="s">
        <v>1369</v>
      </c>
      <c r="I492" s="5" t="s">
        <v>196</v>
      </c>
      <c r="J492" s="5" t="s">
        <v>37</v>
      </c>
      <c r="K492" s="5" t="s">
        <v>37</v>
      </c>
      <c r="L492" s="7" t="s">
        <v>1370</v>
      </c>
      <c r="M492" s="5" t="s">
        <v>37</v>
      </c>
      <c r="N492" s="5" t="s">
        <v>37</v>
      </c>
      <c r="O492" s="5" t="s">
        <v>38</v>
      </c>
      <c r="P492" s="2">
        <v>45936</v>
      </c>
      <c r="Q492" s="2">
        <v>45967</v>
      </c>
      <c r="R492" s="20" t="s">
        <v>1371</v>
      </c>
      <c r="V492" s="45">
        <f>IF(
  OR(
    ISNUMBER(SEARCH("unable to locate acct", tblDocketedComments[[#This Row],[Docketed Consumer Comments]])),
    ISNUMBER(SEARCH("unknown", tblDocketedComments[[#This Row],[Docketed Consumer Comments]])),
    ISNUMBER(SEARCH("inactive", tblDocketedComments[[#This Row],[Docketed Consumer Comments]]))
  ),
  0,
  1
)</f>
        <v>1</v>
      </c>
    </row>
    <row r="493" spans="1:22" hidden="1">
      <c r="A493" s="2">
        <v>45903</v>
      </c>
      <c r="B493" s="1" t="s">
        <v>1372</v>
      </c>
      <c r="C493" s="1" t="s">
        <v>291</v>
      </c>
      <c r="D493" s="1" t="s">
        <v>169</v>
      </c>
      <c r="E493" s="1">
        <v>85338</v>
      </c>
      <c r="F493" s="1" t="s">
        <v>1373</v>
      </c>
      <c r="G493" s="1" t="s">
        <v>1193</v>
      </c>
      <c r="H493" s="4" t="s">
        <v>1374</v>
      </c>
      <c r="I493" s="5" t="s">
        <v>196</v>
      </c>
      <c r="J493" s="5" t="s">
        <v>37</v>
      </c>
      <c r="K493" s="5" t="s">
        <v>37</v>
      </c>
      <c r="L493" s="7" t="s">
        <v>1375</v>
      </c>
      <c r="M493" s="5" t="s">
        <v>37</v>
      </c>
      <c r="N493" s="5" t="s">
        <v>37</v>
      </c>
      <c r="O493" s="5" t="s">
        <v>38</v>
      </c>
      <c r="P493" s="2">
        <v>45936</v>
      </c>
      <c r="Q493" s="2">
        <v>45967</v>
      </c>
      <c r="R493" s="20" t="s">
        <v>1293</v>
      </c>
      <c r="V493" s="45">
        <f>IF(
  OR(
    ISNUMBER(SEARCH("unable to locate acct", tblDocketedComments[[#This Row],[Docketed Consumer Comments]])),
    ISNUMBER(SEARCH("unknown", tblDocketedComments[[#This Row],[Docketed Consumer Comments]])),
    ISNUMBER(SEARCH("inactive", tblDocketedComments[[#This Row],[Docketed Consumer Comments]]))
  ),
  0,
  1
)</f>
        <v>1</v>
      </c>
    </row>
    <row r="494" spans="1:22" hidden="1">
      <c r="A494" s="2">
        <v>45903</v>
      </c>
      <c r="B494" s="1" t="s">
        <v>1376</v>
      </c>
      <c r="C494" s="1" t="s">
        <v>75</v>
      </c>
      <c r="D494" s="1" t="s">
        <v>63</v>
      </c>
      <c r="E494" s="1">
        <v>85013</v>
      </c>
      <c r="F494" s="1" t="s">
        <v>310</v>
      </c>
      <c r="G494" s="1" t="s">
        <v>1193</v>
      </c>
      <c r="H494" s="4" t="s">
        <v>27</v>
      </c>
      <c r="V494" s="45">
        <f>IF(
  OR(
    ISNUMBER(SEARCH("unable to locate acct", tblDocketedComments[[#This Row],[Docketed Consumer Comments]])),
    ISNUMBER(SEARCH("unknown", tblDocketedComments[[#This Row],[Docketed Consumer Comments]])),
    ISNUMBER(SEARCH("inactive", tblDocketedComments[[#This Row],[Docketed Consumer Comments]]))
  ),
  0,
  1
)</f>
        <v>1</v>
      </c>
    </row>
    <row r="495" spans="1:22" hidden="1">
      <c r="A495" s="2">
        <v>45903</v>
      </c>
      <c r="B495" s="1" t="s">
        <v>1377</v>
      </c>
      <c r="C495" s="1" t="s">
        <v>1378</v>
      </c>
      <c r="D495" s="1" t="s">
        <v>63</v>
      </c>
      <c r="E495" s="1">
        <v>85014</v>
      </c>
      <c r="F495" s="1" t="s">
        <v>310</v>
      </c>
      <c r="G495" s="1" t="s">
        <v>1193</v>
      </c>
      <c r="H495" s="4" t="s">
        <v>27</v>
      </c>
      <c r="R495" s="20"/>
      <c r="V495" s="45">
        <f>IF(
  OR(
    ISNUMBER(SEARCH("unable to locate acct", tblDocketedComments[[#This Row],[Docketed Consumer Comments]])),
    ISNUMBER(SEARCH("unknown", tblDocketedComments[[#This Row],[Docketed Consumer Comments]])),
    ISNUMBER(SEARCH("inactive", tblDocketedComments[[#This Row],[Docketed Consumer Comments]]))
  ),
  0,
  1
)</f>
        <v>1</v>
      </c>
    </row>
    <row r="496" spans="1:22" hidden="1">
      <c r="A496" s="2">
        <v>45903</v>
      </c>
      <c r="B496" s="1" t="s">
        <v>1379</v>
      </c>
      <c r="C496" s="1" t="s">
        <v>1380</v>
      </c>
      <c r="D496" s="1" t="s">
        <v>202</v>
      </c>
      <c r="E496" s="1">
        <v>85383</v>
      </c>
      <c r="F496" s="1" t="s">
        <v>310</v>
      </c>
      <c r="G496" s="1" t="s">
        <v>1193</v>
      </c>
      <c r="H496" s="4" t="s">
        <v>1381</v>
      </c>
      <c r="I496" s="5" t="s">
        <v>196</v>
      </c>
      <c r="J496" s="5" t="s">
        <v>37</v>
      </c>
      <c r="K496" s="5" t="s">
        <v>37</v>
      </c>
      <c r="L496" s="7" t="s">
        <v>1382</v>
      </c>
      <c r="M496" s="5" t="s">
        <v>37</v>
      </c>
      <c r="N496" s="5" t="s">
        <v>37</v>
      </c>
      <c r="O496" s="5" t="s">
        <v>38</v>
      </c>
      <c r="P496" s="2">
        <v>45936</v>
      </c>
      <c r="Q496" s="2">
        <v>45967</v>
      </c>
      <c r="R496" s="1" t="s">
        <v>1293</v>
      </c>
      <c r="V496" s="45">
        <f>IF(
  OR(
    ISNUMBER(SEARCH("unable to locate acct", tblDocketedComments[[#This Row],[Docketed Consumer Comments]])),
    ISNUMBER(SEARCH("unknown", tblDocketedComments[[#This Row],[Docketed Consumer Comments]])),
    ISNUMBER(SEARCH("inactive", tblDocketedComments[[#This Row],[Docketed Consumer Comments]]))
  ),
  0,
  1
)</f>
        <v>1</v>
      </c>
    </row>
    <row r="497" spans="1:22" ht="11.25" hidden="1" customHeight="1">
      <c r="A497" s="2">
        <v>45903</v>
      </c>
      <c r="B497" s="1" t="s">
        <v>1383</v>
      </c>
      <c r="C497" s="1" t="s">
        <v>1384</v>
      </c>
      <c r="D497" s="1" t="s">
        <v>202</v>
      </c>
      <c r="E497" s="1">
        <v>85383</v>
      </c>
      <c r="F497" s="1" t="s">
        <v>310</v>
      </c>
      <c r="G497" s="1" t="s">
        <v>1193</v>
      </c>
      <c r="H497" s="4" t="s">
        <v>1385</v>
      </c>
      <c r="I497" s="5" t="s">
        <v>73</v>
      </c>
      <c r="J497" s="5" t="s">
        <v>37</v>
      </c>
      <c r="K497" s="5" t="s">
        <v>37</v>
      </c>
      <c r="L497" s="5" t="s">
        <v>38</v>
      </c>
      <c r="M497" s="5" t="s">
        <v>37</v>
      </c>
      <c r="N497" s="5" t="s">
        <v>37</v>
      </c>
      <c r="O497" s="5" t="s">
        <v>38</v>
      </c>
      <c r="P497" s="5" t="s">
        <v>39</v>
      </c>
      <c r="Q497" s="2">
        <v>45967</v>
      </c>
      <c r="V497" s="45">
        <f>IF(
  OR(
    ISNUMBER(SEARCH("unable to locate acct", tblDocketedComments[[#This Row],[Docketed Consumer Comments]])),
    ISNUMBER(SEARCH("unknown", tblDocketedComments[[#This Row],[Docketed Consumer Comments]])),
    ISNUMBER(SEARCH("inactive", tblDocketedComments[[#This Row],[Docketed Consumer Comments]]))
  ),
  0,
  1
)</f>
        <v>1</v>
      </c>
    </row>
    <row r="498" spans="1:22" hidden="1">
      <c r="A498" s="2">
        <v>45903</v>
      </c>
      <c r="B498" s="1" t="s">
        <v>1386</v>
      </c>
      <c r="C498" s="1" t="s">
        <v>608</v>
      </c>
      <c r="D498" s="1" t="s">
        <v>169</v>
      </c>
      <c r="E498" s="1">
        <v>85338</v>
      </c>
      <c r="F498" s="1" t="s">
        <v>31</v>
      </c>
      <c r="G498" s="1" t="s">
        <v>1193</v>
      </c>
      <c r="H498" s="4" t="s">
        <v>1387</v>
      </c>
      <c r="I498" s="5" t="s">
        <v>196</v>
      </c>
      <c r="J498" s="5" t="s">
        <v>37</v>
      </c>
      <c r="K498" s="5" t="s">
        <v>37</v>
      </c>
      <c r="L498" s="7" t="s">
        <v>1388</v>
      </c>
      <c r="M498" s="5" t="s">
        <v>37</v>
      </c>
      <c r="N498" s="5" t="s">
        <v>37</v>
      </c>
      <c r="O498" s="5" t="s">
        <v>38</v>
      </c>
      <c r="P498" s="5" t="s">
        <v>39</v>
      </c>
      <c r="Q498" s="2">
        <v>45967</v>
      </c>
      <c r="R498" s="1" t="s">
        <v>1389</v>
      </c>
      <c r="V498" s="45">
        <f>IF(
  OR(
    ISNUMBER(SEARCH("unable to locate acct", tblDocketedComments[[#This Row],[Docketed Consumer Comments]])),
    ISNUMBER(SEARCH("unknown", tblDocketedComments[[#This Row],[Docketed Consumer Comments]])),
    ISNUMBER(SEARCH("inactive", tblDocketedComments[[#This Row],[Docketed Consumer Comments]]))
  ),
  0,
  1
)</f>
        <v>1</v>
      </c>
    </row>
    <row r="499" spans="1:22" hidden="1">
      <c r="A499" s="2">
        <v>45903</v>
      </c>
      <c r="B499" s="1" t="s">
        <v>1390</v>
      </c>
      <c r="C499" s="1" t="s">
        <v>567</v>
      </c>
      <c r="D499" s="1" t="s">
        <v>63</v>
      </c>
      <c r="E499" s="1">
        <v>85024</v>
      </c>
      <c r="F499" s="1" t="s">
        <v>310</v>
      </c>
      <c r="G499" s="1" t="s">
        <v>1193</v>
      </c>
      <c r="H499" s="21" t="s">
        <v>6665</v>
      </c>
      <c r="I499" s="5" t="s">
        <v>1391</v>
      </c>
      <c r="J499" s="5" t="s">
        <v>37</v>
      </c>
      <c r="K499" s="5" t="s">
        <v>37</v>
      </c>
      <c r="L499" s="5" t="s">
        <v>38</v>
      </c>
      <c r="M499" s="5" t="s">
        <v>37</v>
      </c>
      <c r="N499" s="5" t="s">
        <v>37</v>
      </c>
      <c r="O499" s="5" t="s">
        <v>38</v>
      </c>
      <c r="P499" s="5" t="s">
        <v>39</v>
      </c>
      <c r="Q499" s="2">
        <v>45967</v>
      </c>
      <c r="V499" s="45">
        <f>IF(
  OR(
    ISNUMBER(SEARCH("unable to locate acct", tblDocketedComments[[#This Row],[Docketed Consumer Comments]])),
    ISNUMBER(SEARCH("unknown", tblDocketedComments[[#This Row],[Docketed Consumer Comments]])),
    ISNUMBER(SEARCH("inactive", tblDocketedComments[[#This Row],[Docketed Consumer Comments]]))
  ),
  0,
  1
)</f>
        <v>1</v>
      </c>
    </row>
    <row r="500" spans="1:22" hidden="1">
      <c r="A500" s="2">
        <v>45903</v>
      </c>
      <c r="B500" s="1" t="s">
        <v>1392</v>
      </c>
      <c r="C500" s="1" t="s">
        <v>1393</v>
      </c>
      <c r="D500" s="1" t="s">
        <v>63</v>
      </c>
      <c r="E500" s="1">
        <v>85050</v>
      </c>
      <c r="F500" s="1" t="s">
        <v>31</v>
      </c>
      <c r="G500" s="1" t="s">
        <v>1193</v>
      </c>
      <c r="H500" s="21" t="s">
        <v>6666</v>
      </c>
      <c r="I500" s="5" t="s">
        <v>36</v>
      </c>
      <c r="J500" s="5" t="s">
        <v>37</v>
      </c>
      <c r="K500" s="5" t="s">
        <v>37</v>
      </c>
      <c r="L500" s="5" t="s">
        <v>38</v>
      </c>
      <c r="M500" s="5" t="s">
        <v>37</v>
      </c>
      <c r="N500" s="5" t="s">
        <v>37</v>
      </c>
      <c r="O500" s="5" t="s">
        <v>38</v>
      </c>
      <c r="P500" s="5" t="s">
        <v>39</v>
      </c>
      <c r="Q500" s="2">
        <v>45966</v>
      </c>
      <c r="V500" s="45">
        <f>IF(
  OR(
    ISNUMBER(SEARCH("unable to locate acct", tblDocketedComments[[#This Row],[Docketed Consumer Comments]])),
    ISNUMBER(SEARCH("unknown", tblDocketedComments[[#This Row],[Docketed Consumer Comments]])),
    ISNUMBER(SEARCH("inactive", tblDocketedComments[[#This Row],[Docketed Consumer Comments]]))
  ),
  0,
  1
)</f>
        <v>1</v>
      </c>
    </row>
    <row r="501" spans="1:22" hidden="1">
      <c r="A501" s="2">
        <v>45903</v>
      </c>
      <c r="B501" s="1" t="s">
        <v>1394</v>
      </c>
      <c r="C501" s="1" t="s">
        <v>1395</v>
      </c>
      <c r="D501" s="1" t="s">
        <v>169</v>
      </c>
      <c r="E501" s="1">
        <v>85338</v>
      </c>
      <c r="F501" s="1" t="s">
        <v>1396</v>
      </c>
      <c r="G501" s="1" t="s">
        <v>1193</v>
      </c>
      <c r="H501" s="21" t="s">
        <v>6667</v>
      </c>
      <c r="I501" s="5" t="s">
        <v>36</v>
      </c>
      <c r="J501" s="5" t="s">
        <v>37</v>
      </c>
      <c r="K501" s="5" t="s">
        <v>37</v>
      </c>
      <c r="L501" s="5" t="s">
        <v>38</v>
      </c>
      <c r="M501" s="5" t="s">
        <v>37</v>
      </c>
      <c r="N501" s="5" t="s">
        <v>37</v>
      </c>
      <c r="O501" s="5" t="s">
        <v>38</v>
      </c>
      <c r="P501" s="5" t="s">
        <v>39</v>
      </c>
      <c r="Q501" s="2">
        <v>45966</v>
      </c>
      <c r="V501" s="45">
        <f>IF(
  OR(
    ISNUMBER(SEARCH("unable to locate acct", tblDocketedComments[[#This Row],[Docketed Consumer Comments]])),
    ISNUMBER(SEARCH("unknown", tblDocketedComments[[#This Row],[Docketed Consumer Comments]])),
    ISNUMBER(SEARCH("inactive", tblDocketedComments[[#This Row],[Docketed Consumer Comments]]))
  ),
  0,
  1
)</f>
        <v>1</v>
      </c>
    </row>
    <row r="502" spans="1:22" hidden="1">
      <c r="A502" s="2">
        <v>45903</v>
      </c>
      <c r="B502" s="1" t="s">
        <v>1397</v>
      </c>
      <c r="C502" s="1" t="s">
        <v>1398</v>
      </c>
      <c r="D502" s="1" t="s">
        <v>63</v>
      </c>
      <c r="E502" s="1">
        <v>85013</v>
      </c>
      <c r="F502" s="1" t="s">
        <v>1399</v>
      </c>
      <c r="G502" s="1" t="s">
        <v>1193</v>
      </c>
      <c r="H502" s="21" t="s">
        <v>6668</v>
      </c>
      <c r="I502" s="5" t="s">
        <v>73</v>
      </c>
      <c r="J502" s="5" t="s">
        <v>37</v>
      </c>
      <c r="K502" s="5" t="s">
        <v>37</v>
      </c>
      <c r="L502" s="5" t="s">
        <v>38</v>
      </c>
      <c r="M502" s="5" t="s">
        <v>37</v>
      </c>
      <c r="N502" s="5" t="s">
        <v>37</v>
      </c>
      <c r="O502" s="5" t="s">
        <v>38</v>
      </c>
      <c r="P502" s="5" t="s">
        <v>39</v>
      </c>
      <c r="Q502" s="2">
        <v>45966</v>
      </c>
      <c r="V502" s="45">
        <f>IF(
  OR(
    ISNUMBER(SEARCH("unable to locate acct", tblDocketedComments[[#This Row],[Docketed Consumer Comments]])),
    ISNUMBER(SEARCH("unknown", tblDocketedComments[[#This Row],[Docketed Consumer Comments]])),
    ISNUMBER(SEARCH("inactive", tblDocketedComments[[#This Row],[Docketed Consumer Comments]]))
  ),
  0,
  1
)</f>
        <v>1</v>
      </c>
    </row>
    <row r="503" spans="1:22" hidden="1">
      <c r="A503" s="2">
        <v>45903</v>
      </c>
      <c r="B503" s="1" t="s">
        <v>1400</v>
      </c>
      <c r="C503" s="1" t="s">
        <v>621</v>
      </c>
      <c r="D503" s="1" t="s">
        <v>202</v>
      </c>
      <c r="E503" s="1">
        <v>85381</v>
      </c>
      <c r="F503" s="1" t="s">
        <v>310</v>
      </c>
      <c r="G503" s="1" t="s">
        <v>1193</v>
      </c>
      <c r="H503" s="21" t="s">
        <v>6669</v>
      </c>
      <c r="I503" s="5" t="s">
        <v>36</v>
      </c>
      <c r="J503" s="5" t="s">
        <v>37</v>
      </c>
      <c r="K503" s="5" t="s">
        <v>37</v>
      </c>
      <c r="L503" s="5" t="s">
        <v>38</v>
      </c>
      <c r="M503" s="5" t="s">
        <v>37</v>
      </c>
      <c r="N503" s="5" t="s">
        <v>37</v>
      </c>
      <c r="O503" s="5" t="s">
        <v>38</v>
      </c>
      <c r="P503" s="5" t="s">
        <v>39</v>
      </c>
      <c r="Q503" s="2">
        <v>45966</v>
      </c>
      <c r="V503" s="45">
        <f>IF(
  OR(
    ISNUMBER(SEARCH("unable to locate acct", tblDocketedComments[[#This Row],[Docketed Consumer Comments]])),
    ISNUMBER(SEARCH("unknown", tblDocketedComments[[#This Row],[Docketed Consumer Comments]])),
    ISNUMBER(SEARCH("inactive", tblDocketedComments[[#This Row],[Docketed Consumer Comments]]))
  ),
  0,
  1
)</f>
        <v>1</v>
      </c>
    </row>
    <row r="504" spans="1:22" hidden="1">
      <c r="A504" s="2">
        <v>45903</v>
      </c>
      <c r="B504" s="1" t="s">
        <v>1401</v>
      </c>
      <c r="C504" s="1" t="s">
        <v>1402</v>
      </c>
      <c r="D504" s="1" t="s">
        <v>1403</v>
      </c>
      <c r="E504" s="1">
        <v>86332</v>
      </c>
      <c r="F504" s="1" t="s">
        <v>31</v>
      </c>
      <c r="G504" s="1" t="s">
        <v>1193</v>
      </c>
      <c r="H504" s="21" t="s">
        <v>6670</v>
      </c>
      <c r="I504" s="5" t="s">
        <v>243</v>
      </c>
      <c r="J504" s="5" t="s">
        <v>37</v>
      </c>
      <c r="K504" s="5" t="s">
        <v>37</v>
      </c>
      <c r="L504" s="5" t="s">
        <v>387</v>
      </c>
      <c r="M504" s="5" t="s">
        <v>37</v>
      </c>
      <c r="N504" s="5" t="s">
        <v>37</v>
      </c>
      <c r="O504" s="5" t="s">
        <v>38</v>
      </c>
      <c r="P504" s="5" t="s">
        <v>39</v>
      </c>
      <c r="Q504" s="2">
        <v>45966</v>
      </c>
      <c r="V504" s="45">
        <f>IF(
  OR(
    ISNUMBER(SEARCH("unable to locate acct", tblDocketedComments[[#This Row],[Docketed Consumer Comments]])),
    ISNUMBER(SEARCH("unknown", tblDocketedComments[[#This Row],[Docketed Consumer Comments]])),
    ISNUMBER(SEARCH("inactive", tblDocketedComments[[#This Row],[Docketed Consumer Comments]]))
  ),
  0,
  1
)</f>
        <v>1</v>
      </c>
    </row>
    <row r="505" spans="1:22" hidden="1">
      <c r="A505" s="2">
        <v>45903</v>
      </c>
      <c r="B505" s="1" t="s">
        <v>1404</v>
      </c>
      <c r="C505" s="1" t="s">
        <v>1405</v>
      </c>
      <c r="D505" s="1" t="s">
        <v>169</v>
      </c>
      <c r="E505" s="1">
        <v>85395</v>
      </c>
      <c r="F505" s="1" t="s">
        <v>31</v>
      </c>
      <c r="G505" s="1" t="s">
        <v>1193</v>
      </c>
      <c r="H505" s="21" t="s">
        <v>6671</v>
      </c>
      <c r="I505" s="5" t="s">
        <v>46</v>
      </c>
      <c r="J505" s="5" t="s">
        <v>37</v>
      </c>
      <c r="K505" s="5" t="s">
        <v>37</v>
      </c>
      <c r="L505" s="5" t="s">
        <v>38</v>
      </c>
      <c r="M505" s="5" t="s">
        <v>37</v>
      </c>
      <c r="N505" s="5" t="s">
        <v>37</v>
      </c>
      <c r="O505" s="5" t="s">
        <v>38</v>
      </c>
      <c r="P505" s="5" t="s">
        <v>39</v>
      </c>
      <c r="Q505" s="2">
        <v>45966</v>
      </c>
      <c r="V505" s="45">
        <f>IF(
  OR(
    ISNUMBER(SEARCH("unable to locate acct", tblDocketedComments[[#This Row],[Docketed Consumer Comments]])),
    ISNUMBER(SEARCH("unknown", tblDocketedComments[[#This Row],[Docketed Consumer Comments]])),
    ISNUMBER(SEARCH("inactive", tblDocketedComments[[#This Row],[Docketed Consumer Comments]]))
  ),
  0,
  1
)</f>
        <v>1</v>
      </c>
    </row>
    <row r="506" spans="1:22" hidden="1">
      <c r="A506" s="2">
        <v>45903</v>
      </c>
      <c r="B506" s="1" t="s">
        <v>1406</v>
      </c>
      <c r="C506" s="1" t="s">
        <v>757</v>
      </c>
      <c r="D506" s="1" t="s">
        <v>520</v>
      </c>
      <c r="E506" s="1">
        <v>85392</v>
      </c>
      <c r="F506" s="1" t="s">
        <v>1407</v>
      </c>
      <c r="G506" s="1" t="s">
        <v>1193</v>
      </c>
      <c r="H506" s="4" t="s">
        <v>27</v>
      </c>
      <c r="V506" s="45">
        <f>IF(
  OR(
    ISNUMBER(SEARCH("unable to locate acct", tblDocketedComments[[#This Row],[Docketed Consumer Comments]])),
    ISNUMBER(SEARCH("unknown", tblDocketedComments[[#This Row],[Docketed Consumer Comments]])),
    ISNUMBER(SEARCH("inactive", tblDocketedComments[[#This Row],[Docketed Consumer Comments]]))
  ),
  0,
  1
)</f>
        <v>1</v>
      </c>
    </row>
    <row r="507" spans="1:22" hidden="1">
      <c r="A507" s="2">
        <v>45903</v>
      </c>
      <c r="B507" s="1" t="s">
        <v>1408</v>
      </c>
      <c r="C507" s="1" t="s">
        <v>1409</v>
      </c>
      <c r="D507" s="1" t="s">
        <v>632</v>
      </c>
      <c r="E507" s="1">
        <v>85281</v>
      </c>
      <c r="F507" s="1" t="s">
        <v>1410</v>
      </c>
      <c r="G507" s="1" t="s">
        <v>1193</v>
      </c>
      <c r="H507" s="4" t="s">
        <v>27</v>
      </c>
      <c r="V507" s="45">
        <f>IF(
  OR(
    ISNUMBER(SEARCH("unable to locate acct", tblDocketedComments[[#This Row],[Docketed Consumer Comments]])),
    ISNUMBER(SEARCH("unknown", tblDocketedComments[[#This Row],[Docketed Consumer Comments]])),
    ISNUMBER(SEARCH("inactive", tblDocketedComments[[#This Row],[Docketed Consumer Comments]]))
  ),
  0,
  1
)</f>
        <v>1</v>
      </c>
    </row>
    <row r="508" spans="1:22" hidden="1">
      <c r="A508" s="2">
        <v>45903</v>
      </c>
      <c r="B508" s="1" t="s">
        <v>1411</v>
      </c>
      <c r="C508" s="1" t="s">
        <v>1412</v>
      </c>
      <c r="D508" s="1" t="s">
        <v>169</v>
      </c>
      <c r="E508" s="1">
        <v>85395</v>
      </c>
      <c r="F508" s="1" t="s">
        <v>1413</v>
      </c>
      <c r="G508" s="1" t="s">
        <v>1193</v>
      </c>
      <c r="H508" s="21" t="s">
        <v>6672</v>
      </c>
      <c r="I508" s="5" t="s">
        <v>196</v>
      </c>
      <c r="J508" s="5" t="s">
        <v>37</v>
      </c>
      <c r="K508" s="5" t="s">
        <v>37</v>
      </c>
      <c r="L508" s="7" t="s">
        <v>1414</v>
      </c>
      <c r="M508" s="5" t="s">
        <v>37</v>
      </c>
      <c r="N508" s="5" t="s">
        <v>37</v>
      </c>
      <c r="O508" s="5" t="s">
        <v>38</v>
      </c>
      <c r="P508" s="2">
        <v>45936</v>
      </c>
      <c r="Q508" s="2">
        <v>45966</v>
      </c>
      <c r="R508" s="1" t="s">
        <v>1293</v>
      </c>
      <c r="V508" s="45">
        <f>IF(
  OR(
    ISNUMBER(SEARCH("unable to locate acct", tblDocketedComments[[#This Row],[Docketed Consumer Comments]])),
    ISNUMBER(SEARCH("unknown", tblDocketedComments[[#This Row],[Docketed Consumer Comments]])),
    ISNUMBER(SEARCH("inactive", tblDocketedComments[[#This Row],[Docketed Consumer Comments]]))
  ),
  0,
  1
)</f>
        <v>1</v>
      </c>
    </row>
    <row r="509" spans="1:22" hidden="1">
      <c r="A509" s="2">
        <v>45903</v>
      </c>
      <c r="B509" s="1" t="s">
        <v>1415</v>
      </c>
      <c r="C509" s="1" t="s">
        <v>309</v>
      </c>
      <c r="D509" s="1" t="s">
        <v>129</v>
      </c>
      <c r="E509" s="1">
        <v>85234</v>
      </c>
      <c r="F509" s="1" t="s">
        <v>310</v>
      </c>
      <c r="G509" s="1" t="s">
        <v>1193</v>
      </c>
      <c r="H509" s="21" t="s">
        <v>6673</v>
      </c>
      <c r="I509" s="5" t="s">
        <v>196</v>
      </c>
      <c r="J509" s="5" t="s">
        <v>37</v>
      </c>
      <c r="K509" s="5" t="s">
        <v>37</v>
      </c>
      <c r="L509" s="7" t="s">
        <v>1416</v>
      </c>
      <c r="M509" s="5" t="s">
        <v>37</v>
      </c>
      <c r="N509" s="5" t="s">
        <v>37</v>
      </c>
      <c r="O509" s="5" t="s">
        <v>38</v>
      </c>
      <c r="P509" s="2">
        <v>45936</v>
      </c>
      <c r="Q509" s="2">
        <v>45966</v>
      </c>
      <c r="R509" s="1" t="s">
        <v>1293</v>
      </c>
      <c r="V509" s="45">
        <f>IF(
  OR(
    ISNUMBER(SEARCH("unable to locate acct", tblDocketedComments[[#This Row],[Docketed Consumer Comments]])),
    ISNUMBER(SEARCH("unknown", tblDocketedComments[[#This Row],[Docketed Consumer Comments]])),
    ISNUMBER(SEARCH("inactive", tblDocketedComments[[#This Row],[Docketed Consumer Comments]]))
  ),
  0,
  1
)</f>
        <v>1</v>
      </c>
    </row>
    <row r="510" spans="1:22" hidden="1">
      <c r="A510" s="2">
        <v>45903</v>
      </c>
      <c r="B510" s="1" t="s">
        <v>1417</v>
      </c>
      <c r="C510" s="1" t="s">
        <v>1418</v>
      </c>
      <c r="D510" s="1" t="s">
        <v>807</v>
      </c>
      <c r="E510" s="1">
        <v>86304</v>
      </c>
      <c r="F510" s="1" t="s">
        <v>31</v>
      </c>
      <c r="G510" s="1" t="s">
        <v>1193</v>
      </c>
      <c r="H510" s="21" t="s">
        <v>6674</v>
      </c>
      <c r="I510" s="5" t="s">
        <v>73</v>
      </c>
      <c r="J510" s="5" t="s">
        <v>37</v>
      </c>
      <c r="K510" s="5" t="s">
        <v>37</v>
      </c>
      <c r="L510" s="5" t="s">
        <v>38</v>
      </c>
      <c r="M510" s="5" t="s">
        <v>37</v>
      </c>
      <c r="N510" s="5" t="s">
        <v>37</v>
      </c>
      <c r="O510" s="5" t="s">
        <v>38</v>
      </c>
      <c r="P510" s="5" t="s">
        <v>39</v>
      </c>
      <c r="Q510" s="2">
        <v>45966</v>
      </c>
      <c r="V510" s="45">
        <f>IF(
  OR(
    ISNUMBER(SEARCH("unable to locate acct", tblDocketedComments[[#This Row],[Docketed Consumer Comments]])),
    ISNUMBER(SEARCH("unknown", tblDocketedComments[[#This Row],[Docketed Consumer Comments]])),
    ISNUMBER(SEARCH("inactive", tblDocketedComments[[#This Row],[Docketed Consumer Comments]]))
  ),
  0,
  1
)</f>
        <v>1</v>
      </c>
    </row>
    <row r="511" spans="1:22" hidden="1">
      <c r="A511" s="2">
        <v>45903</v>
      </c>
      <c r="B511" s="1" t="s">
        <v>1419</v>
      </c>
      <c r="C511" s="1" t="s">
        <v>1420</v>
      </c>
      <c r="D511" s="1" t="s">
        <v>169</v>
      </c>
      <c r="E511" s="1">
        <v>85395</v>
      </c>
      <c r="F511" s="1" t="s">
        <v>31</v>
      </c>
      <c r="G511" s="1" t="s">
        <v>1193</v>
      </c>
      <c r="H511" s="21" t="s">
        <v>6675</v>
      </c>
      <c r="I511" s="5" t="s">
        <v>73</v>
      </c>
      <c r="J511" s="5" t="s">
        <v>37</v>
      </c>
      <c r="K511" s="5" t="s">
        <v>37</v>
      </c>
      <c r="L511" s="5" t="s">
        <v>38</v>
      </c>
      <c r="M511" s="5" t="s">
        <v>37</v>
      </c>
      <c r="N511" s="5" t="s">
        <v>37</v>
      </c>
      <c r="O511" s="5" t="s">
        <v>38</v>
      </c>
      <c r="P511" s="5" t="s">
        <v>39</v>
      </c>
      <c r="Q511" s="2">
        <v>45966</v>
      </c>
      <c r="V511" s="45">
        <f>IF(
  OR(
    ISNUMBER(SEARCH("unable to locate acct", tblDocketedComments[[#This Row],[Docketed Consumer Comments]])),
    ISNUMBER(SEARCH("unknown", tblDocketedComments[[#This Row],[Docketed Consumer Comments]])),
    ISNUMBER(SEARCH("inactive", tblDocketedComments[[#This Row],[Docketed Consumer Comments]]))
  ),
  0,
  1
)</f>
        <v>1</v>
      </c>
    </row>
    <row r="512" spans="1:22" hidden="1">
      <c r="A512" s="2">
        <v>45903</v>
      </c>
      <c r="B512" s="1" t="s">
        <v>1421</v>
      </c>
      <c r="C512" s="1" t="s">
        <v>1327</v>
      </c>
      <c r="D512" s="1" t="s">
        <v>656</v>
      </c>
      <c r="E512" s="1">
        <v>85350</v>
      </c>
      <c r="F512" s="1" t="s">
        <v>31</v>
      </c>
      <c r="G512" s="1" t="s">
        <v>1193</v>
      </c>
      <c r="H512" s="21" t="s">
        <v>6676</v>
      </c>
      <c r="I512" s="5" t="s">
        <v>46</v>
      </c>
      <c r="J512" s="5" t="s">
        <v>38</v>
      </c>
      <c r="K512" s="5" t="s">
        <v>37</v>
      </c>
      <c r="L512" s="5" t="s">
        <v>38</v>
      </c>
      <c r="M512" s="5" t="s">
        <v>37</v>
      </c>
      <c r="N512" s="5" t="s">
        <v>37</v>
      </c>
      <c r="O512" s="5" t="s">
        <v>38</v>
      </c>
      <c r="P512" s="5" t="s">
        <v>39</v>
      </c>
      <c r="Q512" s="2">
        <v>45966</v>
      </c>
      <c r="V512" s="45">
        <f>IF(
  OR(
    ISNUMBER(SEARCH("unable to locate acct", tblDocketedComments[[#This Row],[Docketed Consumer Comments]])),
    ISNUMBER(SEARCH("unknown", tblDocketedComments[[#This Row],[Docketed Consumer Comments]])),
    ISNUMBER(SEARCH("inactive", tblDocketedComments[[#This Row],[Docketed Consumer Comments]]))
  ),
  0,
  1
)</f>
        <v>1</v>
      </c>
    </row>
    <row r="513" spans="1:22" hidden="1">
      <c r="A513" s="2">
        <v>45903</v>
      </c>
      <c r="B513" s="1" t="s">
        <v>1422</v>
      </c>
      <c r="C513" s="1" t="s">
        <v>1423</v>
      </c>
      <c r="D513" s="1" t="s">
        <v>24</v>
      </c>
      <c r="E513" s="1">
        <v>85308</v>
      </c>
      <c r="F513" s="1" t="s">
        <v>310</v>
      </c>
      <c r="G513" s="1" t="s">
        <v>1193</v>
      </c>
      <c r="H513" s="21" t="s">
        <v>6677</v>
      </c>
      <c r="I513" s="5" t="s">
        <v>36</v>
      </c>
      <c r="J513" s="5" t="s">
        <v>37</v>
      </c>
      <c r="K513" s="5" t="s">
        <v>37</v>
      </c>
      <c r="L513" s="7" t="s">
        <v>1424</v>
      </c>
      <c r="M513" s="5" t="s">
        <v>37</v>
      </c>
      <c r="N513" s="5" t="s">
        <v>37</v>
      </c>
      <c r="O513" s="5" t="s">
        <v>38</v>
      </c>
      <c r="P513" s="17"/>
      <c r="Q513" s="2">
        <v>45966</v>
      </c>
      <c r="V513" s="45">
        <f>IF(
  OR(
    ISNUMBER(SEARCH("unable to locate acct", tblDocketedComments[[#This Row],[Docketed Consumer Comments]])),
    ISNUMBER(SEARCH("unknown", tblDocketedComments[[#This Row],[Docketed Consumer Comments]])),
    ISNUMBER(SEARCH("inactive", tblDocketedComments[[#This Row],[Docketed Consumer Comments]]))
  ),
  0,
  1
)</f>
        <v>1</v>
      </c>
    </row>
    <row r="514" spans="1:22" hidden="1">
      <c r="A514" s="2">
        <v>45903</v>
      </c>
      <c r="B514" s="1" t="s">
        <v>366</v>
      </c>
      <c r="C514" s="1" t="s">
        <v>1425</v>
      </c>
      <c r="D514" s="1" t="s">
        <v>169</v>
      </c>
      <c r="E514" s="1">
        <v>85395</v>
      </c>
      <c r="F514" s="1" t="s">
        <v>31</v>
      </c>
      <c r="G514" s="1" t="s">
        <v>1193</v>
      </c>
      <c r="H514" s="21" t="s">
        <v>6678</v>
      </c>
      <c r="I514" s="5" t="s">
        <v>1426</v>
      </c>
      <c r="J514" s="5" t="s">
        <v>37</v>
      </c>
      <c r="K514" s="5" t="s">
        <v>37</v>
      </c>
      <c r="L514" s="5" t="s">
        <v>387</v>
      </c>
      <c r="M514" s="5" t="s">
        <v>37</v>
      </c>
      <c r="N514" s="5" t="s">
        <v>37</v>
      </c>
      <c r="O514" s="5" t="s">
        <v>38</v>
      </c>
      <c r="P514" s="5" t="s">
        <v>39</v>
      </c>
      <c r="Q514" s="2">
        <v>45966</v>
      </c>
      <c r="V514" s="45">
        <f>IF(
  OR(
    ISNUMBER(SEARCH("unable to locate acct", tblDocketedComments[[#This Row],[Docketed Consumer Comments]])),
    ISNUMBER(SEARCH("unknown", tblDocketedComments[[#This Row],[Docketed Consumer Comments]])),
    ISNUMBER(SEARCH("inactive", tblDocketedComments[[#This Row],[Docketed Consumer Comments]]))
  ),
  0,
  1
)</f>
        <v>1</v>
      </c>
    </row>
    <row r="515" spans="1:22" hidden="1">
      <c r="A515" s="2">
        <v>45903</v>
      </c>
      <c r="B515" s="1" t="s">
        <v>1427</v>
      </c>
      <c r="C515" s="1" t="s">
        <v>1428</v>
      </c>
      <c r="D515" s="1" t="s">
        <v>264</v>
      </c>
      <c r="E515" s="1">
        <v>85541</v>
      </c>
      <c r="F515" s="1" t="s">
        <v>310</v>
      </c>
      <c r="G515" s="1" t="s">
        <v>1193</v>
      </c>
      <c r="H515" s="21" t="s">
        <v>6679</v>
      </c>
      <c r="I515" s="5" t="s">
        <v>36</v>
      </c>
      <c r="J515" s="5" t="s">
        <v>37</v>
      </c>
      <c r="K515" s="5" t="s">
        <v>37</v>
      </c>
      <c r="L515" s="5" t="s">
        <v>38</v>
      </c>
      <c r="M515" s="5" t="s">
        <v>37</v>
      </c>
      <c r="N515" s="5" t="s">
        <v>37</v>
      </c>
      <c r="O515" s="5" t="s">
        <v>38</v>
      </c>
      <c r="P515" s="5" t="s">
        <v>39</v>
      </c>
      <c r="Q515" s="2">
        <v>45966</v>
      </c>
      <c r="V515" s="45">
        <f>IF(
  OR(
    ISNUMBER(SEARCH("unable to locate acct", tblDocketedComments[[#This Row],[Docketed Consumer Comments]])),
    ISNUMBER(SEARCH("unknown", tblDocketedComments[[#This Row],[Docketed Consumer Comments]])),
    ISNUMBER(SEARCH("inactive", tblDocketedComments[[#This Row],[Docketed Consumer Comments]]))
  ),
  0,
  1
)</f>
        <v>1</v>
      </c>
    </row>
    <row r="516" spans="1:22" hidden="1">
      <c r="A516" s="2">
        <v>45903</v>
      </c>
      <c r="B516" s="1" t="s">
        <v>1429</v>
      </c>
      <c r="C516" s="1" t="s">
        <v>1430</v>
      </c>
      <c r="D516" s="1" t="s">
        <v>169</v>
      </c>
      <c r="E516" s="1">
        <v>85395</v>
      </c>
      <c r="F516" s="1" t="s">
        <v>1103</v>
      </c>
      <c r="G516" s="1" t="s">
        <v>1193</v>
      </c>
      <c r="H516" s="4" t="s">
        <v>1431</v>
      </c>
      <c r="I516" s="5" t="s">
        <v>243</v>
      </c>
      <c r="J516" s="5" t="s">
        <v>37</v>
      </c>
      <c r="K516" s="5" t="s">
        <v>37</v>
      </c>
      <c r="L516" s="5" t="s">
        <v>387</v>
      </c>
      <c r="M516" s="5" t="s">
        <v>37</v>
      </c>
      <c r="N516" s="5" t="s">
        <v>37</v>
      </c>
      <c r="O516" s="5" t="s">
        <v>38</v>
      </c>
      <c r="P516" s="5" t="s">
        <v>39</v>
      </c>
      <c r="Q516" s="2">
        <v>45966</v>
      </c>
      <c r="V516" s="45">
        <f>IF(
  OR(
    ISNUMBER(SEARCH("unable to locate acct", tblDocketedComments[[#This Row],[Docketed Consumer Comments]])),
    ISNUMBER(SEARCH("unknown", tblDocketedComments[[#This Row],[Docketed Consumer Comments]])),
    ISNUMBER(SEARCH("inactive", tblDocketedComments[[#This Row],[Docketed Consumer Comments]]))
  ),
  0,
  1
)</f>
        <v>1</v>
      </c>
    </row>
    <row r="517" spans="1:22" hidden="1">
      <c r="A517" s="2">
        <v>45903</v>
      </c>
      <c r="B517" s="1" t="s">
        <v>1432</v>
      </c>
      <c r="C517" s="1" t="s">
        <v>1433</v>
      </c>
      <c r="D517" s="1" t="s">
        <v>520</v>
      </c>
      <c r="E517" s="1">
        <v>85392</v>
      </c>
      <c r="F517" s="1" t="s">
        <v>31</v>
      </c>
      <c r="G517" s="1" t="s">
        <v>1193</v>
      </c>
      <c r="H517" s="4" t="s">
        <v>1434</v>
      </c>
      <c r="I517" s="5" t="s">
        <v>46</v>
      </c>
      <c r="J517" s="5" t="s">
        <v>37</v>
      </c>
      <c r="K517" s="5" t="s">
        <v>37</v>
      </c>
      <c r="L517" s="5" t="s">
        <v>1435</v>
      </c>
      <c r="M517" s="5" t="s">
        <v>37</v>
      </c>
      <c r="N517" s="5" t="s">
        <v>37</v>
      </c>
      <c r="O517" s="5" t="s">
        <v>38</v>
      </c>
      <c r="P517" s="5" t="s">
        <v>39</v>
      </c>
      <c r="Q517" s="2">
        <v>45966</v>
      </c>
      <c r="V517" s="45">
        <f>IF(
  OR(
    ISNUMBER(SEARCH("unable to locate acct", tblDocketedComments[[#This Row],[Docketed Consumer Comments]])),
    ISNUMBER(SEARCH("unknown", tblDocketedComments[[#This Row],[Docketed Consumer Comments]])),
    ISNUMBER(SEARCH("inactive", tblDocketedComments[[#This Row],[Docketed Consumer Comments]]))
  ),
  0,
  1
)</f>
        <v>1</v>
      </c>
    </row>
    <row r="518" spans="1:22" hidden="1">
      <c r="A518" s="2">
        <v>45903</v>
      </c>
      <c r="B518" s="1" t="s">
        <v>1436</v>
      </c>
      <c r="C518" s="1" t="s">
        <v>1437</v>
      </c>
      <c r="D518" s="1" t="s">
        <v>63</v>
      </c>
      <c r="E518" s="1">
        <v>85032</v>
      </c>
      <c r="F518" s="1" t="s">
        <v>310</v>
      </c>
      <c r="G518" s="1" t="s">
        <v>1193</v>
      </c>
      <c r="H518" s="4" t="s">
        <v>1438</v>
      </c>
      <c r="I518" s="5" t="s">
        <v>250</v>
      </c>
      <c r="J518" s="5" t="s">
        <v>37</v>
      </c>
      <c r="K518" s="5" t="s">
        <v>37</v>
      </c>
      <c r="L518" s="5" t="s">
        <v>1435</v>
      </c>
      <c r="M518" s="5" t="s">
        <v>37</v>
      </c>
      <c r="N518" s="5" t="s">
        <v>37</v>
      </c>
      <c r="O518" s="5" t="s">
        <v>38</v>
      </c>
      <c r="P518" s="5" t="s">
        <v>39</v>
      </c>
      <c r="Q518" s="2">
        <v>45966</v>
      </c>
      <c r="V518" s="45">
        <f>IF(
  OR(
    ISNUMBER(SEARCH("unable to locate acct", tblDocketedComments[[#This Row],[Docketed Consumer Comments]])),
    ISNUMBER(SEARCH("unknown", tblDocketedComments[[#This Row],[Docketed Consumer Comments]])),
    ISNUMBER(SEARCH("inactive", tblDocketedComments[[#This Row],[Docketed Consumer Comments]]))
  ),
  0,
  1
)</f>
        <v>1</v>
      </c>
    </row>
    <row r="519" spans="1:22" hidden="1">
      <c r="A519" s="2">
        <v>45903</v>
      </c>
      <c r="B519" s="1" t="s">
        <v>1439</v>
      </c>
      <c r="C519" s="1" t="s">
        <v>1440</v>
      </c>
      <c r="D519" s="1" t="s">
        <v>202</v>
      </c>
      <c r="E519" s="1">
        <v>85383</v>
      </c>
      <c r="F519" s="1" t="s">
        <v>31</v>
      </c>
      <c r="G519" s="1" t="s">
        <v>1193</v>
      </c>
      <c r="H519" s="4" t="s">
        <v>27</v>
      </c>
      <c r="V519" s="45">
        <f>IF(
  OR(
    ISNUMBER(SEARCH("unable to locate acct", tblDocketedComments[[#This Row],[Docketed Consumer Comments]])),
    ISNUMBER(SEARCH("unknown", tblDocketedComments[[#This Row],[Docketed Consumer Comments]])),
    ISNUMBER(SEARCH("inactive", tblDocketedComments[[#This Row],[Docketed Consumer Comments]]))
  ),
  0,
  1
)</f>
        <v>1</v>
      </c>
    </row>
    <row r="520" spans="1:22" hidden="1">
      <c r="A520" s="2">
        <v>45903</v>
      </c>
      <c r="B520" s="1" t="s">
        <v>1441</v>
      </c>
      <c r="C520" s="1" t="s">
        <v>333</v>
      </c>
      <c r="D520" s="1" t="s">
        <v>112</v>
      </c>
      <c r="E520" s="1">
        <v>85379</v>
      </c>
      <c r="F520" s="1" t="s">
        <v>310</v>
      </c>
      <c r="G520" s="1" t="s">
        <v>1442</v>
      </c>
      <c r="H520" s="21" t="s">
        <v>6680</v>
      </c>
      <c r="I520" s="5" t="s">
        <v>126</v>
      </c>
      <c r="J520" s="5" t="s">
        <v>37</v>
      </c>
      <c r="K520" s="5" t="s">
        <v>37</v>
      </c>
      <c r="L520" s="5" t="s">
        <v>38</v>
      </c>
      <c r="M520" s="5" t="s">
        <v>37</v>
      </c>
      <c r="N520" s="5" t="s">
        <v>37</v>
      </c>
      <c r="O520" s="5" t="s">
        <v>38</v>
      </c>
      <c r="P520" s="5" t="s">
        <v>39</v>
      </c>
      <c r="Q520" s="2">
        <v>45966</v>
      </c>
      <c r="V520" s="45">
        <f>IF(
  OR(
    ISNUMBER(SEARCH("unable to locate acct", tblDocketedComments[[#This Row],[Docketed Consumer Comments]])),
    ISNUMBER(SEARCH("unknown", tblDocketedComments[[#This Row],[Docketed Consumer Comments]])),
    ISNUMBER(SEARCH("inactive", tblDocketedComments[[#This Row],[Docketed Consumer Comments]]))
  ),
  0,
  1
)</f>
        <v>1</v>
      </c>
    </row>
    <row r="521" spans="1:22" hidden="1">
      <c r="A521" s="2">
        <v>45903</v>
      </c>
      <c r="B521" s="1" t="s">
        <v>1443</v>
      </c>
      <c r="C521" s="1" t="s">
        <v>1444</v>
      </c>
      <c r="D521" s="1" t="s">
        <v>520</v>
      </c>
      <c r="E521" s="1">
        <v>85392</v>
      </c>
      <c r="F521" s="1" t="s">
        <v>31</v>
      </c>
      <c r="G521" s="1" t="s">
        <v>1442</v>
      </c>
      <c r="H521" s="21" t="s">
        <v>6681</v>
      </c>
      <c r="I521" s="5" t="s">
        <v>36</v>
      </c>
      <c r="J521" s="5" t="s">
        <v>37</v>
      </c>
      <c r="K521" s="5" t="s">
        <v>37</v>
      </c>
      <c r="L521" s="5" t="s">
        <v>38</v>
      </c>
      <c r="M521" s="5" t="s">
        <v>37</v>
      </c>
      <c r="N521" s="5" t="s">
        <v>37</v>
      </c>
      <c r="O521" s="5" t="s">
        <v>38</v>
      </c>
      <c r="P521" s="5" t="s">
        <v>39</v>
      </c>
      <c r="Q521" s="2">
        <v>45966</v>
      </c>
      <c r="V521" s="45">
        <f>IF(
  OR(
    ISNUMBER(SEARCH("unable to locate acct", tblDocketedComments[[#This Row],[Docketed Consumer Comments]])),
    ISNUMBER(SEARCH("unknown", tblDocketedComments[[#This Row],[Docketed Consumer Comments]])),
    ISNUMBER(SEARCH("inactive", tblDocketedComments[[#This Row],[Docketed Consumer Comments]]))
  ),
  0,
  1
)</f>
        <v>1</v>
      </c>
    </row>
    <row r="522" spans="1:22" hidden="1">
      <c r="A522" s="2">
        <v>45903</v>
      </c>
      <c r="B522" s="1" t="s">
        <v>601</v>
      </c>
      <c r="C522" s="1" t="s">
        <v>418</v>
      </c>
      <c r="D522" s="1" t="s">
        <v>24</v>
      </c>
      <c r="E522" s="1">
        <v>85308</v>
      </c>
      <c r="F522" s="1" t="s">
        <v>310</v>
      </c>
      <c r="G522" s="1" t="s">
        <v>1442</v>
      </c>
      <c r="H522" s="21" t="s">
        <v>6147</v>
      </c>
      <c r="I522" s="5" t="s">
        <v>73</v>
      </c>
      <c r="J522" s="5" t="s">
        <v>37</v>
      </c>
      <c r="K522" s="5" t="s">
        <v>37</v>
      </c>
      <c r="L522" s="5" t="s">
        <v>38</v>
      </c>
      <c r="M522" s="5" t="s">
        <v>37</v>
      </c>
      <c r="N522" s="5" t="s">
        <v>37</v>
      </c>
      <c r="O522" s="5" t="s">
        <v>38</v>
      </c>
      <c r="P522" s="5" t="s">
        <v>39</v>
      </c>
      <c r="Q522" s="2">
        <v>45966</v>
      </c>
      <c r="V522" s="45">
        <f>IF(
  OR(
    ISNUMBER(SEARCH("unable to locate acct", tblDocketedComments[[#This Row],[Docketed Consumer Comments]])),
    ISNUMBER(SEARCH("unknown", tblDocketedComments[[#This Row],[Docketed Consumer Comments]])),
    ISNUMBER(SEARCH("inactive", tblDocketedComments[[#This Row],[Docketed Consumer Comments]]))
  ),
  0,
  1
)</f>
        <v>1</v>
      </c>
    </row>
    <row r="523" spans="1:22" hidden="1">
      <c r="A523" s="2">
        <v>45903</v>
      </c>
      <c r="B523" s="1" t="s">
        <v>1445</v>
      </c>
      <c r="C523" s="1" t="s">
        <v>1446</v>
      </c>
      <c r="D523" s="1" t="s">
        <v>63</v>
      </c>
      <c r="E523" s="1">
        <v>85345</v>
      </c>
      <c r="F523" s="1" t="s">
        <v>31</v>
      </c>
      <c r="G523" s="1" t="s">
        <v>1442</v>
      </c>
      <c r="H523" s="21" t="s">
        <v>6682</v>
      </c>
      <c r="I523" s="5" t="s">
        <v>73</v>
      </c>
      <c r="J523" s="5" t="s">
        <v>37</v>
      </c>
      <c r="K523" s="5" t="s">
        <v>37</v>
      </c>
      <c r="L523" s="5" t="s">
        <v>1447</v>
      </c>
      <c r="M523" s="5" t="s">
        <v>37</v>
      </c>
      <c r="N523" s="5" t="s">
        <v>37</v>
      </c>
      <c r="O523" s="5" t="s">
        <v>38</v>
      </c>
      <c r="P523" s="5" t="s">
        <v>39</v>
      </c>
      <c r="Q523" s="2">
        <v>45966</v>
      </c>
      <c r="V523" s="45">
        <f>IF(
  OR(
    ISNUMBER(SEARCH("unable to locate acct", tblDocketedComments[[#This Row],[Docketed Consumer Comments]])),
    ISNUMBER(SEARCH("unknown", tblDocketedComments[[#This Row],[Docketed Consumer Comments]])),
    ISNUMBER(SEARCH("inactive", tblDocketedComments[[#This Row],[Docketed Consumer Comments]]))
  ),
  0,
  1
)</f>
        <v>1</v>
      </c>
    </row>
    <row r="524" spans="1:22" hidden="1">
      <c r="A524" s="2">
        <v>45903</v>
      </c>
      <c r="B524" s="1" t="s">
        <v>1448</v>
      </c>
      <c r="C524" s="1" t="s">
        <v>117</v>
      </c>
      <c r="D524" s="1" t="s">
        <v>169</v>
      </c>
      <c r="E524" s="1">
        <v>85338</v>
      </c>
      <c r="F524" s="1" t="s">
        <v>1449</v>
      </c>
      <c r="G524" s="1" t="s">
        <v>1442</v>
      </c>
      <c r="H524" s="21" t="s">
        <v>6683</v>
      </c>
      <c r="I524" s="5" t="s">
        <v>36</v>
      </c>
      <c r="J524" s="5" t="s">
        <v>37</v>
      </c>
      <c r="K524" s="5" t="s">
        <v>37</v>
      </c>
      <c r="L524" s="5" t="s">
        <v>38</v>
      </c>
      <c r="M524" s="5" t="s">
        <v>37</v>
      </c>
      <c r="N524" s="5" t="s">
        <v>37</v>
      </c>
      <c r="O524" s="5" t="s">
        <v>38</v>
      </c>
      <c r="P524" s="5" t="s">
        <v>39</v>
      </c>
      <c r="Q524" s="2">
        <v>45966</v>
      </c>
      <c r="V524" s="45">
        <f>IF(
  OR(
    ISNUMBER(SEARCH("unable to locate acct", tblDocketedComments[[#This Row],[Docketed Consumer Comments]])),
    ISNUMBER(SEARCH("unknown", tblDocketedComments[[#This Row],[Docketed Consumer Comments]])),
    ISNUMBER(SEARCH("inactive", tblDocketedComments[[#This Row],[Docketed Consumer Comments]]))
  ),
  0,
  1
)</f>
        <v>1</v>
      </c>
    </row>
    <row r="525" spans="1:22" hidden="1">
      <c r="A525" s="2">
        <v>45903</v>
      </c>
      <c r="B525" s="1" t="s">
        <v>1039</v>
      </c>
      <c r="C525" s="1" t="s">
        <v>1450</v>
      </c>
      <c r="D525" s="1" t="s">
        <v>853</v>
      </c>
      <c r="E525" s="1">
        <v>85086</v>
      </c>
      <c r="F525" s="1" t="s">
        <v>31</v>
      </c>
      <c r="G525" s="1" t="s">
        <v>1442</v>
      </c>
      <c r="H525" s="4" t="s">
        <v>27</v>
      </c>
      <c r="V525" s="45">
        <f>IF(
  OR(
    ISNUMBER(SEARCH("unable to locate acct", tblDocketedComments[[#This Row],[Docketed Consumer Comments]])),
    ISNUMBER(SEARCH("unknown", tblDocketedComments[[#This Row],[Docketed Consumer Comments]])),
    ISNUMBER(SEARCH("inactive", tblDocketedComments[[#This Row],[Docketed Consumer Comments]]))
  ),
  0,
  1
)</f>
        <v>1</v>
      </c>
    </row>
    <row r="526" spans="1:22" hidden="1">
      <c r="A526" s="2">
        <v>45903</v>
      </c>
      <c r="B526" s="1" t="s">
        <v>1451</v>
      </c>
      <c r="C526" s="1" t="s">
        <v>1365</v>
      </c>
      <c r="D526" s="1" t="s">
        <v>125</v>
      </c>
      <c r="E526" s="1">
        <v>85254</v>
      </c>
      <c r="F526" s="1" t="s">
        <v>1452</v>
      </c>
      <c r="G526" s="1" t="s">
        <v>1442</v>
      </c>
      <c r="H526" s="21" t="s">
        <v>6684</v>
      </c>
      <c r="I526" s="5" t="s">
        <v>46</v>
      </c>
      <c r="J526" s="5" t="s">
        <v>37</v>
      </c>
      <c r="K526" s="5" t="s">
        <v>37</v>
      </c>
      <c r="L526" s="5" t="s">
        <v>38</v>
      </c>
      <c r="M526" s="5" t="s">
        <v>37</v>
      </c>
      <c r="N526" s="5" t="s">
        <v>37</v>
      </c>
      <c r="O526" s="5" t="s">
        <v>38</v>
      </c>
      <c r="P526" s="5" t="s">
        <v>39</v>
      </c>
      <c r="Q526" s="2">
        <v>45966</v>
      </c>
      <c r="V526" s="45">
        <f>IF(
  OR(
    ISNUMBER(SEARCH("unable to locate acct", tblDocketedComments[[#This Row],[Docketed Consumer Comments]])),
    ISNUMBER(SEARCH("unknown", tblDocketedComments[[#This Row],[Docketed Consumer Comments]])),
    ISNUMBER(SEARCH("inactive", tblDocketedComments[[#This Row],[Docketed Consumer Comments]]))
  ),
  0,
  1
)</f>
        <v>1</v>
      </c>
    </row>
    <row r="527" spans="1:22" hidden="1">
      <c r="A527" s="2">
        <v>45903</v>
      </c>
      <c r="B527" s="1" t="s">
        <v>1453</v>
      </c>
      <c r="C527" s="1" t="s">
        <v>1034</v>
      </c>
      <c r="D527" s="1" t="s">
        <v>807</v>
      </c>
      <c r="E527" s="1">
        <v>86305</v>
      </c>
      <c r="F527" s="1" t="s">
        <v>31</v>
      </c>
      <c r="G527" s="1" t="s">
        <v>1442</v>
      </c>
      <c r="H527" s="21" t="s">
        <v>6685</v>
      </c>
      <c r="I527" s="5" t="s">
        <v>196</v>
      </c>
      <c r="J527" s="5" t="s">
        <v>37</v>
      </c>
      <c r="K527" s="5" t="s">
        <v>37</v>
      </c>
      <c r="L527" s="5" t="s">
        <v>1454</v>
      </c>
      <c r="M527" s="5" t="s">
        <v>37</v>
      </c>
      <c r="N527" s="5" t="s">
        <v>37</v>
      </c>
      <c r="O527" s="5" t="s">
        <v>38</v>
      </c>
      <c r="P527" s="5" t="s">
        <v>39</v>
      </c>
      <c r="Q527" s="2">
        <v>45966</v>
      </c>
      <c r="V527" s="45">
        <f>IF(
  OR(
    ISNUMBER(SEARCH("unable to locate acct", tblDocketedComments[[#This Row],[Docketed Consumer Comments]])),
    ISNUMBER(SEARCH("unknown", tblDocketedComments[[#This Row],[Docketed Consumer Comments]])),
    ISNUMBER(SEARCH("inactive", tblDocketedComments[[#This Row],[Docketed Consumer Comments]]))
  ),
  0,
  1
)</f>
        <v>1</v>
      </c>
    </row>
    <row r="528" spans="1:22" hidden="1">
      <c r="A528" s="2">
        <v>45903</v>
      </c>
      <c r="B528" s="1" t="s">
        <v>985</v>
      </c>
      <c r="C528" s="1" t="s">
        <v>621</v>
      </c>
      <c r="D528" s="1" t="s">
        <v>202</v>
      </c>
      <c r="E528" s="1">
        <v>85345</v>
      </c>
      <c r="F528" s="1" t="s">
        <v>310</v>
      </c>
      <c r="G528" s="1" t="s">
        <v>1442</v>
      </c>
      <c r="H528" s="4" t="s">
        <v>27</v>
      </c>
      <c r="V528" s="45">
        <f>IF(
  OR(
    ISNUMBER(SEARCH("unable to locate acct", tblDocketedComments[[#This Row],[Docketed Consumer Comments]])),
    ISNUMBER(SEARCH("unknown", tblDocketedComments[[#This Row],[Docketed Consumer Comments]])),
    ISNUMBER(SEARCH("inactive", tblDocketedComments[[#This Row],[Docketed Consumer Comments]]))
  ),
  0,
  1
)</f>
        <v>1</v>
      </c>
    </row>
    <row r="529" spans="1:22" hidden="1">
      <c r="A529" s="2">
        <v>45903</v>
      </c>
      <c r="B529" s="1" t="s">
        <v>1455</v>
      </c>
      <c r="C529" s="1" t="s">
        <v>1456</v>
      </c>
      <c r="D529" s="1" t="s">
        <v>1457</v>
      </c>
      <c r="E529" s="1">
        <v>85131</v>
      </c>
      <c r="F529" s="1" t="s">
        <v>31</v>
      </c>
      <c r="G529" s="1" t="s">
        <v>1442</v>
      </c>
      <c r="H529" s="4" t="s">
        <v>27</v>
      </c>
      <c r="V529" s="45">
        <f>IF(
  OR(
    ISNUMBER(SEARCH("unable to locate acct", tblDocketedComments[[#This Row],[Docketed Consumer Comments]])),
    ISNUMBER(SEARCH("unknown", tblDocketedComments[[#This Row],[Docketed Consumer Comments]])),
    ISNUMBER(SEARCH("inactive", tblDocketedComments[[#This Row],[Docketed Consumer Comments]]))
  ),
  0,
  1
)</f>
        <v>1</v>
      </c>
    </row>
    <row r="530" spans="1:22" hidden="1">
      <c r="A530" s="2">
        <v>45903</v>
      </c>
      <c r="B530" s="1" t="s">
        <v>1458</v>
      </c>
      <c r="C530" s="1" t="s">
        <v>1459</v>
      </c>
      <c r="D530" s="1" t="s">
        <v>807</v>
      </c>
      <c r="E530" s="1">
        <v>86303</v>
      </c>
      <c r="F530" s="1" t="s">
        <v>310</v>
      </c>
      <c r="G530" s="1" t="s">
        <v>1442</v>
      </c>
      <c r="H530" s="21" t="s">
        <v>6686</v>
      </c>
      <c r="I530" s="5" t="s">
        <v>73</v>
      </c>
      <c r="J530" s="5" t="s">
        <v>37</v>
      </c>
      <c r="K530" s="5" t="s">
        <v>37</v>
      </c>
      <c r="L530" s="5" t="s">
        <v>38</v>
      </c>
      <c r="M530" s="5" t="s">
        <v>37</v>
      </c>
      <c r="N530" s="5" t="s">
        <v>37</v>
      </c>
      <c r="O530" s="5" t="s">
        <v>38</v>
      </c>
      <c r="P530" s="5" t="s">
        <v>39</v>
      </c>
      <c r="Q530" s="2">
        <v>45966</v>
      </c>
      <c r="V530" s="45">
        <f>IF(
  OR(
    ISNUMBER(SEARCH("unable to locate acct", tblDocketedComments[[#This Row],[Docketed Consumer Comments]])),
    ISNUMBER(SEARCH("unknown", tblDocketedComments[[#This Row],[Docketed Consumer Comments]])),
    ISNUMBER(SEARCH("inactive", tblDocketedComments[[#This Row],[Docketed Consumer Comments]]))
  ),
  0,
  1
)</f>
        <v>1</v>
      </c>
    </row>
    <row r="531" spans="1:22" hidden="1">
      <c r="A531" s="2">
        <v>45903</v>
      </c>
      <c r="B531" s="1" t="s">
        <v>1460</v>
      </c>
      <c r="C531" s="1" t="s">
        <v>117</v>
      </c>
      <c r="D531" s="1" t="s">
        <v>63</v>
      </c>
      <c r="E531" s="1">
        <v>85020</v>
      </c>
      <c r="F531" s="1" t="s">
        <v>31</v>
      </c>
      <c r="G531" s="1" t="s">
        <v>1442</v>
      </c>
      <c r="H531" s="21" t="s">
        <v>6015</v>
      </c>
      <c r="I531" s="5" t="s">
        <v>196</v>
      </c>
      <c r="J531" s="5" t="s">
        <v>37</v>
      </c>
      <c r="K531" s="5" t="s">
        <v>37</v>
      </c>
      <c r="L531" s="7" t="s">
        <v>1461</v>
      </c>
      <c r="M531" s="5" t="s">
        <v>37</v>
      </c>
      <c r="N531" s="5" t="s">
        <v>37</v>
      </c>
      <c r="O531" s="5" t="s">
        <v>38</v>
      </c>
      <c r="P531" s="2">
        <v>45940</v>
      </c>
      <c r="Q531" s="2">
        <v>45966</v>
      </c>
      <c r="R531" s="1" t="s">
        <v>1462</v>
      </c>
      <c r="V531" s="45">
        <f>IF(
  OR(
    ISNUMBER(SEARCH("unable to locate acct", tblDocketedComments[[#This Row],[Docketed Consumer Comments]])),
    ISNUMBER(SEARCH("unknown", tblDocketedComments[[#This Row],[Docketed Consumer Comments]])),
    ISNUMBER(SEARCH("inactive", tblDocketedComments[[#This Row],[Docketed Consumer Comments]]))
  ),
  0,
  1
)</f>
        <v>1</v>
      </c>
    </row>
    <row r="532" spans="1:22" hidden="1">
      <c r="A532" s="2">
        <v>45903</v>
      </c>
      <c r="B532" s="1" t="s">
        <v>1463</v>
      </c>
      <c r="C532" s="1" t="s">
        <v>1464</v>
      </c>
      <c r="D532" s="1" t="s">
        <v>63</v>
      </c>
      <c r="E532" s="1">
        <v>85029</v>
      </c>
      <c r="F532" s="1" t="s">
        <v>1465</v>
      </c>
      <c r="G532" s="1" t="s">
        <v>1442</v>
      </c>
      <c r="H532" s="21" t="s">
        <v>6687</v>
      </c>
      <c r="I532" s="5" t="s">
        <v>416</v>
      </c>
      <c r="J532" s="5" t="s">
        <v>37</v>
      </c>
      <c r="K532" s="5" t="s">
        <v>37</v>
      </c>
      <c r="L532" s="5" t="s">
        <v>387</v>
      </c>
      <c r="M532" s="5" t="s">
        <v>37</v>
      </c>
      <c r="N532" s="5" t="s">
        <v>37</v>
      </c>
      <c r="O532" s="5" t="s">
        <v>38</v>
      </c>
      <c r="P532" s="5" t="s">
        <v>39</v>
      </c>
      <c r="Q532" s="2">
        <v>45966</v>
      </c>
      <c r="V532" s="45">
        <f>IF(
  OR(
    ISNUMBER(SEARCH("unable to locate acct", tblDocketedComments[[#This Row],[Docketed Consumer Comments]])),
    ISNUMBER(SEARCH("unknown", tblDocketedComments[[#This Row],[Docketed Consumer Comments]])),
    ISNUMBER(SEARCH("inactive", tblDocketedComments[[#This Row],[Docketed Consumer Comments]]))
  ),
  0,
  1
)</f>
        <v>1</v>
      </c>
    </row>
    <row r="533" spans="1:22" hidden="1">
      <c r="A533" s="2">
        <v>45903</v>
      </c>
      <c r="B533" s="1" t="s">
        <v>1466</v>
      </c>
      <c r="C533" s="1" t="s">
        <v>1124</v>
      </c>
      <c r="D533" s="1" t="s">
        <v>63</v>
      </c>
      <c r="E533" s="1">
        <v>85020</v>
      </c>
      <c r="F533" s="1" t="s">
        <v>31</v>
      </c>
      <c r="G533" s="1" t="s">
        <v>1442</v>
      </c>
      <c r="H533" s="4" t="s">
        <v>90</v>
      </c>
      <c r="V533" s="45">
        <f>IF(
  OR(
    ISNUMBER(SEARCH("unable to locate acct", tblDocketedComments[[#This Row],[Docketed Consumer Comments]])),
    ISNUMBER(SEARCH("unknown", tblDocketedComments[[#This Row],[Docketed Consumer Comments]])),
    ISNUMBER(SEARCH("inactive", tblDocketedComments[[#This Row],[Docketed Consumer Comments]]))
  ),
  0,
  1
)</f>
        <v>1</v>
      </c>
    </row>
    <row r="534" spans="1:22" hidden="1">
      <c r="A534" s="2">
        <v>45903</v>
      </c>
      <c r="B534" s="1" t="s">
        <v>1467</v>
      </c>
      <c r="C534" s="1" t="s">
        <v>1468</v>
      </c>
      <c r="D534" s="1" t="s">
        <v>63</v>
      </c>
      <c r="E534" s="1">
        <v>85014</v>
      </c>
      <c r="F534" s="1" t="s">
        <v>31</v>
      </c>
      <c r="G534" s="1" t="s">
        <v>1442</v>
      </c>
      <c r="H534" s="21" t="s">
        <v>6192</v>
      </c>
      <c r="I534" s="5" t="s">
        <v>538</v>
      </c>
      <c r="J534" s="5" t="s">
        <v>37</v>
      </c>
      <c r="K534" s="5" t="s">
        <v>37</v>
      </c>
      <c r="L534" s="5" t="s">
        <v>387</v>
      </c>
      <c r="M534" s="5" t="s">
        <v>37</v>
      </c>
      <c r="N534" s="5" t="s">
        <v>37</v>
      </c>
      <c r="O534" s="5" t="s">
        <v>38</v>
      </c>
      <c r="P534" s="5" t="s">
        <v>39</v>
      </c>
      <c r="Q534" s="2">
        <v>45966</v>
      </c>
      <c r="V534" s="45">
        <f>IF(
  OR(
    ISNUMBER(SEARCH("unable to locate acct", tblDocketedComments[[#This Row],[Docketed Consumer Comments]])),
    ISNUMBER(SEARCH("unknown", tblDocketedComments[[#This Row],[Docketed Consumer Comments]])),
    ISNUMBER(SEARCH("inactive", tblDocketedComments[[#This Row],[Docketed Consumer Comments]]))
  ),
  0,
  1
)</f>
        <v>1</v>
      </c>
    </row>
    <row r="535" spans="1:22" hidden="1">
      <c r="A535" s="2">
        <v>45903</v>
      </c>
      <c r="B535" s="1" t="s">
        <v>1469</v>
      </c>
      <c r="C535" s="1" t="s">
        <v>1045</v>
      </c>
      <c r="D535" s="1" t="s">
        <v>63</v>
      </c>
      <c r="E535" s="1">
        <v>85053</v>
      </c>
      <c r="F535" s="1" t="s">
        <v>1470</v>
      </c>
      <c r="G535" s="1" t="s">
        <v>1442</v>
      </c>
      <c r="H535" s="21" t="s">
        <v>6688</v>
      </c>
      <c r="I535" s="5" t="s">
        <v>36</v>
      </c>
      <c r="J535" s="5" t="s">
        <v>37</v>
      </c>
      <c r="K535" s="5" t="s">
        <v>37</v>
      </c>
      <c r="L535" s="5" t="s">
        <v>1471</v>
      </c>
      <c r="M535" s="5" t="s">
        <v>37</v>
      </c>
      <c r="N535" s="5" t="s">
        <v>37</v>
      </c>
      <c r="O535" s="5" t="s">
        <v>38</v>
      </c>
      <c r="P535" s="5" t="s">
        <v>39</v>
      </c>
      <c r="Q535" s="2">
        <v>45966</v>
      </c>
      <c r="V535" s="45">
        <f>IF(
  OR(
    ISNUMBER(SEARCH("unable to locate acct", tblDocketedComments[[#This Row],[Docketed Consumer Comments]])),
    ISNUMBER(SEARCH("unknown", tblDocketedComments[[#This Row],[Docketed Consumer Comments]])),
    ISNUMBER(SEARCH("inactive", tblDocketedComments[[#This Row],[Docketed Consumer Comments]]))
  ),
  0,
  1
)</f>
        <v>1</v>
      </c>
    </row>
    <row r="536" spans="1:22" hidden="1">
      <c r="A536" s="2">
        <v>45903</v>
      </c>
      <c r="B536" s="1" t="s">
        <v>1472</v>
      </c>
      <c r="C536" s="1" t="s">
        <v>1473</v>
      </c>
      <c r="D536" s="1" t="s">
        <v>63</v>
      </c>
      <c r="E536" s="1">
        <v>85024</v>
      </c>
      <c r="F536" s="1" t="s">
        <v>1474</v>
      </c>
      <c r="G536" s="1" t="s">
        <v>1442</v>
      </c>
      <c r="H536" s="4" t="s">
        <v>27</v>
      </c>
      <c r="V536" s="45">
        <f>IF(
  OR(
    ISNUMBER(SEARCH("unable to locate acct", tblDocketedComments[[#This Row],[Docketed Consumer Comments]])),
    ISNUMBER(SEARCH("unknown", tblDocketedComments[[#This Row],[Docketed Consumer Comments]])),
    ISNUMBER(SEARCH("inactive", tblDocketedComments[[#This Row],[Docketed Consumer Comments]]))
  ),
  0,
  1
)</f>
        <v>1</v>
      </c>
    </row>
    <row r="537" spans="1:22" hidden="1">
      <c r="A537" s="2">
        <v>45903</v>
      </c>
      <c r="B537" s="1" t="s">
        <v>1475</v>
      </c>
      <c r="C537" s="1" t="s">
        <v>1476</v>
      </c>
      <c r="D537" s="1" t="s">
        <v>174</v>
      </c>
      <c r="E537" s="1">
        <v>85396</v>
      </c>
      <c r="F537" s="1" t="s">
        <v>31</v>
      </c>
      <c r="G537" s="1" t="s">
        <v>1442</v>
      </c>
      <c r="H537" s="4" t="s">
        <v>27</v>
      </c>
      <c r="V537" s="45">
        <f>IF(
  OR(
    ISNUMBER(SEARCH("unable to locate acct", tblDocketedComments[[#This Row],[Docketed Consumer Comments]])),
    ISNUMBER(SEARCH("unknown", tblDocketedComments[[#This Row],[Docketed Consumer Comments]])),
    ISNUMBER(SEARCH("inactive", tblDocketedComments[[#This Row],[Docketed Consumer Comments]]))
  ),
  0,
  1
)</f>
        <v>1</v>
      </c>
    </row>
    <row r="538" spans="1:22" hidden="1">
      <c r="A538" s="2">
        <v>45903</v>
      </c>
      <c r="B538" s="1" t="s">
        <v>1477</v>
      </c>
      <c r="C538" s="1" t="s">
        <v>1478</v>
      </c>
      <c r="D538" s="1" t="s">
        <v>63</v>
      </c>
      <c r="E538" s="1">
        <v>85085</v>
      </c>
      <c r="F538" s="1" t="s">
        <v>31</v>
      </c>
      <c r="G538" s="1" t="s">
        <v>1442</v>
      </c>
      <c r="H538" s="21" t="s">
        <v>6689</v>
      </c>
      <c r="I538" s="5" t="s">
        <v>416</v>
      </c>
      <c r="J538" s="5" t="s">
        <v>37</v>
      </c>
      <c r="K538" s="5" t="s">
        <v>37</v>
      </c>
      <c r="L538" s="5" t="s">
        <v>387</v>
      </c>
      <c r="M538" s="5" t="s">
        <v>37</v>
      </c>
      <c r="N538" s="5" t="s">
        <v>37</v>
      </c>
      <c r="O538" s="5" t="s">
        <v>38</v>
      </c>
      <c r="P538" s="5" t="s">
        <v>39</v>
      </c>
      <c r="Q538" s="2">
        <v>45966</v>
      </c>
      <c r="V538" s="45">
        <f>IF(
  OR(
    ISNUMBER(SEARCH("unable to locate acct", tblDocketedComments[[#This Row],[Docketed Consumer Comments]])),
    ISNUMBER(SEARCH("unknown", tblDocketedComments[[#This Row],[Docketed Consumer Comments]])),
    ISNUMBER(SEARCH("inactive", tblDocketedComments[[#This Row],[Docketed Consumer Comments]]))
  ),
  0,
  1
)</f>
        <v>1</v>
      </c>
    </row>
    <row r="539" spans="1:22" hidden="1">
      <c r="A539" s="2">
        <v>45903</v>
      </c>
      <c r="B539" s="1" t="s">
        <v>477</v>
      </c>
      <c r="C539" s="1" t="s">
        <v>478</v>
      </c>
      <c r="D539" s="1" t="s">
        <v>63</v>
      </c>
      <c r="E539" s="1">
        <v>85083</v>
      </c>
      <c r="F539" s="1" t="s">
        <v>31</v>
      </c>
      <c r="G539" s="1" t="s">
        <v>1442</v>
      </c>
      <c r="H539" s="21" t="s">
        <v>479</v>
      </c>
      <c r="I539" s="5" t="s">
        <v>46</v>
      </c>
      <c r="J539" s="5" t="s">
        <v>37</v>
      </c>
      <c r="K539" s="5" t="s">
        <v>37</v>
      </c>
      <c r="L539" s="5" t="s">
        <v>480</v>
      </c>
      <c r="M539" s="5" t="s">
        <v>37</v>
      </c>
      <c r="N539" s="5" t="s">
        <v>37</v>
      </c>
      <c r="O539" s="5" t="s">
        <v>38</v>
      </c>
      <c r="P539" s="5" t="s">
        <v>39</v>
      </c>
      <c r="Q539" s="2">
        <v>45966</v>
      </c>
      <c r="V539" s="45">
        <f>IF(
  OR(
    ISNUMBER(SEARCH("unable to locate acct", tblDocketedComments[[#This Row],[Docketed Consumer Comments]])),
    ISNUMBER(SEARCH("unknown", tblDocketedComments[[#This Row],[Docketed Consumer Comments]])),
    ISNUMBER(SEARCH("inactive", tblDocketedComments[[#This Row],[Docketed Consumer Comments]]))
  ),
  0,
  1
)</f>
        <v>1</v>
      </c>
    </row>
    <row r="540" spans="1:22" hidden="1">
      <c r="A540" s="2">
        <v>45903</v>
      </c>
      <c r="B540" s="1" t="s">
        <v>1039</v>
      </c>
      <c r="C540" s="1" t="s">
        <v>1479</v>
      </c>
      <c r="D540" s="1" t="s">
        <v>240</v>
      </c>
      <c r="E540" s="1">
        <v>85340</v>
      </c>
      <c r="F540" s="1" t="s">
        <v>738</v>
      </c>
      <c r="G540" s="1" t="s">
        <v>1442</v>
      </c>
      <c r="H540" s="21" t="s">
        <v>6690</v>
      </c>
      <c r="I540" s="5" t="s">
        <v>36</v>
      </c>
      <c r="J540" s="5" t="s">
        <v>37</v>
      </c>
      <c r="K540" s="5" t="s">
        <v>37</v>
      </c>
      <c r="L540" s="5" t="s">
        <v>38</v>
      </c>
      <c r="M540" s="5" t="s">
        <v>37</v>
      </c>
      <c r="N540" s="5" t="s">
        <v>37</v>
      </c>
      <c r="O540" s="5" t="s">
        <v>38</v>
      </c>
      <c r="P540" s="5" t="s">
        <v>39</v>
      </c>
      <c r="Q540" s="2">
        <v>45966</v>
      </c>
      <c r="V540" s="45">
        <f>IF(
  OR(
    ISNUMBER(SEARCH("unable to locate acct", tblDocketedComments[[#This Row],[Docketed Consumer Comments]])),
    ISNUMBER(SEARCH("unknown", tblDocketedComments[[#This Row],[Docketed Consumer Comments]])),
    ISNUMBER(SEARCH("inactive", tblDocketedComments[[#This Row],[Docketed Consumer Comments]]))
  ),
  0,
  1
)</f>
        <v>1</v>
      </c>
    </row>
    <row r="541" spans="1:22" hidden="1">
      <c r="A541" s="2">
        <v>45903</v>
      </c>
      <c r="B541" s="1" t="s">
        <v>1480</v>
      </c>
      <c r="C541" s="1" t="s">
        <v>135</v>
      </c>
      <c r="D541" s="1" t="s">
        <v>169</v>
      </c>
      <c r="E541" s="1">
        <v>85338</v>
      </c>
      <c r="F541" s="1" t="s">
        <v>31</v>
      </c>
      <c r="G541" s="1" t="s">
        <v>1442</v>
      </c>
      <c r="H541" s="21" t="s">
        <v>6691</v>
      </c>
      <c r="I541" s="5" t="s">
        <v>416</v>
      </c>
      <c r="J541" s="5" t="s">
        <v>37</v>
      </c>
      <c r="K541" s="5" t="s">
        <v>37</v>
      </c>
      <c r="L541" s="5" t="s">
        <v>387</v>
      </c>
      <c r="M541" s="5" t="s">
        <v>38</v>
      </c>
      <c r="N541" s="13">
        <v>102.79</v>
      </c>
      <c r="O541" s="5" t="s">
        <v>38</v>
      </c>
      <c r="P541" s="5" t="s">
        <v>39</v>
      </c>
      <c r="Q541" s="2">
        <v>45966</v>
      </c>
      <c r="V541" s="45">
        <f>IF(
  OR(
    ISNUMBER(SEARCH("unable to locate acct", tblDocketedComments[[#This Row],[Docketed Consumer Comments]])),
    ISNUMBER(SEARCH("unknown", tblDocketedComments[[#This Row],[Docketed Consumer Comments]])),
    ISNUMBER(SEARCH("inactive", tblDocketedComments[[#This Row],[Docketed Consumer Comments]]))
  ),
  0,
  1
)</f>
        <v>1</v>
      </c>
    </row>
    <row r="542" spans="1:22" hidden="1">
      <c r="A542" s="2">
        <v>45903</v>
      </c>
      <c r="B542" s="1" t="s">
        <v>1481</v>
      </c>
      <c r="C542" s="1" t="s">
        <v>1482</v>
      </c>
      <c r="D542" s="1" t="s">
        <v>63</v>
      </c>
      <c r="E542" s="1">
        <v>85028</v>
      </c>
      <c r="F542" s="1" t="s">
        <v>310</v>
      </c>
      <c r="G542" s="1" t="s">
        <v>1442</v>
      </c>
      <c r="H542" s="21" t="s">
        <v>6692</v>
      </c>
      <c r="I542" s="5" t="s">
        <v>416</v>
      </c>
      <c r="J542" s="5" t="s">
        <v>37</v>
      </c>
      <c r="K542" s="5" t="s">
        <v>37</v>
      </c>
      <c r="L542" s="5" t="s">
        <v>387</v>
      </c>
      <c r="M542" s="5" t="s">
        <v>37</v>
      </c>
      <c r="N542" s="5" t="s">
        <v>37</v>
      </c>
      <c r="O542" s="5" t="s">
        <v>38</v>
      </c>
      <c r="P542" s="5" t="s">
        <v>39</v>
      </c>
      <c r="Q542" s="2">
        <v>45966</v>
      </c>
      <c r="V542" s="45">
        <f>IF(
  OR(
    ISNUMBER(SEARCH("unable to locate acct", tblDocketedComments[[#This Row],[Docketed Consumer Comments]])),
    ISNUMBER(SEARCH("unknown", tblDocketedComments[[#This Row],[Docketed Consumer Comments]])),
    ISNUMBER(SEARCH("inactive", tblDocketedComments[[#This Row],[Docketed Consumer Comments]]))
  ),
  0,
  1
)</f>
        <v>1</v>
      </c>
    </row>
    <row r="543" spans="1:22" hidden="1">
      <c r="A543" s="2">
        <v>45903</v>
      </c>
      <c r="B543" s="1" t="s">
        <v>135</v>
      </c>
      <c r="C543" s="1" t="s">
        <v>1483</v>
      </c>
      <c r="D543" s="1" t="s">
        <v>125</v>
      </c>
      <c r="E543" s="1">
        <v>85260</v>
      </c>
      <c r="F543" s="1" t="s">
        <v>31</v>
      </c>
      <c r="G543" s="1" t="s">
        <v>1442</v>
      </c>
      <c r="H543" s="21" t="s">
        <v>6693</v>
      </c>
      <c r="I543" s="5" t="s">
        <v>36</v>
      </c>
      <c r="J543" s="5" t="s">
        <v>37</v>
      </c>
      <c r="K543" s="5" t="s">
        <v>37</v>
      </c>
      <c r="L543" s="5" t="s">
        <v>38</v>
      </c>
      <c r="M543" s="5" t="s">
        <v>37</v>
      </c>
      <c r="N543" s="5" t="s">
        <v>37</v>
      </c>
      <c r="O543" s="5" t="s">
        <v>38</v>
      </c>
      <c r="P543" s="5" t="s">
        <v>39</v>
      </c>
      <c r="Q543" s="2">
        <v>45966</v>
      </c>
      <c r="V543" s="45">
        <f>IF(
  OR(
    ISNUMBER(SEARCH("unable to locate acct", tblDocketedComments[[#This Row],[Docketed Consumer Comments]])),
    ISNUMBER(SEARCH("unknown", tblDocketedComments[[#This Row],[Docketed Consumer Comments]])),
    ISNUMBER(SEARCH("inactive", tblDocketedComments[[#This Row],[Docketed Consumer Comments]]))
  ),
  0,
  1
)</f>
        <v>1</v>
      </c>
    </row>
    <row r="544" spans="1:22" hidden="1">
      <c r="A544" s="2">
        <v>45903</v>
      </c>
      <c r="B544" s="1" t="s">
        <v>1484</v>
      </c>
      <c r="C544" s="1" t="s">
        <v>1485</v>
      </c>
      <c r="D544" s="1" t="s">
        <v>202</v>
      </c>
      <c r="E544" s="1">
        <v>85383</v>
      </c>
      <c r="F544" s="1" t="s">
        <v>310</v>
      </c>
      <c r="G544" s="1" t="s">
        <v>1442</v>
      </c>
      <c r="H544" s="21" t="s">
        <v>6694</v>
      </c>
      <c r="I544" s="5" t="s">
        <v>57</v>
      </c>
      <c r="J544" s="5" t="s">
        <v>37</v>
      </c>
      <c r="K544" s="5" t="s">
        <v>37</v>
      </c>
      <c r="L544" s="7" t="s">
        <v>1486</v>
      </c>
      <c r="M544" s="5" t="s">
        <v>37</v>
      </c>
      <c r="N544" s="5" t="s">
        <v>37</v>
      </c>
      <c r="O544" s="5" t="s">
        <v>38</v>
      </c>
      <c r="P544" s="5" t="s">
        <v>39</v>
      </c>
      <c r="Q544" s="2">
        <v>45966</v>
      </c>
      <c r="R544" s="1" t="s">
        <v>1487</v>
      </c>
      <c r="V544" s="45">
        <f>IF(
  OR(
    ISNUMBER(SEARCH("unable to locate acct", tblDocketedComments[[#This Row],[Docketed Consumer Comments]])),
    ISNUMBER(SEARCH("unknown", tblDocketedComments[[#This Row],[Docketed Consumer Comments]])),
    ISNUMBER(SEARCH("inactive", tblDocketedComments[[#This Row],[Docketed Consumer Comments]]))
  ),
  0,
  1
)</f>
        <v>1</v>
      </c>
    </row>
    <row r="545" spans="1:22" hidden="1">
      <c r="A545" s="2">
        <v>45903</v>
      </c>
      <c r="B545" s="1" t="s">
        <v>1488</v>
      </c>
      <c r="C545" s="1" t="s">
        <v>225</v>
      </c>
      <c r="D545" s="1" t="s">
        <v>63</v>
      </c>
      <c r="E545" s="1">
        <v>85024</v>
      </c>
      <c r="F545" s="1" t="s">
        <v>310</v>
      </c>
      <c r="G545" s="1" t="s">
        <v>1442</v>
      </c>
      <c r="H545" s="4" t="s">
        <v>209</v>
      </c>
      <c r="V545" s="45">
        <f>IF(
  OR(
    ISNUMBER(SEARCH("unable to locate acct", tblDocketedComments[[#This Row],[Docketed Consumer Comments]])),
    ISNUMBER(SEARCH("unknown", tblDocketedComments[[#This Row],[Docketed Consumer Comments]])),
    ISNUMBER(SEARCH("inactive", tblDocketedComments[[#This Row],[Docketed Consumer Comments]]))
  ),
  0,
  1
)</f>
        <v>1</v>
      </c>
    </row>
    <row r="546" spans="1:22" hidden="1">
      <c r="A546" s="2">
        <v>45903</v>
      </c>
      <c r="B546" s="1" t="s">
        <v>1000</v>
      </c>
      <c r="C546" s="1" t="s">
        <v>545</v>
      </c>
      <c r="D546" s="1" t="s">
        <v>63</v>
      </c>
      <c r="E546" s="1">
        <v>85029</v>
      </c>
      <c r="F546" s="1" t="s">
        <v>310</v>
      </c>
      <c r="G546" s="1" t="s">
        <v>1442</v>
      </c>
      <c r="H546" s="4" t="s">
        <v>209</v>
      </c>
      <c r="V546" s="45">
        <f>IF(
  OR(
    ISNUMBER(SEARCH("unable to locate acct", tblDocketedComments[[#This Row],[Docketed Consumer Comments]])),
    ISNUMBER(SEARCH("unknown", tblDocketedComments[[#This Row],[Docketed Consumer Comments]])),
    ISNUMBER(SEARCH("inactive", tblDocketedComments[[#This Row],[Docketed Consumer Comments]]))
  ),
  0,
  1
)</f>
        <v>1</v>
      </c>
    </row>
    <row r="547" spans="1:22" hidden="1">
      <c r="A547" s="2">
        <v>45903</v>
      </c>
      <c r="B547" s="1" t="s">
        <v>1489</v>
      </c>
      <c r="C547" s="1" t="s">
        <v>1490</v>
      </c>
      <c r="D547" s="1" t="s">
        <v>202</v>
      </c>
      <c r="E547" s="1">
        <v>85382</v>
      </c>
      <c r="F547" s="1" t="s">
        <v>310</v>
      </c>
      <c r="G547" s="1" t="s">
        <v>1442</v>
      </c>
      <c r="H547" s="21" t="s">
        <v>6695</v>
      </c>
      <c r="I547" s="5" t="s">
        <v>73</v>
      </c>
      <c r="J547" s="5" t="s">
        <v>37</v>
      </c>
      <c r="K547" s="5" t="s">
        <v>37</v>
      </c>
      <c r="L547" s="5" t="s">
        <v>38</v>
      </c>
      <c r="M547" s="5" t="s">
        <v>37</v>
      </c>
      <c r="N547" s="5" t="s">
        <v>37</v>
      </c>
      <c r="O547" s="5" t="s">
        <v>38</v>
      </c>
      <c r="P547" s="5" t="s">
        <v>39</v>
      </c>
      <c r="Q547" s="2">
        <v>45966</v>
      </c>
      <c r="V547" s="45">
        <f>IF(
  OR(
    ISNUMBER(SEARCH("unable to locate acct", tblDocketedComments[[#This Row],[Docketed Consumer Comments]])),
    ISNUMBER(SEARCH("unknown", tblDocketedComments[[#This Row],[Docketed Consumer Comments]])),
    ISNUMBER(SEARCH("inactive", tblDocketedComments[[#This Row],[Docketed Consumer Comments]]))
  ),
  0,
  1
)</f>
        <v>1</v>
      </c>
    </row>
    <row r="548" spans="1:22" hidden="1">
      <c r="A548" s="2">
        <v>45903</v>
      </c>
      <c r="B548" s="1" t="s">
        <v>1491</v>
      </c>
      <c r="C548" s="1" t="s">
        <v>1492</v>
      </c>
      <c r="D548" s="1" t="s">
        <v>202</v>
      </c>
      <c r="E548" s="1">
        <v>85345</v>
      </c>
      <c r="F548" s="1" t="s">
        <v>31</v>
      </c>
      <c r="G548" s="1" t="s">
        <v>1442</v>
      </c>
      <c r="H548" s="21" t="s">
        <v>6696</v>
      </c>
      <c r="I548" s="5" t="s">
        <v>36</v>
      </c>
      <c r="J548" s="5" t="s">
        <v>37</v>
      </c>
      <c r="K548" s="5" t="s">
        <v>37</v>
      </c>
      <c r="L548" s="5" t="s">
        <v>38</v>
      </c>
      <c r="M548" s="5" t="s">
        <v>37</v>
      </c>
      <c r="N548" s="5" t="s">
        <v>37</v>
      </c>
      <c r="O548" s="5" t="s">
        <v>38</v>
      </c>
      <c r="P548" s="5" t="s">
        <v>39</v>
      </c>
      <c r="Q548" s="2">
        <v>45966</v>
      </c>
      <c r="V548" s="45">
        <f>IF(
  OR(
    ISNUMBER(SEARCH("unable to locate acct", tblDocketedComments[[#This Row],[Docketed Consumer Comments]])),
    ISNUMBER(SEARCH("unknown", tblDocketedComments[[#This Row],[Docketed Consumer Comments]])),
    ISNUMBER(SEARCH("inactive", tblDocketedComments[[#This Row],[Docketed Consumer Comments]]))
  ),
  0,
  1
)</f>
        <v>1</v>
      </c>
    </row>
    <row r="549" spans="1:22" hidden="1">
      <c r="A549" s="2">
        <v>45903</v>
      </c>
      <c r="B549" s="1" t="s">
        <v>1493</v>
      </c>
      <c r="C549" s="1" t="s">
        <v>135</v>
      </c>
      <c r="D549" s="1" t="s">
        <v>261</v>
      </c>
      <c r="E549" s="1">
        <v>86315</v>
      </c>
      <c r="F549" s="1" t="s">
        <v>31</v>
      </c>
      <c r="G549" s="1" t="s">
        <v>1442</v>
      </c>
      <c r="H549" s="21" t="s">
        <v>6697</v>
      </c>
      <c r="I549" s="5" t="s">
        <v>46</v>
      </c>
      <c r="J549" s="5" t="s">
        <v>37</v>
      </c>
      <c r="K549" s="5" t="s">
        <v>37</v>
      </c>
      <c r="L549" s="5" t="s">
        <v>38</v>
      </c>
      <c r="M549" s="5" t="s">
        <v>38</v>
      </c>
      <c r="N549" s="13">
        <v>105.18</v>
      </c>
      <c r="O549" s="5" t="s">
        <v>38</v>
      </c>
      <c r="P549" s="5" t="s">
        <v>39</v>
      </c>
      <c r="Q549" s="2">
        <v>45966</v>
      </c>
      <c r="V549" s="45">
        <f>IF(
  OR(
    ISNUMBER(SEARCH("unable to locate acct", tblDocketedComments[[#This Row],[Docketed Consumer Comments]])),
    ISNUMBER(SEARCH("unknown", tblDocketedComments[[#This Row],[Docketed Consumer Comments]])),
    ISNUMBER(SEARCH("inactive", tblDocketedComments[[#This Row],[Docketed Consumer Comments]]))
  ),
  0,
  1
)</f>
        <v>1</v>
      </c>
    </row>
    <row r="550" spans="1:22" hidden="1">
      <c r="A550" s="2">
        <v>45904</v>
      </c>
      <c r="B550" s="1" t="s">
        <v>1494</v>
      </c>
      <c r="C550" s="1" t="s">
        <v>1495</v>
      </c>
      <c r="D550" s="1" t="s">
        <v>125</v>
      </c>
      <c r="E550" s="1">
        <v>85251</v>
      </c>
      <c r="F550" s="1" t="s">
        <v>1449</v>
      </c>
      <c r="G550" s="1" t="s">
        <v>1442</v>
      </c>
      <c r="H550" s="21" t="s">
        <v>6698</v>
      </c>
      <c r="I550" s="5" t="s">
        <v>73</v>
      </c>
      <c r="J550" s="5" t="s">
        <v>37</v>
      </c>
      <c r="K550" s="5" t="s">
        <v>37</v>
      </c>
      <c r="L550" s="5" t="s">
        <v>38</v>
      </c>
      <c r="M550" s="5" t="s">
        <v>37</v>
      </c>
      <c r="N550" s="5" t="s">
        <v>37</v>
      </c>
      <c r="O550" s="5" t="s">
        <v>38</v>
      </c>
      <c r="P550" s="5" t="s">
        <v>39</v>
      </c>
      <c r="Q550" s="2">
        <v>45966</v>
      </c>
      <c r="V550" s="45">
        <f>IF(
  OR(
    ISNUMBER(SEARCH("unable to locate acct", tblDocketedComments[[#This Row],[Docketed Consumer Comments]])),
    ISNUMBER(SEARCH("unknown", tblDocketedComments[[#This Row],[Docketed Consumer Comments]])),
    ISNUMBER(SEARCH("inactive", tblDocketedComments[[#This Row],[Docketed Consumer Comments]]))
  ),
  0,
  1
)</f>
        <v>1</v>
      </c>
    </row>
    <row r="551" spans="1:22" hidden="1">
      <c r="A551" s="2">
        <v>45904</v>
      </c>
      <c r="B551" s="1" t="s">
        <v>1496</v>
      </c>
      <c r="C551" s="1" t="s">
        <v>1119</v>
      </c>
      <c r="D551" s="1" t="s">
        <v>112</v>
      </c>
      <c r="E551" s="1">
        <v>85387</v>
      </c>
      <c r="F551" s="1" t="s">
        <v>31</v>
      </c>
      <c r="G551" s="1" t="s">
        <v>1442</v>
      </c>
      <c r="H551" s="21" t="s">
        <v>6699</v>
      </c>
      <c r="I551" s="5" t="s">
        <v>538</v>
      </c>
      <c r="J551" s="5" t="s">
        <v>37</v>
      </c>
      <c r="K551" s="5" t="s">
        <v>37</v>
      </c>
      <c r="L551" s="5" t="s">
        <v>387</v>
      </c>
      <c r="M551" s="5" t="s">
        <v>37</v>
      </c>
      <c r="N551" s="5" t="s">
        <v>37</v>
      </c>
      <c r="O551" s="5" t="s">
        <v>38</v>
      </c>
      <c r="P551" s="5" t="s">
        <v>39</v>
      </c>
      <c r="Q551" s="2">
        <v>45966</v>
      </c>
      <c r="V551" s="45">
        <f>IF(
  OR(
    ISNUMBER(SEARCH("unable to locate acct", tblDocketedComments[[#This Row],[Docketed Consumer Comments]])),
    ISNUMBER(SEARCH("unknown", tblDocketedComments[[#This Row],[Docketed Consumer Comments]])),
    ISNUMBER(SEARCH("inactive", tblDocketedComments[[#This Row],[Docketed Consumer Comments]]))
  ),
  0,
  1
)</f>
        <v>1</v>
      </c>
    </row>
    <row r="552" spans="1:22" hidden="1">
      <c r="A552" s="2">
        <v>45904</v>
      </c>
      <c r="B552" s="1" t="s">
        <v>1497</v>
      </c>
      <c r="C552" s="1" t="s">
        <v>1498</v>
      </c>
      <c r="D552" s="1" t="s">
        <v>261</v>
      </c>
      <c r="E552" s="1">
        <v>86314</v>
      </c>
      <c r="F552" s="1" t="s">
        <v>310</v>
      </c>
      <c r="G552" s="1" t="s">
        <v>1442</v>
      </c>
      <c r="H552" s="4" t="s">
        <v>6193</v>
      </c>
      <c r="I552" s="5" t="s">
        <v>73</v>
      </c>
      <c r="J552" s="5" t="s">
        <v>37</v>
      </c>
      <c r="K552" s="5" t="s">
        <v>37</v>
      </c>
      <c r="L552" s="5" t="s">
        <v>38</v>
      </c>
      <c r="M552" s="5" t="s">
        <v>37</v>
      </c>
      <c r="N552" s="5" t="s">
        <v>37</v>
      </c>
      <c r="O552" s="5" t="s">
        <v>38</v>
      </c>
      <c r="P552" s="5" t="s">
        <v>39</v>
      </c>
      <c r="Q552" s="2">
        <v>45966</v>
      </c>
      <c r="V552" s="45">
        <f>IF(
  OR(
    ISNUMBER(SEARCH("unable to locate acct", tblDocketedComments[[#This Row],[Docketed Consumer Comments]])),
    ISNUMBER(SEARCH("unknown", tblDocketedComments[[#This Row],[Docketed Consumer Comments]])),
    ISNUMBER(SEARCH("inactive", tblDocketedComments[[#This Row],[Docketed Consumer Comments]]))
  ),
  0,
  1
)</f>
        <v>1</v>
      </c>
    </row>
    <row r="553" spans="1:22" hidden="1">
      <c r="A553" s="2">
        <v>45904</v>
      </c>
      <c r="B553" s="1" t="s">
        <v>1499</v>
      </c>
      <c r="C553" s="1" t="s">
        <v>1500</v>
      </c>
      <c r="D553" s="1" t="s">
        <v>63</v>
      </c>
      <c r="E553" s="1">
        <v>85085</v>
      </c>
      <c r="F553" s="1" t="s">
        <v>31</v>
      </c>
      <c r="G553" s="1" t="s">
        <v>1442</v>
      </c>
      <c r="H553" s="4" t="s">
        <v>27</v>
      </c>
      <c r="V553" s="45">
        <f>IF(
  OR(
    ISNUMBER(SEARCH("unable to locate acct", tblDocketedComments[[#This Row],[Docketed Consumer Comments]])),
    ISNUMBER(SEARCH("unknown", tblDocketedComments[[#This Row],[Docketed Consumer Comments]])),
    ISNUMBER(SEARCH("inactive", tblDocketedComments[[#This Row],[Docketed Consumer Comments]]))
  ),
  0,
  1
)</f>
        <v>1</v>
      </c>
    </row>
    <row r="554" spans="1:22" hidden="1">
      <c r="A554" s="2">
        <v>45904</v>
      </c>
      <c r="B554" s="1" t="s">
        <v>1501</v>
      </c>
      <c r="C554" s="1" t="s">
        <v>945</v>
      </c>
      <c r="D554" s="1" t="s">
        <v>240</v>
      </c>
      <c r="E554" s="1">
        <v>85340</v>
      </c>
      <c r="F554" s="1" t="s">
        <v>31</v>
      </c>
      <c r="G554" s="1" t="s">
        <v>1442</v>
      </c>
      <c r="H554" s="21" t="s">
        <v>6700</v>
      </c>
      <c r="I554" s="5" t="s">
        <v>538</v>
      </c>
      <c r="J554" s="5" t="s">
        <v>38</v>
      </c>
      <c r="K554" s="5" t="s">
        <v>37</v>
      </c>
      <c r="L554" s="5" t="s">
        <v>387</v>
      </c>
      <c r="M554" s="5" t="s">
        <v>38</v>
      </c>
      <c r="N554" s="15">
        <v>1106.1300000000001</v>
      </c>
      <c r="O554" s="5" t="s">
        <v>38</v>
      </c>
      <c r="P554" s="7"/>
      <c r="Q554" s="2">
        <v>45966</v>
      </c>
      <c r="R554" s="1" t="s">
        <v>1502</v>
      </c>
      <c r="V554" s="45">
        <f>IF(
  OR(
    ISNUMBER(SEARCH("unable to locate acct", tblDocketedComments[[#This Row],[Docketed Consumer Comments]])),
    ISNUMBER(SEARCH("unknown", tblDocketedComments[[#This Row],[Docketed Consumer Comments]])),
    ISNUMBER(SEARCH("inactive", tblDocketedComments[[#This Row],[Docketed Consumer Comments]]))
  ),
  0,
  1
)</f>
        <v>1</v>
      </c>
    </row>
    <row r="555" spans="1:22" hidden="1">
      <c r="A555" s="2">
        <v>45904</v>
      </c>
      <c r="B555" s="1" t="s">
        <v>1503</v>
      </c>
      <c r="C555" s="1" t="s">
        <v>418</v>
      </c>
      <c r="D555" s="1" t="s">
        <v>24</v>
      </c>
      <c r="E555" s="1">
        <v>85310</v>
      </c>
      <c r="F555" s="1" t="s">
        <v>31</v>
      </c>
      <c r="G555" s="1" t="s">
        <v>1442</v>
      </c>
      <c r="H555" s="4" t="s">
        <v>27</v>
      </c>
      <c r="V555" s="45">
        <f>IF(
  OR(
    ISNUMBER(SEARCH("unable to locate acct", tblDocketedComments[[#This Row],[Docketed Consumer Comments]])),
    ISNUMBER(SEARCH("unknown", tblDocketedComments[[#This Row],[Docketed Consumer Comments]])),
    ISNUMBER(SEARCH("inactive", tblDocketedComments[[#This Row],[Docketed Consumer Comments]]))
  ),
  0,
  1
)</f>
        <v>1</v>
      </c>
    </row>
    <row r="556" spans="1:22" hidden="1">
      <c r="A556" s="2">
        <v>45904</v>
      </c>
      <c r="B556" s="1" t="s">
        <v>1504</v>
      </c>
      <c r="C556" s="1" t="s">
        <v>194</v>
      </c>
      <c r="D556" s="1" t="s">
        <v>369</v>
      </c>
      <c r="E556" s="1">
        <v>85225</v>
      </c>
      <c r="F556" s="1" t="s">
        <v>310</v>
      </c>
      <c r="G556" s="1" t="s">
        <v>1442</v>
      </c>
      <c r="H556" s="4" t="s">
        <v>6540</v>
      </c>
      <c r="I556" s="5" t="s">
        <v>36</v>
      </c>
      <c r="J556" s="5" t="s">
        <v>37</v>
      </c>
      <c r="K556" s="5" t="s">
        <v>37</v>
      </c>
      <c r="L556" s="7" t="s">
        <v>1505</v>
      </c>
      <c r="M556" s="5" t="s">
        <v>37</v>
      </c>
      <c r="N556" s="5" t="s">
        <v>37</v>
      </c>
      <c r="O556" s="5" t="s">
        <v>38</v>
      </c>
      <c r="P556" s="2">
        <v>45936</v>
      </c>
      <c r="Q556" s="2">
        <v>45966</v>
      </c>
      <c r="R556" s="1" t="s">
        <v>1293</v>
      </c>
      <c r="V556" s="45">
        <f>IF(
  OR(
    ISNUMBER(SEARCH("unable to locate acct", tblDocketedComments[[#This Row],[Docketed Consumer Comments]])),
    ISNUMBER(SEARCH("unknown", tblDocketedComments[[#This Row],[Docketed Consumer Comments]])),
    ISNUMBER(SEARCH("inactive", tblDocketedComments[[#This Row],[Docketed Consumer Comments]]))
  ),
  0,
  1
)</f>
        <v>1</v>
      </c>
    </row>
    <row r="557" spans="1:22" hidden="1">
      <c r="A557" s="2">
        <v>45904</v>
      </c>
      <c r="B557" s="1" t="s">
        <v>1506</v>
      </c>
      <c r="C557" s="1" t="s">
        <v>500</v>
      </c>
      <c r="D557" s="1" t="s">
        <v>125</v>
      </c>
      <c r="E557" s="1">
        <v>85260</v>
      </c>
      <c r="F557" s="1" t="s">
        <v>31</v>
      </c>
      <c r="G557" s="1" t="s">
        <v>1442</v>
      </c>
      <c r="H557" s="4" t="s">
        <v>6194</v>
      </c>
      <c r="I557" s="5" t="s">
        <v>1507</v>
      </c>
      <c r="J557" s="5" t="s">
        <v>37</v>
      </c>
      <c r="K557" s="5" t="s">
        <v>37</v>
      </c>
      <c r="L557" s="5" t="s">
        <v>38</v>
      </c>
      <c r="M557" s="5" t="s">
        <v>37</v>
      </c>
      <c r="N557" s="5" t="s">
        <v>37</v>
      </c>
      <c r="O557" s="5" t="s">
        <v>38</v>
      </c>
      <c r="P557" s="5" t="s">
        <v>39</v>
      </c>
      <c r="Q557" s="2">
        <v>45966</v>
      </c>
      <c r="V557" s="45">
        <f>IF(
  OR(
    ISNUMBER(SEARCH("unable to locate acct", tblDocketedComments[[#This Row],[Docketed Consumer Comments]])),
    ISNUMBER(SEARCH("unknown", tblDocketedComments[[#This Row],[Docketed Consumer Comments]])),
    ISNUMBER(SEARCH("inactive", tblDocketedComments[[#This Row],[Docketed Consumer Comments]]))
  ),
  0,
  1
)</f>
        <v>1</v>
      </c>
    </row>
    <row r="558" spans="1:22" hidden="1">
      <c r="A558" s="2">
        <v>45904</v>
      </c>
      <c r="B558" s="1" t="s">
        <v>1508</v>
      </c>
      <c r="C558" s="1" t="s">
        <v>1509</v>
      </c>
      <c r="D558" s="1" t="s">
        <v>169</v>
      </c>
      <c r="E558" s="1">
        <v>85338</v>
      </c>
      <c r="F558" s="1" t="s">
        <v>31</v>
      </c>
      <c r="G558" s="1" t="s">
        <v>1442</v>
      </c>
      <c r="H558" s="4" t="s">
        <v>6016</v>
      </c>
      <c r="I558" s="5" t="s">
        <v>57</v>
      </c>
      <c r="J558" s="5" t="s">
        <v>37</v>
      </c>
      <c r="K558" s="5" t="s">
        <v>37</v>
      </c>
      <c r="L558" s="5" t="s">
        <v>1510</v>
      </c>
      <c r="M558" s="5" t="s">
        <v>37</v>
      </c>
      <c r="N558" s="5" t="s">
        <v>37</v>
      </c>
      <c r="O558" s="5" t="s">
        <v>38</v>
      </c>
      <c r="P558" s="5" t="s">
        <v>39</v>
      </c>
      <c r="Q558" s="2">
        <v>45966</v>
      </c>
      <c r="V558" s="45">
        <f>IF(
  OR(
    ISNUMBER(SEARCH("unable to locate acct", tblDocketedComments[[#This Row],[Docketed Consumer Comments]])),
    ISNUMBER(SEARCH("unknown", tblDocketedComments[[#This Row],[Docketed Consumer Comments]])),
    ISNUMBER(SEARCH("inactive", tblDocketedComments[[#This Row],[Docketed Consumer Comments]]))
  ),
  0,
  1
)</f>
        <v>1</v>
      </c>
    </row>
    <row r="559" spans="1:22" hidden="1">
      <c r="A559" s="2">
        <v>45904</v>
      </c>
      <c r="B559" s="1" t="s">
        <v>1511</v>
      </c>
      <c r="C559" s="1" t="s">
        <v>1512</v>
      </c>
      <c r="D559" s="1" t="s">
        <v>63</v>
      </c>
      <c r="E559" s="1">
        <v>85016</v>
      </c>
      <c r="F559" s="1" t="s">
        <v>310</v>
      </c>
      <c r="G559" s="1" t="s">
        <v>1442</v>
      </c>
      <c r="H559" s="4" t="s">
        <v>6195</v>
      </c>
      <c r="I559" s="5" t="s">
        <v>46</v>
      </c>
      <c r="J559" s="5" t="s">
        <v>37</v>
      </c>
      <c r="K559" s="5" t="s">
        <v>38</v>
      </c>
      <c r="L559" s="5" t="s">
        <v>38</v>
      </c>
      <c r="M559" s="5" t="s">
        <v>37</v>
      </c>
      <c r="N559" s="5" t="s">
        <v>37</v>
      </c>
      <c r="O559" s="5" t="s">
        <v>38</v>
      </c>
      <c r="P559" s="5" t="s">
        <v>39</v>
      </c>
      <c r="Q559" s="2">
        <v>45966</v>
      </c>
      <c r="V559" s="45">
        <f>IF(
  OR(
    ISNUMBER(SEARCH("unable to locate acct", tblDocketedComments[[#This Row],[Docketed Consumer Comments]])),
    ISNUMBER(SEARCH("unknown", tblDocketedComments[[#This Row],[Docketed Consumer Comments]])),
    ISNUMBER(SEARCH("inactive", tblDocketedComments[[#This Row],[Docketed Consumer Comments]]))
  ),
  0,
  1
)</f>
        <v>1</v>
      </c>
    </row>
    <row r="560" spans="1:22" hidden="1">
      <c r="A560" s="2">
        <v>45904</v>
      </c>
      <c r="B560" s="1" t="s">
        <v>1513</v>
      </c>
      <c r="C560" s="1" t="s">
        <v>1339</v>
      </c>
      <c r="D560" s="1" t="s">
        <v>1514</v>
      </c>
      <c r="E560" s="1">
        <v>85373</v>
      </c>
      <c r="F560" s="1" t="s">
        <v>310</v>
      </c>
      <c r="G560" s="1" t="s">
        <v>1442</v>
      </c>
      <c r="H560" s="4" t="s">
        <v>27</v>
      </c>
      <c r="V560" s="45">
        <f>IF(
  OR(
    ISNUMBER(SEARCH("unable to locate acct", tblDocketedComments[[#This Row],[Docketed Consumer Comments]])),
    ISNUMBER(SEARCH("unknown", tblDocketedComments[[#This Row],[Docketed Consumer Comments]])),
    ISNUMBER(SEARCH("inactive", tblDocketedComments[[#This Row],[Docketed Consumer Comments]]))
  ),
  0,
  1
)</f>
        <v>1</v>
      </c>
    </row>
    <row r="561" spans="1:22" hidden="1">
      <c r="A561" s="2">
        <v>45904</v>
      </c>
      <c r="B561" s="1" t="s">
        <v>1515</v>
      </c>
      <c r="C561" s="1" t="s">
        <v>1350</v>
      </c>
      <c r="D561" s="1" t="s">
        <v>63</v>
      </c>
      <c r="E561" s="1">
        <v>85020</v>
      </c>
      <c r="F561" s="1" t="s">
        <v>310</v>
      </c>
      <c r="G561" s="1" t="s">
        <v>1442</v>
      </c>
      <c r="H561" s="4" t="s">
        <v>6196</v>
      </c>
      <c r="I561" s="5" t="s">
        <v>73</v>
      </c>
      <c r="J561" s="5" t="s">
        <v>37</v>
      </c>
      <c r="K561" s="5" t="s">
        <v>37</v>
      </c>
      <c r="L561" s="5" t="s">
        <v>38</v>
      </c>
      <c r="M561" s="5" t="s">
        <v>37</v>
      </c>
      <c r="N561" s="5" t="s">
        <v>37</v>
      </c>
      <c r="O561" s="5" t="s">
        <v>38</v>
      </c>
      <c r="P561" s="5" t="s">
        <v>39</v>
      </c>
      <c r="Q561" s="2">
        <v>45966</v>
      </c>
      <c r="V561" s="45">
        <f>IF(
  OR(
    ISNUMBER(SEARCH("unable to locate acct", tblDocketedComments[[#This Row],[Docketed Consumer Comments]])),
    ISNUMBER(SEARCH("unknown", tblDocketedComments[[#This Row],[Docketed Consumer Comments]])),
    ISNUMBER(SEARCH("inactive", tblDocketedComments[[#This Row],[Docketed Consumer Comments]]))
  ),
  0,
  1
)</f>
        <v>1</v>
      </c>
    </row>
    <row r="562" spans="1:22" hidden="1">
      <c r="A562" s="2">
        <v>45904</v>
      </c>
      <c r="B562" s="1" t="s">
        <v>1516</v>
      </c>
      <c r="C562" s="1" t="s">
        <v>1509</v>
      </c>
      <c r="D562" s="1" t="s">
        <v>1514</v>
      </c>
      <c r="E562" s="1">
        <v>85373</v>
      </c>
      <c r="F562" s="1" t="s">
        <v>310</v>
      </c>
      <c r="G562" s="1" t="s">
        <v>1442</v>
      </c>
      <c r="H562" s="4" t="s">
        <v>6197</v>
      </c>
      <c r="I562" s="5" t="s">
        <v>416</v>
      </c>
      <c r="J562" s="5" t="s">
        <v>37</v>
      </c>
      <c r="K562" s="5" t="s">
        <v>37</v>
      </c>
      <c r="L562" s="5" t="s">
        <v>387</v>
      </c>
      <c r="M562" s="5" t="s">
        <v>37</v>
      </c>
      <c r="N562" s="5" t="s">
        <v>37</v>
      </c>
      <c r="O562" s="5" t="s">
        <v>38</v>
      </c>
      <c r="P562" s="5" t="s">
        <v>39</v>
      </c>
      <c r="Q562" s="2">
        <v>45966</v>
      </c>
      <c r="V562" s="45">
        <f>IF(
  OR(
    ISNUMBER(SEARCH("unable to locate acct", tblDocketedComments[[#This Row],[Docketed Consumer Comments]])),
    ISNUMBER(SEARCH("unknown", tblDocketedComments[[#This Row],[Docketed Consumer Comments]])),
    ISNUMBER(SEARCH("inactive", tblDocketedComments[[#This Row],[Docketed Consumer Comments]]))
  ),
  0,
  1
)</f>
        <v>1</v>
      </c>
    </row>
    <row r="563" spans="1:22" hidden="1">
      <c r="A563" s="2">
        <v>45904</v>
      </c>
      <c r="B563" s="1" t="s">
        <v>1091</v>
      </c>
      <c r="C563" s="1" t="s">
        <v>785</v>
      </c>
      <c r="D563" s="1" t="s">
        <v>24</v>
      </c>
      <c r="E563" s="1">
        <v>85306</v>
      </c>
      <c r="F563" s="1" t="s">
        <v>1517</v>
      </c>
      <c r="G563" s="1" t="s">
        <v>1442</v>
      </c>
      <c r="H563" s="4" t="s">
        <v>6017</v>
      </c>
      <c r="I563" s="5" t="s">
        <v>57</v>
      </c>
      <c r="J563" s="5" t="s">
        <v>37</v>
      </c>
      <c r="K563" s="5" t="s">
        <v>37</v>
      </c>
      <c r="L563" s="7" t="s">
        <v>1518</v>
      </c>
      <c r="M563" s="5" t="s">
        <v>37</v>
      </c>
      <c r="N563" s="5" t="s">
        <v>37</v>
      </c>
      <c r="O563" s="5" t="s">
        <v>38</v>
      </c>
      <c r="P563" s="2">
        <v>45936</v>
      </c>
      <c r="Q563" s="2">
        <v>45966</v>
      </c>
      <c r="R563" s="1" t="s">
        <v>1293</v>
      </c>
      <c r="V563" s="45">
        <f>IF(
  OR(
    ISNUMBER(SEARCH("unable to locate acct", tblDocketedComments[[#This Row],[Docketed Consumer Comments]])),
    ISNUMBER(SEARCH("unknown", tblDocketedComments[[#This Row],[Docketed Consumer Comments]])),
    ISNUMBER(SEARCH("inactive", tblDocketedComments[[#This Row],[Docketed Consumer Comments]]))
  ),
  0,
  1
)</f>
        <v>1</v>
      </c>
    </row>
    <row r="564" spans="1:22" hidden="1">
      <c r="A564" s="2">
        <v>45904</v>
      </c>
      <c r="B564" s="1" t="s">
        <v>1519</v>
      </c>
      <c r="C564" s="1" t="s">
        <v>822</v>
      </c>
      <c r="D564" s="1" t="s">
        <v>125</v>
      </c>
      <c r="E564" s="1">
        <v>85258</v>
      </c>
      <c r="F564" s="1" t="s">
        <v>31</v>
      </c>
      <c r="G564" s="1" t="s">
        <v>1520</v>
      </c>
      <c r="H564" s="21" t="s">
        <v>6198</v>
      </c>
      <c r="I564" s="5" t="s">
        <v>126</v>
      </c>
      <c r="J564" s="5" t="s">
        <v>37</v>
      </c>
      <c r="K564" s="5" t="s">
        <v>37</v>
      </c>
      <c r="L564" s="5" t="s">
        <v>38</v>
      </c>
      <c r="M564" s="5" t="s">
        <v>37</v>
      </c>
      <c r="N564" s="5" t="s">
        <v>37</v>
      </c>
      <c r="O564" s="5" t="s">
        <v>38</v>
      </c>
      <c r="P564" s="5" t="s">
        <v>39</v>
      </c>
      <c r="Q564" s="2">
        <v>45966</v>
      </c>
      <c r="V564" s="45">
        <f>IF(
  OR(
    ISNUMBER(SEARCH("unable to locate acct", tblDocketedComments[[#This Row],[Docketed Consumer Comments]])),
    ISNUMBER(SEARCH("unknown", tblDocketedComments[[#This Row],[Docketed Consumer Comments]])),
    ISNUMBER(SEARCH("inactive", tblDocketedComments[[#This Row],[Docketed Consumer Comments]]))
  ),
  0,
  1
)</f>
        <v>1</v>
      </c>
    </row>
    <row r="565" spans="1:22" hidden="1">
      <c r="A565" s="2">
        <v>55766</v>
      </c>
      <c r="B565" s="1" t="s">
        <v>1521</v>
      </c>
      <c r="C565" s="1" t="s">
        <v>1522</v>
      </c>
      <c r="D565" s="1" t="s">
        <v>24</v>
      </c>
      <c r="E565" s="1">
        <v>85310</v>
      </c>
      <c r="F565" s="1" t="s">
        <v>31</v>
      </c>
      <c r="G565" s="1" t="s">
        <v>1523</v>
      </c>
      <c r="H565" s="4" t="s">
        <v>27</v>
      </c>
      <c r="V565" s="45">
        <f>IF(
  OR(
    ISNUMBER(SEARCH("unable to locate acct", tblDocketedComments[[#This Row],[Docketed Consumer Comments]])),
    ISNUMBER(SEARCH("unknown", tblDocketedComments[[#This Row],[Docketed Consumer Comments]])),
    ISNUMBER(SEARCH("inactive", tblDocketedComments[[#This Row],[Docketed Consumer Comments]]))
  ),
  0,
  1
)</f>
        <v>1</v>
      </c>
    </row>
    <row r="566" spans="1:22" hidden="1">
      <c r="A566" s="2">
        <v>45904</v>
      </c>
      <c r="B566" s="1" t="s">
        <v>1524</v>
      </c>
      <c r="C566" s="1" t="s">
        <v>1525</v>
      </c>
      <c r="G566" s="1" t="s">
        <v>1523</v>
      </c>
      <c r="H566" s="4" t="s">
        <v>209</v>
      </c>
      <c r="V566" s="45">
        <f>IF(
  OR(
    ISNUMBER(SEARCH("unable to locate acct", tblDocketedComments[[#This Row],[Docketed Consumer Comments]])),
    ISNUMBER(SEARCH("unknown", tblDocketedComments[[#This Row],[Docketed Consumer Comments]])),
    ISNUMBER(SEARCH("inactive", tblDocketedComments[[#This Row],[Docketed Consumer Comments]]))
  ),
  0,
  1
)</f>
        <v>1</v>
      </c>
    </row>
    <row r="567" spans="1:22" hidden="1">
      <c r="A567" s="2">
        <v>45904</v>
      </c>
      <c r="B567" s="1" t="s">
        <v>1526</v>
      </c>
      <c r="C567" s="1" t="s">
        <v>1527</v>
      </c>
      <c r="D567" s="1" t="s">
        <v>63</v>
      </c>
      <c r="G567" s="1" t="s">
        <v>1523</v>
      </c>
      <c r="H567" s="4" t="s">
        <v>90</v>
      </c>
      <c r="V567" s="45">
        <f>IF(
  OR(
    ISNUMBER(SEARCH("unable to locate acct", tblDocketedComments[[#This Row],[Docketed Consumer Comments]])),
    ISNUMBER(SEARCH("unknown", tblDocketedComments[[#This Row],[Docketed Consumer Comments]])),
    ISNUMBER(SEARCH("inactive", tblDocketedComments[[#This Row],[Docketed Consumer Comments]]))
  ),
  0,
  1
)</f>
        <v>1</v>
      </c>
    </row>
    <row r="568" spans="1:22" hidden="1">
      <c r="A568" s="2">
        <v>45904</v>
      </c>
      <c r="B568" s="1" t="s">
        <v>1528</v>
      </c>
      <c r="C568" s="1" t="s">
        <v>1529</v>
      </c>
      <c r="D568" s="1" t="s">
        <v>125</v>
      </c>
      <c r="E568" s="1">
        <v>85258</v>
      </c>
      <c r="F568" s="1" t="s">
        <v>31</v>
      </c>
      <c r="G568" s="1" t="s">
        <v>1523</v>
      </c>
      <c r="H568" s="21" t="s">
        <v>6018</v>
      </c>
      <c r="I568" s="5" t="s">
        <v>196</v>
      </c>
      <c r="J568" s="5" t="s">
        <v>37</v>
      </c>
      <c r="K568" s="5" t="s">
        <v>37</v>
      </c>
      <c r="L568" s="7" t="s">
        <v>1530</v>
      </c>
      <c r="M568" s="5" t="s">
        <v>37</v>
      </c>
      <c r="N568" s="5" t="s">
        <v>37</v>
      </c>
      <c r="O568" s="5" t="s">
        <v>38</v>
      </c>
      <c r="P568" s="2">
        <v>45936</v>
      </c>
      <c r="Q568" s="2">
        <v>45966</v>
      </c>
      <c r="R568" s="1" t="s">
        <v>1293</v>
      </c>
      <c r="V568" s="45">
        <f>IF(
  OR(
    ISNUMBER(SEARCH("unable to locate acct", tblDocketedComments[[#This Row],[Docketed Consumer Comments]])),
    ISNUMBER(SEARCH("unknown", tblDocketedComments[[#This Row],[Docketed Consumer Comments]])),
    ISNUMBER(SEARCH("inactive", tblDocketedComments[[#This Row],[Docketed Consumer Comments]]))
  ),
  0,
  1
)</f>
        <v>1</v>
      </c>
    </row>
    <row r="569" spans="1:22" hidden="1">
      <c r="A569" s="2">
        <v>45904</v>
      </c>
      <c r="B569" s="1" t="s">
        <v>1531</v>
      </c>
      <c r="C569" s="1" t="s">
        <v>1532</v>
      </c>
      <c r="F569" s="1" t="s">
        <v>31</v>
      </c>
      <c r="G569" s="1" t="s">
        <v>1523</v>
      </c>
      <c r="H569" s="4" t="s">
        <v>209</v>
      </c>
      <c r="V569" s="45">
        <f>IF(
  OR(
    ISNUMBER(SEARCH("unable to locate acct", tblDocketedComments[[#This Row],[Docketed Consumer Comments]])),
    ISNUMBER(SEARCH("unknown", tblDocketedComments[[#This Row],[Docketed Consumer Comments]])),
    ISNUMBER(SEARCH("inactive", tblDocketedComments[[#This Row],[Docketed Consumer Comments]]))
  ),
  0,
  1
)</f>
        <v>1</v>
      </c>
    </row>
    <row r="570" spans="1:22" hidden="1">
      <c r="A570" s="2">
        <v>45904</v>
      </c>
      <c r="B570" s="1" t="s">
        <v>1533</v>
      </c>
      <c r="C570" s="1" t="s">
        <v>1534</v>
      </c>
      <c r="G570" s="1" t="s">
        <v>1523</v>
      </c>
      <c r="H570" s="4" t="s">
        <v>27</v>
      </c>
      <c r="U570" s="1" t="s">
        <v>1535</v>
      </c>
      <c r="V570" s="45">
        <f>IF(
  OR(
    ISNUMBER(SEARCH("unable to locate acct", tblDocketedComments[[#This Row],[Docketed Consumer Comments]])),
    ISNUMBER(SEARCH("unknown", tblDocketedComments[[#This Row],[Docketed Consumer Comments]])),
    ISNUMBER(SEARCH("inactive", tblDocketedComments[[#This Row],[Docketed Consumer Comments]]))
  ),
  0,
  1
)</f>
        <v>1</v>
      </c>
    </row>
    <row r="571" spans="1:22" hidden="1">
      <c r="A571" s="2">
        <v>45904</v>
      </c>
      <c r="B571" s="1" t="s">
        <v>1536</v>
      </c>
      <c r="C571" s="1" t="s">
        <v>647</v>
      </c>
      <c r="D571" s="1" t="s">
        <v>1537</v>
      </c>
      <c r="E571" s="1">
        <v>85615</v>
      </c>
      <c r="F571" s="1" t="s">
        <v>31</v>
      </c>
      <c r="G571" s="1" t="s">
        <v>1523</v>
      </c>
      <c r="H571" s="21" t="s">
        <v>6199</v>
      </c>
      <c r="I571" s="5" t="s">
        <v>538</v>
      </c>
      <c r="J571" s="5" t="s">
        <v>38</v>
      </c>
      <c r="K571" s="5" t="s">
        <v>37</v>
      </c>
      <c r="L571" s="5" t="s">
        <v>387</v>
      </c>
      <c r="M571" s="5" t="s">
        <v>37</v>
      </c>
      <c r="N571" s="5" t="s">
        <v>37</v>
      </c>
      <c r="O571" s="5" t="s">
        <v>38</v>
      </c>
      <c r="P571" s="5" t="s">
        <v>39</v>
      </c>
      <c r="Q571" s="2">
        <v>45966</v>
      </c>
      <c r="V571" s="45">
        <f>IF(
  OR(
    ISNUMBER(SEARCH("unable to locate acct", tblDocketedComments[[#This Row],[Docketed Consumer Comments]])),
    ISNUMBER(SEARCH("unknown", tblDocketedComments[[#This Row],[Docketed Consumer Comments]])),
    ISNUMBER(SEARCH("inactive", tblDocketedComments[[#This Row],[Docketed Consumer Comments]]))
  ),
  0,
  1
)</f>
        <v>1</v>
      </c>
    </row>
    <row r="572" spans="1:22" hidden="1">
      <c r="A572" s="2">
        <v>45905</v>
      </c>
      <c r="B572" s="1" t="s">
        <v>1538</v>
      </c>
      <c r="C572" s="1" t="s">
        <v>1308</v>
      </c>
      <c r="G572" s="1" t="s">
        <v>1539</v>
      </c>
      <c r="H572" s="4" t="s">
        <v>209</v>
      </c>
      <c r="V572" s="45">
        <f>IF(
  OR(
    ISNUMBER(SEARCH("unable to locate acct", tblDocketedComments[[#This Row],[Docketed Consumer Comments]])),
    ISNUMBER(SEARCH("unknown", tblDocketedComments[[#This Row],[Docketed Consumer Comments]])),
    ISNUMBER(SEARCH("inactive", tblDocketedComments[[#This Row],[Docketed Consumer Comments]]))
  ),
  0,
  1
)</f>
        <v>1</v>
      </c>
    </row>
    <row r="573" spans="1:22" hidden="1">
      <c r="A573" s="2">
        <v>45905</v>
      </c>
      <c r="B573" s="1" t="s">
        <v>1540</v>
      </c>
      <c r="C573" s="1" t="s">
        <v>194</v>
      </c>
      <c r="D573" s="1" t="s">
        <v>240</v>
      </c>
      <c r="E573" s="1">
        <v>85340</v>
      </c>
      <c r="F573" s="1" t="s">
        <v>31</v>
      </c>
      <c r="G573" s="1" t="s">
        <v>1541</v>
      </c>
      <c r="H573" s="4" t="s">
        <v>6184</v>
      </c>
      <c r="I573" s="5" t="s">
        <v>73</v>
      </c>
      <c r="J573" s="5" t="s">
        <v>37</v>
      </c>
      <c r="K573" s="5" t="s">
        <v>37</v>
      </c>
      <c r="L573" s="5" t="s">
        <v>38</v>
      </c>
      <c r="M573" s="5" t="s">
        <v>37</v>
      </c>
      <c r="N573" s="5" t="s">
        <v>37</v>
      </c>
      <c r="O573" s="5" t="s">
        <v>38</v>
      </c>
      <c r="P573" s="5" t="s">
        <v>39</v>
      </c>
      <c r="Q573" s="2">
        <v>45966</v>
      </c>
      <c r="V573" s="45">
        <f>IF(
  OR(
    ISNUMBER(SEARCH("unable to locate acct", tblDocketedComments[[#This Row],[Docketed Consumer Comments]])),
    ISNUMBER(SEARCH("unknown", tblDocketedComments[[#This Row],[Docketed Consumer Comments]])),
    ISNUMBER(SEARCH("inactive", tblDocketedComments[[#This Row],[Docketed Consumer Comments]]))
  ),
  0,
  1
)</f>
        <v>1</v>
      </c>
    </row>
    <row r="574" spans="1:22" hidden="1">
      <c r="A574" s="2">
        <v>45905</v>
      </c>
      <c r="B574" s="1" t="s">
        <v>1542</v>
      </c>
      <c r="C574" s="1" t="s">
        <v>476</v>
      </c>
      <c r="D574" s="1" t="s">
        <v>125</v>
      </c>
      <c r="E574" s="1">
        <v>85254</v>
      </c>
      <c r="F574" s="1" t="s">
        <v>310</v>
      </c>
      <c r="G574" s="1" t="s">
        <v>1541</v>
      </c>
      <c r="H574" s="4" t="s">
        <v>27</v>
      </c>
      <c r="V574" s="45">
        <f>IF(
  OR(
    ISNUMBER(SEARCH("unable to locate acct", tblDocketedComments[[#This Row],[Docketed Consumer Comments]])),
    ISNUMBER(SEARCH("unknown", tblDocketedComments[[#This Row],[Docketed Consumer Comments]])),
    ISNUMBER(SEARCH("inactive", tblDocketedComments[[#This Row],[Docketed Consumer Comments]]))
  ),
  0,
  1
)</f>
        <v>1</v>
      </c>
    </row>
    <row r="575" spans="1:22" hidden="1">
      <c r="A575" s="2">
        <v>45905</v>
      </c>
      <c r="B575" s="1" t="s">
        <v>1543</v>
      </c>
      <c r="C575" s="1" t="s">
        <v>1544</v>
      </c>
      <c r="D575" s="1" t="s">
        <v>169</v>
      </c>
      <c r="E575" s="1">
        <v>85395</v>
      </c>
      <c r="F575" s="1" t="s">
        <v>1545</v>
      </c>
      <c r="G575" s="1" t="s">
        <v>1541</v>
      </c>
      <c r="H575" s="4" t="s">
        <v>6200</v>
      </c>
      <c r="I575" s="5" t="s">
        <v>416</v>
      </c>
      <c r="J575" s="5" t="s">
        <v>37</v>
      </c>
      <c r="K575" s="5" t="s">
        <v>37</v>
      </c>
      <c r="L575" s="5" t="s">
        <v>387</v>
      </c>
      <c r="M575" s="5" t="s">
        <v>37</v>
      </c>
      <c r="N575" s="5" t="s">
        <v>37</v>
      </c>
      <c r="O575" s="5" t="s">
        <v>38</v>
      </c>
      <c r="P575" s="5" t="s">
        <v>39</v>
      </c>
      <c r="Q575" s="2">
        <v>45966</v>
      </c>
      <c r="V575" s="45">
        <f>IF(
  OR(
    ISNUMBER(SEARCH("unable to locate acct", tblDocketedComments[[#This Row],[Docketed Consumer Comments]])),
    ISNUMBER(SEARCH("unknown", tblDocketedComments[[#This Row],[Docketed Consumer Comments]])),
    ISNUMBER(SEARCH("inactive", tblDocketedComments[[#This Row],[Docketed Consumer Comments]]))
  ),
  0,
  1
)</f>
        <v>1</v>
      </c>
    </row>
    <row r="576" spans="1:22" hidden="1">
      <c r="A576" s="2">
        <v>45905</v>
      </c>
      <c r="B576" s="1" t="s">
        <v>1546</v>
      </c>
      <c r="C576" s="1" t="s">
        <v>177</v>
      </c>
      <c r="D576" s="1" t="s">
        <v>63</v>
      </c>
      <c r="E576" s="1">
        <v>85028</v>
      </c>
      <c r="F576" s="1" t="s">
        <v>310</v>
      </c>
      <c r="G576" s="1" t="s">
        <v>1541</v>
      </c>
      <c r="H576" s="4" t="s">
        <v>6019</v>
      </c>
      <c r="I576" s="5" t="s">
        <v>196</v>
      </c>
      <c r="J576" s="5" t="s">
        <v>37</v>
      </c>
      <c r="K576" s="5" t="s">
        <v>37</v>
      </c>
      <c r="L576" s="7" t="s">
        <v>1547</v>
      </c>
      <c r="M576" s="5" t="s">
        <v>37</v>
      </c>
      <c r="N576" s="5" t="s">
        <v>37</v>
      </c>
      <c r="O576" s="5" t="s">
        <v>38</v>
      </c>
      <c r="P576" s="2">
        <v>45936</v>
      </c>
      <c r="Q576" s="2">
        <v>45966</v>
      </c>
      <c r="R576" s="1" t="s">
        <v>1548</v>
      </c>
      <c r="V576" s="45">
        <f>IF(
  OR(
    ISNUMBER(SEARCH("unable to locate acct", tblDocketedComments[[#This Row],[Docketed Consumer Comments]])),
    ISNUMBER(SEARCH("unknown", tblDocketedComments[[#This Row],[Docketed Consumer Comments]])),
    ISNUMBER(SEARCH("inactive", tblDocketedComments[[#This Row],[Docketed Consumer Comments]]))
  ),
  0,
  1
)</f>
        <v>1</v>
      </c>
    </row>
    <row r="577" spans="1:22" hidden="1">
      <c r="A577" s="2">
        <v>45905</v>
      </c>
      <c r="B577" s="1" t="s">
        <v>1549</v>
      </c>
      <c r="C577" s="1" t="s">
        <v>328</v>
      </c>
      <c r="D577" s="1" t="s">
        <v>63</v>
      </c>
      <c r="E577" s="1">
        <v>85008</v>
      </c>
      <c r="F577" s="1" t="s">
        <v>310</v>
      </c>
      <c r="G577" s="1" t="s">
        <v>1541</v>
      </c>
      <c r="H577" s="4" t="s">
        <v>5999</v>
      </c>
      <c r="I577" s="5" t="s">
        <v>36</v>
      </c>
      <c r="J577" s="5" t="s">
        <v>38</v>
      </c>
      <c r="K577" s="5" t="s">
        <v>37</v>
      </c>
      <c r="L577" s="5" t="s">
        <v>1550</v>
      </c>
      <c r="M577" s="5" t="s">
        <v>38</v>
      </c>
      <c r="N577" s="15">
        <v>487.48</v>
      </c>
      <c r="O577" s="5" t="s">
        <v>38</v>
      </c>
      <c r="P577" s="7"/>
      <c r="Q577" s="2">
        <v>45966</v>
      </c>
      <c r="R577" s="1" t="s">
        <v>492</v>
      </c>
      <c r="V577" s="45">
        <f>IF(
  OR(
    ISNUMBER(SEARCH("unable to locate acct", tblDocketedComments[[#This Row],[Docketed Consumer Comments]])),
    ISNUMBER(SEARCH("unknown", tblDocketedComments[[#This Row],[Docketed Consumer Comments]])),
    ISNUMBER(SEARCH("inactive", tblDocketedComments[[#This Row],[Docketed Consumer Comments]]))
  ),
  0,
  1
)</f>
        <v>1</v>
      </c>
    </row>
    <row r="578" spans="1:22" hidden="1">
      <c r="A578" s="2">
        <v>45905</v>
      </c>
      <c r="B578" s="1" t="s">
        <v>1551</v>
      </c>
      <c r="C578" s="1" t="s">
        <v>1552</v>
      </c>
      <c r="D578" s="1" t="s">
        <v>125</v>
      </c>
      <c r="E578" s="1">
        <v>85260</v>
      </c>
      <c r="F578" s="1" t="s">
        <v>310</v>
      </c>
      <c r="G578" s="1" t="s">
        <v>1541</v>
      </c>
      <c r="H578" s="4" t="s">
        <v>6020</v>
      </c>
      <c r="I578" s="5" t="s">
        <v>196</v>
      </c>
      <c r="J578" s="5" t="s">
        <v>37</v>
      </c>
      <c r="K578" s="5" t="s">
        <v>37</v>
      </c>
      <c r="L578" s="5" t="s">
        <v>1553</v>
      </c>
      <c r="M578" s="5" t="s">
        <v>37</v>
      </c>
      <c r="N578" s="5" t="s">
        <v>37</v>
      </c>
      <c r="O578" s="5" t="s">
        <v>38</v>
      </c>
      <c r="P578" s="5" t="s">
        <v>39</v>
      </c>
      <c r="Q578" s="2">
        <v>45966</v>
      </c>
      <c r="V578" s="45">
        <f>IF(
  OR(
    ISNUMBER(SEARCH("unable to locate acct", tblDocketedComments[[#This Row],[Docketed Consumer Comments]])),
    ISNUMBER(SEARCH("unknown", tblDocketedComments[[#This Row],[Docketed Consumer Comments]])),
    ISNUMBER(SEARCH("inactive", tblDocketedComments[[#This Row],[Docketed Consumer Comments]]))
  ),
  0,
  1
)</f>
        <v>1</v>
      </c>
    </row>
    <row r="579" spans="1:22" hidden="1">
      <c r="A579" s="2">
        <v>45905</v>
      </c>
      <c r="B579" s="1" t="s">
        <v>1554</v>
      </c>
      <c r="C579" s="1" t="s">
        <v>1555</v>
      </c>
      <c r="D579" s="1" t="s">
        <v>63</v>
      </c>
      <c r="E579" s="1">
        <v>85013</v>
      </c>
      <c r="F579" s="1" t="s">
        <v>1556</v>
      </c>
      <c r="G579" s="1" t="s">
        <v>1541</v>
      </c>
      <c r="H579" s="4" t="s">
        <v>6201</v>
      </c>
      <c r="I579" s="5" t="s">
        <v>36</v>
      </c>
      <c r="J579" s="5" t="s">
        <v>37</v>
      </c>
      <c r="K579" s="5" t="s">
        <v>37</v>
      </c>
      <c r="L579" s="5" t="s">
        <v>38</v>
      </c>
      <c r="M579" s="5" t="s">
        <v>37</v>
      </c>
      <c r="N579" s="5" t="s">
        <v>37</v>
      </c>
      <c r="O579" s="5" t="s">
        <v>38</v>
      </c>
      <c r="P579" s="5" t="s">
        <v>39</v>
      </c>
      <c r="Q579" s="2">
        <v>45966</v>
      </c>
      <c r="V579" s="45">
        <f>IF(
  OR(
    ISNUMBER(SEARCH("unable to locate acct", tblDocketedComments[[#This Row],[Docketed Consumer Comments]])),
    ISNUMBER(SEARCH("unknown", tblDocketedComments[[#This Row],[Docketed Consumer Comments]])),
    ISNUMBER(SEARCH("inactive", tblDocketedComments[[#This Row],[Docketed Consumer Comments]]))
  ),
  0,
  1
)</f>
        <v>1</v>
      </c>
    </row>
    <row r="580" spans="1:22" hidden="1">
      <c r="A580" s="2">
        <v>45905</v>
      </c>
      <c r="B580" s="1" t="s">
        <v>1557</v>
      </c>
      <c r="C580" s="1" t="s">
        <v>1558</v>
      </c>
      <c r="D580" s="1" t="s">
        <v>632</v>
      </c>
      <c r="E580" s="1">
        <v>85281</v>
      </c>
      <c r="F580" s="1" t="s">
        <v>310</v>
      </c>
      <c r="G580" s="1" t="s">
        <v>1541</v>
      </c>
      <c r="H580" s="4" t="s">
        <v>1559</v>
      </c>
      <c r="I580" s="5" t="s">
        <v>196</v>
      </c>
      <c r="J580" s="5" t="s">
        <v>37</v>
      </c>
      <c r="K580" s="5" t="s">
        <v>37</v>
      </c>
      <c r="L580" s="5" t="s">
        <v>1560</v>
      </c>
      <c r="M580" s="5" t="s">
        <v>37</v>
      </c>
      <c r="N580" s="5" t="s">
        <v>37</v>
      </c>
      <c r="O580" s="5" t="s">
        <v>38</v>
      </c>
      <c r="P580" s="5" t="s">
        <v>39</v>
      </c>
      <c r="Q580" s="2">
        <v>45966</v>
      </c>
      <c r="V580" s="45">
        <f>IF(
  OR(
    ISNUMBER(SEARCH("unable to locate acct", tblDocketedComments[[#This Row],[Docketed Consumer Comments]])),
    ISNUMBER(SEARCH("unknown", tblDocketedComments[[#This Row],[Docketed Consumer Comments]])),
    ISNUMBER(SEARCH("inactive", tblDocketedComments[[#This Row],[Docketed Consumer Comments]]))
  ),
  0,
  1
)</f>
        <v>1</v>
      </c>
    </row>
    <row r="581" spans="1:22" hidden="1">
      <c r="A581" s="2">
        <v>45905</v>
      </c>
      <c r="B581" s="1" t="s">
        <v>1561</v>
      </c>
      <c r="C581" s="1" t="s">
        <v>1562</v>
      </c>
      <c r="D581" s="1" t="s">
        <v>63</v>
      </c>
      <c r="E581" s="1">
        <v>85083</v>
      </c>
      <c r="F581" s="1" t="s">
        <v>31</v>
      </c>
      <c r="G581" s="1" t="s">
        <v>1541</v>
      </c>
      <c r="H581" s="4" t="s">
        <v>6202</v>
      </c>
      <c r="I581" s="5" t="s">
        <v>250</v>
      </c>
      <c r="J581" s="5" t="s">
        <v>37</v>
      </c>
      <c r="K581" s="5" t="s">
        <v>37</v>
      </c>
      <c r="L581" s="5" t="s">
        <v>38</v>
      </c>
      <c r="M581" s="5" t="s">
        <v>37</v>
      </c>
      <c r="N581" s="5" t="s">
        <v>37</v>
      </c>
      <c r="O581" s="5" t="s">
        <v>38</v>
      </c>
      <c r="P581" s="5" t="s">
        <v>39</v>
      </c>
      <c r="Q581" s="2">
        <v>45966</v>
      </c>
      <c r="V581" s="45">
        <f>IF(
  OR(
    ISNUMBER(SEARCH("unable to locate acct", tblDocketedComments[[#This Row],[Docketed Consumer Comments]])),
    ISNUMBER(SEARCH("unknown", tblDocketedComments[[#This Row],[Docketed Consumer Comments]])),
    ISNUMBER(SEARCH("inactive", tblDocketedComments[[#This Row],[Docketed Consumer Comments]]))
  ),
  0,
  1
)</f>
        <v>1</v>
      </c>
    </row>
    <row r="582" spans="1:22" hidden="1">
      <c r="A582" s="2">
        <v>45905</v>
      </c>
      <c r="B582" s="1" t="s">
        <v>1521</v>
      </c>
      <c r="C582" s="1" t="s">
        <v>702</v>
      </c>
      <c r="D582" s="1" t="s">
        <v>63</v>
      </c>
      <c r="E582" s="1">
        <v>85032</v>
      </c>
      <c r="F582" s="1" t="s">
        <v>310</v>
      </c>
      <c r="G582" s="1" t="s">
        <v>1541</v>
      </c>
      <c r="H582" s="4" t="s">
        <v>6203</v>
      </c>
      <c r="I582" s="5" t="s">
        <v>196</v>
      </c>
      <c r="J582" s="5" t="s">
        <v>37</v>
      </c>
      <c r="K582" s="5" t="s">
        <v>37</v>
      </c>
      <c r="L582" s="5" t="s">
        <v>38</v>
      </c>
      <c r="M582" s="5" t="s">
        <v>37</v>
      </c>
      <c r="N582" s="5" t="s">
        <v>37</v>
      </c>
      <c r="O582" s="5" t="s">
        <v>38</v>
      </c>
      <c r="P582" s="5" t="s">
        <v>39</v>
      </c>
      <c r="Q582" s="2">
        <v>45966</v>
      </c>
      <c r="V582" s="45">
        <f>IF(
  OR(
    ISNUMBER(SEARCH("unable to locate acct", tblDocketedComments[[#This Row],[Docketed Consumer Comments]])),
    ISNUMBER(SEARCH("unknown", tblDocketedComments[[#This Row],[Docketed Consumer Comments]])),
    ISNUMBER(SEARCH("inactive", tblDocketedComments[[#This Row],[Docketed Consumer Comments]]))
  ),
  0,
  1
)</f>
        <v>1</v>
      </c>
    </row>
    <row r="583" spans="1:22" hidden="1">
      <c r="A583" s="2">
        <v>45905</v>
      </c>
      <c r="B583" s="1" t="s">
        <v>1563</v>
      </c>
      <c r="C583" s="1" t="s">
        <v>1564</v>
      </c>
      <c r="D583" s="1" t="s">
        <v>169</v>
      </c>
      <c r="E583" s="1">
        <v>85395</v>
      </c>
      <c r="F583" s="1" t="s">
        <v>25</v>
      </c>
      <c r="G583" s="1" t="s">
        <v>1541</v>
      </c>
      <c r="H583" s="4" t="s">
        <v>27</v>
      </c>
      <c r="V583" s="45">
        <f>IF(
  OR(
    ISNUMBER(SEARCH("unable to locate acct", tblDocketedComments[[#This Row],[Docketed Consumer Comments]])),
    ISNUMBER(SEARCH("unknown", tblDocketedComments[[#This Row],[Docketed Consumer Comments]])),
    ISNUMBER(SEARCH("inactive", tblDocketedComments[[#This Row],[Docketed Consumer Comments]]))
  ),
  0,
  1
)</f>
        <v>1</v>
      </c>
    </row>
    <row r="584" spans="1:22" hidden="1">
      <c r="A584" s="2">
        <v>45905</v>
      </c>
      <c r="B584" s="1" t="s">
        <v>1565</v>
      </c>
      <c r="C584" s="1" t="s">
        <v>1566</v>
      </c>
      <c r="D584" s="1" t="s">
        <v>112</v>
      </c>
      <c r="E584" s="1">
        <v>85388</v>
      </c>
      <c r="F584" s="1" t="s">
        <v>310</v>
      </c>
      <c r="G584" s="1" t="s">
        <v>1541</v>
      </c>
      <c r="H584" s="4" t="s">
        <v>6204</v>
      </c>
      <c r="I584" s="5" t="s">
        <v>36</v>
      </c>
      <c r="J584" s="5" t="s">
        <v>37</v>
      </c>
      <c r="K584" s="5" t="s">
        <v>37</v>
      </c>
      <c r="L584" s="5" t="s">
        <v>38</v>
      </c>
      <c r="M584" s="5" t="s">
        <v>37</v>
      </c>
      <c r="N584" s="5" t="s">
        <v>37</v>
      </c>
      <c r="O584" s="5" t="s">
        <v>38</v>
      </c>
      <c r="P584" s="5" t="s">
        <v>39</v>
      </c>
      <c r="Q584" s="2">
        <v>45966</v>
      </c>
      <c r="V584" s="45">
        <f>IF(
  OR(
    ISNUMBER(SEARCH("unable to locate acct", tblDocketedComments[[#This Row],[Docketed Consumer Comments]])),
    ISNUMBER(SEARCH("unknown", tblDocketedComments[[#This Row],[Docketed Consumer Comments]])),
    ISNUMBER(SEARCH("inactive", tblDocketedComments[[#This Row],[Docketed Consumer Comments]]))
  ),
  0,
  1
)</f>
        <v>1</v>
      </c>
    </row>
    <row r="585" spans="1:22" hidden="1">
      <c r="A585" s="2">
        <v>45905</v>
      </c>
      <c r="B585" s="1" t="s">
        <v>1567</v>
      </c>
      <c r="C585" s="1" t="s">
        <v>1568</v>
      </c>
      <c r="D585" s="1" t="s">
        <v>202</v>
      </c>
      <c r="E585" s="1">
        <v>85383</v>
      </c>
      <c r="F585" s="1" t="s">
        <v>310</v>
      </c>
      <c r="G585" s="1" t="s">
        <v>1541</v>
      </c>
      <c r="H585" s="4" t="s">
        <v>27</v>
      </c>
      <c r="V585" s="45">
        <f>IF(
  OR(
    ISNUMBER(SEARCH("unable to locate acct", tblDocketedComments[[#This Row],[Docketed Consumer Comments]])),
    ISNUMBER(SEARCH("unknown", tblDocketedComments[[#This Row],[Docketed Consumer Comments]])),
    ISNUMBER(SEARCH("inactive", tblDocketedComments[[#This Row],[Docketed Consumer Comments]]))
  ),
  0,
  1
)</f>
        <v>1</v>
      </c>
    </row>
    <row r="586" spans="1:22" hidden="1">
      <c r="A586" s="2">
        <v>45905</v>
      </c>
      <c r="B586" s="1" t="s">
        <v>1569</v>
      </c>
      <c r="C586" s="1" t="s">
        <v>1570</v>
      </c>
      <c r="D586" s="1" t="s">
        <v>129</v>
      </c>
      <c r="E586" s="1">
        <v>85233</v>
      </c>
      <c r="F586" s="1" t="s">
        <v>31</v>
      </c>
      <c r="G586" s="1" t="s">
        <v>1541</v>
      </c>
      <c r="H586" s="4" t="s">
        <v>6205</v>
      </c>
      <c r="I586" s="5" t="s">
        <v>36</v>
      </c>
      <c r="J586" s="5" t="s">
        <v>37</v>
      </c>
      <c r="K586" s="5" t="s">
        <v>37</v>
      </c>
      <c r="L586" s="5" t="s">
        <v>38</v>
      </c>
      <c r="M586" s="5" t="s">
        <v>37</v>
      </c>
      <c r="N586" s="5" t="s">
        <v>37</v>
      </c>
      <c r="O586" s="5" t="s">
        <v>38</v>
      </c>
      <c r="P586" s="5" t="s">
        <v>39</v>
      </c>
      <c r="Q586" s="2">
        <v>45966</v>
      </c>
      <c r="V586" s="45">
        <f>IF(
  OR(
    ISNUMBER(SEARCH("unable to locate acct", tblDocketedComments[[#This Row],[Docketed Consumer Comments]])),
    ISNUMBER(SEARCH("unknown", tblDocketedComments[[#This Row],[Docketed Consumer Comments]])),
    ISNUMBER(SEARCH("inactive", tblDocketedComments[[#This Row],[Docketed Consumer Comments]]))
  ),
  0,
  1
)</f>
        <v>1</v>
      </c>
    </row>
    <row r="587" spans="1:22" hidden="1">
      <c r="A587" s="2">
        <v>45905</v>
      </c>
      <c r="B587" s="1" t="s">
        <v>1571</v>
      </c>
      <c r="C587" s="1" t="s">
        <v>768</v>
      </c>
      <c r="D587" s="1" t="s">
        <v>63</v>
      </c>
      <c r="E587" s="1">
        <v>85020</v>
      </c>
      <c r="F587" s="1" t="s">
        <v>310</v>
      </c>
      <c r="G587" s="1" t="s">
        <v>1541</v>
      </c>
      <c r="H587" s="4" t="s">
        <v>6021</v>
      </c>
      <c r="I587" s="5" t="s">
        <v>196</v>
      </c>
      <c r="J587" s="5" t="s">
        <v>37</v>
      </c>
      <c r="K587" s="5" t="s">
        <v>37</v>
      </c>
      <c r="L587" s="5" t="s">
        <v>1572</v>
      </c>
      <c r="M587" s="5" t="s">
        <v>37</v>
      </c>
      <c r="N587" s="5" t="s">
        <v>37</v>
      </c>
      <c r="O587" s="5" t="s">
        <v>38</v>
      </c>
      <c r="P587" s="5" t="s">
        <v>39</v>
      </c>
      <c r="Q587" s="2">
        <v>45966</v>
      </c>
      <c r="V587" s="45">
        <f>IF(
  OR(
    ISNUMBER(SEARCH("unable to locate acct", tblDocketedComments[[#This Row],[Docketed Consumer Comments]])),
    ISNUMBER(SEARCH("unknown", tblDocketedComments[[#This Row],[Docketed Consumer Comments]])),
    ISNUMBER(SEARCH("inactive", tblDocketedComments[[#This Row],[Docketed Consumer Comments]]))
  ),
  0,
  1
)</f>
        <v>1</v>
      </c>
    </row>
    <row r="588" spans="1:22" hidden="1">
      <c r="A588" s="2">
        <v>45905</v>
      </c>
      <c r="B588" s="1" t="s">
        <v>1573</v>
      </c>
      <c r="C588" s="1" t="s">
        <v>42</v>
      </c>
      <c r="D588" s="1" t="s">
        <v>169</v>
      </c>
      <c r="E588" s="1">
        <v>85338</v>
      </c>
      <c r="F588" s="1" t="s">
        <v>31</v>
      </c>
      <c r="G588" s="1" t="s">
        <v>1541</v>
      </c>
      <c r="H588" s="4" t="s">
        <v>209</v>
      </c>
      <c r="V588" s="45">
        <f>IF(
  OR(
    ISNUMBER(SEARCH("unable to locate acct", tblDocketedComments[[#This Row],[Docketed Consumer Comments]])),
    ISNUMBER(SEARCH("unknown", tblDocketedComments[[#This Row],[Docketed Consumer Comments]])),
    ISNUMBER(SEARCH("inactive", tblDocketedComments[[#This Row],[Docketed Consumer Comments]]))
  ),
  0,
  1
)</f>
        <v>1</v>
      </c>
    </row>
    <row r="589" spans="1:22" hidden="1">
      <c r="A589" s="2">
        <v>45905</v>
      </c>
      <c r="B589" s="1" t="s">
        <v>1574</v>
      </c>
      <c r="C589" s="1" t="s">
        <v>547</v>
      </c>
      <c r="D589" s="1" t="s">
        <v>112</v>
      </c>
      <c r="E589" s="1">
        <v>85387</v>
      </c>
      <c r="F589" s="1" t="s">
        <v>310</v>
      </c>
      <c r="G589" s="1" t="s">
        <v>1541</v>
      </c>
      <c r="H589" s="4" t="s">
        <v>6022</v>
      </c>
      <c r="I589" s="5" t="s">
        <v>196</v>
      </c>
      <c r="J589" s="5" t="s">
        <v>37</v>
      </c>
      <c r="K589" s="5" t="s">
        <v>37</v>
      </c>
      <c r="L589" s="7" t="s">
        <v>1575</v>
      </c>
      <c r="M589" s="5" t="s">
        <v>37</v>
      </c>
      <c r="N589" s="5" t="s">
        <v>37</v>
      </c>
      <c r="O589" s="5" t="s">
        <v>38</v>
      </c>
      <c r="P589" s="2">
        <v>45936</v>
      </c>
      <c r="Q589" s="2">
        <v>45966</v>
      </c>
      <c r="R589" s="1" t="s">
        <v>1576</v>
      </c>
      <c r="V589" s="45">
        <f>IF(
  OR(
    ISNUMBER(SEARCH("unable to locate acct", tblDocketedComments[[#This Row],[Docketed Consumer Comments]])),
    ISNUMBER(SEARCH("unknown", tblDocketedComments[[#This Row],[Docketed Consumer Comments]])),
    ISNUMBER(SEARCH("inactive", tblDocketedComments[[#This Row],[Docketed Consumer Comments]]))
  ),
  0,
  1
)</f>
        <v>1</v>
      </c>
    </row>
    <row r="590" spans="1:22" hidden="1">
      <c r="A590" s="2">
        <v>45905</v>
      </c>
      <c r="B590" s="1" t="s">
        <v>1577</v>
      </c>
      <c r="C590" s="1" t="s">
        <v>885</v>
      </c>
      <c r="D590" s="1" t="s">
        <v>63</v>
      </c>
      <c r="E590" s="1">
        <v>85024</v>
      </c>
      <c r="F590" s="1" t="s">
        <v>310</v>
      </c>
      <c r="G590" s="1" t="s">
        <v>1541</v>
      </c>
      <c r="H590" s="4" t="s">
        <v>6206</v>
      </c>
      <c r="I590" s="5" t="s">
        <v>36</v>
      </c>
      <c r="J590" s="5" t="s">
        <v>37</v>
      </c>
      <c r="K590" s="5" t="s">
        <v>37</v>
      </c>
      <c r="L590" s="5" t="s">
        <v>38</v>
      </c>
      <c r="M590" s="5" t="s">
        <v>37</v>
      </c>
      <c r="N590" s="5" t="s">
        <v>37</v>
      </c>
      <c r="O590" s="5" t="s">
        <v>38</v>
      </c>
      <c r="P590" s="5" t="s">
        <v>39</v>
      </c>
      <c r="Q590" s="2">
        <v>45966</v>
      </c>
      <c r="V590" s="45">
        <f>IF(
  OR(
    ISNUMBER(SEARCH("unable to locate acct", tblDocketedComments[[#This Row],[Docketed Consumer Comments]])),
    ISNUMBER(SEARCH("unknown", tblDocketedComments[[#This Row],[Docketed Consumer Comments]])),
    ISNUMBER(SEARCH("inactive", tblDocketedComments[[#This Row],[Docketed Consumer Comments]]))
  ),
  0,
  1
)</f>
        <v>1</v>
      </c>
    </row>
    <row r="591" spans="1:22" hidden="1">
      <c r="A591" s="2">
        <v>45905</v>
      </c>
      <c r="B591" s="1" t="s">
        <v>1578</v>
      </c>
      <c r="C591" s="1" t="s">
        <v>594</v>
      </c>
      <c r="D591" s="1" t="s">
        <v>520</v>
      </c>
      <c r="E591" s="1">
        <v>85392</v>
      </c>
      <c r="F591" s="1" t="s">
        <v>31</v>
      </c>
      <c r="G591" s="1" t="s">
        <v>1541</v>
      </c>
      <c r="H591" s="21" t="s">
        <v>6701</v>
      </c>
      <c r="I591" s="5" t="s">
        <v>196</v>
      </c>
      <c r="J591" s="5" t="s">
        <v>37</v>
      </c>
      <c r="K591" s="5" t="s">
        <v>37</v>
      </c>
      <c r="L591" s="7" t="s">
        <v>1579</v>
      </c>
      <c r="M591" s="5" t="s">
        <v>37</v>
      </c>
      <c r="N591" s="5" t="s">
        <v>37</v>
      </c>
      <c r="O591" s="5" t="s">
        <v>38</v>
      </c>
      <c r="P591" s="2">
        <v>45936</v>
      </c>
      <c r="Q591" s="2">
        <v>45966</v>
      </c>
      <c r="R591" s="1" t="s">
        <v>1548</v>
      </c>
      <c r="V591" s="45">
        <f>IF(
  OR(
    ISNUMBER(SEARCH("unable to locate acct", tblDocketedComments[[#This Row],[Docketed Consumer Comments]])),
    ISNUMBER(SEARCH("unknown", tblDocketedComments[[#This Row],[Docketed Consumer Comments]])),
    ISNUMBER(SEARCH("inactive", tblDocketedComments[[#This Row],[Docketed Consumer Comments]]))
  ),
  0,
  1
)</f>
        <v>1</v>
      </c>
    </row>
    <row r="592" spans="1:22" hidden="1">
      <c r="A592" s="2">
        <v>45905</v>
      </c>
      <c r="B592" s="1" t="s">
        <v>1580</v>
      </c>
      <c r="C592" s="1" t="s">
        <v>877</v>
      </c>
      <c r="D592" s="1" t="s">
        <v>63</v>
      </c>
      <c r="E592" s="1">
        <v>85085</v>
      </c>
      <c r="F592" s="1" t="s">
        <v>310</v>
      </c>
      <c r="G592" s="1" t="s">
        <v>1541</v>
      </c>
      <c r="H592" s="4" t="s">
        <v>27</v>
      </c>
      <c r="V592" s="45">
        <f>IF(
  OR(
    ISNUMBER(SEARCH("unable to locate acct", tblDocketedComments[[#This Row],[Docketed Consumer Comments]])),
    ISNUMBER(SEARCH("unknown", tblDocketedComments[[#This Row],[Docketed Consumer Comments]])),
    ISNUMBER(SEARCH("inactive", tblDocketedComments[[#This Row],[Docketed Consumer Comments]]))
  ),
  0,
  1
)</f>
        <v>1</v>
      </c>
    </row>
    <row r="593" spans="1:22" hidden="1">
      <c r="A593" s="2">
        <v>45905</v>
      </c>
      <c r="B593" s="1" t="s">
        <v>1581</v>
      </c>
      <c r="C593" s="1" t="s">
        <v>810</v>
      </c>
      <c r="D593" s="1" t="s">
        <v>169</v>
      </c>
      <c r="E593" s="1">
        <v>85338</v>
      </c>
      <c r="F593" s="1" t="s">
        <v>1582</v>
      </c>
      <c r="G593" s="1" t="s">
        <v>1541</v>
      </c>
      <c r="H593" s="4" t="s">
        <v>6207</v>
      </c>
      <c r="I593" s="5" t="s">
        <v>36</v>
      </c>
      <c r="J593" s="5" t="s">
        <v>37</v>
      </c>
      <c r="K593" s="5" t="s">
        <v>37</v>
      </c>
      <c r="L593" s="5" t="s">
        <v>38</v>
      </c>
      <c r="M593" s="5" t="s">
        <v>37</v>
      </c>
      <c r="N593" s="5" t="s">
        <v>37</v>
      </c>
      <c r="O593" s="5" t="s">
        <v>38</v>
      </c>
      <c r="P593" s="5" t="s">
        <v>39</v>
      </c>
      <c r="Q593" s="2">
        <v>45966</v>
      </c>
      <c r="V593" s="45">
        <f>IF(
  OR(
    ISNUMBER(SEARCH("unable to locate acct", tblDocketedComments[[#This Row],[Docketed Consumer Comments]])),
    ISNUMBER(SEARCH("unknown", tblDocketedComments[[#This Row],[Docketed Consumer Comments]])),
    ISNUMBER(SEARCH("inactive", tblDocketedComments[[#This Row],[Docketed Consumer Comments]]))
  ),
  0,
  1
)</f>
        <v>1</v>
      </c>
    </row>
    <row r="594" spans="1:22" hidden="1">
      <c r="A594" s="2">
        <v>45905</v>
      </c>
      <c r="B594" s="1" t="s">
        <v>1583</v>
      </c>
      <c r="C594" s="1" t="s">
        <v>1584</v>
      </c>
      <c r="D594" s="1" t="s">
        <v>169</v>
      </c>
      <c r="E594" s="1">
        <v>85338</v>
      </c>
      <c r="F594" s="1" t="s">
        <v>1413</v>
      </c>
      <c r="G594" s="1" t="s">
        <v>1541</v>
      </c>
      <c r="H594" s="4" t="s">
        <v>6208</v>
      </c>
      <c r="I594" s="5" t="s">
        <v>416</v>
      </c>
      <c r="J594" s="5" t="s">
        <v>37</v>
      </c>
      <c r="K594" s="5" t="s">
        <v>37</v>
      </c>
      <c r="L594" s="5" t="s">
        <v>387</v>
      </c>
      <c r="M594" s="5" t="s">
        <v>37</v>
      </c>
      <c r="N594" s="5" t="s">
        <v>37</v>
      </c>
      <c r="O594" s="5" t="s">
        <v>38</v>
      </c>
      <c r="P594" s="5" t="s">
        <v>39</v>
      </c>
      <c r="Q594" s="2">
        <v>45966</v>
      </c>
      <c r="V594" s="45">
        <f>IF(
  OR(
    ISNUMBER(SEARCH("unable to locate acct", tblDocketedComments[[#This Row],[Docketed Consumer Comments]])),
    ISNUMBER(SEARCH("unknown", tblDocketedComments[[#This Row],[Docketed Consumer Comments]])),
    ISNUMBER(SEARCH("inactive", tblDocketedComments[[#This Row],[Docketed Consumer Comments]]))
  ),
  0,
  1
)</f>
        <v>1</v>
      </c>
    </row>
    <row r="595" spans="1:22" hidden="1">
      <c r="A595" s="2">
        <v>45905</v>
      </c>
      <c r="B595" s="1" t="s">
        <v>1585</v>
      </c>
      <c r="C595" s="1" t="s">
        <v>1425</v>
      </c>
      <c r="D595" s="1" t="s">
        <v>369</v>
      </c>
      <c r="E595" s="1">
        <v>85225</v>
      </c>
      <c r="F595" s="1" t="s">
        <v>310</v>
      </c>
      <c r="G595" s="1" t="s">
        <v>1541</v>
      </c>
      <c r="H595" s="21" t="s">
        <v>1586</v>
      </c>
      <c r="I595" s="5" t="s">
        <v>36</v>
      </c>
      <c r="J595" s="5" t="s">
        <v>38</v>
      </c>
      <c r="K595" s="5" t="s">
        <v>37</v>
      </c>
      <c r="L595" s="5" t="s">
        <v>1587</v>
      </c>
      <c r="M595" s="5" t="s">
        <v>37</v>
      </c>
      <c r="N595" s="5" t="s">
        <v>37</v>
      </c>
      <c r="O595" s="5" t="s">
        <v>38</v>
      </c>
      <c r="P595" s="5" t="s">
        <v>39</v>
      </c>
      <c r="Q595" s="2">
        <v>45966</v>
      </c>
      <c r="V595" s="45">
        <f>IF(
  OR(
    ISNUMBER(SEARCH("unable to locate acct", tblDocketedComments[[#This Row],[Docketed Consumer Comments]])),
    ISNUMBER(SEARCH("unknown", tblDocketedComments[[#This Row],[Docketed Consumer Comments]])),
    ISNUMBER(SEARCH("inactive", tblDocketedComments[[#This Row],[Docketed Consumer Comments]]))
  ),
  0,
  1
)</f>
        <v>1</v>
      </c>
    </row>
    <row r="596" spans="1:22" hidden="1">
      <c r="A596" s="2">
        <v>45905</v>
      </c>
      <c r="B596" s="1" t="s">
        <v>857</v>
      </c>
      <c r="C596" s="1" t="s">
        <v>1588</v>
      </c>
      <c r="D596" s="1" t="s">
        <v>63</v>
      </c>
      <c r="E596" s="1">
        <v>85029</v>
      </c>
      <c r="F596" s="1" t="s">
        <v>31</v>
      </c>
      <c r="G596" s="1" t="s">
        <v>1541</v>
      </c>
      <c r="H596" s="4" t="s">
        <v>27</v>
      </c>
      <c r="V596" s="45">
        <f>IF(
  OR(
    ISNUMBER(SEARCH("unable to locate acct", tblDocketedComments[[#This Row],[Docketed Consumer Comments]])),
    ISNUMBER(SEARCH("unknown", tblDocketedComments[[#This Row],[Docketed Consumer Comments]])),
    ISNUMBER(SEARCH("inactive", tblDocketedComments[[#This Row],[Docketed Consumer Comments]]))
  ),
  0,
  1
)</f>
        <v>1</v>
      </c>
    </row>
    <row r="597" spans="1:22" hidden="1">
      <c r="A597" s="2">
        <v>45905</v>
      </c>
      <c r="B597" s="1" t="s">
        <v>1521</v>
      </c>
      <c r="C597" s="1" t="s">
        <v>1308</v>
      </c>
      <c r="D597" s="1" t="s">
        <v>125</v>
      </c>
      <c r="E597" s="1">
        <v>85254</v>
      </c>
      <c r="F597" s="1" t="s">
        <v>310</v>
      </c>
      <c r="G597" s="1" t="s">
        <v>1541</v>
      </c>
      <c r="H597" s="21" t="s">
        <v>6702</v>
      </c>
      <c r="I597" s="5" t="s">
        <v>36</v>
      </c>
      <c r="J597" s="5" t="s">
        <v>37</v>
      </c>
      <c r="K597" s="5" t="s">
        <v>37</v>
      </c>
      <c r="L597" s="5" t="s">
        <v>38</v>
      </c>
      <c r="M597" s="5" t="s">
        <v>37</v>
      </c>
      <c r="N597" s="5" t="s">
        <v>37</v>
      </c>
      <c r="O597" s="5" t="s">
        <v>38</v>
      </c>
      <c r="P597" s="5" t="s">
        <v>39</v>
      </c>
      <c r="Q597" s="2">
        <v>45966</v>
      </c>
      <c r="V597" s="45">
        <f>IF(
  OR(
    ISNUMBER(SEARCH("unable to locate acct", tblDocketedComments[[#This Row],[Docketed Consumer Comments]])),
    ISNUMBER(SEARCH("unknown", tblDocketedComments[[#This Row],[Docketed Consumer Comments]])),
    ISNUMBER(SEARCH("inactive", tblDocketedComments[[#This Row],[Docketed Consumer Comments]]))
  ),
  0,
  1
)</f>
        <v>1</v>
      </c>
    </row>
    <row r="598" spans="1:22" hidden="1">
      <c r="A598" s="2">
        <v>45905</v>
      </c>
      <c r="B598" s="1" t="s">
        <v>1589</v>
      </c>
      <c r="C598" s="1" t="s">
        <v>488</v>
      </c>
      <c r="D598" s="1" t="s">
        <v>169</v>
      </c>
      <c r="E598" s="1">
        <v>85395</v>
      </c>
      <c r="F598" s="1" t="s">
        <v>31</v>
      </c>
      <c r="G598" s="1" t="s">
        <v>1541</v>
      </c>
      <c r="H598" s="4" t="s">
        <v>6209</v>
      </c>
      <c r="I598" s="5" t="s">
        <v>73</v>
      </c>
      <c r="J598" s="5" t="s">
        <v>37</v>
      </c>
      <c r="K598" s="5" t="s">
        <v>37</v>
      </c>
      <c r="L598" s="5" t="s">
        <v>38</v>
      </c>
      <c r="M598" s="5" t="s">
        <v>37</v>
      </c>
      <c r="N598" s="5" t="s">
        <v>37</v>
      </c>
      <c r="O598" s="5" t="s">
        <v>38</v>
      </c>
      <c r="P598" s="5" t="s">
        <v>39</v>
      </c>
      <c r="Q598" s="2">
        <v>45966</v>
      </c>
      <c r="V598" s="45">
        <f>IF(
  OR(
    ISNUMBER(SEARCH("unable to locate acct", tblDocketedComments[[#This Row],[Docketed Consumer Comments]])),
    ISNUMBER(SEARCH("unknown", tblDocketedComments[[#This Row],[Docketed Consumer Comments]])),
    ISNUMBER(SEARCH("inactive", tblDocketedComments[[#This Row],[Docketed Consumer Comments]]))
  ),
  0,
  1
)</f>
        <v>1</v>
      </c>
    </row>
    <row r="599" spans="1:22" hidden="1">
      <c r="A599" s="2">
        <v>45905</v>
      </c>
      <c r="B599" s="1" t="s">
        <v>1590</v>
      </c>
      <c r="C599" s="1" t="s">
        <v>913</v>
      </c>
      <c r="D599" s="1" t="s">
        <v>63</v>
      </c>
      <c r="E599" s="1">
        <v>85028</v>
      </c>
      <c r="F599" s="1" t="s">
        <v>1591</v>
      </c>
      <c r="G599" s="1" t="s">
        <v>1541</v>
      </c>
      <c r="H599" s="4" t="s">
        <v>6148</v>
      </c>
      <c r="I599" s="5" t="s">
        <v>36</v>
      </c>
      <c r="J599" s="5" t="s">
        <v>38</v>
      </c>
      <c r="K599" s="5" t="s">
        <v>37</v>
      </c>
      <c r="L599" s="5" t="s">
        <v>38</v>
      </c>
      <c r="M599" s="5" t="s">
        <v>38</v>
      </c>
      <c r="N599" s="15">
        <v>414.43</v>
      </c>
      <c r="O599" s="5" t="s">
        <v>38</v>
      </c>
      <c r="P599" s="7"/>
      <c r="Q599" s="2">
        <v>45966</v>
      </c>
      <c r="R599" s="1" t="s">
        <v>492</v>
      </c>
      <c r="V599" s="45">
        <f>IF(
  OR(
    ISNUMBER(SEARCH("unable to locate acct", tblDocketedComments[[#This Row],[Docketed Consumer Comments]])),
    ISNUMBER(SEARCH("unknown", tblDocketedComments[[#This Row],[Docketed Consumer Comments]])),
    ISNUMBER(SEARCH("inactive", tblDocketedComments[[#This Row],[Docketed Consumer Comments]]))
  ),
  0,
  1
)</f>
        <v>1</v>
      </c>
    </row>
    <row r="600" spans="1:22" hidden="1">
      <c r="A600" s="2">
        <v>45905</v>
      </c>
      <c r="B600" s="1" t="s">
        <v>1592</v>
      </c>
      <c r="C600" s="1" t="s">
        <v>1593</v>
      </c>
      <c r="D600" s="1" t="s">
        <v>169</v>
      </c>
      <c r="E600" s="1">
        <v>85395</v>
      </c>
      <c r="F600" s="1" t="s">
        <v>1594</v>
      </c>
      <c r="G600" s="1" t="s">
        <v>1541</v>
      </c>
      <c r="H600" s="4" t="s">
        <v>6210</v>
      </c>
      <c r="I600" s="5" t="s">
        <v>196</v>
      </c>
      <c r="J600" s="5" t="s">
        <v>37</v>
      </c>
      <c r="K600" s="5" t="s">
        <v>37</v>
      </c>
      <c r="L600" s="5" t="s">
        <v>38</v>
      </c>
      <c r="M600" s="5" t="s">
        <v>37</v>
      </c>
      <c r="N600" s="5" t="s">
        <v>37</v>
      </c>
      <c r="O600" s="5" t="s">
        <v>38</v>
      </c>
      <c r="P600" s="5" t="s">
        <v>39</v>
      </c>
      <c r="Q600" s="2">
        <v>45966</v>
      </c>
      <c r="V600" s="45">
        <f>IF(
  OR(
    ISNUMBER(SEARCH("unable to locate acct", tblDocketedComments[[#This Row],[Docketed Consumer Comments]])),
    ISNUMBER(SEARCH("unknown", tblDocketedComments[[#This Row],[Docketed Consumer Comments]])),
    ISNUMBER(SEARCH("inactive", tblDocketedComments[[#This Row],[Docketed Consumer Comments]]))
  ),
  0,
  1
)</f>
        <v>1</v>
      </c>
    </row>
    <row r="601" spans="1:22" hidden="1">
      <c r="A601" s="2">
        <v>45905</v>
      </c>
      <c r="B601" s="1" t="s">
        <v>1595</v>
      </c>
      <c r="C601" s="1" t="s">
        <v>1596</v>
      </c>
      <c r="D601" s="1" t="s">
        <v>63</v>
      </c>
      <c r="E601" s="1">
        <v>85032</v>
      </c>
      <c r="F601" s="1" t="s">
        <v>310</v>
      </c>
      <c r="G601" s="1" t="s">
        <v>1541</v>
      </c>
      <c r="H601" s="4" t="s">
        <v>6211</v>
      </c>
      <c r="I601" s="5" t="s">
        <v>36</v>
      </c>
      <c r="J601" s="5" t="s">
        <v>37</v>
      </c>
      <c r="K601" s="5" t="s">
        <v>37</v>
      </c>
      <c r="L601" s="5" t="s">
        <v>38</v>
      </c>
      <c r="M601" s="5" t="s">
        <v>37</v>
      </c>
      <c r="N601" s="5" t="s">
        <v>37</v>
      </c>
      <c r="O601" s="5" t="s">
        <v>38</v>
      </c>
      <c r="P601" s="5" t="s">
        <v>39</v>
      </c>
      <c r="Q601" s="2">
        <v>45966</v>
      </c>
      <c r="V601" s="45">
        <f>IF(
  OR(
    ISNUMBER(SEARCH("unable to locate acct", tblDocketedComments[[#This Row],[Docketed Consumer Comments]])),
    ISNUMBER(SEARCH("unknown", tblDocketedComments[[#This Row],[Docketed Consumer Comments]])),
    ISNUMBER(SEARCH("inactive", tblDocketedComments[[#This Row],[Docketed Consumer Comments]]))
  ),
  0,
  1
)</f>
        <v>1</v>
      </c>
    </row>
    <row r="602" spans="1:22" hidden="1">
      <c r="A602" s="2">
        <v>45905</v>
      </c>
      <c r="B602" s="1" t="s">
        <v>1597</v>
      </c>
      <c r="C602" s="1" t="s">
        <v>687</v>
      </c>
      <c r="D602" s="1" t="s">
        <v>169</v>
      </c>
      <c r="E602" s="1">
        <v>85395</v>
      </c>
      <c r="F602" s="1" t="s">
        <v>31</v>
      </c>
      <c r="G602" s="1" t="s">
        <v>1541</v>
      </c>
      <c r="H602" s="4" t="s">
        <v>6212</v>
      </c>
      <c r="I602" s="5" t="s">
        <v>36</v>
      </c>
      <c r="J602" s="5" t="s">
        <v>37</v>
      </c>
      <c r="K602" s="5" t="s">
        <v>37</v>
      </c>
      <c r="L602" s="5" t="s">
        <v>38</v>
      </c>
      <c r="M602" s="5" t="s">
        <v>37</v>
      </c>
      <c r="N602" s="5" t="s">
        <v>37</v>
      </c>
      <c r="O602" s="5" t="s">
        <v>38</v>
      </c>
      <c r="P602" s="5" t="s">
        <v>39</v>
      </c>
      <c r="Q602" s="2">
        <v>45966</v>
      </c>
      <c r="V602" s="45">
        <f>IF(
  OR(
    ISNUMBER(SEARCH("unable to locate acct", tblDocketedComments[[#This Row],[Docketed Consumer Comments]])),
    ISNUMBER(SEARCH("unknown", tblDocketedComments[[#This Row],[Docketed Consumer Comments]])),
    ISNUMBER(SEARCH("inactive", tblDocketedComments[[#This Row],[Docketed Consumer Comments]]))
  ),
  0,
  1
)</f>
        <v>1</v>
      </c>
    </row>
    <row r="603" spans="1:22" hidden="1">
      <c r="A603" s="2">
        <v>45905</v>
      </c>
      <c r="B603" s="1" t="s">
        <v>683</v>
      </c>
      <c r="C603" s="1" t="s">
        <v>246</v>
      </c>
      <c r="D603" s="1" t="s">
        <v>169</v>
      </c>
      <c r="E603" s="1">
        <v>85395</v>
      </c>
      <c r="F603" s="1" t="s">
        <v>31</v>
      </c>
      <c r="G603" s="1" t="s">
        <v>1541</v>
      </c>
      <c r="H603" s="4" t="s">
        <v>209</v>
      </c>
      <c r="V603" s="45">
        <f>IF(
  OR(
    ISNUMBER(SEARCH("unable to locate acct", tblDocketedComments[[#This Row],[Docketed Consumer Comments]])),
    ISNUMBER(SEARCH("unknown", tblDocketedComments[[#This Row],[Docketed Consumer Comments]])),
    ISNUMBER(SEARCH("inactive", tblDocketedComments[[#This Row],[Docketed Consumer Comments]]))
  ),
  0,
  1
)</f>
        <v>1</v>
      </c>
    </row>
    <row r="604" spans="1:22" hidden="1">
      <c r="A604" s="2">
        <v>45905</v>
      </c>
      <c r="B604" s="1" t="s">
        <v>1598</v>
      </c>
      <c r="C604" s="1" t="s">
        <v>1599</v>
      </c>
      <c r="D604" s="1" t="s">
        <v>63</v>
      </c>
      <c r="E604" s="1">
        <v>85024</v>
      </c>
      <c r="F604" s="1" t="s">
        <v>310</v>
      </c>
      <c r="G604" s="1" t="s">
        <v>1541</v>
      </c>
      <c r="H604" s="4" t="s">
        <v>27</v>
      </c>
      <c r="V604" s="45">
        <f>IF(
  OR(
    ISNUMBER(SEARCH("unable to locate acct", tblDocketedComments[[#This Row],[Docketed Consumer Comments]])),
    ISNUMBER(SEARCH("unknown", tblDocketedComments[[#This Row],[Docketed Consumer Comments]])),
    ISNUMBER(SEARCH("inactive", tblDocketedComments[[#This Row],[Docketed Consumer Comments]]))
  ),
  0,
  1
)</f>
        <v>1</v>
      </c>
    </row>
    <row r="605" spans="1:22" hidden="1">
      <c r="A605" s="2">
        <v>45905</v>
      </c>
      <c r="B605" s="1" t="s">
        <v>1600</v>
      </c>
      <c r="C605" s="1" t="s">
        <v>1601</v>
      </c>
      <c r="D605" s="1" t="s">
        <v>125</v>
      </c>
      <c r="E605" s="1">
        <v>85254</v>
      </c>
      <c r="F605" s="1" t="s">
        <v>31</v>
      </c>
      <c r="G605" s="1" t="s">
        <v>1541</v>
      </c>
      <c r="H605" s="4" t="s">
        <v>6213</v>
      </c>
      <c r="I605" s="5" t="s">
        <v>36</v>
      </c>
      <c r="J605" s="5" t="s">
        <v>37</v>
      </c>
      <c r="K605" s="5" t="s">
        <v>37</v>
      </c>
      <c r="L605" s="5" t="s">
        <v>38</v>
      </c>
      <c r="M605" s="5" t="s">
        <v>37</v>
      </c>
      <c r="N605" s="5" t="s">
        <v>37</v>
      </c>
      <c r="O605" s="5" t="s">
        <v>38</v>
      </c>
      <c r="P605" s="5" t="s">
        <v>39</v>
      </c>
      <c r="Q605" s="2">
        <v>45966</v>
      </c>
      <c r="V605" s="45">
        <f>IF(
  OR(
    ISNUMBER(SEARCH("unable to locate acct", tblDocketedComments[[#This Row],[Docketed Consumer Comments]])),
    ISNUMBER(SEARCH("unknown", tblDocketedComments[[#This Row],[Docketed Consumer Comments]])),
    ISNUMBER(SEARCH("inactive", tblDocketedComments[[#This Row],[Docketed Consumer Comments]]))
  ),
  0,
  1
)</f>
        <v>1</v>
      </c>
    </row>
    <row r="606" spans="1:22" hidden="1">
      <c r="A606" s="2">
        <v>45905</v>
      </c>
      <c r="B606" s="1" t="s">
        <v>601</v>
      </c>
      <c r="C606" s="1" t="s">
        <v>1602</v>
      </c>
      <c r="D606" s="1" t="s">
        <v>169</v>
      </c>
      <c r="E606" s="1">
        <v>85395</v>
      </c>
      <c r="F606" s="1" t="s">
        <v>31</v>
      </c>
      <c r="G606" s="1" t="s">
        <v>1541</v>
      </c>
      <c r="H606" s="4" t="s">
        <v>6214</v>
      </c>
      <c r="I606" s="5" t="s">
        <v>81</v>
      </c>
      <c r="J606" s="5" t="s">
        <v>37</v>
      </c>
      <c r="K606" s="5" t="s">
        <v>37</v>
      </c>
      <c r="L606" s="5" t="s">
        <v>387</v>
      </c>
      <c r="M606" s="5" t="s">
        <v>37</v>
      </c>
      <c r="N606" s="5" t="s">
        <v>37</v>
      </c>
      <c r="O606" s="5" t="s">
        <v>38</v>
      </c>
      <c r="P606" s="5" t="s">
        <v>39</v>
      </c>
      <c r="Q606" s="2">
        <v>45966</v>
      </c>
      <c r="V606" s="45">
        <f>IF(
  OR(
    ISNUMBER(SEARCH("unable to locate acct", tblDocketedComments[[#This Row],[Docketed Consumer Comments]])),
    ISNUMBER(SEARCH("unknown", tblDocketedComments[[#This Row],[Docketed Consumer Comments]])),
    ISNUMBER(SEARCH("inactive", tblDocketedComments[[#This Row],[Docketed Consumer Comments]]))
  ),
  0,
  1
)</f>
        <v>1</v>
      </c>
    </row>
    <row r="607" spans="1:22" hidden="1">
      <c r="A607" s="2">
        <v>45905</v>
      </c>
      <c r="B607" s="1" t="s">
        <v>1603</v>
      </c>
      <c r="C607" s="1" t="s">
        <v>1604</v>
      </c>
      <c r="D607" s="1" t="s">
        <v>125</v>
      </c>
      <c r="E607" s="1">
        <v>85255</v>
      </c>
      <c r="F607" s="1" t="s">
        <v>31</v>
      </c>
      <c r="G607" s="1" t="s">
        <v>1541</v>
      </c>
      <c r="H607" s="4" t="s">
        <v>6215</v>
      </c>
      <c r="I607" s="5" t="s">
        <v>36</v>
      </c>
      <c r="J607" s="5" t="s">
        <v>37</v>
      </c>
      <c r="K607" s="5" t="s">
        <v>37</v>
      </c>
      <c r="L607" s="5" t="s">
        <v>38</v>
      </c>
      <c r="M607" s="5" t="s">
        <v>37</v>
      </c>
      <c r="N607" s="5" t="s">
        <v>37</v>
      </c>
      <c r="O607" s="5" t="s">
        <v>38</v>
      </c>
      <c r="P607" s="5" t="s">
        <v>39</v>
      </c>
      <c r="Q607" s="2">
        <v>45966</v>
      </c>
      <c r="V607" s="45">
        <f>IF(
  OR(
    ISNUMBER(SEARCH("unable to locate acct", tblDocketedComments[[#This Row],[Docketed Consumer Comments]])),
    ISNUMBER(SEARCH("unknown", tblDocketedComments[[#This Row],[Docketed Consumer Comments]])),
    ISNUMBER(SEARCH("inactive", tblDocketedComments[[#This Row],[Docketed Consumer Comments]]))
  ),
  0,
  1
)</f>
        <v>1</v>
      </c>
    </row>
    <row r="608" spans="1:22" hidden="1">
      <c r="A608" s="2">
        <v>45905</v>
      </c>
      <c r="B608" s="1" t="s">
        <v>1605</v>
      </c>
      <c r="C608" s="1" t="s">
        <v>730</v>
      </c>
      <c r="D608" s="1" t="s">
        <v>63</v>
      </c>
      <c r="E608" s="1">
        <v>85054</v>
      </c>
      <c r="F608" s="1" t="s">
        <v>310</v>
      </c>
      <c r="G608" s="1" t="s">
        <v>1541</v>
      </c>
      <c r="H608" s="4" t="s">
        <v>27</v>
      </c>
      <c r="V608" s="45">
        <f>IF(
  OR(
    ISNUMBER(SEARCH("unable to locate acct", tblDocketedComments[[#This Row],[Docketed Consumer Comments]])),
    ISNUMBER(SEARCH("unknown", tblDocketedComments[[#This Row],[Docketed Consumer Comments]])),
    ISNUMBER(SEARCH("inactive", tblDocketedComments[[#This Row],[Docketed Consumer Comments]]))
  ),
  0,
  1
)</f>
        <v>1</v>
      </c>
    </row>
    <row r="609" spans="1:22" hidden="1">
      <c r="A609" s="2">
        <v>45905</v>
      </c>
      <c r="B609" s="1" t="s">
        <v>1606</v>
      </c>
      <c r="C609" s="1" t="s">
        <v>1607</v>
      </c>
      <c r="D609" s="1" t="s">
        <v>63</v>
      </c>
      <c r="E609" s="1">
        <v>85018</v>
      </c>
      <c r="F609" s="1" t="s">
        <v>310</v>
      </c>
      <c r="G609" s="1" t="s">
        <v>1541</v>
      </c>
      <c r="H609" s="4" t="s">
        <v>6216</v>
      </c>
      <c r="I609" s="5" t="s">
        <v>36</v>
      </c>
      <c r="J609" s="5" t="s">
        <v>37</v>
      </c>
      <c r="K609" s="5" t="s">
        <v>37</v>
      </c>
      <c r="L609" s="5" t="s">
        <v>38</v>
      </c>
      <c r="M609" s="5" t="s">
        <v>37</v>
      </c>
      <c r="N609" s="5" t="s">
        <v>37</v>
      </c>
      <c r="O609" s="5" t="s">
        <v>38</v>
      </c>
      <c r="P609" s="5" t="s">
        <v>39</v>
      </c>
      <c r="Q609" s="2">
        <v>45966</v>
      </c>
      <c r="V609" s="45">
        <f>IF(
  OR(
    ISNUMBER(SEARCH("unable to locate acct", tblDocketedComments[[#This Row],[Docketed Consumer Comments]])),
    ISNUMBER(SEARCH("unknown", tblDocketedComments[[#This Row],[Docketed Consumer Comments]])),
    ISNUMBER(SEARCH("inactive", tblDocketedComments[[#This Row],[Docketed Consumer Comments]]))
  ),
  0,
  1
)</f>
        <v>1</v>
      </c>
    </row>
    <row r="610" spans="1:22" hidden="1">
      <c r="A610" s="2">
        <v>45905</v>
      </c>
      <c r="B610" s="1" t="s">
        <v>357</v>
      </c>
      <c r="C610" s="1" t="s">
        <v>1608</v>
      </c>
      <c r="D610" s="1" t="s">
        <v>63</v>
      </c>
      <c r="E610" s="1">
        <v>85007</v>
      </c>
      <c r="F610" s="1" t="s">
        <v>310</v>
      </c>
      <c r="G610" s="1" t="s">
        <v>1541</v>
      </c>
      <c r="H610" s="4" t="s">
        <v>6023</v>
      </c>
      <c r="I610" s="5" t="s">
        <v>196</v>
      </c>
      <c r="J610" s="5" t="s">
        <v>37</v>
      </c>
      <c r="K610" s="5" t="s">
        <v>37</v>
      </c>
      <c r="L610" s="5" t="s">
        <v>1609</v>
      </c>
      <c r="M610" s="5" t="s">
        <v>37</v>
      </c>
      <c r="N610" s="5" t="s">
        <v>37</v>
      </c>
      <c r="O610" s="5" t="s">
        <v>38</v>
      </c>
      <c r="P610" s="5" t="s">
        <v>39</v>
      </c>
      <c r="Q610" s="2">
        <v>45966</v>
      </c>
      <c r="V610" s="45">
        <f>IF(
  OR(
    ISNUMBER(SEARCH("unable to locate acct", tblDocketedComments[[#This Row],[Docketed Consumer Comments]])),
    ISNUMBER(SEARCH("unknown", tblDocketedComments[[#This Row],[Docketed Consumer Comments]])),
    ISNUMBER(SEARCH("inactive", tblDocketedComments[[#This Row],[Docketed Consumer Comments]]))
  ),
  0,
  1
)</f>
        <v>1</v>
      </c>
    </row>
    <row r="611" spans="1:22" hidden="1">
      <c r="A611" s="2">
        <v>45905</v>
      </c>
      <c r="B611" s="1" t="s">
        <v>1610</v>
      </c>
      <c r="C611" s="1" t="s">
        <v>1611</v>
      </c>
      <c r="D611" s="1" t="s">
        <v>616</v>
      </c>
      <c r="E611" s="1">
        <v>85365</v>
      </c>
      <c r="F611" s="1" t="s">
        <v>310</v>
      </c>
      <c r="G611" s="1" t="s">
        <v>1541</v>
      </c>
      <c r="H611" s="4" t="s">
        <v>6217</v>
      </c>
      <c r="I611" s="5" t="s">
        <v>126</v>
      </c>
      <c r="J611" s="5" t="s">
        <v>37</v>
      </c>
      <c r="K611" s="5" t="s">
        <v>37</v>
      </c>
      <c r="L611" s="5" t="s">
        <v>38</v>
      </c>
      <c r="M611" s="5" t="s">
        <v>37</v>
      </c>
      <c r="N611" s="5" t="s">
        <v>37</v>
      </c>
      <c r="O611" s="5" t="s">
        <v>38</v>
      </c>
      <c r="P611" s="5" t="s">
        <v>39</v>
      </c>
      <c r="Q611" s="2">
        <v>45966</v>
      </c>
      <c r="V611" s="45">
        <f>IF(
  OR(
    ISNUMBER(SEARCH("unable to locate acct", tblDocketedComments[[#This Row],[Docketed Consumer Comments]])),
    ISNUMBER(SEARCH("unknown", tblDocketedComments[[#This Row],[Docketed Consumer Comments]])),
    ISNUMBER(SEARCH("inactive", tblDocketedComments[[#This Row],[Docketed Consumer Comments]]))
  ),
  0,
  1
)</f>
        <v>1</v>
      </c>
    </row>
    <row r="612" spans="1:22" hidden="1">
      <c r="A612" s="2">
        <v>45905</v>
      </c>
      <c r="B612" s="1" t="s">
        <v>208</v>
      </c>
      <c r="C612" s="1" t="s">
        <v>1011</v>
      </c>
      <c r="D612" s="1" t="s">
        <v>264</v>
      </c>
      <c r="E612" s="1">
        <v>85541</v>
      </c>
      <c r="F612" s="1" t="s">
        <v>31</v>
      </c>
      <c r="G612" s="1" t="s">
        <v>1541</v>
      </c>
      <c r="H612" s="4" t="s">
        <v>6024</v>
      </c>
      <c r="I612" s="5" t="s">
        <v>196</v>
      </c>
      <c r="J612" s="5" t="s">
        <v>37</v>
      </c>
      <c r="K612" s="5" t="s">
        <v>37</v>
      </c>
      <c r="L612" s="5" t="s">
        <v>1612</v>
      </c>
      <c r="M612" s="5" t="s">
        <v>37</v>
      </c>
      <c r="N612" s="5" t="s">
        <v>37</v>
      </c>
      <c r="O612" s="5" t="s">
        <v>38</v>
      </c>
      <c r="P612" s="5" t="s">
        <v>39</v>
      </c>
      <c r="Q612" s="2">
        <v>45966</v>
      </c>
      <c r="V612" s="45">
        <f>IF(
  OR(
    ISNUMBER(SEARCH("unable to locate acct", tblDocketedComments[[#This Row],[Docketed Consumer Comments]])),
    ISNUMBER(SEARCH("unknown", tblDocketedComments[[#This Row],[Docketed Consumer Comments]])),
    ISNUMBER(SEARCH("inactive", tblDocketedComments[[#This Row],[Docketed Consumer Comments]]))
  ),
  0,
  1
)</f>
        <v>1</v>
      </c>
    </row>
    <row r="613" spans="1:22" hidden="1">
      <c r="A613" s="2">
        <v>45905</v>
      </c>
      <c r="B613" s="1" t="s">
        <v>1613</v>
      </c>
      <c r="C613" s="1" t="s">
        <v>1614</v>
      </c>
      <c r="D613" s="1" t="s">
        <v>63</v>
      </c>
      <c r="E613" s="1">
        <v>85028</v>
      </c>
      <c r="F613" s="1" t="s">
        <v>310</v>
      </c>
      <c r="G613" s="1" t="s">
        <v>1541</v>
      </c>
      <c r="H613" s="4" t="s">
        <v>6218</v>
      </c>
      <c r="I613" s="5" t="s">
        <v>538</v>
      </c>
      <c r="J613" s="5" t="s">
        <v>37</v>
      </c>
      <c r="K613" s="5" t="s">
        <v>37</v>
      </c>
      <c r="L613" s="5" t="s">
        <v>387</v>
      </c>
      <c r="M613" s="5" t="s">
        <v>37</v>
      </c>
      <c r="N613" s="5" t="s">
        <v>37</v>
      </c>
      <c r="O613" s="5" t="s">
        <v>38</v>
      </c>
      <c r="P613" s="5" t="s">
        <v>39</v>
      </c>
      <c r="Q613" s="2">
        <v>45966</v>
      </c>
      <c r="V613" s="45">
        <f>IF(
  OR(
    ISNUMBER(SEARCH("unable to locate acct", tblDocketedComments[[#This Row],[Docketed Consumer Comments]])),
    ISNUMBER(SEARCH("unknown", tblDocketedComments[[#This Row],[Docketed Consumer Comments]])),
    ISNUMBER(SEARCH("inactive", tblDocketedComments[[#This Row],[Docketed Consumer Comments]]))
  ),
  0,
  1
)</f>
        <v>1</v>
      </c>
    </row>
    <row r="614" spans="1:22" hidden="1">
      <c r="A614" s="2">
        <v>45905</v>
      </c>
      <c r="B614" s="1" t="s">
        <v>1615</v>
      </c>
      <c r="C614" s="1" t="s">
        <v>883</v>
      </c>
      <c r="D614" s="1" t="s">
        <v>63</v>
      </c>
      <c r="E614" s="1">
        <v>85083</v>
      </c>
      <c r="F614" s="1" t="s">
        <v>310</v>
      </c>
      <c r="G614" s="1" t="s">
        <v>1541</v>
      </c>
      <c r="H614" s="4" t="s">
        <v>6219</v>
      </c>
      <c r="I614" s="5" t="s">
        <v>57</v>
      </c>
      <c r="J614" s="5" t="s">
        <v>37</v>
      </c>
      <c r="K614" s="5" t="s">
        <v>37</v>
      </c>
      <c r="L614" s="5" t="s">
        <v>38</v>
      </c>
      <c r="M614" s="5" t="s">
        <v>37</v>
      </c>
      <c r="N614" s="5" t="s">
        <v>37</v>
      </c>
      <c r="O614" s="5" t="s">
        <v>38</v>
      </c>
      <c r="P614" s="5" t="s">
        <v>39</v>
      </c>
      <c r="Q614" s="2">
        <v>45966</v>
      </c>
      <c r="V614" s="45">
        <f>IF(
  OR(
    ISNUMBER(SEARCH("unable to locate acct", tblDocketedComments[[#This Row],[Docketed Consumer Comments]])),
    ISNUMBER(SEARCH("unknown", tblDocketedComments[[#This Row],[Docketed Consumer Comments]])),
    ISNUMBER(SEARCH("inactive", tblDocketedComments[[#This Row],[Docketed Consumer Comments]]))
  ),
  0,
  1
)</f>
        <v>1</v>
      </c>
    </row>
    <row r="615" spans="1:22" hidden="1">
      <c r="A615" s="2">
        <v>45905</v>
      </c>
      <c r="B615" s="1" t="s">
        <v>1616</v>
      </c>
      <c r="C615" s="1" t="s">
        <v>1617</v>
      </c>
      <c r="D615" s="1" t="s">
        <v>63</v>
      </c>
      <c r="E615" s="1">
        <v>85032</v>
      </c>
      <c r="F615" s="1" t="s">
        <v>31</v>
      </c>
      <c r="G615" s="1" t="s">
        <v>1541</v>
      </c>
      <c r="H615" s="21" t="s">
        <v>6703</v>
      </c>
      <c r="I615" s="5" t="s">
        <v>126</v>
      </c>
      <c r="J615" s="5" t="s">
        <v>37</v>
      </c>
      <c r="K615" s="5" t="s">
        <v>37</v>
      </c>
      <c r="L615" s="5" t="s">
        <v>38</v>
      </c>
      <c r="M615" s="5" t="s">
        <v>37</v>
      </c>
      <c r="N615" s="5" t="s">
        <v>37</v>
      </c>
      <c r="O615" s="5" t="s">
        <v>38</v>
      </c>
      <c r="P615" s="5" t="s">
        <v>39</v>
      </c>
      <c r="Q615" s="2">
        <v>45966</v>
      </c>
      <c r="V615" s="45">
        <f>IF(
  OR(
    ISNUMBER(SEARCH("unable to locate acct", tblDocketedComments[[#This Row],[Docketed Consumer Comments]])),
    ISNUMBER(SEARCH("unknown", tblDocketedComments[[#This Row],[Docketed Consumer Comments]])),
    ISNUMBER(SEARCH("inactive", tblDocketedComments[[#This Row],[Docketed Consumer Comments]]))
  ),
  0,
  1
)</f>
        <v>1</v>
      </c>
    </row>
    <row r="616" spans="1:22" hidden="1">
      <c r="A616" s="2">
        <v>45905</v>
      </c>
      <c r="B616" s="1" t="s">
        <v>1618</v>
      </c>
      <c r="C616" s="1" t="s">
        <v>1619</v>
      </c>
      <c r="D616" s="1" t="s">
        <v>169</v>
      </c>
      <c r="E616" s="1">
        <v>85395</v>
      </c>
      <c r="F616" s="1" t="s">
        <v>31</v>
      </c>
      <c r="G616" s="1" t="s">
        <v>1541</v>
      </c>
      <c r="H616" s="21" t="s">
        <v>6704</v>
      </c>
      <c r="I616" s="5" t="s">
        <v>416</v>
      </c>
      <c r="J616" s="5" t="s">
        <v>37</v>
      </c>
      <c r="K616" s="5" t="s">
        <v>37</v>
      </c>
      <c r="L616" s="5" t="s">
        <v>387</v>
      </c>
      <c r="M616" s="5" t="s">
        <v>37</v>
      </c>
      <c r="N616" s="5" t="s">
        <v>37</v>
      </c>
      <c r="O616" s="5" t="s">
        <v>38</v>
      </c>
      <c r="P616" s="5" t="s">
        <v>39</v>
      </c>
      <c r="Q616" s="2">
        <v>45966</v>
      </c>
      <c r="V616" s="45">
        <f>IF(
  OR(
    ISNUMBER(SEARCH("unable to locate acct", tblDocketedComments[[#This Row],[Docketed Consumer Comments]])),
    ISNUMBER(SEARCH("unknown", tblDocketedComments[[#This Row],[Docketed Consumer Comments]])),
    ISNUMBER(SEARCH("inactive", tblDocketedComments[[#This Row],[Docketed Consumer Comments]]))
  ),
  0,
  1
)</f>
        <v>1</v>
      </c>
    </row>
    <row r="617" spans="1:22" hidden="1">
      <c r="A617" s="2">
        <v>45905</v>
      </c>
      <c r="B617" s="1" t="s">
        <v>1620</v>
      </c>
      <c r="C617" s="1" t="s">
        <v>776</v>
      </c>
      <c r="D617" s="1" t="s">
        <v>369</v>
      </c>
      <c r="E617" s="1">
        <v>85225</v>
      </c>
      <c r="F617" s="1" t="s">
        <v>310</v>
      </c>
      <c r="G617" s="1" t="s">
        <v>1541</v>
      </c>
      <c r="H617" s="4" t="s">
        <v>6220</v>
      </c>
      <c r="I617" s="5" t="s">
        <v>73</v>
      </c>
      <c r="J617" s="5" t="s">
        <v>37</v>
      </c>
      <c r="K617" s="5" t="s">
        <v>37</v>
      </c>
      <c r="L617" s="5" t="s">
        <v>38</v>
      </c>
      <c r="M617" s="5" t="s">
        <v>37</v>
      </c>
      <c r="N617" s="5" t="s">
        <v>37</v>
      </c>
      <c r="O617" s="5" t="s">
        <v>38</v>
      </c>
      <c r="P617" s="5" t="s">
        <v>39</v>
      </c>
      <c r="Q617" s="2">
        <v>45966</v>
      </c>
      <c r="V617" s="45">
        <f>IF(
  OR(
    ISNUMBER(SEARCH("unable to locate acct", tblDocketedComments[[#This Row],[Docketed Consumer Comments]])),
    ISNUMBER(SEARCH("unknown", tblDocketedComments[[#This Row],[Docketed Consumer Comments]])),
    ISNUMBER(SEARCH("inactive", tblDocketedComments[[#This Row],[Docketed Consumer Comments]]))
  ),
  0,
  1
)</f>
        <v>1</v>
      </c>
    </row>
    <row r="618" spans="1:22" hidden="1">
      <c r="A618" s="2">
        <v>45905</v>
      </c>
      <c r="B618" s="1" t="s">
        <v>1621</v>
      </c>
      <c r="C618" s="1" t="s">
        <v>75</v>
      </c>
      <c r="D618" s="1" t="s">
        <v>536</v>
      </c>
      <c r="E618" s="1">
        <v>85194</v>
      </c>
      <c r="F618" s="1" t="s">
        <v>25</v>
      </c>
      <c r="G618" s="1" t="s">
        <v>1541</v>
      </c>
      <c r="H618" s="4" t="s">
        <v>6221</v>
      </c>
      <c r="I618" s="5" t="s">
        <v>36</v>
      </c>
      <c r="J618" s="5" t="s">
        <v>37</v>
      </c>
      <c r="K618" s="5" t="s">
        <v>37</v>
      </c>
      <c r="L618" s="5" t="s">
        <v>38</v>
      </c>
      <c r="M618" s="5" t="s">
        <v>37</v>
      </c>
      <c r="N618" s="5" t="s">
        <v>37</v>
      </c>
      <c r="O618" s="5" t="s">
        <v>38</v>
      </c>
      <c r="P618" s="5" t="s">
        <v>39</v>
      </c>
      <c r="Q618" s="2">
        <v>45966</v>
      </c>
      <c r="V618" s="45">
        <f>IF(
  OR(
    ISNUMBER(SEARCH("unable to locate acct", tblDocketedComments[[#This Row],[Docketed Consumer Comments]])),
    ISNUMBER(SEARCH("unknown", tblDocketedComments[[#This Row],[Docketed Consumer Comments]])),
    ISNUMBER(SEARCH("inactive", tblDocketedComments[[#This Row],[Docketed Consumer Comments]]))
  ),
  0,
  1
)</f>
        <v>1</v>
      </c>
    </row>
    <row r="619" spans="1:22" hidden="1">
      <c r="A619" s="2">
        <v>45905</v>
      </c>
      <c r="B619" s="1" t="s">
        <v>1622</v>
      </c>
      <c r="C619" s="1" t="s">
        <v>346</v>
      </c>
      <c r="D619" s="1" t="s">
        <v>63</v>
      </c>
      <c r="E619" s="1">
        <v>85087</v>
      </c>
      <c r="F619" s="1" t="s">
        <v>310</v>
      </c>
      <c r="G619" s="1" t="s">
        <v>1541</v>
      </c>
      <c r="H619" s="4" t="s">
        <v>27</v>
      </c>
      <c r="V619" s="45">
        <f>IF(
  OR(
    ISNUMBER(SEARCH("unable to locate acct", tblDocketedComments[[#This Row],[Docketed Consumer Comments]])),
    ISNUMBER(SEARCH("unknown", tblDocketedComments[[#This Row],[Docketed Consumer Comments]])),
    ISNUMBER(SEARCH("inactive", tblDocketedComments[[#This Row],[Docketed Consumer Comments]]))
  ),
  0,
  1
)</f>
        <v>1</v>
      </c>
    </row>
    <row r="620" spans="1:22" hidden="1">
      <c r="A620" s="2">
        <v>45905</v>
      </c>
      <c r="B620" s="1" t="s">
        <v>1623</v>
      </c>
      <c r="C620" s="1" t="s">
        <v>1624</v>
      </c>
      <c r="D620" s="1" t="s">
        <v>63</v>
      </c>
      <c r="E620" s="1">
        <v>85024</v>
      </c>
      <c r="F620" s="1" t="s">
        <v>1625</v>
      </c>
      <c r="G620" s="1" t="s">
        <v>1541</v>
      </c>
      <c r="H620" s="4" t="s">
        <v>6222</v>
      </c>
      <c r="I620" s="5" t="s">
        <v>36</v>
      </c>
      <c r="J620" s="5" t="s">
        <v>37</v>
      </c>
      <c r="K620" s="5" t="s">
        <v>37</v>
      </c>
      <c r="L620" s="5" t="s">
        <v>38</v>
      </c>
      <c r="M620" s="5" t="s">
        <v>37</v>
      </c>
      <c r="N620" s="5" t="s">
        <v>37</v>
      </c>
      <c r="O620" s="5" t="s">
        <v>38</v>
      </c>
      <c r="P620" s="5" t="s">
        <v>39</v>
      </c>
      <c r="Q620" s="2">
        <v>45966</v>
      </c>
      <c r="V620" s="45">
        <f>IF(
  OR(
    ISNUMBER(SEARCH("unable to locate acct", tblDocketedComments[[#This Row],[Docketed Consumer Comments]])),
    ISNUMBER(SEARCH("unknown", tblDocketedComments[[#This Row],[Docketed Consumer Comments]])),
    ISNUMBER(SEARCH("inactive", tblDocketedComments[[#This Row],[Docketed Consumer Comments]]))
  ),
  0,
  1
)</f>
        <v>1</v>
      </c>
    </row>
    <row r="621" spans="1:22" hidden="1">
      <c r="A621" s="2">
        <v>45905</v>
      </c>
      <c r="B621" s="1" t="s">
        <v>1626</v>
      </c>
      <c r="C621" s="1" t="s">
        <v>1627</v>
      </c>
      <c r="D621" s="1" t="s">
        <v>63</v>
      </c>
      <c r="E621" s="1">
        <v>85028</v>
      </c>
      <c r="F621" s="1" t="s">
        <v>1628</v>
      </c>
      <c r="G621" s="1" t="s">
        <v>1541</v>
      </c>
      <c r="H621" s="4" t="s">
        <v>90</v>
      </c>
      <c r="V621" s="45">
        <f>IF(
  OR(
    ISNUMBER(SEARCH("unable to locate acct", tblDocketedComments[[#This Row],[Docketed Consumer Comments]])),
    ISNUMBER(SEARCH("unknown", tblDocketedComments[[#This Row],[Docketed Consumer Comments]])),
    ISNUMBER(SEARCH("inactive", tblDocketedComments[[#This Row],[Docketed Consumer Comments]]))
  ),
  0,
  1
)</f>
        <v>1</v>
      </c>
    </row>
    <row r="622" spans="1:22" hidden="1">
      <c r="A622" s="2">
        <v>45905</v>
      </c>
      <c r="B622" s="1" t="s">
        <v>1629</v>
      </c>
      <c r="C622" s="1" t="s">
        <v>1630</v>
      </c>
      <c r="D622" s="1" t="s">
        <v>63</v>
      </c>
      <c r="E622" s="1">
        <v>85022</v>
      </c>
      <c r="F622" s="1" t="s">
        <v>310</v>
      </c>
      <c r="G622" s="1" t="s">
        <v>1541</v>
      </c>
      <c r="H622" s="4" t="s">
        <v>6223</v>
      </c>
      <c r="I622" s="5" t="s">
        <v>36</v>
      </c>
      <c r="J622" s="5" t="s">
        <v>37</v>
      </c>
      <c r="K622" s="5" t="s">
        <v>37</v>
      </c>
      <c r="L622" s="5" t="s">
        <v>38</v>
      </c>
      <c r="M622" s="5" t="s">
        <v>37</v>
      </c>
      <c r="N622" s="5" t="s">
        <v>37</v>
      </c>
      <c r="O622" s="5" t="s">
        <v>38</v>
      </c>
      <c r="P622" s="5" t="s">
        <v>39</v>
      </c>
      <c r="Q622" s="2">
        <v>45966</v>
      </c>
      <c r="V622" s="45">
        <f>IF(
  OR(
    ISNUMBER(SEARCH("unable to locate acct", tblDocketedComments[[#This Row],[Docketed Consumer Comments]])),
    ISNUMBER(SEARCH("unknown", tblDocketedComments[[#This Row],[Docketed Consumer Comments]])),
    ISNUMBER(SEARCH("inactive", tblDocketedComments[[#This Row],[Docketed Consumer Comments]]))
  ),
  0,
  1
)</f>
        <v>1</v>
      </c>
    </row>
    <row r="623" spans="1:22" hidden="1">
      <c r="A623" s="2">
        <v>45905</v>
      </c>
      <c r="B623" s="1" t="s">
        <v>1631</v>
      </c>
      <c r="C623" s="1" t="s">
        <v>1632</v>
      </c>
      <c r="D623" s="1" t="s">
        <v>202</v>
      </c>
      <c r="E623" s="1">
        <v>85383</v>
      </c>
      <c r="F623" s="1" t="s">
        <v>310</v>
      </c>
      <c r="G623" s="1" t="s">
        <v>1541</v>
      </c>
      <c r="H623" s="4" t="s">
        <v>6224</v>
      </c>
      <c r="I623" s="5" t="s">
        <v>196</v>
      </c>
      <c r="J623" s="5" t="s">
        <v>37</v>
      </c>
      <c r="K623" s="5" t="s">
        <v>37</v>
      </c>
      <c r="L623" s="5" t="s">
        <v>38</v>
      </c>
      <c r="M623" s="5" t="s">
        <v>37</v>
      </c>
      <c r="N623" s="5" t="s">
        <v>37</v>
      </c>
      <c r="O623" s="5" t="s">
        <v>38</v>
      </c>
      <c r="P623" s="5" t="s">
        <v>39</v>
      </c>
      <c r="Q623" s="2">
        <v>45966</v>
      </c>
      <c r="V623" s="45">
        <f>IF(
  OR(
    ISNUMBER(SEARCH("unable to locate acct", tblDocketedComments[[#This Row],[Docketed Consumer Comments]])),
    ISNUMBER(SEARCH("unknown", tblDocketedComments[[#This Row],[Docketed Consumer Comments]])),
    ISNUMBER(SEARCH("inactive", tblDocketedComments[[#This Row],[Docketed Consumer Comments]]))
  ),
  0,
  1
)</f>
        <v>1</v>
      </c>
    </row>
    <row r="624" spans="1:22" hidden="1">
      <c r="A624" s="2">
        <v>45905</v>
      </c>
      <c r="B624" s="1" t="s">
        <v>1041</v>
      </c>
      <c r="C624" s="1" t="s">
        <v>1633</v>
      </c>
      <c r="D624" s="1" t="s">
        <v>63</v>
      </c>
      <c r="E624" s="1">
        <v>85007</v>
      </c>
      <c r="F624" s="1" t="s">
        <v>310</v>
      </c>
      <c r="G624" s="1" t="s">
        <v>1541</v>
      </c>
      <c r="H624" s="4" t="s">
        <v>6225</v>
      </c>
      <c r="I624" s="5" t="s">
        <v>36</v>
      </c>
      <c r="J624" s="5" t="s">
        <v>37</v>
      </c>
      <c r="K624" s="5" t="s">
        <v>37</v>
      </c>
      <c r="L624" s="5" t="s">
        <v>38</v>
      </c>
      <c r="M624" s="5" t="s">
        <v>37</v>
      </c>
      <c r="N624" s="5" t="s">
        <v>37</v>
      </c>
      <c r="O624" s="5" t="s">
        <v>38</v>
      </c>
      <c r="P624" s="5" t="s">
        <v>39</v>
      </c>
      <c r="Q624" s="2">
        <v>45966</v>
      </c>
      <c r="V624" s="45">
        <f>IF(
  OR(
    ISNUMBER(SEARCH("unable to locate acct", tblDocketedComments[[#This Row],[Docketed Consumer Comments]])),
    ISNUMBER(SEARCH("unknown", tblDocketedComments[[#This Row],[Docketed Consumer Comments]])),
    ISNUMBER(SEARCH("inactive", tblDocketedComments[[#This Row],[Docketed Consumer Comments]]))
  ),
  0,
  1
)</f>
        <v>1</v>
      </c>
    </row>
    <row r="625" spans="1:22" hidden="1">
      <c r="A625" s="2">
        <v>45905</v>
      </c>
      <c r="B625" s="1" t="s">
        <v>1634</v>
      </c>
      <c r="C625" s="1" t="s">
        <v>1635</v>
      </c>
      <c r="D625" s="1" t="s">
        <v>112</v>
      </c>
      <c r="E625" s="1">
        <v>85379</v>
      </c>
      <c r="F625" s="1" t="s">
        <v>310</v>
      </c>
      <c r="G625" s="1" t="s">
        <v>1541</v>
      </c>
      <c r="H625" s="4" t="s">
        <v>6149</v>
      </c>
      <c r="I625" s="5" t="s">
        <v>196</v>
      </c>
      <c r="J625" s="5" t="s">
        <v>37</v>
      </c>
      <c r="K625" s="5" t="s">
        <v>37</v>
      </c>
      <c r="L625" s="5" t="s">
        <v>38</v>
      </c>
      <c r="M625" s="5" t="s">
        <v>38</v>
      </c>
      <c r="N625" s="13">
        <v>436.03</v>
      </c>
      <c r="O625" s="5" t="s">
        <v>38</v>
      </c>
      <c r="P625" s="5" t="s">
        <v>39</v>
      </c>
      <c r="Q625" s="2">
        <v>45966</v>
      </c>
      <c r="V625" s="45">
        <f>IF(
  OR(
    ISNUMBER(SEARCH("unable to locate acct", tblDocketedComments[[#This Row],[Docketed Consumer Comments]])),
    ISNUMBER(SEARCH("unknown", tblDocketedComments[[#This Row],[Docketed Consumer Comments]])),
    ISNUMBER(SEARCH("inactive", tblDocketedComments[[#This Row],[Docketed Consumer Comments]]))
  ),
  0,
  1
)</f>
        <v>1</v>
      </c>
    </row>
    <row r="626" spans="1:22" hidden="1">
      <c r="A626" s="2">
        <v>45905</v>
      </c>
      <c r="B626" s="1" t="s">
        <v>1636</v>
      </c>
      <c r="C626" s="1" t="s">
        <v>211</v>
      </c>
      <c r="D626" s="1" t="s">
        <v>169</v>
      </c>
      <c r="E626" s="1">
        <v>85395</v>
      </c>
      <c r="F626" s="1" t="s">
        <v>31</v>
      </c>
      <c r="G626" s="1" t="s">
        <v>1541</v>
      </c>
      <c r="H626" s="4" t="s">
        <v>6226</v>
      </c>
      <c r="I626" s="5" t="s">
        <v>36</v>
      </c>
      <c r="J626" s="5" t="s">
        <v>37</v>
      </c>
      <c r="K626" s="5" t="s">
        <v>37</v>
      </c>
      <c r="L626" s="5" t="s">
        <v>38</v>
      </c>
      <c r="M626" s="5" t="s">
        <v>37</v>
      </c>
      <c r="N626" s="5" t="s">
        <v>37</v>
      </c>
      <c r="O626" s="5" t="s">
        <v>38</v>
      </c>
      <c r="P626" s="5" t="s">
        <v>39</v>
      </c>
      <c r="Q626" s="2">
        <v>45966</v>
      </c>
      <c r="V626" s="45">
        <f>IF(
  OR(
    ISNUMBER(SEARCH("unable to locate acct", tblDocketedComments[[#This Row],[Docketed Consumer Comments]])),
    ISNUMBER(SEARCH("unknown", tblDocketedComments[[#This Row],[Docketed Consumer Comments]])),
    ISNUMBER(SEARCH("inactive", tblDocketedComments[[#This Row],[Docketed Consumer Comments]]))
  ),
  0,
  1
)</f>
        <v>1</v>
      </c>
    </row>
    <row r="627" spans="1:22" hidden="1">
      <c r="A627" s="2">
        <v>45905</v>
      </c>
      <c r="B627" s="1" t="s">
        <v>1637</v>
      </c>
      <c r="C627" s="1" t="s">
        <v>547</v>
      </c>
      <c r="D627" s="1" t="s">
        <v>632</v>
      </c>
      <c r="E627" s="1">
        <v>85288</v>
      </c>
      <c r="F627" s="1" t="s">
        <v>310</v>
      </c>
      <c r="G627" s="1" t="s">
        <v>1541</v>
      </c>
      <c r="H627" s="4" t="s">
        <v>6227</v>
      </c>
      <c r="I627" s="5" t="s">
        <v>73</v>
      </c>
      <c r="J627" s="5" t="s">
        <v>37</v>
      </c>
      <c r="K627" s="5" t="s">
        <v>37</v>
      </c>
      <c r="L627" s="5" t="s">
        <v>38</v>
      </c>
      <c r="M627" s="5" t="s">
        <v>37</v>
      </c>
      <c r="N627" s="5" t="s">
        <v>37</v>
      </c>
      <c r="O627" s="5" t="s">
        <v>38</v>
      </c>
      <c r="P627" s="5" t="s">
        <v>39</v>
      </c>
      <c r="Q627" s="2">
        <v>45966</v>
      </c>
      <c r="V627" s="45">
        <f>IF(
  OR(
    ISNUMBER(SEARCH("unable to locate acct", tblDocketedComments[[#This Row],[Docketed Consumer Comments]])),
    ISNUMBER(SEARCH("unknown", tblDocketedComments[[#This Row],[Docketed Consumer Comments]])),
    ISNUMBER(SEARCH("inactive", tblDocketedComments[[#This Row],[Docketed Consumer Comments]]))
  ),
  0,
  1
)</f>
        <v>1</v>
      </c>
    </row>
    <row r="628" spans="1:22" hidden="1">
      <c r="A628" s="2">
        <v>45905</v>
      </c>
      <c r="B628" s="1" t="s">
        <v>1638</v>
      </c>
      <c r="C628" s="1" t="s">
        <v>1639</v>
      </c>
      <c r="D628" s="1" t="s">
        <v>63</v>
      </c>
      <c r="E628" s="1">
        <v>85053</v>
      </c>
      <c r="F628" s="1" t="s">
        <v>310</v>
      </c>
      <c r="G628" s="1" t="s">
        <v>1541</v>
      </c>
      <c r="H628" s="4" t="s">
        <v>6228</v>
      </c>
      <c r="I628" s="5" t="s">
        <v>73</v>
      </c>
      <c r="J628" s="5" t="s">
        <v>37</v>
      </c>
      <c r="K628" s="5" t="s">
        <v>37</v>
      </c>
      <c r="L628" s="5" t="s">
        <v>38</v>
      </c>
      <c r="M628" s="5" t="s">
        <v>37</v>
      </c>
      <c r="N628" s="5" t="s">
        <v>37</v>
      </c>
      <c r="O628" s="5" t="s">
        <v>38</v>
      </c>
      <c r="P628" s="5" t="s">
        <v>39</v>
      </c>
      <c r="Q628" s="2">
        <v>45966</v>
      </c>
      <c r="V628" s="45">
        <f>IF(
  OR(
    ISNUMBER(SEARCH("unable to locate acct", tblDocketedComments[[#This Row],[Docketed Consumer Comments]])),
    ISNUMBER(SEARCH("unknown", tblDocketedComments[[#This Row],[Docketed Consumer Comments]])),
    ISNUMBER(SEARCH("inactive", tblDocketedComments[[#This Row],[Docketed Consumer Comments]]))
  ),
  0,
  1
)</f>
        <v>1</v>
      </c>
    </row>
    <row r="629" spans="1:22" hidden="1">
      <c r="A629" s="2">
        <v>45905</v>
      </c>
      <c r="B629" s="1" t="s">
        <v>1640</v>
      </c>
      <c r="C629" s="1" t="s">
        <v>1641</v>
      </c>
      <c r="D629" s="1" t="s">
        <v>734</v>
      </c>
      <c r="E629" s="1">
        <v>86326</v>
      </c>
      <c r="F629" s="1" t="s">
        <v>1642</v>
      </c>
      <c r="G629" s="1" t="s">
        <v>1541</v>
      </c>
      <c r="H629" s="4" t="s">
        <v>6229</v>
      </c>
      <c r="I629" s="5" t="s">
        <v>73</v>
      </c>
      <c r="J629" s="5" t="s">
        <v>38</v>
      </c>
      <c r="K629" s="5" t="s">
        <v>37</v>
      </c>
      <c r="L629" s="5" t="s">
        <v>38</v>
      </c>
      <c r="M629" s="5" t="s">
        <v>37</v>
      </c>
      <c r="N629" s="5" t="s">
        <v>37</v>
      </c>
      <c r="O629" s="5" t="s">
        <v>38</v>
      </c>
      <c r="P629" s="5" t="s">
        <v>39</v>
      </c>
      <c r="Q629" s="2">
        <v>45966</v>
      </c>
      <c r="V629" s="45">
        <f>IF(
  OR(
    ISNUMBER(SEARCH("unable to locate acct", tblDocketedComments[[#This Row],[Docketed Consumer Comments]])),
    ISNUMBER(SEARCH("unknown", tblDocketedComments[[#This Row],[Docketed Consumer Comments]])),
    ISNUMBER(SEARCH("inactive", tblDocketedComments[[#This Row],[Docketed Consumer Comments]]))
  ),
  0,
  1
)</f>
        <v>1</v>
      </c>
    </row>
    <row r="630" spans="1:22" hidden="1">
      <c r="A630" s="2">
        <v>45905</v>
      </c>
      <c r="B630" s="1" t="s">
        <v>1080</v>
      </c>
      <c r="C630" s="1" t="s">
        <v>1643</v>
      </c>
      <c r="D630" s="1" t="s">
        <v>63</v>
      </c>
      <c r="E630" s="1">
        <v>85054</v>
      </c>
      <c r="F630" s="1" t="s">
        <v>31</v>
      </c>
      <c r="G630" s="1" t="s">
        <v>1541</v>
      </c>
      <c r="H630" s="4" t="s">
        <v>27</v>
      </c>
      <c r="V630" s="45">
        <f>IF(
  OR(
    ISNUMBER(SEARCH("unable to locate acct", tblDocketedComments[[#This Row],[Docketed Consumer Comments]])),
    ISNUMBER(SEARCH("unknown", tblDocketedComments[[#This Row],[Docketed Consumer Comments]])),
    ISNUMBER(SEARCH("inactive", tblDocketedComments[[#This Row],[Docketed Consumer Comments]]))
  ),
  0,
  1
)</f>
        <v>1</v>
      </c>
    </row>
    <row r="631" spans="1:22" hidden="1">
      <c r="A631" s="2">
        <v>45905</v>
      </c>
      <c r="B631" s="1" t="s">
        <v>1644</v>
      </c>
      <c r="C631" s="1" t="s">
        <v>1645</v>
      </c>
      <c r="D631" s="1" t="s">
        <v>616</v>
      </c>
      <c r="E631" s="1">
        <v>85365</v>
      </c>
      <c r="F631" s="1" t="s">
        <v>310</v>
      </c>
      <c r="G631" s="1" t="s">
        <v>1541</v>
      </c>
      <c r="H631" s="4" t="s">
        <v>27</v>
      </c>
      <c r="V631" s="45">
        <f>IF(
  OR(
    ISNUMBER(SEARCH("unable to locate acct", tblDocketedComments[[#This Row],[Docketed Consumer Comments]])),
    ISNUMBER(SEARCH("unknown", tblDocketedComments[[#This Row],[Docketed Consumer Comments]])),
    ISNUMBER(SEARCH("inactive", tblDocketedComments[[#This Row],[Docketed Consumer Comments]]))
  ),
  0,
  1
)</f>
        <v>1</v>
      </c>
    </row>
    <row r="632" spans="1:22" hidden="1">
      <c r="A632" s="2">
        <v>45905</v>
      </c>
      <c r="B632" s="1" t="s">
        <v>1432</v>
      </c>
      <c r="C632" s="1" t="s">
        <v>687</v>
      </c>
      <c r="D632" s="1" t="s">
        <v>169</v>
      </c>
      <c r="E632" s="1">
        <v>85338</v>
      </c>
      <c r="F632" s="1" t="s">
        <v>1646</v>
      </c>
      <c r="G632" s="1" t="s">
        <v>1541</v>
      </c>
      <c r="H632" s="4" t="s">
        <v>716</v>
      </c>
      <c r="I632" s="5" t="s">
        <v>1507</v>
      </c>
      <c r="J632" s="5" t="s">
        <v>37</v>
      </c>
      <c r="K632" s="5" t="s">
        <v>37</v>
      </c>
      <c r="L632" s="5" t="s">
        <v>387</v>
      </c>
      <c r="M632" s="5" t="s">
        <v>37</v>
      </c>
      <c r="N632" s="5" t="s">
        <v>37</v>
      </c>
      <c r="O632" s="5" t="s">
        <v>38</v>
      </c>
      <c r="P632" s="5" t="s">
        <v>39</v>
      </c>
      <c r="Q632" s="2">
        <v>45966</v>
      </c>
      <c r="V632" s="45">
        <f>IF(
  OR(
    ISNUMBER(SEARCH("unable to locate acct", tblDocketedComments[[#This Row],[Docketed Consumer Comments]])),
    ISNUMBER(SEARCH("unknown", tblDocketedComments[[#This Row],[Docketed Consumer Comments]])),
    ISNUMBER(SEARCH("inactive", tblDocketedComments[[#This Row],[Docketed Consumer Comments]]))
  ),
  0,
  1
)</f>
        <v>1</v>
      </c>
    </row>
    <row r="633" spans="1:22" hidden="1">
      <c r="A633" s="2">
        <v>45905</v>
      </c>
      <c r="B633" s="1" t="s">
        <v>1647</v>
      </c>
      <c r="C633" s="1" t="s">
        <v>1648</v>
      </c>
      <c r="D633" s="1" t="s">
        <v>63</v>
      </c>
      <c r="E633" s="1">
        <v>85083</v>
      </c>
      <c r="F633" s="1" t="s">
        <v>310</v>
      </c>
      <c r="G633" s="1" t="s">
        <v>1541</v>
      </c>
      <c r="H633" s="21" t="s">
        <v>6025</v>
      </c>
      <c r="I633" s="5" t="s">
        <v>196</v>
      </c>
      <c r="J633" s="5" t="s">
        <v>37</v>
      </c>
      <c r="K633" s="5" t="s">
        <v>37</v>
      </c>
      <c r="L633" s="5" t="s">
        <v>1649</v>
      </c>
      <c r="M633" s="5" t="s">
        <v>37</v>
      </c>
      <c r="N633" s="5" t="s">
        <v>37</v>
      </c>
      <c r="O633" s="5" t="s">
        <v>38</v>
      </c>
      <c r="P633" s="5" t="s">
        <v>39</v>
      </c>
      <c r="Q633" s="2">
        <v>45966</v>
      </c>
      <c r="V633" s="45">
        <f>IF(
  OR(
    ISNUMBER(SEARCH("unable to locate acct", tblDocketedComments[[#This Row],[Docketed Consumer Comments]])),
    ISNUMBER(SEARCH("unknown", tblDocketedComments[[#This Row],[Docketed Consumer Comments]])),
    ISNUMBER(SEARCH("inactive", tblDocketedComments[[#This Row],[Docketed Consumer Comments]]))
  ),
  0,
  1
)</f>
        <v>1</v>
      </c>
    </row>
    <row r="634" spans="1:22" hidden="1">
      <c r="A634" s="2">
        <v>45905</v>
      </c>
      <c r="B634" s="1" t="s">
        <v>1650</v>
      </c>
      <c r="C634" s="1" t="s">
        <v>1651</v>
      </c>
      <c r="D634" s="1" t="s">
        <v>169</v>
      </c>
      <c r="E634" s="1">
        <v>85395</v>
      </c>
      <c r="F634" s="1" t="s">
        <v>1652</v>
      </c>
      <c r="G634" s="1" t="s">
        <v>1541</v>
      </c>
      <c r="H634" s="4" t="s">
        <v>6230</v>
      </c>
      <c r="I634" s="5" t="s">
        <v>1507</v>
      </c>
      <c r="J634" s="5" t="s">
        <v>37</v>
      </c>
      <c r="K634" s="5" t="s">
        <v>37</v>
      </c>
      <c r="L634" s="5" t="s">
        <v>38</v>
      </c>
      <c r="M634" s="5" t="s">
        <v>37</v>
      </c>
      <c r="N634" s="5" t="s">
        <v>37</v>
      </c>
      <c r="O634" s="5" t="s">
        <v>38</v>
      </c>
      <c r="P634" s="5" t="s">
        <v>39</v>
      </c>
      <c r="Q634" s="2">
        <v>45966</v>
      </c>
      <c r="V634" s="45">
        <f>IF(
  OR(
    ISNUMBER(SEARCH("unable to locate acct", tblDocketedComments[[#This Row],[Docketed Consumer Comments]])),
    ISNUMBER(SEARCH("unknown", tblDocketedComments[[#This Row],[Docketed Consumer Comments]])),
    ISNUMBER(SEARCH("inactive", tblDocketedComments[[#This Row],[Docketed Consumer Comments]]))
  ),
  0,
  1
)</f>
        <v>1</v>
      </c>
    </row>
    <row r="635" spans="1:22" hidden="1">
      <c r="A635" s="2">
        <v>45905</v>
      </c>
      <c r="B635" s="1" t="s">
        <v>1653</v>
      </c>
      <c r="C635" s="1" t="s">
        <v>1179</v>
      </c>
      <c r="D635" s="1" t="s">
        <v>169</v>
      </c>
      <c r="E635" s="1">
        <v>85395</v>
      </c>
      <c r="F635" s="1" t="s">
        <v>31</v>
      </c>
      <c r="G635" s="1" t="s">
        <v>1541</v>
      </c>
      <c r="H635" s="4" t="s">
        <v>6231</v>
      </c>
      <c r="I635" s="5" t="s">
        <v>243</v>
      </c>
      <c r="J635" s="5" t="s">
        <v>37</v>
      </c>
      <c r="K635" s="5" t="s">
        <v>37</v>
      </c>
      <c r="L635" s="5" t="s">
        <v>387</v>
      </c>
      <c r="M635" s="5" t="s">
        <v>37</v>
      </c>
      <c r="N635" s="5" t="s">
        <v>37</v>
      </c>
      <c r="O635" s="5" t="s">
        <v>38</v>
      </c>
      <c r="P635" s="5" t="s">
        <v>39</v>
      </c>
      <c r="Q635" s="2">
        <v>45966</v>
      </c>
      <c r="V635" s="45">
        <f>IF(
  OR(
    ISNUMBER(SEARCH("unable to locate acct", tblDocketedComments[[#This Row],[Docketed Consumer Comments]])),
    ISNUMBER(SEARCH("unknown", tblDocketedComments[[#This Row],[Docketed Consumer Comments]])),
    ISNUMBER(SEARCH("inactive", tblDocketedComments[[#This Row],[Docketed Consumer Comments]]))
  ),
  0,
  1
)</f>
        <v>1</v>
      </c>
    </row>
    <row r="636" spans="1:22" hidden="1">
      <c r="A636" s="2">
        <v>45905</v>
      </c>
      <c r="B636" s="1" t="s">
        <v>1654</v>
      </c>
      <c r="C636" s="1" t="s">
        <v>1566</v>
      </c>
      <c r="D636" s="1" t="s">
        <v>24</v>
      </c>
      <c r="E636" s="1">
        <v>85308</v>
      </c>
      <c r="F636" s="1" t="s">
        <v>310</v>
      </c>
      <c r="G636" s="1" t="s">
        <v>1541</v>
      </c>
      <c r="H636" s="4" t="s">
        <v>6026</v>
      </c>
      <c r="I636" s="5" t="s">
        <v>196</v>
      </c>
      <c r="J636" s="5" t="s">
        <v>37</v>
      </c>
      <c r="K636" s="5" t="s">
        <v>37</v>
      </c>
      <c r="L636" s="5" t="s">
        <v>1655</v>
      </c>
      <c r="M636" s="5" t="s">
        <v>37</v>
      </c>
      <c r="N636" s="5" t="s">
        <v>37</v>
      </c>
      <c r="O636" s="5" t="s">
        <v>38</v>
      </c>
      <c r="P636" s="5" t="s">
        <v>39</v>
      </c>
      <c r="Q636" s="2">
        <v>45966</v>
      </c>
      <c r="V636" s="45">
        <f>IF(
  OR(
    ISNUMBER(SEARCH("unable to locate acct", tblDocketedComments[[#This Row],[Docketed Consumer Comments]])),
    ISNUMBER(SEARCH("unknown", tblDocketedComments[[#This Row],[Docketed Consumer Comments]])),
    ISNUMBER(SEARCH("inactive", tblDocketedComments[[#This Row],[Docketed Consumer Comments]]))
  ),
  0,
  1
)</f>
        <v>1</v>
      </c>
    </row>
    <row r="637" spans="1:22" hidden="1">
      <c r="A637" s="2">
        <v>45905</v>
      </c>
      <c r="B637" s="1" t="s">
        <v>1656</v>
      </c>
      <c r="C637" s="1" t="s">
        <v>1495</v>
      </c>
      <c r="D637" s="1" t="s">
        <v>616</v>
      </c>
      <c r="E637" s="1">
        <v>85365</v>
      </c>
      <c r="F637" s="1" t="s">
        <v>1413</v>
      </c>
      <c r="G637" s="1" t="s">
        <v>1541</v>
      </c>
      <c r="H637" s="4" t="s">
        <v>6027</v>
      </c>
      <c r="I637" s="5" t="s">
        <v>57</v>
      </c>
      <c r="J637" s="5" t="s">
        <v>37</v>
      </c>
      <c r="K637" s="5" t="s">
        <v>37</v>
      </c>
      <c r="L637" s="7" t="s">
        <v>1657</v>
      </c>
      <c r="M637" s="5" t="s">
        <v>37</v>
      </c>
      <c r="N637" s="5" t="s">
        <v>37</v>
      </c>
      <c r="O637" s="5" t="s">
        <v>38</v>
      </c>
      <c r="Q637" s="2">
        <v>45966</v>
      </c>
      <c r="R637" s="20" t="s">
        <v>1658</v>
      </c>
      <c r="V637" s="45">
        <f>IF(
  OR(
    ISNUMBER(SEARCH("unable to locate acct", tblDocketedComments[[#This Row],[Docketed Consumer Comments]])),
    ISNUMBER(SEARCH("unknown", tblDocketedComments[[#This Row],[Docketed Consumer Comments]])),
    ISNUMBER(SEARCH("inactive", tblDocketedComments[[#This Row],[Docketed Consumer Comments]]))
  ),
  0,
  1
)</f>
        <v>1</v>
      </c>
    </row>
    <row r="638" spans="1:22" hidden="1">
      <c r="A638" s="2">
        <v>45905</v>
      </c>
      <c r="B638" s="1" t="s">
        <v>1659</v>
      </c>
      <c r="C638" s="1" t="s">
        <v>1660</v>
      </c>
      <c r="D638" s="1" t="s">
        <v>125</v>
      </c>
      <c r="E638" s="1">
        <v>85254</v>
      </c>
      <c r="F638" s="1" t="s">
        <v>31</v>
      </c>
      <c r="G638" s="1" t="s">
        <v>1541</v>
      </c>
      <c r="H638" s="4" t="s">
        <v>27</v>
      </c>
      <c r="V638" s="45">
        <f>IF(
  OR(
    ISNUMBER(SEARCH("unable to locate acct", tblDocketedComments[[#This Row],[Docketed Consumer Comments]])),
    ISNUMBER(SEARCH("unknown", tblDocketedComments[[#This Row],[Docketed Consumer Comments]])),
    ISNUMBER(SEARCH("inactive", tblDocketedComments[[#This Row],[Docketed Consumer Comments]]))
  ),
  0,
  1
)</f>
        <v>1</v>
      </c>
    </row>
    <row r="639" spans="1:22" hidden="1">
      <c r="A639" s="2">
        <v>45905</v>
      </c>
      <c r="B639" s="1" t="s">
        <v>1661</v>
      </c>
      <c r="C639" s="1" t="s">
        <v>744</v>
      </c>
      <c r="D639" s="1" t="s">
        <v>202</v>
      </c>
      <c r="E639" s="1">
        <v>85383</v>
      </c>
      <c r="F639" s="1" t="s">
        <v>31</v>
      </c>
      <c r="G639" s="1" t="s">
        <v>1541</v>
      </c>
      <c r="H639" s="4" t="s">
        <v>6232</v>
      </c>
      <c r="I639" s="5" t="s">
        <v>1662</v>
      </c>
      <c r="J639" s="5" t="s">
        <v>37</v>
      </c>
      <c r="K639" s="5" t="s">
        <v>37</v>
      </c>
      <c r="L639" s="5" t="s">
        <v>38</v>
      </c>
      <c r="M639" s="5" t="s">
        <v>37</v>
      </c>
      <c r="N639" s="5" t="s">
        <v>37</v>
      </c>
      <c r="O639" s="5" t="s">
        <v>38</v>
      </c>
      <c r="P639" s="5" t="s">
        <v>39</v>
      </c>
      <c r="Q639" s="2">
        <v>45966</v>
      </c>
      <c r="V639" s="45">
        <f>IF(
  OR(
    ISNUMBER(SEARCH("unable to locate acct", tblDocketedComments[[#This Row],[Docketed Consumer Comments]])),
    ISNUMBER(SEARCH("unknown", tblDocketedComments[[#This Row],[Docketed Consumer Comments]])),
    ISNUMBER(SEARCH("inactive", tblDocketedComments[[#This Row],[Docketed Consumer Comments]]))
  ),
  0,
  1
)</f>
        <v>1</v>
      </c>
    </row>
    <row r="640" spans="1:22" hidden="1">
      <c r="A640" s="2">
        <v>45905</v>
      </c>
      <c r="B640" s="1" t="s">
        <v>1663</v>
      </c>
      <c r="C640" s="1" t="s">
        <v>1664</v>
      </c>
      <c r="D640" s="1" t="s">
        <v>63</v>
      </c>
      <c r="E640" s="1">
        <v>85024</v>
      </c>
      <c r="F640" s="1" t="s">
        <v>1665</v>
      </c>
      <c r="G640" s="1" t="s">
        <v>1541</v>
      </c>
      <c r="H640" s="4" t="s">
        <v>6233</v>
      </c>
      <c r="I640" s="5" t="s">
        <v>46</v>
      </c>
      <c r="J640" s="5" t="s">
        <v>37</v>
      </c>
      <c r="K640" s="5" t="s">
        <v>37</v>
      </c>
      <c r="L640" s="5" t="s">
        <v>38</v>
      </c>
      <c r="M640" s="5" t="s">
        <v>37</v>
      </c>
      <c r="N640" s="5" t="s">
        <v>37</v>
      </c>
      <c r="O640" s="5" t="s">
        <v>38</v>
      </c>
      <c r="P640" s="5" t="s">
        <v>39</v>
      </c>
      <c r="Q640" s="2">
        <v>45966</v>
      </c>
      <c r="V640" s="45">
        <f>IF(
  OR(
    ISNUMBER(SEARCH("unable to locate acct", tblDocketedComments[[#This Row],[Docketed Consumer Comments]])),
    ISNUMBER(SEARCH("unknown", tblDocketedComments[[#This Row],[Docketed Consumer Comments]])),
    ISNUMBER(SEARCH("inactive", tblDocketedComments[[#This Row],[Docketed Consumer Comments]]))
  ),
  0,
  1
)</f>
        <v>1</v>
      </c>
    </row>
    <row r="641" spans="1:22" hidden="1">
      <c r="A641" s="2">
        <v>45905</v>
      </c>
      <c r="B641" s="1" t="s">
        <v>1666</v>
      </c>
      <c r="C641" s="1" t="s">
        <v>1667</v>
      </c>
      <c r="D641" s="1" t="s">
        <v>169</v>
      </c>
      <c r="E641" s="1">
        <v>85395</v>
      </c>
      <c r="F641" s="1" t="s">
        <v>1668</v>
      </c>
      <c r="G641" s="1" t="s">
        <v>1541</v>
      </c>
      <c r="H641" s="4" t="s">
        <v>6234</v>
      </c>
      <c r="I641" s="5" t="s">
        <v>538</v>
      </c>
      <c r="J641" s="5" t="s">
        <v>37</v>
      </c>
      <c r="K641" s="5" t="s">
        <v>37</v>
      </c>
      <c r="L641" s="5" t="s">
        <v>387</v>
      </c>
      <c r="M641" s="5" t="s">
        <v>37</v>
      </c>
      <c r="N641" s="5" t="s">
        <v>37</v>
      </c>
      <c r="O641" s="5" t="s">
        <v>38</v>
      </c>
      <c r="P641" s="5" t="s">
        <v>39</v>
      </c>
      <c r="Q641" s="2">
        <v>45966</v>
      </c>
      <c r="V641" s="45">
        <f>IF(
  OR(
    ISNUMBER(SEARCH("unable to locate acct", tblDocketedComments[[#This Row],[Docketed Consumer Comments]])),
    ISNUMBER(SEARCH("unknown", tblDocketedComments[[#This Row],[Docketed Consumer Comments]])),
    ISNUMBER(SEARCH("inactive", tblDocketedComments[[#This Row],[Docketed Consumer Comments]]))
  ),
  0,
  1
)</f>
        <v>1</v>
      </c>
    </row>
    <row r="642" spans="1:22" hidden="1">
      <c r="A642" s="2">
        <v>45905</v>
      </c>
      <c r="B642" s="1" t="s">
        <v>1669</v>
      </c>
      <c r="C642" s="1" t="s">
        <v>786</v>
      </c>
      <c r="D642" s="1" t="s">
        <v>632</v>
      </c>
      <c r="E642" s="1">
        <v>85281</v>
      </c>
      <c r="F642" s="1" t="s">
        <v>310</v>
      </c>
      <c r="G642" s="1" t="s">
        <v>1541</v>
      </c>
      <c r="H642" s="4" t="s">
        <v>6028</v>
      </c>
      <c r="I642" s="5" t="s">
        <v>126</v>
      </c>
      <c r="J642" s="5" t="s">
        <v>37</v>
      </c>
      <c r="K642" s="5" t="s">
        <v>37</v>
      </c>
      <c r="L642" s="5" t="s">
        <v>1670</v>
      </c>
      <c r="M642" s="5" t="s">
        <v>37</v>
      </c>
      <c r="N642" s="5" t="s">
        <v>37</v>
      </c>
      <c r="O642" s="5" t="s">
        <v>38</v>
      </c>
      <c r="P642" s="5" t="s">
        <v>39</v>
      </c>
      <c r="Q642" s="2">
        <v>45966</v>
      </c>
      <c r="V642" s="45">
        <f>IF(
  OR(
    ISNUMBER(SEARCH("unable to locate acct", tblDocketedComments[[#This Row],[Docketed Consumer Comments]])),
    ISNUMBER(SEARCH("unknown", tblDocketedComments[[#This Row],[Docketed Consumer Comments]])),
    ISNUMBER(SEARCH("inactive", tblDocketedComments[[#This Row],[Docketed Consumer Comments]]))
  ),
  0,
  1
)</f>
        <v>1</v>
      </c>
    </row>
    <row r="643" spans="1:22" hidden="1">
      <c r="A643" s="2">
        <v>45905</v>
      </c>
      <c r="B643" s="1" t="s">
        <v>1671</v>
      </c>
      <c r="C643" s="1" t="s">
        <v>1672</v>
      </c>
      <c r="D643" s="1" t="s">
        <v>63</v>
      </c>
      <c r="E643" s="1">
        <v>85007</v>
      </c>
      <c r="F643" s="1" t="s">
        <v>31</v>
      </c>
      <c r="G643" s="1" t="s">
        <v>1541</v>
      </c>
      <c r="H643" s="4" t="s">
        <v>6235</v>
      </c>
      <c r="I643" s="5" t="s">
        <v>36</v>
      </c>
      <c r="J643" s="5" t="s">
        <v>37</v>
      </c>
      <c r="K643" s="5" t="s">
        <v>37</v>
      </c>
      <c r="L643" s="5" t="s">
        <v>38</v>
      </c>
      <c r="M643" s="5" t="s">
        <v>37</v>
      </c>
      <c r="N643" s="5" t="s">
        <v>37</v>
      </c>
      <c r="O643" s="5" t="s">
        <v>38</v>
      </c>
      <c r="P643" s="5" t="s">
        <v>39</v>
      </c>
      <c r="Q643" s="2">
        <v>45966</v>
      </c>
      <c r="V643" s="45">
        <f>IF(
  OR(
    ISNUMBER(SEARCH("unable to locate acct", tblDocketedComments[[#This Row],[Docketed Consumer Comments]])),
    ISNUMBER(SEARCH("unknown", tblDocketedComments[[#This Row],[Docketed Consumer Comments]])),
    ISNUMBER(SEARCH("inactive", tblDocketedComments[[#This Row],[Docketed Consumer Comments]]))
  ),
  0,
  1
)</f>
        <v>1</v>
      </c>
    </row>
    <row r="644" spans="1:22" hidden="1">
      <c r="A644" s="2">
        <v>45905</v>
      </c>
      <c r="B644" s="1" t="s">
        <v>1673</v>
      </c>
      <c r="C644" s="1" t="s">
        <v>131</v>
      </c>
      <c r="D644" s="1" t="s">
        <v>632</v>
      </c>
      <c r="E644" s="1">
        <v>85288</v>
      </c>
      <c r="F644" s="1" t="s">
        <v>31</v>
      </c>
      <c r="G644" s="1" t="s">
        <v>1541</v>
      </c>
      <c r="H644" s="4" t="s">
        <v>6029</v>
      </c>
      <c r="I644" s="5" t="s">
        <v>196</v>
      </c>
      <c r="J644" s="5" t="s">
        <v>37</v>
      </c>
      <c r="K644" s="5" t="s">
        <v>37</v>
      </c>
      <c r="L644" s="7" t="s">
        <v>1674</v>
      </c>
      <c r="M644" s="5" t="s">
        <v>37</v>
      </c>
      <c r="N644" s="5" t="s">
        <v>37</v>
      </c>
      <c r="O644" s="5" t="s">
        <v>38</v>
      </c>
      <c r="P644" s="2">
        <v>45936</v>
      </c>
      <c r="Q644" s="2">
        <v>45966</v>
      </c>
      <c r="R644" s="1" t="s">
        <v>1548</v>
      </c>
      <c r="V644" s="45">
        <f>IF(
  OR(
    ISNUMBER(SEARCH("unable to locate acct", tblDocketedComments[[#This Row],[Docketed Consumer Comments]])),
    ISNUMBER(SEARCH("unknown", tblDocketedComments[[#This Row],[Docketed Consumer Comments]])),
    ISNUMBER(SEARCH("inactive", tblDocketedComments[[#This Row],[Docketed Consumer Comments]]))
  ),
  0,
  1
)</f>
        <v>1</v>
      </c>
    </row>
    <row r="645" spans="1:22" hidden="1">
      <c r="A645" s="2">
        <v>45905</v>
      </c>
      <c r="B645" s="1" t="s">
        <v>1675</v>
      </c>
      <c r="C645" s="1" t="s">
        <v>139</v>
      </c>
      <c r="D645" s="1" t="s">
        <v>63</v>
      </c>
      <c r="E645" s="1">
        <v>85032</v>
      </c>
      <c r="F645" s="1" t="s">
        <v>1676</v>
      </c>
      <c r="G645" s="1" t="s">
        <v>1541</v>
      </c>
      <c r="H645" s="4" t="s">
        <v>6539</v>
      </c>
      <c r="I645" s="5" t="s">
        <v>73</v>
      </c>
      <c r="J645" s="5" t="s">
        <v>37</v>
      </c>
      <c r="K645" s="5" t="s">
        <v>37</v>
      </c>
      <c r="L645" s="5" t="s">
        <v>38</v>
      </c>
      <c r="M645" s="5" t="s">
        <v>37</v>
      </c>
      <c r="N645" s="5" t="s">
        <v>37</v>
      </c>
      <c r="O645" s="5" t="s">
        <v>38</v>
      </c>
      <c r="P645" s="5" t="s">
        <v>39</v>
      </c>
      <c r="Q645" s="2">
        <v>45966</v>
      </c>
      <c r="V645" s="45">
        <f>IF(
  OR(
    ISNUMBER(SEARCH("unable to locate acct", tblDocketedComments[[#This Row],[Docketed Consumer Comments]])),
    ISNUMBER(SEARCH("unknown", tblDocketedComments[[#This Row],[Docketed Consumer Comments]])),
    ISNUMBER(SEARCH("inactive", tblDocketedComments[[#This Row],[Docketed Consumer Comments]]))
  ),
  0,
  1
)</f>
        <v>1</v>
      </c>
    </row>
    <row r="646" spans="1:22" hidden="1">
      <c r="A646" s="2">
        <v>45905</v>
      </c>
      <c r="B646" s="1" t="s">
        <v>1677</v>
      </c>
      <c r="C646" s="1" t="s">
        <v>1678</v>
      </c>
      <c r="D646" s="1" t="s">
        <v>169</v>
      </c>
      <c r="E646" s="1">
        <v>85338</v>
      </c>
      <c r="F646" s="1" t="s">
        <v>310</v>
      </c>
      <c r="G646" s="1" t="s">
        <v>1541</v>
      </c>
      <c r="H646" s="4" t="s">
        <v>27</v>
      </c>
      <c r="V646" s="45">
        <f>IF(
  OR(
    ISNUMBER(SEARCH("unable to locate acct", tblDocketedComments[[#This Row],[Docketed Consumer Comments]])),
    ISNUMBER(SEARCH("unknown", tblDocketedComments[[#This Row],[Docketed Consumer Comments]])),
    ISNUMBER(SEARCH("inactive", tblDocketedComments[[#This Row],[Docketed Consumer Comments]]))
  ),
  0,
  1
)</f>
        <v>1</v>
      </c>
    </row>
    <row r="647" spans="1:22" hidden="1">
      <c r="A647" s="2">
        <v>45905</v>
      </c>
      <c r="B647" s="1" t="s">
        <v>389</v>
      </c>
      <c r="C647" s="1" t="s">
        <v>883</v>
      </c>
      <c r="D647" s="1" t="s">
        <v>85</v>
      </c>
      <c r="E647" s="1">
        <v>86323</v>
      </c>
      <c r="F647" s="1" t="s">
        <v>31</v>
      </c>
      <c r="G647" s="1" t="s">
        <v>1541</v>
      </c>
      <c r="H647" s="4" t="s">
        <v>6236</v>
      </c>
      <c r="I647" s="5" t="s">
        <v>36</v>
      </c>
      <c r="J647" s="5" t="s">
        <v>37</v>
      </c>
      <c r="K647" s="5" t="s">
        <v>37</v>
      </c>
      <c r="L647" s="5" t="s">
        <v>38</v>
      </c>
      <c r="M647" s="5" t="s">
        <v>37</v>
      </c>
      <c r="N647" s="5" t="s">
        <v>37</v>
      </c>
      <c r="O647" s="5" t="s">
        <v>38</v>
      </c>
      <c r="P647" s="5" t="s">
        <v>39</v>
      </c>
      <c r="Q647" s="2">
        <v>45966</v>
      </c>
      <c r="V647" s="45">
        <f>IF(
  OR(
    ISNUMBER(SEARCH("unable to locate acct", tblDocketedComments[[#This Row],[Docketed Consumer Comments]])),
    ISNUMBER(SEARCH("unknown", tblDocketedComments[[#This Row],[Docketed Consumer Comments]])),
    ISNUMBER(SEARCH("inactive", tblDocketedComments[[#This Row],[Docketed Consumer Comments]]))
  ),
  0,
  1
)</f>
        <v>1</v>
      </c>
    </row>
    <row r="648" spans="1:22" hidden="1">
      <c r="A648" s="2">
        <v>45905</v>
      </c>
      <c r="B648" s="1" t="s">
        <v>429</v>
      </c>
      <c r="C648" s="1" t="s">
        <v>329</v>
      </c>
      <c r="D648" s="1" t="s">
        <v>63</v>
      </c>
      <c r="E648" s="1">
        <v>85032</v>
      </c>
      <c r="F648" s="1" t="s">
        <v>310</v>
      </c>
      <c r="G648" s="1" t="s">
        <v>1541</v>
      </c>
      <c r="H648" s="4" t="s">
        <v>6237</v>
      </c>
      <c r="I648" s="5" t="s">
        <v>73</v>
      </c>
      <c r="J648" s="5" t="s">
        <v>37</v>
      </c>
      <c r="K648" s="5" t="s">
        <v>37</v>
      </c>
      <c r="L648" s="5" t="s">
        <v>38</v>
      </c>
      <c r="M648" s="5" t="s">
        <v>37</v>
      </c>
      <c r="N648" s="5" t="s">
        <v>37</v>
      </c>
      <c r="O648" s="5" t="s">
        <v>38</v>
      </c>
      <c r="P648" s="5" t="s">
        <v>39</v>
      </c>
      <c r="Q648" s="2">
        <v>45966</v>
      </c>
      <c r="V648" s="45">
        <f>IF(
  OR(
    ISNUMBER(SEARCH("unable to locate acct", tblDocketedComments[[#This Row],[Docketed Consumer Comments]])),
    ISNUMBER(SEARCH("unknown", tblDocketedComments[[#This Row],[Docketed Consumer Comments]])),
    ISNUMBER(SEARCH("inactive", tblDocketedComments[[#This Row],[Docketed Consumer Comments]]))
  ),
  0,
  1
)</f>
        <v>1</v>
      </c>
    </row>
    <row r="649" spans="1:22" hidden="1">
      <c r="A649" s="2">
        <v>45905</v>
      </c>
      <c r="B649" s="1" t="s">
        <v>1679</v>
      </c>
      <c r="C649" s="1" t="s">
        <v>1680</v>
      </c>
      <c r="D649" s="1" t="s">
        <v>1681</v>
      </c>
      <c r="E649" s="1">
        <v>85202</v>
      </c>
      <c r="F649" s="1" t="s">
        <v>31</v>
      </c>
      <c r="G649" s="1" t="s">
        <v>1541</v>
      </c>
      <c r="H649" s="4" t="s">
        <v>90</v>
      </c>
      <c r="V649" s="45">
        <f>IF(
  OR(
    ISNUMBER(SEARCH("unable to locate acct", tblDocketedComments[[#This Row],[Docketed Consumer Comments]])),
    ISNUMBER(SEARCH("unknown", tblDocketedComments[[#This Row],[Docketed Consumer Comments]])),
    ISNUMBER(SEARCH("inactive", tblDocketedComments[[#This Row],[Docketed Consumer Comments]]))
  ),
  0,
  1
)</f>
        <v>1</v>
      </c>
    </row>
    <row r="650" spans="1:22" hidden="1">
      <c r="A650" s="2">
        <v>45905</v>
      </c>
      <c r="B650" s="1" t="s">
        <v>1682</v>
      </c>
      <c r="C650" s="1" t="s">
        <v>1683</v>
      </c>
      <c r="D650" s="1" t="s">
        <v>63</v>
      </c>
      <c r="E650" s="1">
        <v>85012</v>
      </c>
      <c r="F650" s="1" t="s">
        <v>310</v>
      </c>
      <c r="G650" s="1" t="s">
        <v>1541</v>
      </c>
      <c r="H650" s="4" t="s">
        <v>6238</v>
      </c>
      <c r="I650" s="5" t="s">
        <v>73</v>
      </c>
      <c r="J650" s="5" t="s">
        <v>37</v>
      </c>
      <c r="K650" s="5" t="s">
        <v>37</v>
      </c>
      <c r="L650" s="5" t="s">
        <v>38</v>
      </c>
      <c r="M650" s="5" t="s">
        <v>37</v>
      </c>
      <c r="N650" s="5" t="s">
        <v>37</v>
      </c>
      <c r="O650" s="5" t="s">
        <v>38</v>
      </c>
      <c r="P650" s="5" t="s">
        <v>39</v>
      </c>
      <c r="Q650" s="2">
        <v>45966</v>
      </c>
      <c r="V650" s="45">
        <f>IF(
  OR(
    ISNUMBER(SEARCH("unable to locate acct", tblDocketedComments[[#This Row],[Docketed Consumer Comments]])),
    ISNUMBER(SEARCH("unknown", tblDocketedComments[[#This Row],[Docketed Consumer Comments]])),
    ISNUMBER(SEARCH("inactive", tblDocketedComments[[#This Row],[Docketed Consumer Comments]]))
  ),
  0,
  1
)</f>
        <v>1</v>
      </c>
    </row>
    <row r="651" spans="1:22" hidden="1">
      <c r="A651" s="2">
        <v>45905</v>
      </c>
      <c r="B651" s="1" t="s">
        <v>1684</v>
      </c>
      <c r="C651" s="1" t="s">
        <v>1685</v>
      </c>
      <c r="D651" s="1" t="s">
        <v>63</v>
      </c>
      <c r="E651" s="1">
        <v>85086</v>
      </c>
      <c r="F651" s="1" t="s">
        <v>31</v>
      </c>
      <c r="G651" s="1" t="s">
        <v>1541</v>
      </c>
      <c r="H651" s="4" t="s">
        <v>6239</v>
      </c>
      <c r="I651" s="5" t="s">
        <v>36</v>
      </c>
      <c r="J651" s="5" t="s">
        <v>37</v>
      </c>
      <c r="K651" s="5" t="s">
        <v>37</v>
      </c>
      <c r="L651" s="5" t="s">
        <v>38</v>
      </c>
      <c r="M651" s="5" t="s">
        <v>37</v>
      </c>
      <c r="N651" s="5" t="s">
        <v>37</v>
      </c>
      <c r="O651" s="5" t="s">
        <v>38</v>
      </c>
      <c r="P651" s="5" t="s">
        <v>39</v>
      </c>
      <c r="Q651" s="2">
        <v>45966</v>
      </c>
      <c r="V651" s="45">
        <f>IF(
  OR(
    ISNUMBER(SEARCH("unable to locate acct", tblDocketedComments[[#This Row],[Docketed Consumer Comments]])),
    ISNUMBER(SEARCH("unknown", tblDocketedComments[[#This Row],[Docketed Consumer Comments]])),
    ISNUMBER(SEARCH("inactive", tblDocketedComments[[#This Row],[Docketed Consumer Comments]]))
  ),
  0,
  1
)</f>
        <v>1</v>
      </c>
    </row>
    <row r="652" spans="1:22" hidden="1">
      <c r="A652" s="2">
        <v>45905</v>
      </c>
      <c r="B652" s="1" t="s">
        <v>1686</v>
      </c>
      <c r="C652" s="1" t="s">
        <v>397</v>
      </c>
      <c r="D652" s="1" t="s">
        <v>501</v>
      </c>
      <c r="E652" s="1">
        <v>86001</v>
      </c>
      <c r="F652" s="1" t="s">
        <v>31</v>
      </c>
      <c r="G652" s="1" t="s">
        <v>1541</v>
      </c>
      <c r="H652" s="4" t="s">
        <v>6030</v>
      </c>
      <c r="I652" s="5" t="s">
        <v>196</v>
      </c>
      <c r="J652" s="5" t="s">
        <v>37</v>
      </c>
      <c r="K652" s="5" t="s">
        <v>37</v>
      </c>
      <c r="L652" s="5" t="s">
        <v>1687</v>
      </c>
      <c r="M652" s="5" t="s">
        <v>37</v>
      </c>
      <c r="N652" s="5" t="s">
        <v>37</v>
      </c>
      <c r="O652" s="5" t="s">
        <v>38</v>
      </c>
      <c r="P652" s="5" t="s">
        <v>39</v>
      </c>
      <c r="Q652" s="2">
        <v>45966</v>
      </c>
      <c r="V652" s="45">
        <f>IF(
  OR(
    ISNUMBER(SEARCH("unable to locate acct", tblDocketedComments[[#This Row],[Docketed Consumer Comments]])),
    ISNUMBER(SEARCH("unknown", tblDocketedComments[[#This Row],[Docketed Consumer Comments]])),
    ISNUMBER(SEARCH("inactive", tblDocketedComments[[#This Row],[Docketed Consumer Comments]]))
  ),
  0,
  1
)</f>
        <v>1</v>
      </c>
    </row>
    <row r="653" spans="1:22" hidden="1">
      <c r="A653" s="2">
        <v>45905</v>
      </c>
      <c r="B653" s="1" t="s">
        <v>1688</v>
      </c>
      <c r="C653" s="1" t="s">
        <v>1689</v>
      </c>
      <c r="D653" s="1" t="s">
        <v>63</v>
      </c>
      <c r="E653" s="1">
        <v>85020</v>
      </c>
      <c r="F653" s="1" t="s">
        <v>310</v>
      </c>
      <c r="G653" s="1" t="s">
        <v>1541</v>
      </c>
      <c r="H653" s="4" t="s">
        <v>6240</v>
      </c>
      <c r="I653" s="5" t="s">
        <v>73</v>
      </c>
      <c r="J653" s="5" t="s">
        <v>37</v>
      </c>
      <c r="K653" s="5" t="s">
        <v>37</v>
      </c>
      <c r="L653" s="5" t="s">
        <v>38</v>
      </c>
      <c r="M653" s="5" t="s">
        <v>37</v>
      </c>
      <c r="N653" s="5" t="s">
        <v>37</v>
      </c>
      <c r="O653" s="5" t="s">
        <v>38</v>
      </c>
      <c r="P653" s="5" t="s">
        <v>39</v>
      </c>
      <c r="Q653" s="2">
        <v>45966</v>
      </c>
      <c r="V653" s="45">
        <f>IF(
  OR(
    ISNUMBER(SEARCH("unable to locate acct", tblDocketedComments[[#This Row],[Docketed Consumer Comments]])),
    ISNUMBER(SEARCH("unknown", tblDocketedComments[[#This Row],[Docketed Consumer Comments]])),
    ISNUMBER(SEARCH("inactive", tblDocketedComments[[#This Row],[Docketed Consumer Comments]]))
  ),
  0,
  1
)</f>
        <v>1</v>
      </c>
    </row>
    <row r="654" spans="1:22" hidden="1">
      <c r="A654" s="2">
        <v>45905</v>
      </c>
      <c r="B654" s="1" t="s">
        <v>1690</v>
      </c>
      <c r="C654" s="1" t="s">
        <v>1456</v>
      </c>
      <c r="D654" s="1" t="s">
        <v>63</v>
      </c>
      <c r="E654" s="1">
        <v>85020</v>
      </c>
      <c r="F654" s="1" t="s">
        <v>1691</v>
      </c>
      <c r="G654" s="1" t="s">
        <v>1541</v>
      </c>
      <c r="H654" s="4" t="s">
        <v>6031</v>
      </c>
      <c r="I654" s="5" t="s">
        <v>36</v>
      </c>
      <c r="J654" s="5" t="s">
        <v>37</v>
      </c>
      <c r="K654" s="5" t="s">
        <v>37</v>
      </c>
      <c r="L654" s="7" t="s">
        <v>1692</v>
      </c>
      <c r="M654" s="5" t="s">
        <v>37</v>
      </c>
      <c r="N654" s="5" t="s">
        <v>37</v>
      </c>
      <c r="O654" s="5" t="s">
        <v>38</v>
      </c>
      <c r="P654" s="5" t="s">
        <v>39</v>
      </c>
      <c r="Q654" s="2">
        <v>45966</v>
      </c>
      <c r="R654" s="1" t="s">
        <v>1693</v>
      </c>
      <c r="V654" s="45">
        <f>IF(
  OR(
    ISNUMBER(SEARCH("unable to locate acct", tblDocketedComments[[#This Row],[Docketed Consumer Comments]])),
    ISNUMBER(SEARCH("unknown", tblDocketedComments[[#This Row],[Docketed Consumer Comments]])),
    ISNUMBER(SEARCH("inactive", tblDocketedComments[[#This Row],[Docketed Consumer Comments]]))
  ),
  0,
  1
)</f>
        <v>1</v>
      </c>
    </row>
    <row r="655" spans="1:22" hidden="1">
      <c r="A655" s="2">
        <v>45905</v>
      </c>
      <c r="B655" s="1" t="s">
        <v>1694</v>
      </c>
      <c r="C655" s="1" t="s">
        <v>194</v>
      </c>
      <c r="D655" s="1" t="s">
        <v>63</v>
      </c>
      <c r="E655" s="1">
        <v>85023</v>
      </c>
      <c r="F655" s="1" t="s">
        <v>1695</v>
      </c>
      <c r="G655" s="1" t="s">
        <v>1541</v>
      </c>
      <c r="H655" s="4" t="s">
        <v>6241</v>
      </c>
      <c r="I655" s="5" t="s">
        <v>243</v>
      </c>
      <c r="J655" s="5" t="s">
        <v>37</v>
      </c>
      <c r="K655" s="5" t="s">
        <v>37</v>
      </c>
      <c r="L655" s="5" t="s">
        <v>387</v>
      </c>
      <c r="M655" s="5" t="s">
        <v>37</v>
      </c>
      <c r="N655" s="5" t="s">
        <v>37</v>
      </c>
      <c r="O655" s="5" t="s">
        <v>38</v>
      </c>
      <c r="P655" s="5" t="s">
        <v>39</v>
      </c>
      <c r="Q655" s="2">
        <v>45966</v>
      </c>
      <c r="V655" s="45">
        <f>IF(
  OR(
    ISNUMBER(SEARCH("unable to locate acct", tblDocketedComments[[#This Row],[Docketed Consumer Comments]])),
    ISNUMBER(SEARCH("unknown", tblDocketedComments[[#This Row],[Docketed Consumer Comments]])),
    ISNUMBER(SEARCH("inactive", tblDocketedComments[[#This Row],[Docketed Consumer Comments]]))
  ),
  0,
  1
)</f>
        <v>1</v>
      </c>
    </row>
    <row r="656" spans="1:22" hidden="1">
      <c r="A656" s="2">
        <v>45905</v>
      </c>
      <c r="B656" s="1" t="s">
        <v>1696</v>
      </c>
      <c r="C656" s="1" t="s">
        <v>1697</v>
      </c>
      <c r="D656" s="1" t="s">
        <v>63</v>
      </c>
      <c r="E656" s="1">
        <v>85020</v>
      </c>
      <c r="F656" s="1" t="s">
        <v>310</v>
      </c>
      <c r="G656" s="1" t="s">
        <v>1541</v>
      </c>
      <c r="H656" s="4" t="s">
        <v>6032</v>
      </c>
      <c r="I656" s="5" t="s">
        <v>196</v>
      </c>
      <c r="J656" s="5" t="s">
        <v>37</v>
      </c>
      <c r="K656" s="5" t="s">
        <v>37</v>
      </c>
      <c r="L656" s="7" t="s">
        <v>1698</v>
      </c>
      <c r="M656" s="5" t="s">
        <v>37</v>
      </c>
      <c r="N656" s="5" t="s">
        <v>37</v>
      </c>
      <c r="O656" s="5" t="s">
        <v>38</v>
      </c>
      <c r="P656" s="5" t="s">
        <v>39</v>
      </c>
      <c r="Q656" s="2">
        <v>45966</v>
      </c>
      <c r="R656" s="1" t="s">
        <v>1699</v>
      </c>
      <c r="V656" s="45">
        <f>IF(
  OR(
    ISNUMBER(SEARCH("unable to locate acct", tblDocketedComments[[#This Row],[Docketed Consumer Comments]])),
    ISNUMBER(SEARCH("unknown", tblDocketedComments[[#This Row],[Docketed Consumer Comments]])),
    ISNUMBER(SEARCH("inactive", tblDocketedComments[[#This Row],[Docketed Consumer Comments]]))
  ),
  0,
  1
)</f>
        <v>1</v>
      </c>
    </row>
    <row r="657" spans="1:22" hidden="1">
      <c r="A657" s="2">
        <v>45905</v>
      </c>
      <c r="B657" s="1" t="s">
        <v>1700</v>
      </c>
      <c r="C657" s="1" t="s">
        <v>284</v>
      </c>
      <c r="D657" s="1" t="s">
        <v>169</v>
      </c>
      <c r="E657" s="1">
        <v>85395</v>
      </c>
      <c r="F657" s="1" t="s">
        <v>31</v>
      </c>
      <c r="G657" s="1" t="s">
        <v>1541</v>
      </c>
      <c r="H657" s="4" t="s">
        <v>6242</v>
      </c>
      <c r="I657" s="5" t="s">
        <v>126</v>
      </c>
      <c r="J657" s="5" t="s">
        <v>37</v>
      </c>
      <c r="K657" s="5" t="s">
        <v>37</v>
      </c>
      <c r="L657" s="5" t="s">
        <v>38</v>
      </c>
      <c r="M657" s="5" t="s">
        <v>37</v>
      </c>
      <c r="N657" s="5" t="s">
        <v>37</v>
      </c>
      <c r="O657" s="5" t="s">
        <v>38</v>
      </c>
      <c r="P657" s="5" t="s">
        <v>39</v>
      </c>
      <c r="Q657" s="2">
        <v>45966</v>
      </c>
      <c r="V657" s="45">
        <f>IF(
  OR(
    ISNUMBER(SEARCH("unable to locate acct", tblDocketedComments[[#This Row],[Docketed Consumer Comments]])),
    ISNUMBER(SEARCH("unknown", tblDocketedComments[[#This Row],[Docketed Consumer Comments]])),
    ISNUMBER(SEARCH("inactive", tblDocketedComments[[#This Row],[Docketed Consumer Comments]]))
  ),
  0,
  1
)</f>
        <v>1</v>
      </c>
    </row>
    <row r="658" spans="1:22" hidden="1">
      <c r="A658" s="2">
        <v>45905</v>
      </c>
      <c r="B658" s="1" t="s">
        <v>1701</v>
      </c>
      <c r="C658" s="1" t="s">
        <v>145</v>
      </c>
      <c r="D658" s="1" t="s">
        <v>1457</v>
      </c>
      <c r="E658" s="1">
        <v>85131</v>
      </c>
      <c r="F658" s="1" t="s">
        <v>310</v>
      </c>
      <c r="G658" s="1" t="s">
        <v>1541</v>
      </c>
      <c r="H658" s="4" t="s">
        <v>6243</v>
      </c>
      <c r="I658" s="5" t="s">
        <v>538</v>
      </c>
      <c r="J658" s="5" t="s">
        <v>37</v>
      </c>
      <c r="K658" s="5" t="s">
        <v>37</v>
      </c>
      <c r="L658" s="5" t="s">
        <v>387</v>
      </c>
      <c r="M658" s="5" t="s">
        <v>37</v>
      </c>
      <c r="N658" s="5" t="s">
        <v>37</v>
      </c>
      <c r="O658" s="5" t="s">
        <v>38</v>
      </c>
      <c r="P658" s="5" t="s">
        <v>39</v>
      </c>
      <c r="Q658" s="2">
        <v>45966</v>
      </c>
      <c r="V658" s="45">
        <f>IF(
  OR(
    ISNUMBER(SEARCH("unable to locate acct", tblDocketedComments[[#This Row],[Docketed Consumer Comments]])),
    ISNUMBER(SEARCH("unknown", tblDocketedComments[[#This Row],[Docketed Consumer Comments]])),
    ISNUMBER(SEARCH("inactive", tblDocketedComments[[#This Row],[Docketed Consumer Comments]]))
  ),
  0,
  1
)</f>
        <v>1</v>
      </c>
    </row>
    <row r="659" spans="1:22" hidden="1">
      <c r="A659" s="2">
        <v>45905</v>
      </c>
      <c r="B659" s="1" t="s">
        <v>1702</v>
      </c>
      <c r="C659" s="1" t="s">
        <v>1703</v>
      </c>
      <c r="D659" s="1" t="s">
        <v>125</v>
      </c>
      <c r="E659" s="1">
        <v>85254</v>
      </c>
      <c r="F659" s="1" t="s">
        <v>310</v>
      </c>
      <c r="G659" s="1" t="s">
        <v>1541</v>
      </c>
      <c r="H659" s="4" t="s">
        <v>6244</v>
      </c>
      <c r="I659" s="5" t="s">
        <v>36</v>
      </c>
      <c r="J659" s="5" t="s">
        <v>37</v>
      </c>
      <c r="K659" s="5" t="s">
        <v>37</v>
      </c>
      <c r="L659" s="5" t="s">
        <v>38</v>
      </c>
      <c r="M659" s="5" t="s">
        <v>37</v>
      </c>
      <c r="N659" s="5" t="s">
        <v>37</v>
      </c>
      <c r="O659" s="5" t="s">
        <v>38</v>
      </c>
      <c r="P659" s="5" t="s">
        <v>39</v>
      </c>
      <c r="Q659" s="2">
        <v>45966</v>
      </c>
      <c r="V659" s="45">
        <f>IF(
  OR(
    ISNUMBER(SEARCH("unable to locate acct", tblDocketedComments[[#This Row],[Docketed Consumer Comments]])),
    ISNUMBER(SEARCH("unknown", tblDocketedComments[[#This Row],[Docketed Consumer Comments]])),
    ISNUMBER(SEARCH("inactive", tblDocketedComments[[#This Row],[Docketed Consumer Comments]]))
  ),
  0,
  1
)</f>
        <v>1</v>
      </c>
    </row>
    <row r="660" spans="1:22" hidden="1">
      <c r="A660" s="2">
        <v>45905</v>
      </c>
      <c r="B660" s="1" t="s">
        <v>1704</v>
      </c>
      <c r="C660" s="1" t="s">
        <v>1705</v>
      </c>
      <c r="D660" s="1" t="s">
        <v>63</v>
      </c>
      <c r="E660" s="1">
        <v>85022</v>
      </c>
      <c r="F660" s="1" t="s">
        <v>31</v>
      </c>
      <c r="G660" s="1" t="s">
        <v>1541</v>
      </c>
      <c r="H660" s="4" t="s">
        <v>6245</v>
      </c>
      <c r="I660" s="5" t="s">
        <v>36</v>
      </c>
      <c r="J660" s="5" t="s">
        <v>37</v>
      </c>
      <c r="K660" s="5" t="s">
        <v>37</v>
      </c>
      <c r="L660" s="5" t="s">
        <v>38</v>
      </c>
      <c r="M660" s="5" t="s">
        <v>37</v>
      </c>
      <c r="N660" s="5" t="s">
        <v>37</v>
      </c>
      <c r="O660" s="5" t="s">
        <v>38</v>
      </c>
      <c r="P660" s="5" t="s">
        <v>39</v>
      </c>
      <c r="Q660" s="2">
        <v>45966</v>
      </c>
      <c r="V660" s="45">
        <f>IF(
  OR(
    ISNUMBER(SEARCH("unable to locate acct", tblDocketedComments[[#This Row],[Docketed Consumer Comments]])),
    ISNUMBER(SEARCH("unknown", tblDocketedComments[[#This Row],[Docketed Consumer Comments]])),
    ISNUMBER(SEARCH("inactive", tblDocketedComments[[#This Row],[Docketed Consumer Comments]]))
  ),
  0,
  1
)</f>
        <v>1</v>
      </c>
    </row>
    <row r="661" spans="1:22" hidden="1">
      <c r="A661" s="2">
        <v>45905</v>
      </c>
      <c r="B661" s="1" t="s">
        <v>1706</v>
      </c>
      <c r="C661" s="1" t="s">
        <v>1707</v>
      </c>
      <c r="D661" s="1" t="s">
        <v>169</v>
      </c>
      <c r="E661" s="1">
        <v>85338</v>
      </c>
      <c r="F661" s="1" t="s">
        <v>1708</v>
      </c>
      <c r="G661" s="1" t="s">
        <v>1541</v>
      </c>
      <c r="H661" s="4" t="s">
        <v>6246</v>
      </c>
      <c r="I661" s="5" t="s">
        <v>36</v>
      </c>
      <c r="J661" s="5" t="s">
        <v>37</v>
      </c>
      <c r="K661" s="5" t="s">
        <v>37</v>
      </c>
      <c r="L661" s="5" t="s">
        <v>38</v>
      </c>
      <c r="M661" s="5" t="s">
        <v>37</v>
      </c>
      <c r="N661" s="5" t="s">
        <v>37</v>
      </c>
      <c r="O661" s="5" t="s">
        <v>38</v>
      </c>
      <c r="P661" s="5" t="s">
        <v>39</v>
      </c>
      <c r="Q661" s="2">
        <v>45966</v>
      </c>
      <c r="V661" s="45">
        <f>IF(
  OR(
    ISNUMBER(SEARCH("unable to locate acct", tblDocketedComments[[#This Row],[Docketed Consumer Comments]])),
    ISNUMBER(SEARCH("unknown", tblDocketedComments[[#This Row],[Docketed Consumer Comments]])),
    ISNUMBER(SEARCH("inactive", tblDocketedComments[[#This Row],[Docketed Consumer Comments]]))
  ),
  0,
  1
)</f>
        <v>1</v>
      </c>
    </row>
    <row r="662" spans="1:22" hidden="1">
      <c r="A662" s="2">
        <v>45905</v>
      </c>
      <c r="B662" s="1" t="s">
        <v>1709</v>
      </c>
      <c r="C662" s="1" t="s">
        <v>206</v>
      </c>
      <c r="D662" s="1" t="s">
        <v>169</v>
      </c>
      <c r="E662" s="1">
        <v>85395</v>
      </c>
      <c r="F662" s="1" t="s">
        <v>1710</v>
      </c>
      <c r="G662" s="1" t="s">
        <v>1541</v>
      </c>
      <c r="H662" s="4" t="s">
        <v>6247</v>
      </c>
      <c r="I662" s="5" t="s">
        <v>36</v>
      </c>
      <c r="J662" s="5" t="s">
        <v>37</v>
      </c>
      <c r="K662" s="5" t="s">
        <v>37</v>
      </c>
      <c r="L662" s="5" t="s">
        <v>38</v>
      </c>
      <c r="M662" s="5" t="s">
        <v>37</v>
      </c>
      <c r="N662" s="5" t="s">
        <v>37</v>
      </c>
      <c r="O662" s="5" t="s">
        <v>38</v>
      </c>
      <c r="P662" s="5" t="s">
        <v>39</v>
      </c>
      <c r="Q662" s="2">
        <v>45966</v>
      </c>
      <c r="V662" s="45">
        <f>IF(
  OR(
    ISNUMBER(SEARCH("unable to locate acct", tblDocketedComments[[#This Row],[Docketed Consumer Comments]])),
    ISNUMBER(SEARCH("unknown", tblDocketedComments[[#This Row],[Docketed Consumer Comments]])),
    ISNUMBER(SEARCH("inactive", tblDocketedComments[[#This Row],[Docketed Consumer Comments]]))
  ),
  0,
  1
)</f>
        <v>1</v>
      </c>
    </row>
    <row r="663" spans="1:22" hidden="1">
      <c r="A663" s="2">
        <v>45905</v>
      </c>
      <c r="B663" s="1" t="s">
        <v>744</v>
      </c>
      <c r="C663" s="1" t="s">
        <v>1711</v>
      </c>
      <c r="D663" s="1" t="s">
        <v>63</v>
      </c>
      <c r="E663" s="1">
        <v>85027</v>
      </c>
      <c r="F663" s="1" t="s">
        <v>1708</v>
      </c>
      <c r="G663" s="1" t="s">
        <v>1541</v>
      </c>
      <c r="H663" s="4" t="s">
        <v>6150</v>
      </c>
      <c r="I663" s="5" t="s">
        <v>126</v>
      </c>
      <c r="J663" s="5" t="s">
        <v>38</v>
      </c>
      <c r="K663" s="5" t="s">
        <v>37</v>
      </c>
      <c r="L663" s="5" t="s">
        <v>38</v>
      </c>
      <c r="M663" s="5" t="s">
        <v>38</v>
      </c>
      <c r="N663" s="15">
        <v>349.29</v>
      </c>
      <c r="O663" s="5" t="s">
        <v>38</v>
      </c>
      <c r="P663" s="5" t="s">
        <v>39</v>
      </c>
      <c r="Q663" s="2">
        <v>45966</v>
      </c>
      <c r="R663" s="1" t="s">
        <v>492</v>
      </c>
      <c r="V663" s="45">
        <f>IF(
  OR(
    ISNUMBER(SEARCH("unable to locate acct", tblDocketedComments[[#This Row],[Docketed Consumer Comments]])),
    ISNUMBER(SEARCH("unknown", tblDocketedComments[[#This Row],[Docketed Consumer Comments]])),
    ISNUMBER(SEARCH("inactive", tblDocketedComments[[#This Row],[Docketed Consumer Comments]]))
  ),
  0,
  1
)</f>
        <v>1</v>
      </c>
    </row>
    <row r="664" spans="1:22" hidden="1">
      <c r="A664" s="2">
        <v>45905</v>
      </c>
      <c r="B664" s="1" t="s">
        <v>49</v>
      </c>
      <c r="C664" s="1" t="s">
        <v>621</v>
      </c>
      <c r="D664" s="1" t="s">
        <v>63</v>
      </c>
      <c r="E664" s="1">
        <v>85027</v>
      </c>
      <c r="F664" s="1" t="s">
        <v>31</v>
      </c>
      <c r="G664" s="1" t="s">
        <v>1541</v>
      </c>
      <c r="H664" s="4" t="s">
        <v>6248</v>
      </c>
      <c r="I664" s="5" t="s">
        <v>73</v>
      </c>
      <c r="J664" s="5" t="s">
        <v>37</v>
      </c>
      <c r="K664" s="5" t="s">
        <v>37</v>
      </c>
      <c r="L664" s="5" t="s">
        <v>38</v>
      </c>
      <c r="M664" s="5" t="s">
        <v>37</v>
      </c>
      <c r="N664" s="5" t="s">
        <v>37</v>
      </c>
      <c r="O664" s="5" t="s">
        <v>38</v>
      </c>
      <c r="P664" s="5" t="s">
        <v>39</v>
      </c>
      <c r="Q664" s="2">
        <v>45966</v>
      </c>
      <c r="V664" s="45">
        <f>IF(
  OR(
    ISNUMBER(SEARCH("unable to locate acct", tblDocketedComments[[#This Row],[Docketed Consumer Comments]])),
    ISNUMBER(SEARCH("unknown", tblDocketedComments[[#This Row],[Docketed Consumer Comments]])),
    ISNUMBER(SEARCH("inactive", tblDocketedComments[[#This Row],[Docketed Consumer Comments]]))
  ),
  0,
  1
)</f>
        <v>1</v>
      </c>
    </row>
    <row r="665" spans="1:22" hidden="1">
      <c r="A665" s="2">
        <v>45905</v>
      </c>
      <c r="B665" s="1" t="s">
        <v>1039</v>
      </c>
      <c r="C665" s="1" t="s">
        <v>949</v>
      </c>
      <c r="D665" s="1" t="s">
        <v>202</v>
      </c>
      <c r="E665" s="1">
        <v>85383</v>
      </c>
      <c r="F665" s="1" t="s">
        <v>1712</v>
      </c>
      <c r="G665" s="1" t="s">
        <v>1541</v>
      </c>
      <c r="H665" s="4" t="s">
        <v>209</v>
      </c>
      <c r="V665" s="45">
        <f>IF(
  OR(
    ISNUMBER(SEARCH("unable to locate acct", tblDocketedComments[[#This Row],[Docketed Consumer Comments]])),
    ISNUMBER(SEARCH("unknown", tblDocketedComments[[#This Row],[Docketed Consumer Comments]])),
    ISNUMBER(SEARCH("inactive", tblDocketedComments[[#This Row],[Docketed Consumer Comments]]))
  ),
  0,
  1
)</f>
        <v>1</v>
      </c>
    </row>
    <row r="666" spans="1:22" hidden="1">
      <c r="A666" s="2">
        <v>45905</v>
      </c>
      <c r="B666" s="1" t="s">
        <v>1100</v>
      </c>
      <c r="C666" s="1" t="s">
        <v>1101</v>
      </c>
      <c r="D666" s="1" t="s">
        <v>202</v>
      </c>
      <c r="E666" s="1">
        <v>85383</v>
      </c>
      <c r="F666" s="1" t="s">
        <v>1713</v>
      </c>
      <c r="G666" s="1" t="s">
        <v>1541</v>
      </c>
      <c r="H666" s="4" t="s">
        <v>90</v>
      </c>
      <c r="V666" s="45">
        <f>IF(
  OR(
    ISNUMBER(SEARCH("unable to locate acct", tblDocketedComments[[#This Row],[Docketed Consumer Comments]])),
    ISNUMBER(SEARCH("unknown", tblDocketedComments[[#This Row],[Docketed Consumer Comments]])),
    ISNUMBER(SEARCH("inactive", tblDocketedComments[[#This Row],[Docketed Consumer Comments]]))
  ),
  0,
  1
)</f>
        <v>1</v>
      </c>
    </row>
    <row r="667" spans="1:22" hidden="1">
      <c r="A667" s="2">
        <v>45905</v>
      </c>
      <c r="B667" s="1" t="s">
        <v>1714</v>
      </c>
      <c r="C667" s="1" t="s">
        <v>1715</v>
      </c>
      <c r="D667" s="1" t="s">
        <v>174</v>
      </c>
      <c r="E667" s="1">
        <v>85396</v>
      </c>
      <c r="F667" s="1" t="s">
        <v>31</v>
      </c>
      <c r="G667" s="1" t="s">
        <v>1541</v>
      </c>
      <c r="H667" s="4" t="s">
        <v>6249</v>
      </c>
      <c r="I667" s="5" t="s">
        <v>196</v>
      </c>
      <c r="J667" s="5" t="s">
        <v>37</v>
      </c>
      <c r="K667" s="5" t="s">
        <v>37</v>
      </c>
      <c r="L667" s="5" t="s">
        <v>38</v>
      </c>
      <c r="M667" s="5" t="s">
        <v>37</v>
      </c>
      <c r="N667" s="5" t="s">
        <v>37</v>
      </c>
      <c r="O667" s="5" t="s">
        <v>38</v>
      </c>
      <c r="P667" s="5" t="s">
        <v>39</v>
      </c>
      <c r="Q667" s="2">
        <v>45966</v>
      </c>
      <c r="V667" s="45">
        <f>IF(
  OR(
    ISNUMBER(SEARCH("unable to locate acct", tblDocketedComments[[#This Row],[Docketed Consumer Comments]])),
    ISNUMBER(SEARCH("unknown", tblDocketedComments[[#This Row],[Docketed Consumer Comments]])),
    ISNUMBER(SEARCH("inactive", tblDocketedComments[[#This Row],[Docketed Consumer Comments]]))
  ),
  0,
  1
)</f>
        <v>1</v>
      </c>
    </row>
    <row r="668" spans="1:22" hidden="1">
      <c r="A668" s="2">
        <v>45905</v>
      </c>
      <c r="B668" s="1" t="s">
        <v>1716</v>
      </c>
      <c r="C668" s="1" t="s">
        <v>1717</v>
      </c>
      <c r="D668" s="1" t="s">
        <v>63</v>
      </c>
      <c r="E668" s="1">
        <v>85083</v>
      </c>
      <c r="F668" s="1" t="s">
        <v>310</v>
      </c>
      <c r="G668" s="1" t="s">
        <v>1541</v>
      </c>
      <c r="H668" s="4" t="s">
        <v>6250</v>
      </c>
      <c r="I668" s="5" t="s">
        <v>46</v>
      </c>
      <c r="J668" s="5" t="s">
        <v>37</v>
      </c>
      <c r="K668" s="5" t="s">
        <v>37</v>
      </c>
      <c r="L668" s="5" t="s">
        <v>38</v>
      </c>
      <c r="M668" s="5" t="s">
        <v>37</v>
      </c>
      <c r="N668" s="5" t="s">
        <v>37</v>
      </c>
      <c r="O668" s="5" t="s">
        <v>38</v>
      </c>
      <c r="P668" s="5" t="s">
        <v>39</v>
      </c>
      <c r="Q668" s="2">
        <v>45966</v>
      </c>
      <c r="V668" s="45">
        <f>IF(
  OR(
    ISNUMBER(SEARCH("unable to locate acct", tblDocketedComments[[#This Row],[Docketed Consumer Comments]])),
    ISNUMBER(SEARCH("unknown", tblDocketedComments[[#This Row],[Docketed Consumer Comments]])),
    ISNUMBER(SEARCH("inactive", tblDocketedComments[[#This Row],[Docketed Consumer Comments]]))
  ),
  0,
  1
)</f>
        <v>1</v>
      </c>
    </row>
    <row r="669" spans="1:22" hidden="1">
      <c r="A669" s="2">
        <v>45905</v>
      </c>
      <c r="B669" s="1" t="s">
        <v>1718</v>
      </c>
      <c r="C669" s="1" t="s">
        <v>594</v>
      </c>
      <c r="D669" s="1" t="s">
        <v>63</v>
      </c>
      <c r="E669" s="1">
        <v>85083</v>
      </c>
      <c r="F669" s="1" t="s">
        <v>31</v>
      </c>
      <c r="G669" s="1" t="s">
        <v>1541</v>
      </c>
      <c r="H669" s="4" t="s">
        <v>6033</v>
      </c>
      <c r="I669" s="5" t="s">
        <v>36</v>
      </c>
      <c r="J669" s="5" t="s">
        <v>37</v>
      </c>
      <c r="K669" s="5" t="s">
        <v>37</v>
      </c>
      <c r="L669" s="7" t="s">
        <v>1719</v>
      </c>
      <c r="M669" s="5" t="s">
        <v>37</v>
      </c>
      <c r="N669" s="5" t="s">
        <v>37</v>
      </c>
      <c r="O669" s="5" t="s">
        <v>38</v>
      </c>
      <c r="P669" s="5" t="s">
        <v>39</v>
      </c>
      <c r="Q669" s="2">
        <v>45966</v>
      </c>
      <c r="R669" s="1" t="s">
        <v>1720</v>
      </c>
      <c r="V669" s="45">
        <f>IF(
  OR(
    ISNUMBER(SEARCH("unable to locate acct", tblDocketedComments[[#This Row],[Docketed Consumer Comments]])),
    ISNUMBER(SEARCH("unknown", tblDocketedComments[[#This Row],[Docketed Consumer Comments]])),
    ISNUMBER(SEARCH("inactive", tblDocketedComments[[#This Row],[Docketed Consumer Comments]]))
  ),
  0,
  1
)</f>
        <v>1</v>
      </c>
    </row>
    <row r="670" spans="1:22" hidden="1">
      <c r="A670" s="2">
        <v>45905</v>
      </c>
      <c r="B670" s="1" t="s">
        <v>1721</v>
      </c>
      <c r="C670" s="1" t="s">
        <v>1614</v>
      </c>
      <c r="D670" s="1" t="s">
        <v>63</v>
      </c>
      <c r="E670" s="1">
        <v>85028</v>
      </c>
      <c r="F670" s="1" t="s">
        <v>1722</v>
      </c>
      <c r="G670" s="1" t="s">
        <v>1541</v>
      </c>
      <c r="H670" s="4" t="s">
        <v>6251</v>
      </c>
      <c r="I670" s="5" t="s">
        <v>126</v>
      </c>
      <c r="J670" s="5" t="s">
        <v>37</v>
      </c>
      <c r="K670" s="5" t="s">
        <v>37</v>
      </c>
      <c r="L670" s="5" t="s">
        <v>38</v>
      </c>
      <c r="M670" s="5" t="s">
        <v>37</v>
      </c>
      <c r="N670" s="5" t="s">
        <v>37</v>
      </c>
      <c r="O670" s="5" t="s">
        <v>38</v>
      </c>
      <c r="P670" s="5" t="s">
        <v>39</v>
      </c>
      <c r="Q670" s="2">
        <v>45966</v>
      </c>
      <c r="V670" s="45">
        <f>IF(
  OR(
    ISNUMBER(SEARCH("unable to locate acct", tblDocketedComments[[#This Row],[Docketed Consumer Comments]])),
    ISNUMBER(SEARCH("unknown", tblDocketedComments[[#This Row],[Docketed Consumer Comments]])),
    ISNUMBER(SEARCH("inactive", tblDocketedComments[[#This Row],[Docketed Consumer Comments]]))
  ),
  0,
  1
)</f>
        <v>1</v>
      </c>
    </row>
    <row r="671" spans="1:22" hidden="1">
      <c r="A671" s="2">
        <v>45905</v>
      </c>
      <c r="B671" s="1" t="s">
        <v>422</v>
      </c>
      <c r="C671" s="1" t="s">
        <v>494</v>
      </c>
      <c r="D671" s="1" t="s">
        <v>63</v>
      </c>
      <c r="E671" s="1">
        <v>85022</v>
      </c>
      <c r="F671" s="1" t="s">
        <v>1723</v>
      </c>
      <c r="G671" s="1" t="s">
        <v>1541</v>
      </c>
      <c r="H671" s="4" t="s">
        <v>1724</v>
      </c>
      <c r="I671" s="5" t="s">
        <v>196</v>
      </c>
      <c r="J671" s="5" t="s">
        <v>37</v>
      </c>
      <c r="K671" s="5" t="s">
        <v>37</v>
      </c>
      <c r="L671" s="7" t="s">
        <v>1725</v>
      </c>
      <c r="M671" s="5" t="s">
        <v>37</v>
      </c>
      <c r="N671" s="5" t="s">
        <v>37</v>
      </c>
      <c r="O671" s="5" t="s">
        <v>38</v>
      </c>
      <c r="P671" s="2">
        <v>45936</v>
      </c>
      <c r="Q671" s="2">
        <v>45966</v>
      </c>
      <c r="R671" s="1" t="s">
        <v>1726</v>
      </c>
      <c r="V671" s="45">
        <f>IF(
  OR(
    ISNUMBER(SEARCH("unable to locate acct", tblDocketedComments[[#This Row],[Docketed Consumer Comments]])),
    ISNUMBER(SEARCH("unknown", tblDocketedComments[[#This Row],[Docketed Consumer Comments]])),
    ISNUMBER(SEARCH("inactive", tblDocketedComments[[#This Row],[Docketed Consumer Comments]]))
  ),
  0,
  1
)</f>
        <v>1</v>
      </c>
    </row>
    <row r="672" spans="1:22" hidden="1">
      <c r="A672" s="2">
        <v>45905</v>
      </c>
      <c r="B672" s="1" t="s">
        <v>1727</v>
      </c>
      <c r="C672" s="1" t="s">
        <v>1728</v>
      </c>
      <c r="D672" s="1" t="s">
        <v>202</v>
      </c>
      <c r="E672" s="1">
        <v>85383</v>
      </c>
      <c r="F672" s="1" t="s">
        <v>310</v>
      </c>
      <c r="G672" s="1" t="s">
        <v>1541</v>
      </c>
      <c r="H672" s="4" t="s">
        <v>27</v>
      </c>
      <c r="V672" s="45">
        <f>IF(
  OR(
    ISNUMBER(SEARCH("unable to locate acct", tblDocketedComments[[#This Row],[Docketed Consumer Comments]])),
    ISNUMBER(SEARCH("unknown", tblDocketedComments[[#This Row],[Docketed Consumer Comments]])),
    ISNUMBER(SEARCH("inactive", tblDocketedComments[[#This Row],[Docketed Consumer Comments]]))
  ),
  0,
  1
)</f>
        <v>1</v>
      </c>
    </row>
    <row r="673" spans="1:22" hidden="1">
      <c r="A673" s="2">
        <v>45905</v>
      </c>
      <c r="B673" s="1" t="s">
        <v>1729</v>
      </c>
      <c r="C673" s="1" t="s">
        <v>1730</v>
      </c>
      <c r="D673" s="1" t="s">
        <v>202</v>
      </c>
      <c r="E673" s="1">
        <v>85383</v>
      </c>
      <c r="F673" s="1" t="s">
        <v>310</v>
      </c>
      <c r="G673" s="1" t="s">
        <v>1541</v>
      </c>
      <c r="H673" s="4" t="s">
        <v>6252</v>
      </c>
      <c r="I673" s="5" t="s">
        <v>416</v>
      </c>
      <c r="J673" s="5" t="s">
        <v>37</v>
      </c>
      <c r="K673" s="5" t="s">
        <v>37</v>
      </c>
      <c r="L673" s="5" t="s">
        <v>387</v>
      </c>
      <c r="M673" s="5" t="s">
        <v>37</v>
      </c>
      <c r="N673" s="5" t="s">
        <v>37</v>
      </c>
      <c r="O673" s="5" t="s">
        <v>38</v>
      </c>
      <c r="P673" s="5" t="s">
        <v>39</v>
      </c>
      <c r="Q673" s="2">
        <v>45966</v>
      </c>
      <c r="V673" s="45">
        <f>IF(
  OR(
    ISNUMBER(SEARCH("unable to locate acct", tblDocketedComments[[#This Row],[Docketed Consumer Comments]])),
    ISNUMBER(SEARCH("unknown", tblDocketedComments[[#This Row],[Docketed Consumer Comments]])),
    ISNUMBER(SEARCH("inactive", tblDocketedComments[[#This Row],[Docketed Consumer Comments]]))
  ),
  0,
  1
)</f>
        <v>1</v>
      </c>
    </row>
    <row r="674" spans="1:22" hidden="1">
      <c r="A674" s="2">
        <v>45905</v>
      </c>
      <c r="B674" s="1" t="s">
        <v>1731</v>
      </c>
      <c r="C674" s="1" t="s">
        <v>1034</v>
      </c>
      <c r="D674" s="1" t="s">
        <v>112</v>
      </c>
      <c r="E674" s="1">
        <v>85388</v>
      </c>
      <c r="F674" s="1" t="s">
        <v>1732</v>
      </c>
      <c r="G674" s="1" t="s">
        <v>1541</v>
      </c>
      <c r="H674" s="4" t="s">
        <v>6034</v>
      </c>
      <c r="I674" s="5" t="s">
        <v>196</v>
      </c>
      <c r="J674" s="5" t="s">
        <v>37</v>
      </c>
      <c r="K674" s="5" t="s">
        <v>37</v>
      </c>
      <c r="L674" s="7" t="s">
        <v>1733</v>
      </c>
      <c r="M674" s="5" t="s">
        <v>37</v>
      </c>
      <c r="N674" s="5" t="s">
        <v>37</v>
      </c>
      <c r="O674" s="5" t="s">
        <v>38</v>
      </c>
      <c r="P674" s="2">
        <v>45936</v>
      </c>
      <c r="Q674" s="2">
        <v>45966</v>
      </c>
      <c r="R674" s="22" t="s">
        <v>1734</v>
      </c>
      <c r="V674" s="45">
        <f>IF(
  OR(
    ISNUMBER(SEARCH("unable to locate acct", tblDocketedComments[[#This Row],[Docketed Consumer Comments]])),
    ISNUMBER(SEARCH("unknown", tblDocketedComments[[#This Row],[Docketed Consumer Comments]])),
    ISNUMBER(SEARCH("inactive", tblDocketedComments[[#This Row],[Docketed Consumer Comments]]))
  ),
  0,
  1
)</f>
        <v>1</v>
      </c>
    </row>
    <row r="675" spans="1:22" hidden="1">
      <c r="A675" s="2">
        <v>45905</v>
      </c>
      <c r="B675" s="1" t="s">
        <v>1735</v>
      </c>
      <c r="C675" s="1" t="s">
        <v>1736</v>
      </c>
      <c r="D675" s="1" t="s">
        <v>63</v>
      </c>
      <c r="E675" s="1">
        <v>85021</v>
      </c>
      <c r="F675" s="1" t="s">
        <v>1737</v>
      </c>
      <c r="G675" s="1" t="s">
        <v>1541</v>
      </c>
      <c r="H675" s="4" t="s">
        <v>6253</v>
      </c>
      <c r="I675" s="5" t="s">
        <v>46</v>
      </c>
      <c r="J675" s="5" t="s">
        <v>37</v>
      </c>
      <c r="K675" s="5" t="s">
        <v>37</v>
      </c>
      <c r="L675" s="5" t="s">
        <v>38</v>
      </c>
      <c r="M675" s="5" t="s">
        <v>37</v>
      </c>
      <c r="N675" s="5" t="s">
        <v>37</v>
      </c>
      <c r="O675" s="5" t="s">
        <v>38</v>
      </c>
      <c r="P675" s="5" t="s">
        <v>39</v>
      </c>
      <c r="Q675" s="2">
        <v>45966</v>
      </c>
      <c r="V675" s="45">
        <f>IF(
  OR(
    ISNUMBER(SEARCH("unable to locate acct", tblDocketedComments[[#This Row],[Docketed Consumer Comments]])),
    ISNUMBER(SEARCH("unknown", tblDocketedComments[[#This Row],[Docketed Consumer Comments]])),
    ISNUMBER(SEARCH("inactive", tblDocketedComments[[#This Row],[Docketed Consumer Comments]]))
  ),
  0,
  1
)</f>
        <v>1</v>
      </c>
    </row>
    <row r="676" spans="1:22" hidden="1">
      <c r="A676" s="2">
        <v>45905</v>
      </c>
      <c r="B676" s="1" t="s">
        <v>1738</v>
      </c>
      <c r="C676" s="1" t="s">
        <v>312</v>
      </c>
      <c r="D676" s="1" t="s">
        <v>125</v>
      </c>
      <c r="E676" s="1">
        <v>85255</v>
      </c>
      <c r="F676" s="1" t="s">
        <v>310</v>
      </c>
      <c r="G676" s="1" t="s">
        <v>1541</v>
      </c>
      <c r="H676" s="4" t="s">
        <v>6035</v>
      </c>
      <c r="I676" s="5" t="s">
        <v>196</v>
      </c>
      <c r="J676" s="5" t="s">
        <v>37</v>
      </c>
      <c r="K676" s="5" t="s">
        <v>37</v>
      </c>
      <c r="L676" s="7" t="s">
        <v>1739</v>
      </c>
      <c r="M676" s="5" t="s">
        <v>37</v>
      </c>
      <c r="N676" s="5" t="s">
        <v>37</v>
      </c>
      <c r="O676" s="5" t="s">
        <v>38</v>
      </c>
      <c r="P676" s="2">
        <v>45936</v>
      </c>
      <c r="Q676" s="2">
        <v>45966</v>
      </c>
      <c r="R676" s="1" t="s">
        <v>1740</v>
      </c>
      <c r="V676" s="45">
        <f>IF(
  OR(
    ISNUMBER(SEARCH("unable to locate acct", tblDocketedComments[[#This Row],[Docketed Consumer Comments]])),
    ISNUMBER(SEARCH("unknown", tblDocketedComments[[#This Row],[Docketed Consumer Comments]])),
    ISNUMBER(SEARCH("inactive", tblDocketedComments[[#This Row],[Docketed Consumer Comments]]))
  ),
  0,
  1
)</f>
        <v>1</v>
      </c>
    </row>
    <row r="677" spans="1:22" hidden="1">
      <c r="A677" s="2">
        <v>45905</v>
      </c>
      <c r="B677" s="1" t="s">
        <v>1741</v>
      </c>
      <c r="C677" s="1" t="s">
        <v>867</v>
      </c>
      <c r="D677" s="1" t="s">
        <v>63</v>
      </c>
      <c r="E677" s="1">
        <v>85016</v>
      </c>
      <c r="F677" s="1" t="s">
        <v>1742</v>
      </c>
      <c r="G677" s="1" t="s">
        <v>1541</v>
      </c>
      <c r="H677" s="4" t="s">
        <v>6254</v>
      </c>
      <c r="I677" s="5" t="s">
        <v>36</v>
      </c>
      <c r="J677" s="5" t="s">
        <v>37</v>
      </c>
      <c r="K677" s="5" t="s">
        <v>37</v>
      </c>
      <c r="L677" s="5" t="s">
        <v>38</v>
      </c>
      <c r="M677" s="5" t="s">
        <v>37</v>
      </c>
      <c r="N677" s="5" t="s">
        <v>37</v>
      </c>
      <c r="O677" s="5" t="s">
        <v>38</v>
      </c>
      <c r="P677" s="5" t="s">
        <v>39</v>
      </c>
      <c r="Q677" s="2">
        <v>45966</v>
      </c>
      <c r="V677" s="45">
        <f>IF(
  OR(
    ISNUMBER(SEARCH("unable to locate acct", tblDocketedComments[[#This Row],[Docketed Consumer Comments]])),
    ISNUMBER(SEARCH("unknown", tblDocketedComments[[#This Row],[Docketed Consumer Comments]])),
    ISNUMBER(SEARCH("inactive", tblDocketedComments[[#This Row],[Docketed Consumer Comments]]))
  ),
  0,
  1
)</f>
        <v>1</v>
      </c>
    </row>
    <row r="678" spans="1:22" hidden="1">
      <c r="A678" s="2">
        <v>45905</v>
      </c>
      <c r="B678" s="1" t="s">
        <v>1743</v>
      </c>
      <c r="C678" s="1" t="s">
        <v>1744</v>
      </c>
      <c r="D678" s="1" t="s">
        <v>202</v>
      </c>
      <c r="E678" s="1">
        <v>85383</v>
      </c>
      <c r="F678" s="1" t="s">
        <v>31</v>
      </c>
      <c r="G678" s="1" t="s">
        <v>1541</v>
      </c>
      <c r="H678" s="4" t="s">
        <v>6036</v>
      </c>
      <c r="I678" s="5" t="s">
        <v>196</v>
      </c>
      <c r="J678" s="5" t="s">
        <v>37</v>
      </c>
      <c r="K678" s="5" t="s">
        <v>37</v>
      </c>
      <c r="L678" s="7" t="s">
        <v>1745</v>
      </c>
      <c r="M678" s="5" t="s">
        <v>37</v>
      </c>
      <c r="N678" s="5" t="s">
        <v>37</v>
      </c>
      <c r="O678" s="5" t="s">
        <v>38</v>
      </c>
      <c r="P678" s="2">
        <v>45936</v>
      </c>
      <c r="Q678" s="2">
        <v>45966</v>
      </c>
      <c r="R678" s="1" t="s">
        <v>1746</v>
      </c>
      <c r="V678" s="45">
        <f>IF(
  OR(
    ISNUMBER(SEARCH("unable to locate acct", tblDocketedComments[[#This Row],[Docketed Consumer Comments]])),
    ISNUMBER(SEARCH("unknown", tblDocketedComments[[#This Row],[Docketed Consumer Comments]])),
    ISNUMBER(SEARCH("inactive", tblDocketedComments[[#This Row],[Docketed Consumer Comments]]))
  ),
  0,
  1
)</f>
        <v>1</v>
      </c>
    </row>
    <row r="679" spans="1:22" hidden="1">
      <c r="A679" s="2">
        <v>45905</v>
      </c>
      <c r="B679" s="1" t="s">
        <v>1747</v>
      </c>
      <c r="C679" s="1" t="s">
        <v>324</v>
      </c>
      <c r="D679" s="1" t="s">
        <v>63</v>
      </c>
      <c r="E679" s="1">
        <v>85003</v>
      </c>
      <c r="F679" s="1" t="s">
        <v>1748</v>
      </c>
      <c r="G679" s="1" t="s">
        <v>1541</v>
      </c>
      <c r="H679" s="4" t="s">
        <v>6037</v>
      </c>
      <c r="I679" s="5" t="s">
        <v>196</v>
      </c>
      <c r="J679" s="5" t="s">
        <v>38</v>
      </c>
      <c r="K679" s="5" t="s">
        <v>37</v>
      </c>
      <c r="L679" s="5" t="s">
        <v>1749</v>
      </c>
      <c r="M679" s="5" t="s">
        <v>37</v>
      </c>
      <c r="N679" s="5" t="s">
        <v>37</v>
      </c>
      <c r="O679" s="5" t="s">
        <v>38</v>
      </c>
      <c r="P679" s="5" t="s">
        <v>39</v>
      </c>
      <c r="Q679" s="2">
        <v>45966</v>
      </c>
      <c r="V679" s="45">
        <f>IF(
  OR(
    ISNUMBER(SEARCH("unable to locate acct", tblDocketedComments[[#This Row],[Docketed Consumer Comments]])),
    ISNUMBER(SEARCH("unknown", tblDocketedComments[[#This Row],[Docketed Consumer Comments]])),
    ISNUMBER(SEARCH("inactive", tblDocketedComments[[#This Row],[Docketed Consumer Comments]]))
  ),
  0,
  1
)</f>
        <v>1</v>
      </c>
    </row>
    <row r="680" spans="1:22" hidden="1">
      <c r="A680" s="2">
        <v>45905</v>
      </c>
      <c r="B680" s="1" t="s">
        <v>1750</v>
      </c>
      <c r="C680" s="1" t="s">
        <v>744</v>
      </c>
      <c r="D680" s="1" t="s">
        <v>202</v>
      </c>
      <c r="E680" s="1">
        <v>85383</v>
      </c>
      <c r="F680" s="1" t="s">
        <v>310</v>
      </c>
      <c r="G680" s="1" t="s">
        <v>1541</v>
      </c>
      <c r="H680" s="21" t="s">
        <v>6705</v>
      </c>
      <c r="I680" s="5" t="s">
        <v>46</v>
      </c>
      <c r="J680" s="5" t="s">
        <v>37</v>
      </c>
      <c r="K680" s="5" t="s">
        <v>37</v>
      </c>
      <c r="L680" s="5" t="s">
        <v>38</v>
      </c>
      <c r="M680" s="5" t="s">
        <v>37</v>
      </c>
      <c r="N680" s="5" t="s">
        <v>37</v>
      </c>
      <c r="O680" s="5" t="s">
        <v>38</v>
      </c>
      <c r="P680" s="5" t="s">
        <v>39</v>
      </c>
      <c r="Q680" s="2">
        <v>45966</v>
      </c>
      <c r="V680" s="45">
        <f>IF(
  OR(
    ISNUMBER(SEARCH("unable to locate acct", tblDocketedComments[[#This Row],[Docketed Consumer Comments]])),
    ISNUMBER(SEARCH("unknown", tblDocketedComments[[#This Row],[Docketed Consumer Comments]])),
    ISNUMBER(SEARCH("inactive", tblDocketedComments[[#This Row],[Docketed Consumer Comments]]))
  ),
  0,
  1
)</f>
        <v>1</v>
      </c>
    </row>
    <row r="681" spans="1:22" hidden="1">
      <c r="A681" s="2">
        <v>45905</v>
      </c>
      <c r="B681" s="1" t="s">
        <v>1509</v>
      </c>
      <c r="C681" s="1" t="s">
        <v>545</v>
      </c>
      <c r="D681" s="1" t="s">
        <v>63</v>
      </c>
      <c r="E681" s="1">
        <v>85007</v>
      </c>
      <c r="F681" s="1" t="s">
        <v>310</v>
      </c>
      <c r="G681" s="1" t="s">
        <v>1541</v>
      </c>
      <c r="H681" s="4" t="s">
        <v>27</v>
      </c>
      <c r="V681" s="45">
        <f>IF(
  OR(
    ISNUMBER(SEARCH("unable to locate acct", tblDocketedComments[[#This Row],[Docketed Consumer Comments]])),
    ISNUMBER(SEARCH("unknown", tblDocketedComments[[#This Row],[Docketed Consumer Comments]])),
    ISNUMBER(SEARCH("inactive", tblDocketedComments[[#This Row],[Docketed Consumer Comments]]))
  ),
  0,
  1
)</f>
        <v>1</v>
      </c>
    </row>
    <row r="682" spans="1:22" hidden="1">
      <c r="A682" s="2">
        <v>45905</v>
      </c>
      <c r="B682" s="1" t="s">
        <v>1751</v>
      </c>
      <c r="C682" s="1" t="s">
        <v>877</v>
      </c>
      <c r="D682" s="1" t="s">
        <v>125</v>
      </c>
      <c r="E682" s="1">
        <v>85255</v>
      </c>
      <c r="F682" s="1" t="s">
        <v>31</v>
      </c>
      <c r="G682" s="1" t="s">
        <v>1541</v>
      </c>
      <c r="H682" s="4" t="s">
        <v>6255</v>
      </c>
      <c r="I682" s="5" t="s">
        <v>250</v>
      </c>
      <c r="J682" s="5" t="s">
        <v>37</v>
      </c>
      <c r="K682" s="5" t="s">
        <v>37</v>
      </c>
      <c r="L682" s="5" t="s">
        <v>38</v>
      </c>
      <c r="M682" s="5" t="s">
        <v>37</v>
      </c>
      <c r="N682" s="5" t="s">
        <v>37</v>
      </c>
      <c r="O682" s="5" t="s">
        <v>38</v>
      </c>
      <c r="P682" s="5" t="s">
        <v>39</v>
      </c>
      <c r="Q682" s="2">
        <v>45966</v>
      </c>
      <c r="V682" s="45">
        <f>IF(
  OR(
    ISNUMBER(SEARCH("unable to locate acct", tblDocketedComments[[#This Row],[Docketed Consumer Comments]])),
    ISNUMBER(SEARCH("unknown", tblDocketedComments[[#This Row],[Docketed Consumer Comments]])),
    ISNUMBER(SEARCH("inactive", tblDocketedComments[[#This Row],[Docketed Consumer Comments]]))
  ),
  0,
  1
)</f>
        <v>1</v>
      </c>
    </row>
    <row r="683" spans="1:22" hidden="1">
      <c r="A683" s="2">
        <v>45905</v>
      </c>
      <c r="B683" s="1" t="s">
        <v>1752</v>
      </c>
      <c r="C683" s="1" t="s">
        <v>1753</v>
      </c>
      <c r="D683" s="1" t="s">
        <v>632</v>
      </c>
      <c r="E683" s="1">
        <v>85288</v>
      </c>
      <c r="F683" s="1" t="s">
        <v>310</v>
      </c>
      <c r="G683" s="1" t="s">
        <v>1541</v>
      </c>
      <c r="H683" s="4" t="s">
        <v>6038</v>
      </c>
      <c r="I683" s="5" t="s">
        <v>196</v>
      </c>
      <c r="J683" s="5" t="s">
        <v>37</v>
      </c>
      <c r="K683" s="5" t="s">
        <v>37</v>
      </c>
      <c r="L683" s="7" t="s">
        <v>1754</v>
      </c>
      <c r="M683" s="5" t="s">
        <v>37</v>
      </c>
      <c r="N683" s="5" t="s">
        <v>37</v>
      </c>
      <c r="O683" s="5" t="s">
        <v>38</v>
      </c>
      <c r="P683" s="2">
        <v>45936</v>
      </c>
      <c r="Q683" s="2">
        <v>45966</v>
      </c>
      <c r="R683" s="1" t="s">
        <v>1755</v>
      </c>
      <c r="V683" s="45">
        <f>IF(
  OR(
    ISNUMBER(SEARCH("unable to locate acct", tblDocketedComments[[#This Row],[Docketed Consumer Comments]])),
    ISNUMBER(SEARCH("unknown", tblDocketedComments[[#This Row],[Docketed Consumer Comments]])),
    ISNUMBER(SEARCH("inactive", tblDocketedComments[[#This Row],[Docketed Consumer Comments]]))
  ),
  0,
  1
)</f>
        <v>1</v>
      </c>
    </row>
    <row r="684" spans="1:22" hidden="1">
      <c r="A684" s="2">
        <v>45905</v>
      </c>
      <c r="B684" s="1" t="s">
        <v>1756</v>
      </c>
      <c r="C684" s="1" t="s">
        <v>333</v>
      </c>
      <c r="D684" s="1" t="s">
        <v>63</v>
      </c>
      <c r="E684" s="1">
        <v>85024</v>
      </c>
      <c r="F684" s="1" t="s">
        <v>310</v>
      </c>
      <c r="G684" s="1" t="s">
        <v>1541</v>
      </c>
      <c r="H684" s="4" t="s">
        <v>6256</v>
      </c>
      <c r="I684" s="5" t="s">
        <v>196</v>
      </c>
      <c r="J684" s="5" t="s">
        <v>37</v>
      </c>
      <c r="K684" s="5" t="s">
        <v>37</v>
      </c>
      <c r="L684" s="5" t="s">
        <v>38</v>
      </c>
      <c r="M684" s="5" t="s">
        <v>37</v>
      </c>
      <c r="N684" s="5" t="s">
        <v>37</v>
      </c>
      <c r="O684" s="5" t="s">
        <v>38</v>
      </c>
      <c r="P684" s="5" t="s">
        <v>39</v>
      </c>
      <c r="Q684" s="2">
        <v>45966</v>
      </c>
      <c r="V684" s="45">
        <f>IF(
  OR(
    ISNUMBER(SEARCH("unable to locate acct", tblDocketedComments[[#This Row],[Docketed Consumer Comments]])),
    ISNUMBER(SEARCH("unknown", tblDocketedComments[[#This Row],[Docketed Consumer Comments]])),
    ISNUMBER(SEARCH("inactive", tblDocketedComments[[#This Row],[Docketed Consumer Comments]]))
  ),
  0,
  1
)</f>
        <v>1</v>
      </c>
    </row>
    <row r="685" spans="1:22" hidden="1">
      <c r="A685" s="2">
        <v>45905</v>
      </c>
      <c r="B685" s="1" t="s">
        <v>1757</v>
      </c>
      <c r="C685" s="1" t="s">
        <v>225</v>
      </c>
      <c r="D685" s="1" t="s">
        <v>426</v>
      </c>
      <c r="E685" s="1">
        <v>85335</v>
      </c>
      <c r="F685" s="1" t="s">
        <v>1758</v>
      </c>
      <c r="G685" s="1" t="s">
        <v>1541</v>
      </c>
      <c r="H685" s="4" t="s">
        <v>6257</v>
      </c>
      <c r="I685" s="5" t="s">
        <v>46</v>
      </c>
      <c r="J685" s="5" t="s">
        <v>37</v>
      </c>
      <c r="K685" s="5" t="s">
        <v>37</v>
      </c>
      <c r="L685" s="5" t="s">
        <v>38</v>
      </c>
      <c r="M685" s="5" t="s">
        <v>37</v>
      </c>
      <c r="N685" s="5" t="s">
        <v>37</v>
      </c>
      <c r="O685" s="5" t="s">
        <v>38</v>
      </c>
      <c r="P685" s="5" t="s">
        <v>39</v>
      </c>
      <c r="Q685" s="2">
        <v>45966</v>
      </c>
      <c r="V685" s="45">
        <f>IF(
  OR(
    ISNUMBER(SEARCH("unable to locate acct", tblDocketedComments[[#This Row],[Docketed Consumer Comments]])),
    ISNUMBER(SEARCH("unknown", tblDocketedComments[[#This Row],[Docketed Consumer Comments]])),
    ISNUMBER(SEARCH("inactive", tblDocketedComments[[#This Row],[Docketed Consumer Comments]]))
  ),
  0,
  1
)</f>
        <v>1</v>
      </c>
    </row>
    <row r="686" spans="1:22" hidden="1">
      <c r="A686" s="2">
        <v>45905</v>
      </c>
      <c r="B686" s="1" t="s">
        <v>1759</v>
      </c>
      <c r="C686" s="1" t="s">
        <v>702</v>
      </c>
      <c r="D686" s="1" t="s">
        <v>169</v>
      </c>
      <c r="E686" s="1">
        <v>85338</v>
      </c>
      <c r="F686" s="1" t="s">
        <v>31</v>
      </c>
      <c r="G686" s="1" t="s">
        <v>1541</v>
      </c>
      <c r="H686" s="4" t="s">
        <v>6258</v>
      </c>
      <c r="I686" s="5" t="s">
        <v>36</v>
      </c>
      <c r="J686" s="5" t="s">
        <v>38</v>
      </c>
      <c r="K686" s="5" t="s">
        <v>37</v>
      </c>
      <c r="L686" s="5" t="s">
        <v>38</v>
      </c>
      <c r="M686" s="5" t="s">
        <v>37</v>
      </c>
      <c r="N686" s="5" t="s">
        <v>37</v>
      </c>
      <c r="O686" s="5" t="s">
        <v>38</v>
      </c>
      <c r="P686" s="5" t="s">
        <v>39</v>
      </c>
      <c r="Q686" s="2">
        <v>45966</v>
      </c>
      <c r="V686" s="45">
        <f>IF(
  OR(
    ISNUMBER(SEARCH("unable to locate acct", tblDocketedComments[[#This Row],[Docketed Consumer Comments]])),
    ISNUMBER(SEARCH("unknown", tblDocketedComments[[#This Row],[Docketed Consumer Comments]])),
    ISNUMBER(SEARCH("inactive", tblDocketedComments[[#This Row],[Docketed Consumer Comments]]))
  ),
  0,
  1
)</f>
        <v>1</v>
      </c>
    </row>
    <row r="687" spans="1:22" hidden="1">
      <c r="A687" s="2">
        <v>45905</v>
      </c>
      <c r="B687" s="1" t="s">
        <v>1760</v>
      </c>
      <c r="C687" s="1" t="s">
        <v>545</v>
      </c>
      <c r="D687" s="1" t="s">
        <v>202</v>
      </c>
      <c r="E687" s="1">
        <v>85383</v>
      </c>
      <c r="F687" s="1" t="s">
        <v>310</v>
      </c>
      <c r="G687" s="1" t="s">
        <v>1541</v>
      </c>
      <c r="H687" s="4" t="s">
        <v>6039</v>
      </c>
      <c r="I687" s="5" t="s">
        <v>196</v>
      </c>
      <c r="J687" s="5" t="s">
        <v>37</v>
      </c>
      <c r="K687" s="5" t="s">
        <v>37</v>
      </c>
      <c r="L687" s="7" t="s">
        <v>1761</v>
      </c>
      <c r="M687" s="5" t="s">
        <v>37</v>
      </c>
      <c r="N687" s="5" t="s">
        <v>37</v>
      </c>
      <c r="O687" s="5" t="s">
        <v>38</v>
      </c>
      <c r="P687" s="2">
        <v>45936</v>
      </c>
      <c r="Q687" s="2">
        <v>45966</v>
      </c>
      <c r="R687" s="1" t="s">
        <v>1548</v>
      </c>
      <c r="V687" s="45">
        <f>IF(
  OR(
    ISNUMBER(SEARCH("unable to locate acct", tblDocketedComments[[#This Row],[Docketed Consumer Comments]])),
    ISNUMBER(SEARCH("unknown", tblDocketedComments[[#This Row],[Docketed Consumer Comments]])),
    ISNUMBER(SEARCH("inactive", tblDocketedComments[[#This Row],[Docketed Consumer Comments]]))
  ),
  0,
  1
)</f>
        <v>1</v>
      </c>
    </row>
    <row r="688" spans="1:22" hidden="1">
      <c r="A688" s="2">
        <v>45905</v>
      </c>
      <c r="B688" s="1" t="s">
        <v>1762</v>
      </c>
      <c r="C688" s="1" t="s">
        <v>1763</v>
      </c>
      <c r="D688" s="1" t="s">
        <v>112</v>
      </c>
      <c r="E688" s="1">
        <v>85374</v>
      </c>
      <c r="F688" s="1" t="s">
        <v>310</v>
      </c>
      <c r="G688" s="1" t="s">
        <v>1541</v>
      </c>
      <c r="H688" s="4" t="s">
        <v>90</v>
      </c>
      <c r="V688" s="45">
        <f>IF(
  OR(
    ISNUMBER(SEARCH("unable to locate acct", tblDocketedComments[[#This Row],[Docketed Consumer Comments]])),
    ISNUMBER(SEARCH("unknown", tblDocketedComments[[#This Row],[Docketed Consumer Comments]])),
    ISNUMBER(SEARCH("inactive", tblDocketedComments[[#This Row],[Docketed Consumer Comments]]))
  ),
  0,
  1
)</f>
        <v>1</v>
      </c>
    </row>
    <row r="689" spans="1:22" hidden="1">
      <c r="A689" s="2">
        <v>45905</v>
      </c>
      <c r="B689" s="1" t="s">
        <v>1096</v>
      </c>
      <c r="C689" s="1" t="s">
        <v>1529</v>
      </c>
      <c r="D689" s="1" t="s">
        <v>112</v>
      </c>
      <c r="E689" s="1">
        <v>85379</v>
      </c>
      <c r="F689" s="1" t="s">
        <v>310</v>
      </c>
      <c r="G689" s="1" t="s">
        <v>1541</v>
      </c>
      <c r="H689" s="4" t="s">
        <v>6259</v>
      </c>
      <c r="I689" s="5" t="s">
        <v>250</v>
      </c>
      <c r="J689" s="5" t="s">
        <v>37</v>
      </c>
      <c r="K689" s="5" t="s">
        <v>37</v>
      </c>
      <c r="L689" s="5" t="s">
        <v>38</v>
      </c>
      <c r="M689" s="5" t="s">
        <v>37</v>
      </c>
      <c r="N689" s="5" t="s">
        <v>37</v>
      </c>
      <c r="O689" s="5" t="s">
        <v>38</v>
      </c>
      <c r="P689" s="5" t="s">
        <v>39</v>
      </c>
      <c r="Q689" s="2">
        <v>45966</v>
      </c>
      <c r="V689" s="45">
        <f>IF(
  OR(
    ISNUMBER(SEARCH("unable to locate acct", tblDocketedComments[[#This Row],[Docketed Consumer Comments]])),
    ISNUMBER(SEARCH("unknown", tblDocketedComments[[#This Row],[Docketed Consumer Comments]])),
    ISNUMBER(SEARCH("inactive", tblDocketedComments[[#This Row],[Docketed Consumer Comments]]))
  ),
  0,
  1
)</f>
        <v>1</v>
      </c>
    </row>
    <row r="690" spans="1:22" hidden="1">
      <c r="A690" s="2">
        <v>45905</v>
      </c>
      <c r="B690" s="1" t="s">
        <v>1760</v>
      </c>
      <c r="C690" s="1" t="s">
        <v>1664</v>
      </c>
      <c r="D690" s="1" t="s">
        <v>202</v>
      </c>
      <c r="E690" s="1">
        <v>85383</v>
      </c>
      <c r="F690" s="1" t="s">
        <v>310</v>
      </c>
      <c r="G690" s="1" t="s">
        <v>1541</v>
      </c>
      <c r="H690" s="4" t="s">
        <v>6039</v>
      </c>
      <c r="I690" s="5" t="s">
        <v>196</v>
      </c>
      <c r="J690" s="5" t="s">
        <v>37</v>
      </c>
      <c r="K690" s="5" t="s">
        <v>37</v>
      </c>
      <c r="L690" s="7" t="s">
        <v>1761</v>
      </c>
      <c r="M690" s="5" t="s">
        <v>37</v>
      </c>
      <c r="N690" s="5" t="s">
        <v>37</v>
      </c>
      <c r="O690" s="5" t="s">
        <v>38</v>
      </c>
      <c r="P690" s="2">
        <v>45936</v>
      </c>
      <c r="Q690" s="2">
        <v>45966</v>
      </c>
      <c r="R690" s="1" t="s">
        <v>1548</v>
      </c>
      <c r="V690" s="45">
        <f>IF(
  OR(
    ISNUMBER(SEARCH("unable to locate acct", tblDocketedComments[[#This Row],[Docketed Consumer Comments]])),
    ISNUMBER(SEARCH("unknown", tblDocketedComments[[#This Row],[Docketed Consumer Comments]])),
    ISNUMBER(SEARCH("inactive", tblDocketedComments[[#This Row],[Docketed Consumer Comments]]))
  ),
  0,
  1
)</f>
        <v>1</v>
      </c>
    </row>
    <row r="691" spans="1:22" hidden="1">
      <c r="A691" s="2">
        <v>45905</v>
      </c>
      <c r="B691" s="1" t="s">
        <v>1764</v>
      </c>
      <c r="C691" s="1" t="s">
        <v>677</v>
      </c>
      <c r="D691" s="1" t="s">
        <v>63</v>
      </c>
      <c r="E691" s="1">
        <v>85020</v>
      </c>
      <c r="F691" s="1" t="s">
        <v>31</v>
      </c>
      <c r="G691" s="1" t="s">
        <v>1541</v>
      </c>
      <c r="H691" s="4" t="s">
        <v>6031</v>
      </c>
      <c r="I691" s="5" t="s">
        <v>36</v>
      </c>
      <c r="J691" s="5" t="s">
        <v>37</v>
      </c>
      <c r="K691" s="5" t="s">
        <v>37</v>
      </c>
      <c r="L691" s="7" t="s">
        <v>1765</v>
      </c>
      <c r="M691" s="5" t="s">
        <v>37</v>
      </c>
      <c r="N691" s="5" t="s">
        <v>37</v>
      </c>
      <c r="O691" s="5" t="s">
        <v>38</v>
      </c>
      <c r="P691" s="2">
        <v>45936</v>
      </c>
      <c r="Q691" s="2">
        <v>45966</v>
      </c>
      <c r="R691" s="1" t="s">
        <v>1766</v>
      </c>
      <c r="V691" s="45">
        <f>IF(
  OR(
    ISNUMBER(SEARCH("unable to locate acct", tblDocketedComments[[#This Row],[Docketed Consumer Comments]])),
    ISNUMBER(SEARCH("unknown", tblDocketedComments[[#This Row],[Docketed Consumer Comments]])),
    ISNUMBER(SEARCH("inactive", tblDocketedComments[[#This Row],[Docketed Consumer Comments]]))
  ),
  0,
  1
)</f>
        <v>1</v>
      </c>
    </row>
    <row r="692" spans="1:22" hidden="1">
      <c r="A692" s="2">
        <v>45905</v>
      </c>
      <c r="B692" s="1" t="s">
        <v>1767</v>
      </c>
      <c r="C692" s="1" t="s">
        <v>1768</v>
      </c>
      <c r="D692" s="1" t="s">
        <v>125</v>
      </c>
      <c r="E692" s="1">
        <v>85254</v>
      </c>
      <c r="F692" s="1" t="s">
        <v>310</v>
      </c>
      <c r="G692" s="1" t="s">
        <v>1541</v>
      </c>
      <c r="H692" s="4" t="s">
        <v>27</v>
      </c>
      <c r="V692" s="45">
        <f>IF(
  OR(
    ISNUMBER(SEARCH("unable to locate acct", tblDocketedComments[[#This Row],[Docketed Consumer Comments]])),
    ISNUMBER(SEARCH("unknown", tblDocketedComments[[#This Row],[Docketed Consumer Comments]])),
    ISNUMBER(SEARCH("inactive", tblDocketedComments[[#This Row],[Docketed Consumer Comments]]))
  ),
  0,
  1
)</f>
        <v>1</v>
      </c>
    </row>
    <row r="693" spans="1:22" hidden="1">
      <c r="A693" s="2">
        <v>45905</v>
      </c>
      <c r="B693" s="1" t="s">
        <v>1769</v>
      </c>
      <c r="C693" s="1" t="s">
        <v>810</v>
      </c>
      <c r="D693" s="1" t="s">
        <v>125</v>
      </c>
      <c r="E693" s="1">
        <v>85258</v>
      </c>
      <c r="F693" s="1" t="s">
        <v>31</v>
      </c>
      <c r="G693" s="1" t="s">
        <v>1541</v>
      </c>
      <c r="H693" s="21" t="s">
        <v>6706</v>
      </c>
      <c r="I693" s="5" t="s">
        <v>538</v>
      </c>
      <c r="J693" s="5" t="s">
        <v>37</v>
      </c>
      <c r="K693" s="5" t="s">
        <v>37</v>
      </c>
      <c r="L693" s="5" t="s">
        <v>387</v>
      </c>
      <c r="M693" s="5" t="s">
        <v>37</v>
      </c>
      <c r="N693" s="5" t="s">
        <v>37</v>
      </c>
      <c r="O693" s="5" t="s">
        <v>38</v>
      </c>
      <c r="P693" s="5" t="s">
        <v>39</v>
      </c>
      <c r="Q693" s="2">
        <v>45966</v>
      </c>
      <c r="V693" s="45">
        <f>IF(
  OR(
    ISNUMBER(SEARCH("unable to locate acct", tblDocketedComments[[#This Row],[Docketed Consumer Comments]])),
    ISNUMBER(SEARCH("unknown", tblDocketedComments[[#This Row],[Docketed Consumer Comments]])),
    ISNUMBER(SEARCH("inactive", tblDocketedComments[[#This Row],[Docketed Consumer Comments]]))
  ),
  0,
  1
)</f>
        <v>1</v>
      </c>
    </row>
    <row r="694" spans="1:22" hidden="1">
      <c r="A694" s="2">
        <v>45905</v>
      </c>
      <c r="B694" s="1" t="s">
        <v>357</v>
      </c>
      <c r="C694" s="1" t="s">
        <v>117</v>
      </c>
      <c r="D694" s="1" t="s">
        <v>174</v>
      </c>
      <c r="E694" s="1">
        <v>85326</v>
      </c>
      <c r="F694" s="1" t="s">
        <v>310</v>
      </c>
      <c r="G694" s="1" t="s">
        <v>1541</v>
      </c>
      <c r="H694" s="4" t="s">
        <v>209</v>
      </c>
      <c r="V694" s="45">
        <f>IF(
  OR(
    ISNUMBER(SEARCH("unable to locate acct", tblDocketedComments[[#This Row],[Docketed Consumer Comments]])),
    ISNUMBER(SEARCH("unknown", tblDocketedComments[[#This Row],[Docketed Consumer Comments]])),
    ISNUMBER(SEARCH("inactive", tblDocketedComments[[#This Row],[Docketed Consumer Comments]]))
  ),
  0,
  1
)</f>
        <v>1</v>
      </c>
    </row>
    <row r="695" spans="1:22" hidden="1">
      <c r="A695" s="2">
        <v>45905</v>
      </c>
      <c r="B695" s="1" t="s">
        <v>1770</v>
      </c>
      <c r="C695" s="1" t="s">
        <v>328</v>
      </c>
      <c r="D695" s="1" t="s">
        <v>112</v>
      </c>
      <c r="E695" s="1">
        <v>85388</v>
      </c>
      <c r="F695" s="1" t="s">
        <v>310</v>
      </c>
      <c r="G695" s="1" t="s">
        <v>1541</v>
      </c>
      <c r="H695" s="4" t="s">
        <v>6260</v>
      </c>
      <c r="I695" s="5" t="s">
        <v>36</v>
      </c>
      <c r="J695" s="5" t="s">
        <v>37</v>
      </c>
      <c r="K695" s="5" t="s">
        <v>37</v>
      </c>
      <c r="L695" s="5" t="s">
        <v>38</v>
      </c>
      <c r="M695" s="5" t="s">
        <v>37</v>
      </c>
      <c r="N695" s="5" t="s">
        <v>37</v>
      </c>
      <c r="O695" s="5" t="s">
        <v>38</v>
      </c>
      <c r="P695" s="5" t="s">
        <v>39</v>
      </c>
      <c r="Q695" s="2">
        <v>45966</v>
      </c>
      <c r="V695" s="45">
        <f>IF(
  OR(
    ISNUMBER(SEARCH("unable to locate acct", tblDocketedComments[[#This Row],[Docketed Consumer Comments]])),
    ISNUMBER(SEARCH("unknown", tblDocketedComments[[#This Row],[Docketed Consumer Comments]])),
    ISNUMBER(SEARCH("inactive", tblDocketedComments[[#This Row],[Docketed Consumer Comments]]))
  ),
  0,
  1
)</f>
        <v>1</v>
      </c>
    </row>
    <row r="696" spans="1:22" hidden="1">
      <c r="A696" s="2">
        <v>45905</v>
      </c>
      <c r="B696" s="1" t="s">
        <v>1771</v>
      </c>
      <c r="C696" s="1" t="s">
        <v>1772</v>
      </c>
      <c r="D696" s="1" t="s">
        <v>63</v>
      </c>
      <c r="E696" s="1">
        <v>85014</v>
      </c>
      <c r="F696" s="1" t="s">
        <v>31</v>
      </c>
      <c r="G696" s="1" t="s">
        <v>1541</v>
      </c>
      <c r="H696" s="4" t="s">
        <v>6040</v>
      </c>
      <c r="I696" s="5" t="s">
        <v>36</v>
      </c>
      <c r="J696" s="5" t="s">
        <v>37</v>
      </c>
      <c r="K696" s="5" t="s">
        <v>37</v>
      </c>
      <c r="L696" s="7" t="s">
        <v>1773</v>
      </c>
      <c r="M696" s="5" t="s">
        <v>37</v>
      </c>
      <c r="N696" s="5" t="s">
        <v>37</v>
      </c>
      <c r="O696" s="5" t="s">
        <v>38</v>
      </c>
      <c r="P696" s="2">
        <v>45936</v>
      </c>
      <c r="Q696" s="2">
        <v>45966</v>
      </c>
      <c r="R696" s="1" t="s">
        <v>1755</v>
      </c>
      <c r="V696" s="45">
        <f>IF(
  OR(
    ISNUMBER(SEARCH("unable to locate acct", tblDocketedComments[[#This Row],[Docketed Consumer Comments]])),
    ISNUMBER(SEARCH("unknown", tblDocketedComments[[#This Row],[Docketed Consumer Comments]])),
    ISNUMBER(SEARCH("inactive", tblDocketedComments[[#This Row],[Docketed Consumer Comments]]))
  ),
  0,
  1
)</f>
        <v>1</v>
      </c>
    </row>
    <row r="697" spans="1:22" hidden="1">
      <c r="A697" s="2">
        <v>45905</v>
      </c>
      <c r="B697" s="1" t="s">
        <v>1774</v>
      </c>
      <c r="C697" s="1" t="s">
        <v>1775</v>
      </c>
      <c r="D697" s="1" t="s">
        <v>1776</v>
      </c>
      <c r="E697" s="1">
        <v>86333</v>
      </c>
      <c r="F697" s="1" t="s">
        <v>31</v>
      </c>
      <c r="G697" s="1" t="s">
        <v>1541</v>
      </c>
      <c r="H697" s="4" t="s">
        <v>6261</v>
      </c>
      <c r="I697" s="5" t="s">
        <v>36</v>
      </c>
      <c r="J697" s="5" t="s">
        <v>37</v>
      </c>
      <c r="K697" s="5" t="s">
        <v>37</v>
      </c>
      <c r="L697" s="5" t="s">
        <v>38</v>
      </c>
      <c r="M697" s="5" t="s">
        <v>37</v>
      </c>
      <c r="N697" s="5" t="s">
        <v>37</v>
      </c>
      <c r="O697" s="5" t="s">
        <v>38</v>
      </c>
      <c r="P697" s="5" t="s">
        <v>39</v>
      </c>
      <c r="Q697" s="2">
        <v>45966</v>
      </c>
      <c r="U697" s="1" t="s">
        <v>721</v>
      </c>
      <c r="V697" s="45">
        <f>IF(
  OR(
    ISNUMBER(SEARCH("unable to locate acct", tblDocketedComments[[#This Row],[Docketed Consumer Comments]])),
    ISNUMBER(SEARCH("unknown", tblDocketedComments[[#This Row],[Docketed Consumer Comments]])),
    ISNUMBER(SEARCH("inactive", tblDocketedComments[[#This Row],[Docketed Consumer Comments]]))
  ),
  0,
  1
)</f>
        <v>1</v>
      </c>
    </row>
    <row r="698" spans="1:22" hidden="1">
      <c r="A698" s="2">
        <v>45905</v>
      </c>
      <c r="B698" s="1" t="s">
        <v>1777</v>
      </c>
      <c r="C698" s="1" t="s">
        <v>117</v>
      </c>
      <c r="D698" s="1" t="s">
        <v>536</v>
      </c>
      <c r="E698" s="1">
        <v>85122</v>
      </c>
      <c r="F698" s="1" t="s">
        <v>1778</v>
      </c>
      <c r="G698" s="1" t="s">
        <v>1541</v>
      </c>
      <c r="H698" s="4" t="s">
        <v>6041</v>
      </c>
      <c r="I698" s="5" t="s">
        <v>196</v>
      </c>
      <c r="J698" s="5" t="s">
        <v>38</v>
      </c>
      <c r="K698" s="5" t="s">
        <v>37</v>
      </c>
      <c r="L698" s="5" t="s">
        <v>1779</v>
      </c>
      <c r="M698" s="5" t="s">
        <v>37</v>
      </c>
      <c r="N698" s="5" t="s">
        <v>37</v>
      </c>
      <c r="O698" s="5" t="s">
        <v>38</v>
      </c>
      <c r="P698" s="5" t="s">
        <v>39</v>
      </c>
      <c r="Q698" s="2">
        <v>45966</v>
      </c>
      <c r="V698" s="45">
        <f>IF(
  OR(
    ISNUMBER(SEARCH("unable to locate acct", tblDocketedComments[[#This Row],[Docketed Consumer Comments]])),
    ISNUMBER(SEARCH("unknown", tblDocketedComments[[#This Row],[Docketed Consumer Comments]])),
    ISNUMBER(SEARCH("inactive", tblDocketedComments[[#This Row],[Docketed Consumer Comments]]))
  ),
  0,
  1
)</f>
        <v>1</v>
      </c>
    </row>
    <row r="699" spans="1:22" hidden="1">
      <c r="A699" s="2">
        <v>45905</v>
      </c>
      <c r="B699" s="1" t="s">
        <v>1679</v>
      </c>
      <c r="C699" s="1" t="s">
        <v>1780</v>
      </c>
      <c r="D699" s="1" t="s">
        <v>63</v>
      </c>
      <c r="E699" s="1">
        <v>85012</v>
      </c>
      <c r="F699" s="1" t="s">
        <v>310</v>
      </c>
      <c r="G699" s="1" t="s">
        <v>1541</v>
      </c>
      <c r="H699" s="4" t="s">
        <v>716</v>
      </c>
      <c r="I699" s="5" t="s">
        <v>73</v>
      </c>
      <c r="J699" s="5" t="s">
        <v>37</v>
      </c>
      <c r="L699" s="5" t="s">
        <v>38</v>
      </c>
      <c r="O699" s="5" t="s">
        <v>38</v>
      </c>
      <c r="P699" s="5" t="s">
        <v>39</v>
      </c>
      <c r="V699" s="45">
        <f>IF(
  OR(
    ISNUMBER(SEARCH("unable to locate acct", tblDocketedComments[[#This Row],[Docketed Consumer Comments]])),
    ISNUMBER(SEARCH("unknown", tblDocketedComments[[#This Row],[Docketed Consumer Comments]])),
    ISNUMBER(SEARCH("inactive", tblDocketedComments[[#This Row],[Docketed Consumer Comments]]))
  ),
  0,
  1
)</f>
        <v>1</v>
      </c>
    </row>
    <row r="700" spans="1:22" hidden="1">
      <c r="A700" s="2">
        <v>45905</v>
      </c>
      <c r="B700" s="1" t="s">
        <v>1781</v>
      </c>
      <c r="C700" s="1" t="s">
        <v>1782</v>
      </c>
      <c r="D700" s="1" t="s">
        <v>63</v>
      </c>
      <c r="E700" s="1">
        <v>85032</v>
      </c>
      <c r="F700" s="1" t="s">
        <v>310</v>
      </c>
      <c r="G700" s="1" t="s">
        <v>1541</v>
      </c>
      <c r="H700" s="4" t="s">
        <v>6262</v>
      </c>
      <c r="I700" s="5" t="s">
        <v>538</v>
      </c>
      <c r="J700" s="5" t="s">
        <v>37</v>
      </c>
      <c r="K700" s="5" t="s">
        <v>37</v>
      </c>
      <c r="L700" s="5" t="s">
        <v>387</v>
      </c>
      <c r="M700" s="5" t="s">
        <v>37</v>
      </c>
      <c r="N700" s="5" t="s">
        <v>37</v>
      </c>
      <c r="O700" s="5" t="s">
        <v>38</v>
      </c>
      <c r="P700" s="5" t="s">
        <v>39</v>
      </c>
      <c r="Q700" s="2">
        <v>45966</v>
      </c>
      <c r="V700" s="45">
        <f>IF(
  OR(
    ISNUMBER(SEARCH("unable to locate acct", tblDocketedComments[[#This Row],[Docketed Consumer Comments]])),
    ISNUMBER(SEARCH("unknown", tblDocketedComments[[#This Row],[Docketed Consumer Comments]])),
    ISNUMBER(SEARCH("inactive", tblDocketedComments[[#This Row],[Docketed Consumer Comments]]))
  ),
  0,
  1
)</f>
        <v>1</v>
      </c>
    </row>
    <row r="701" spans="1:22" hidden="1">
      <c r="A701" s="2">
        <v>45905</v>
      </c>
      <c r="B701" s="1" t="s">
        <v>1783</v>
      </c>
      <c r="C701" s="1" t="s">
        <v>752</v>
      </c>
      <c r="D701" s="1" t="s">
        <v>616</v>
      </c>
      <c r="E701" s="1">
        <v>85365</v>
      </c>
      <c r="F701" s="1" t="s">
        <v>310</v>
      </c>
      <c r="G701" s="1" t="s">
        <v>1541</v>
      </c>
      <c r="H701" s="4" t="s">
        <v>27</v>
      </c>
      <c r="V701" s="45">
        <f>IF(
  OR(
    ISNUMBER(SEARCH("unable to locate acct", tblDocketedComments[[#This Row],[Docketed Consumer Comments]])),
    ISNUMBER(SEARCH("unknown", tblDocketedComments[[#This Row],[Docketed Consumer Comments]])),
    ISNUMBER(SEARCH("inactive", tblDocketedComments[[#This Row],[Docketed Consumer Comments]]))
  ),
  0,
  1
)</f>
        <v>1</v>
      </c>
    </row>
    <row r="702" spans="1:22" hidden="1">
      <c r="A702" s="2">
        <v>45905</v>
      </c>
      <c r="B702" s="1" t="s">
        <v>1784</v>
      </c>
      <c r="C702" s="1" t="s">
        <v>1785</v>
      </c>
      <c r="D702" s="1" t="s">
        <v>536</v>
      </c>
      <c r="E702" s="1">
        <v>85122</v>
      </c>
      <c r="F702" s="1" t="s">
        <v>31</v>
      </c>
      <c r="G702" s="1" t="s">
        <v>1541</v>
      </c>
      <c r="H702" s="4" t="s">
        <v>27</v>
      </c>
      <c r="V702" s="45">
        <f>IF(
  OR(
    ISNUMBER(SEARCH("unable to locate acct", tblDocketedComments[[#This Row],[Docketed Consumer Comments]])),
    ISNUMBER(SEARCH("unknown", tblDocketedComments[[#This Row],[Docketed Consumer Comments]])),
    ISNUMBER(SEARCH("inactive", tblDocketedComments[[#This Row],[Docketed Consumer Comments]]))
  ),
  0,
  1
)</f>
        <v>1</v>
      </c>
    </row>
    <row r="703" spans="1:22" hidden="1">
      <c r="A703" s="2">
        <v>45905</v>
      </c>
      <c r="B703" s="1" t="s">
        <v>1786</v>
      </c>
      <c r="C703" s="1" t="s">
        <v>1787</v>
      </c>
      <c r="D703" s="1" t="s">
        <v>63</v>
      </c>
      <c r="E703" s="1">
        <v>85007</v>
      </c>
      <c r="F703" s="1" t="s">
        <v>1788</v>
      </c>
      <c r="G703" s="1" t="s">
        <v>1541</v>
      </c>
      <c r="H703" s="21" t="s">
        <v>6707</v>
      </c>
      <c r="I703" s="5" t="s">
        <v>196</v>
      </c>
      <c r="J703" s="5" t="s">
        <v>37</v>
      </c>
      <c r="K703" s="5" t="s">
        <v>37</v>
      </c>
      <c r="L703" s="7" t="s">
        <v>1789</v>
      </c>
      <c r="M703" s="5" t="s">
        <v>37</v>
      </c>
      <c r="N703" s="5" t="s">
        <v>37</v>
      </c>
      <c r="O703" s="5" t="s">
        <v>38</v>
      </c>
      <c r="P703" s="2">
        <v>45936</v>
      </c>
      <c r="Q703" s="2">
        <v>45966</v>
      </c>
      <c r="R703" s="1" t="s">
        <v>1790</v>
      </c>
      <c r="V703" s="45">
        <f>IF(
  OR(
    ISNUMBER(SEARCH("unable to locate acct", tblDocketedComments[[#This Row],[Docketed Consumer Comments]])),
    ISNUMBER(SEARCH("unknown", tblDocketedComments[[#This Row],[Docketed Consumer Comments]])),
    ISNUMBER(SEARCH("inactive", tblDocketedComments[[#This Row],[Docketed Consumer Comments]]))
  ),
  0,
  1
)</f>
        <v>1</v>
      </c>
    </row>
    <row r="704" spans="1:22" hidden="1">
      <c r="A704" s="2">
        <v>45905</v>
      </c>
      <c r="B704" s="1" t="s">
        <v>1762</v>
      </c>
      <c r="C704" s="1" t="s">
        <v>1791</v>
      </c>
      <c r="D704" s="1" t="s">
        <v>112</v>
      </c>
      <c r="E704" s="1">
        <v>85374</v>
      </c>
      <c r="F704" s="1" t="s">
        <v>310</v>
      </c>
      <c r="G704" s="1" t="s">
        <v>1541</v>
      </c>
      <c r="H704" s="4" t="s">
        <v>27</v>
      </c>
      <c r="V704" s="45">
        <f>IF(
  OR(
    ISNUMBER(SEARCH("unable to locate acct", tblDocketedComments[[#This Row],[Docketed Consumer Comments]])),
    ISNUMBER(SEARCH("unknown", tblDocketedComments[[#This Row],[Docketed Consumer Comments]])),
    ISNUMBER(SEARCH("inactive", tblDocketedComments[[#This Row],[Docketed Consumer Comments]]))
  ),
  0,
  1
)</f>
        <v>1</v>
      </c>
    </row>
    <row r="705" spans="1:22" hidden="1">
      <c r="A705" s="2">
        <v>45905</v>
      </c>
      <c r="B705" s="1" t="s">
        <v>1792</v>
      </c>
      <c r="C705" s="1" t="s">
        <v>594</v>
      </c>
      <c r="D705" s="1" t="s">
        <v>169</v>
      </c>
      <c r="E705" s="1">
        <v>85395</v>
      </c>
      <c r="F705" s="1" t="s">
        <v>1793</v>
      </c>
      <c r="G705" s="1" t="s">
        <v>1541</v>
      </c>
      <c r="H705" s="21" t="s">
        <v>6708</v>
      </c>
      <c r="I705" s="5" t="s">
        <v>36</v>
      </c>
      <c r="J705" s="5" t="s">
        <v>37</v>
      </c>
      <c r="K705" s="5" t="s">
        <v>37</v>
      </c>
      <c r="L705" s="5" t="s">
        <v>38</v>
      </c>
      <c r="M705" s="5" t="s">
        <v>37</v>
      </c>
      <c r="N705" s="5" t="s">
        <v>37</v>
      </c>
      <c r="O705" s="5" t="s">
        <v>38</v>
      </c>
      <c r="P705" s="5" t="s">
        <v>39</v>
      </c>
      <c r="Q705" s="2">
        <v>45966</v>
      </c>
      <c r="V705" s="45">
        <f>IF(
  OR(
    ISNUMBER(SEARCH("unable to locate acct", tblDocketedComments[[#This Row],[Docketed Consumer Comments]])),
    ISNUMBER(SEARCH("unknown", tblDocketedComments[[#This Row],[Docketed Consumer Comments]])),
    ISNUMBER(SEARCH("inactive", tblDocketedComments[[#This Row],[Docketed Consumer Comments]]))
  ),
  0,
  1
)</f>
        <v>1</v>
      </c>
    </row>
    <row r="706" spans="1:22" hidden="1">
      <c r="A706" s="2">
        <v>45905</v>
      </c>
      <c r="B706" s="1" t="s">
        <v>1794</v>
      </c>
      <c r="C706" s="1" t="s">
        <v>1795</v>
      </c>
      <c r="D706" s="1" t="s">
        <v>202</v>
      </c>
      <c r="E706" s="1">
        <v>85383</v>
      </c>
      <c r="F706" s="1" t="s">
        <v>310</v>
      </c>
      <c r="G706" s="1" t="s">
        <v>1541</v>
      </c>
      <c r="H706" s="4" t="s">
        <v>6263</v>
      </c>
      <c r="I706" s="5" t="s">
        <v>243</v>
      </c>
      <c r="J706" s="5" t="s">
        <v>37</v>
      </c>
      <c r="K706" s="5" t="s">
        <v>37</v>
      </c>
      <c r="L706" s="5" t="s">
        <v>387</v>
      </c>
      <c r="M706" s="5" t="s">
        <v>37</v>
      </c>
      <c r="N706" s="5" t="s">
        <v>37</v>
      </c>
      <c r="O706" s="5" t="s">
        <v>38</v>
      </c>
      <c r="P706" s="5" t="s">
        <v>39</v>
      </c>
      <c r="Q706" s="2">
        <v>45966</v>
      </c>
      <c r="V706" s="45">
        <f>IF(
  OR(
    ISNUMBER(SEARCH("unable to locate acct", tblDocketedComments[[#This Row],[Docketed Consumer Comments]])),
    ISNUMBER(SEARCH("unknown", tblDocketedComments[[#This Row],[Docketed Consumer Comments]])),
    ISNUMBER(SEARCH("inactive", tblDocketedComments[[#This Row],[Docketed Consumer Comments]]))
  ),
  0,
  1
)</f>
        <v>1</v>
      </c>
    </row>
    <row r="707" spans="1:22" hidden="1">
      <c r="A707" s="2">
        <v>45905</v>
      </c>
      <c r="B707" s="1" t="s">
        <v>1796</v>
      </c>
      <c r="C707" s="1" t="s">
        <v>1797</v>
      </c>
      <c r="D707" s="1" t="s">
        <v>63</v>
      </c>
      <c r="E707" s="1">
        <v>85012</v>
      </c>
      <c r="F707" s="1" t="s">
        <v>1798</v>
      </c>
      <c r="G707" s="1" t="s">
        <v>1541</v>
      </c>
      <c r="H707" s="4" t="s">
        <v>6264</v>
      </c>
      <c r="I707" s="5" t="s">
        <v>73</v>
      </c>
      <c r="J707" s="5" t="s">
        <v>37</v>
      </c>
      <c r="K707" s="5" t="s">
        <v>37</v>
      </c>
      <c r="L707" s="5" t="s">
        <v>38</v>
      </c>
      <c r="M707" s="5" t="s">
        <v>37</v>
      </c>
      <c r="N707" s="5" t="s">
        <v>37</v>
      </c>
      <c r="O707" s="5" t="s">
        <v>38</v>
      </c>
      <c r="P707" s="5" t="s">
        <v>39</v>
      </c>
      <c r="Q707" s="2">
        <v>45966</v>
      </c>
      <c r="V707" s="45">
        <f>IF(
  OR(
    ISNUMBER(SEARCH("unable to locate acct", tblDocketedComments[[#This Row],[Docketed Consumer Comments]])),
    ISNUMBER(SEARCH("unknown", tblDocketedComments[[#This Row],[Docketed Consumer Comments]])),
    ISNUMBER(SEARCH("inactive", tblDocketedComments[[#This Row],[Docketed Consumer Comments]]))
  ),
  0,
  1
)</f>
        <v>1</v>
      </c>
    </row>
    <row r="708" spans="1:22" hidden="1">
      <c r="A708" s="2">
        <v>45905</v>
      </c>
      <c r="B708" s="1" t="s">
        <v>1799</v>
      </c>
      <c r="C708" s="1" t="s">
        <v>820</v>
      </c>
      <c r="D708" s="1" t="s">
        <v>125</v>
      </c>
      <c r="E708" s="1">
        <v>85259</v>
      </c>
      <c r="F708" s="1" t="s">
        <v>31</v>
      </c>
      <c r="G708" s="1" t="s">
        <v>1541</v>
      </c>
      <c r="H708" s="4" t="s">
        <v>6265</v>
      </c>
      <c r="I708" s="5" t="s">
        <v>36</v>
      </c>
      <c r="J708" s="5" t="s">
        <v>37</v>
      </c>
      <c r="K708" s="5" t="s">
        <v>37</v>
      </c>
      <c r="L708" s="5" t="s">
        <v>38</v>
      </c>
      <c r="M708" s="5" t="s">
        <v>37</v>
      </c>
      <c r="N708" s="5" t="s">
        <v>37</v>
      </c>
      <c r="O708" s="5" t="s">
        <v>38</v>
      </c>
      <c r="P708" s="5" t="s">
        <v>39</v>
      </c>
      <c r="Q708" s="2">
        <v>45966</v>
      </c>
      <c r="R708" s="1" t="s">
        <v>1800</v>
      </c>
      <c r="V708" s="45">
        <f>IF(
  OR(
    ISNUMBER(SEARCH("unable to locate acct", tblDocketedComments[[#This Row],[Docketed Consumer Comments]])),
    ISNUMBER(SEARCH("unknown", tblDocketedComments[[#This Row],[Docketed Consumer Comments]])),
    ISNUMBER(SEARCH("inactive", tblDocketedComments[[#This Row],[Docketed Consumer Comments]]))
  ),
  0,
  1
)</f>
        <v>1</v>
      </c>
    </row>
    <row r="709" spans="1:22" hidden="1">
      <c r="A709" s="2">
        <v>45905</v>
      </c>
      <c r="B709" s="1" t="s">
        <v>1039</v>
      </c>
      <c r="C709" s="1" t="s">
        <v>1801</v>
      </c>
      <c r="D709" s="1" t="s">
        <v>63</v>
      </c>
      <c r="E709" s="1">
        <v>85028</v>
      </c>
      <c r="F709" s="1" t="s">
        <v>31</v>
      </c>
      <c r="G709" s="1" t="s">
        <v>1541</v>
      </c>
      <c r="H709" s="4" t="s">
        <v>6042</v>
      </c>
      <c r="I709" s="5" t="s">
        <v>57</v>
      </c>
      <c r="J709" s="5" t="s">
        <v>37</v>
      </c>
      <c r="K709" s="5" t="s">
        <v>37</v>
      </c>
      <c r="L709" s="7" t="s">
        <v>1802</v>
      </c>
      <c r="M709" s="5" t="s">
        <v>37</v>
      </c>
      <c r="N709" s="5" t="s">
        <v>37</v>
      </c>
      <c r="O709" s="5" t="s">
        <v>38</v>
      </c>
      <c r="P709" s="2">
        <v>45936</v>
      </c>
      <c r="Q709" s="2">
        <v>45966</v>
      </c>
      <c r="R709" s="1" t="s">
        <v>1755</v>
      </c>
      <c r="V709" s="45">
        <f>IF(
  OR(
    ISNUMBER(SEARCH("unable to locate acct", tblDocketedComments[[#This Row],[Docketed Consumer Comments]])),
    ISNUMBER(SEARCH("unknown", tblDocketedComments[[#This Row],[Docketed Consumer Comments]])),
    ISNUMBER(SEARCH("inactive", tblDocketedComments[[#This Row],[Docketed Consumer Comments]]))
  ),
  0,
  1
)</f>
        <v>1</v>
      </c>
    </row>
    <row r="710" spans="1:22" hidden="1">
      <c r="A710" s="2">
        <v>45905</v>
      </c>
      <c r="B710" s="1" t="s">
        <v>1803</v>
      </c>
      <c r="C710" s="1" t="s">
        <v>225</v>
      </c>
      <c r="D710" s="1" t="s">
        <v>24</v>
      </c>
      <c r="E710" s="1">
        <v>85308</v>
      </c>
      <c r="F710" s="1" t="s">
        <v>1804</v>
      </c>
      <c r="G710" s="1" t="s">
        <v>1541</v>
      </c>
      <c r="H710" s="4" t="s">
        <v>209</v>
      </c>
      <c r="V710" s="45">
        <f>IF(
  OR(
    ISNUMBER(SEARCH("unable to locate acct", tblDocketedComments[[#This Row],[Docketed Consumer Comments]])),
    ISNUMBER(SEARCH("unknown", tblDocketedComments[[#This Row],[Docketed Consumer Comments]])),
    ISNUMBER(SEARCH("inactive", tblDocketedComments[[#This Row],[Docketed Consumer Comments]]))
  ),
  0,
  1
)</f>
        <v>1</v>
      </c>
    </row>
    <row r="711" spans="1:22" hidden="1">
      <c r="A711" s="2">
        <v>45905</v>
      </c>
      <c r="B711" s="1" t="s">
        <v>1805</v>
      </c>
      <c r="C711" s="1" t="s">
        <v>1806</v>
      </c>
      <c r="D711" s="1" t="s">
        <v>63</v>
      </c>
      <c r="E711" s="1">
        <v>85027</v>
      </c>
      <c r="F711" s="1" t="s">
        <v>310</v>
      </c>
      <c r="G711" s="1" t="s">
        <v>1541</v>
      </c>
      <c r="H711" s="4" t="s">
        <v>6266</v>
      </c>
      <c r="I711" s="5" t="s">
        <v>126</v>
      </c>
      <c r="J711" s="5" t="s">
        <v>37</v>
      </c>
      <c r="K711" s="5" t="s">
        <v>37</v>
      </c>
      <c r="L711" s="5" t="s">
        <v>38</v>
      </c>
      <c r="M711" s="5" t="s">
        <v>37</v>
      </c>
      <c r="N711" s="5" t="s">
        <v>37</v>
      </c>
      <c r="O711" s="5" t="s">
        <v>38</v>
      </c>
      <c r="P711" s="5" t="s">
        <v>39</v>
      </c>
      <c r="Q711" s="2">
        <v>45966</v>
      </c>
      <c r="V711" s="45">
        <f>IF(
  OR(
    ISNUMBER(SEARCH("unable to locate acct", tblDocketedComments[[#This Row],[Docketed Consumer Comments]])),
    ISNUMBER(SEARCH("unknown", tblDocketedComments[[#This Row],[Docketed Consumer Comments]])),
    ISNUMBER(SEARCH("inactive", tblDocketedComments[[#This Row],[Docketed Consumer Comments]]))
  ),
  0,
  1
)</f>
        <v>1</v>
      </c>
    </row>
    <row r="712" spans="1:22" hidden="1">
      <c r="A712" s="2">
        <v>45905</v>
      </c>
      <c r="B712" s="1" t="s">
        <v>316</v>
      </c>
      <c r="C712" s="1" t="s">
        <v>317</v>
      </c>
      <c r="D712" s="1" t="s">
        <v>174</v>
      </c>
      <c r="E712" s="1">
        <v>85326</v>
      </c>
      <c r="F712" s="1" t="s">
        <v>1708</v>
      </c>
      <c r="G712" s="1" t="s">
        <v>1541</v>
      </c>
      <c r="H712" s="4" t="s">
        <v>6175</v>
      </c>
      <c r="I712" s="5" t="s">
        <v>36</v>
      </c>
      <c r="J712" s="5" t="s">
        <v>37</v>
      </c>
      <c r="K712" s="5" t="s">
        <v>37</v>
      </c>
      <c r="L712" s="5" t="s">
        <v>38</v>
      </c>
      <c r="M712" s="5" t="s">
        <v>37</v>
      </c>
      <c r="N712" s="5" t="s">
        <v>37</v>
      </c>
      <c r="O712" s="5" t="s">
        <v>38</v>
      </c>
      <c r="P712" s="5" t="s">
        <v>39</v>
      </c>
      <c r="Q712" s="2">
        <v>45966</v>
      </c>
      <c r="V712" s="45">
        <f>IF(
  OR(
    ISNUMBER(SEARCH("unable to locate acct", tblDocketedComments[[#This Row],[Docketed Consumer Comments]])),
    ISNUMBER(SEARCH("unknown", tblDocketedComments[[#This Row],[Docketed Consumer Comments]])),
    ISNUMBER(SEARCH("inactive", tblDocketedComments[[#This Row],[Docketed Consumer Comments]]))
  ),
  0,
  1
)</f>
        <v>1</v>
      </c>
    </row>
    <row r="713" spans="1:22" hidden="1">
      <c r="A713" s="2">
        <v>45905</v>
      </c>
      <c r="B713" s="1" t="s">
        <v>1807</v>
      </c>
      <c r="C713" s="1" t="s">
        <v>547</v>
      </c>
      <c r="D713" s="1" t="s">
        <v>63</v>
      </c>
      <c r="E713" s="1">
        <v>85029</v>
      </c>
      <c r="F713" s="1" t="s">
        <v>310</v>
      </c>
      <c r="G713" s="1" t="s">
        <v>1541</v>
      </c>
      <c r="H713" s="4" t="s">
        <v>6267</v>
      </c>
      <c r="I713" s="5" t="s">
        <v>196</v>
      </c>
      <c r="J713" s="5" t="s">
        <v>37</v>
      </c>
      <c r="K713" s="5" t="s">
        <v>37</v>
      </c>
      <c r="L713" s="5" t="s">
        <v>38</v>
      </c>
      <c r="M713" s="5" t="s">
        <v>37</v>
      </c>
      <c r="N713" s="5" t="s">
        <v>37</v>
      </c>
      <c r="O713" s="5" t="s">
        <v>38</v>
      </c>
      <c r="P713" s="5" t="s">
        <v>39</v>
      </c>
      <c r="Q713" s="2">
        <v>45966</v>
      </c>
      <c r="R713" s="1" t="s">
        <v>1808</v>
      </c>
      <c r="V713" s="45">
        <f>IF(
  OR(
    ISNUMBER(SEARCH("unable to locate acct", tblDocketedComments[[#This Row],[Docketed Consumer Comments]])),
    ISNUMBER(SEARCH("unknown", tblDocketedComments[[#This Row],[Docketed Consumer Comments]])),
    ISNUMBER(SEARCH("inactive", tblDocketedComments[[#This Row],[Docketed Consumer Comments]]))
  ),
  0,
  1
)</f>
        <v>1</v>
      </c>
    </row>
    <row r="714" spans="1:22" hidden="1">
      <c r="A714" s="2">
        <v>45905</v>
      </c>
      <c r="B714" s="1" t="s">
        <v>1809</v>
      </c>
      <c r="C714" s="1" t="s">
        <v>1810</v>
      </c>
      <c r="D714" s="1" t="s">
        <v>125</v>
      </c>
      <c r="E714" s="1">
        <v>85251</v>
      </c>
      <c r="F714" s="1" t="s">
        <v>1811</v>
      </c>
      <c r="G714" s="1" t="s">
        <v>1541</v>
      </c>
      <c r="H714" s="4" t="s">
        <v>6043</v>
      </c>
      <c r="I714" s="5" t="s">
        <v>126</v>
      </c>
      <c r="J714" s="5" t="s">
        <v>37</v>
      </c>
      <c r="K714" s="5" t="s">
        <v>37</v>
      </c>
      <c r="L714" s="7" t="s">
        <v>1812</v>
      </c>
      <c r="M714" s="5" t="s">
        <v>37</v>
      </c>
      <c r="N714" s="5" t="s">
        <v>37</v>
      </c>
      <c r="O714" s="5" t="s">
        <v>38</v>
      </c>
      <c r="P714" s="5" t="s">
        <v>39</v>
      </c>
      <c r="Q714" s="2">
        <v>45966</v>
      </c>
      <c r="V714" s="45">
        <f>IF(
  OR(
    ISNUMBER(SEARCH("unable to locate acct", tblDocketedComments[[#This Row],[Docketed Consumer Comments]])),
    ISNUMBER(SEARCH("unknown", tblDocketedComments[[#This Row],[Docketed Consumer Comments]])),
    ISNUMBER(SEARCH("inactive", tblDocketedComments[[#This Row],[Docketed Consumer Comments]]))
  ),
  0,
  1
)</f>
        <v>1</v>
      </c>
    </row>
    <row r="715" spans="1:22" hidden="1">
      <c r="A715" s="2">
        <v>45905</v>
      </c>
      <c r="B715" s="1" t="s">
        <v>1709</v>
      </c>
      <c r="C715" s="1" t="s">
        <v>1482</v>
      </c>
      <c r="D715" s="1" t="s">
        <v>169</v>
      </c>
      <c r="E715" s="1">
        <v>85395</v>
      </c>
      <c r="F715" s="1" t="s">
        <v>31</v>
      </c>
      <c r="G715" s="1" t="s">
        <v>1541</v>
      </c>
      <c r="H715" s="4" t="s">
        <v>27</v>
      </c>
      <c r="V715" s="45">
        <f>IF(
  OR(
    ISNUMBER(SEARCH("unable to locate acct", tblDocketedComments[[#This Row],[Docketed Consumer Comments]])),
    ISNUMBER(SEARCH("unknown", tblDocketedComments[[#This Row],[Docketed Consumer Comments]])),
    ISNUMBER(SEARCH("inactive", tblDocketedComments[[#This Row],[Docketed Consumer Comments]]))
  ),
  0,
  1
)</f>
        <v>1</v>
      </c>
    </row>
    <row r="716" spans="1:22" hidden="1">
      <c r="A716" s="2">
        <v>45905</v>
      </c>
      <c r="B716" s="1" t="s">
        <v>323</v>
      </c>
      <c r="C716" s="1" t="s">
        <v>702</v>
      </c>
      <c r="D716" s="1" t="s">
        <v>63</v>
      </c>
      <c r="E716" s="1">
        <v>85085</v>
      </c>
      <c r="F716" s="1" t="s">
        <v>1813</v>
      </c>
      <c r="G716" s="1" t="s">
        <v>1541</v>
      </c>
      <c r="H716" s="4" t="s">
        <v>6268</v>
      </c>
      <c r="I716" s="5" t="s">
        <v>36</v>
      </c>
      <c r="J716" s="5" t="s">
        <v>37</v>
      </c>
      <c r="K716" s="5" t="s">
        <v>37</v>
      </c>
      <c r="L716" s="5" t="s">
        <v>38</v>
      </c>
      <c r="M716" s="5" t="s">
        <v>37</v>
      </c>
      <c r="N716" s="5" t="s">
        <v>37</v>
      </c>
      <c r="O716" s="5" t="s">
        <v>38</v>
      </c>
      <c r="P716" s="5" t="s">
        <v>39</v>
      </c>
      <c r="Q716" s="2">
        <v>45966</v>
      </c>
      <c r="V716" s="45">
        <f>IF(
  OR(
    ISNUMBER(SEARCH("unable to locate acct", tblDocketedComments[[#This Row],[Docketed Consumer Comments]])),
    ISNUMBER(SEARCH("unknown", tblDocketedComments[[#This Row],[Docketed Consumer Comments]])),
    ISNUMBER(SEARCH("inactive", tblDocketedComments[[#This Row],[Docketed Consumer Comments]]))
  ),
  0,
  1
)</f>
        <v>1</v>
      </c>
    </row>
    <row r="717" spans="1:22" hidden="1">
      <c r="A717" s="2">
        <v>45905</v>
      </c>
      <c r="B717" s="1" t="s">
        <v>1814</v>
      </c>
      <c r="C717" s="1" t="s">
        <v>1815</v>
      </c>
      <c r="D717" s="1" t="s">
        <v>1816</v>
      </c>
      <c r="E717" s="1">
        <v>85128</v>
      </c>
      <c r="F717" s="1" t="s">
        <v>1817</v>
      </c>
      <c r="G717" s="1" t="s">
        <v>1541</v>
      </c>
      <c r="H717" s="4" t="s">
        <v>6269</v>
      </c>
      <c r="I717" s="5" t="s">
        <v>46</v>
      </c>
      <c r="J717" s="5" t="s">
        <v>37</v>
      </c>
      <c r="K717" s="5" t="s">
        <v>37</v>
      </c>
      <c r="L717" s="5" t="s">
        <v>38</v>
      </c>
      <c r="M717" s="5" t="s">
        <v>37</v>
      </c>
      <c r="N717" s="5" t="s">
        <v>37</v>
      </c>
      <c r="O717" s="5" t="s">
        <v>38</v>
      </c>
      <c r="P717" s="5" t="s">
        <v>39</v>
      </c>
      <c r="Q717" s="2">
        <v>45966</v>
      </c>
      <c r="V717" s="45">
        <f>IF(
  OR(
    ISNUMBER(SEARCH("unable to locate acct", tblDocketedComments[[#This Row],[Docketed Consumer Comments]])),
    ISNUMBER(SEARCH("unknown", tblDocketedComments[[#This Row],[Docketed Consumer Comments]])),
    ISNUMBER(SEARCH("inactive", tblDocketedComments[[#This Row],[Docketed Consumer Comments]]))
  ),
  0,
  1
)</f>
        <v>1</v>
      </c>
    </row>
    <row r="718" spans="1:22" hidden="1">
      <c r="A718" s="2">
        <v>45905</v>
      </c>
      <c r="B718" s="1" t="s">
        <v>1818</v>
      </c>
      <c r="C718" s="1" t="s">
        <v>744</v>
      </c>
      <c r="D718" s="1" t="s">
        <v>1819</v>
      </c>
      <c r="E718" s="1">
        <v>86327</v>
      </c>
      <c r="F718" s="1" t="s">
        <v>31</v>
      </c>
      <c r="G718" s="1" t="s">
        <v>1541</v>
      </c>
      <c r="H718" s="4" t="s">
        <v>6127</v>
      </c>
      <c r="I718" s="5" t="s">
        <v>126</v>
      </c>
      <c r="J718" s="5" t="s">
        <v>37</v>
      </c>
      <c r="K718" s="5" t="s">
        <v>37</v>
      </c>
      <c r="L718" s="5" t="s">
        <v>38</v>
      </c>
      <c r="M718" s="5" t="s">
        <v>37</v>
      </c>
      <c r="N718" s="5" t="s">
        <v>37</v>
      </c>
      <c r="O718" s="5" t="s">
        <v>38</v>
      </c>
      <c r="P718" s="5" t="s">
        <v>39</v>
      </c>
      <c r="Q718" s="2">
        <v>45966</v>
      </c>
      <c r="V718" s="45">
        <f>IF(
  OR(
    ISNUMBER(SEARCH("unable to locate acct", tblDocketedComments[[#This Row],[Docketed Consumer Comments]])),
    ISNUMBER(SEARCH("unknown", tblDocketedComments[[#This Row],[Docketed Consumer Comments]])),
    ISNUMBER(SEARCH("inactive", tblDocketedComments[[#This Row],[Docketed Consumer Comments]]))
  ),
  0,
  1
)</f>
        <v>1</v>
      </c>
    </row>
    <row r="719" spans="1:22" hidden="1">
      <c r="A719" s="2">
        <v>45905</v>
      </c>
      <c r="B719" s="1" t="s">
        <v>1704</v>
      </c>
      <c r="C719" s="1" t="s">
        <v>776</v>
      </c>
      <c r="D719" s="1" t="s">
        <v>112</v>
      </c>
      <c r="E719" s="1">
        <v>85388</v>
      </c>
      <c r="F719" s="1" t="s">
        <v>1820</v>
      </c>
      <c r="G719" s="1" t="s">
        <v>1541</v>
      </c>
      <c r="H719" s="4" t="s">
        <v>6044</v>
      </c>
      <c r="I719" s="5" t="s">
        <v>196</v>
      </c>
      <c r="J719" s="5" t="s">
        <v>37</v>
      </c>
      <c r="K719" s="5" t="s">
        <v>37</v>
      </c>
      <c r="L719" s="7" t="s">
        <v>1821</v>
      </c>
      <c r="M719" s="5" t="s">
        <v>37</v>
      </c>
      <c r="N719" s="5" t="s">
        <v>37</v>
      </c>
      <c r="O719" s="5" t="s">
        <v>38</v>
      </c>
      <c r="P719" s="2">
        <v>45936</v>
      </c>
      <c r="Q719" s="2">
        <v>45966</v>
      </c>
      <c r="R719" s="1" t="s">
        <v>1822</v>
      </c>
      <c r="V719" s="45">
        <f>IF(
  OR(
    ISNUMBER(SEARCH("unable to locate acct", tblDocketedComments[[#This Row],[Docketed Consumer Comments]])),
    ISNUMBER(SEARCH("unknown", tblDocketedComments[[#This Row],[Docketed Consumer Comments]])),
    ISNUMBER(SEARCH("inactive", tblDocketedComments[[#This Row],[Docketed Consumer Comments]]))
  ),
  0,
  1
)</f>
        <v>1</v>
      </c>
    </row>
    <row r="720" spans="1:22" hidden="1">
      <c r="A720" s="2">
        <v>45905</v>
      </c>
      <c r="B720" s="1" t="s">
        <v>1823</v>
      </c>
      <c r="C720" s="1" t="s">
        <v>1824</v>
      </c>
      <c r="D720" s="1" t="s">
        <v>112</v>
      </c>
      <c r="E720" s="1">
        <v>85387</v>
      </c>
      <c r="F720" s="1" t="s">
        <v>1825</v>
      </c>
      <c r="G720" s="1" t="s">
        <v>1541</v>
      </c>
      <c r="H720" s="4" t="s">
        <v>27</v>
      </c>
      <c r="V720" s="45">
        <f>IF(
  OR(
    ISNUMBER(SEARCH("unable to locate acct", tblDocketedComments[[#This Row],[Docketed Consumer Comments]])),
    ISNUMBER(SEARCH("unknown", tblDocketedComments[[#This Row],[Docketed Consumer Comments]])),
    ISNUMBER(SEARCH("inactive", tblDocketedComments[[#This Row],[Docketed Consumer Comments]]))
  ),
  0,
  1
)</f>
        <v>1</v>
      </c>
    </row>
    <row r="721" spans="1:22" hidden="1">
      <c r="A721" s="2">
        <v>45905</v>
      </c>
      <c r="B721" s="1" t="s">
        <v>1826</v>
      </c>
      <c r="C721" s="1" t="s">
        <v>1753</v>
      </c>
      <c r="D721" s="1" t="s">
        <v>536</v>
      </c>
      <c r="E721" s="1">
        <v>85122</v>
      </c>
      <c r="F721" s="1" t="s">
        <v>31</v>
      </c>
      <c r="G721" s="1" t="s">
        <v>1541</v>
      </c>
      <c r="H721" s="4" t="s">
        <v>6270</v>
      </c>
      <c r="I721" s="5" t="s">
        <v>73</v>
      </c>
      <c r="J721" s="5" t="s">
        <v>37</v>
      </c>
      <c r="K721" s="5" t="s">
        <v>37</v>
      </c>
      <c r="L721" s="5" t="s">
        <v>38</v>
      </c>
      <c r="M721" s="5" t="s">
        <v>37</v>
      </c>
      <c r="N721" s="5" t="s">
        <v>37</v>
      </c>
      <c r="O721" s="5" t="s">
        <v>38</v>
      </c>
      <c r="P721" s="5" t="s">
        <v>39</v>
      </c>
      <c r="Q721" s="2">
        <v>45966</v>
      </c>
      <c r="V721" s="45">
        <f>IF(
  OR(
    ISNUMBER(SEARCH("unable to locate acct", tblDocketedComments[[#This Row],[Docketed Consumer Comments]])),
    ISNUMBER(SEARCH("unknown", tblDocketedComments[[#This Row],[Docketed Consumer Comments]])),
    ISNUMBER(SEARCH("inactive", tblDocketedComments[[#This Row],[Docketed Consumer Comments]]))
  ),
  0,
  1
)</f>
        <v>1</v>
      </c>
    </row>
    <row r="722" spans="1:22" hidden="1">
      <c r="A722" s="2">
        <v>45905</v>
      </c>
      <c r="B722" s="1" t="s">
        <v>1827</v>
      </c>
      <c r="C722" s="1" t="s">
        <v>476</v>
      </c>
      <c r="D722" s="1" t="s">
        <v>202</v>
      </c>
      <c r="E722" s="1">
        <v>85383</v>
      </c>
      <c r="F722" s="1" t="s">
        <v>1828</v>
      </c>
      <c r="G722" s="1" t="s">
        <v>1541</v>
      </c>
      <c r="H722" s="4" t="s">
        <v>6045</v>
      </c>
      <c r="I722" s="5" t="s">
        <v>57</v>
      </c>
      <c r="J722" s="5" t="s">
        <v>38</v>
      </c>
      <c r="K722" s="5" t="s">
        <v>37</v>
      </c>
      <c r="L722" s="5" t="s">
        <v>1829</v>
      </c>
      <c r="M722" s="5" t="s">
        <v>37</v>
      </c>
      <c r="N722" s="5" t="s">
        <v>37</v>
      </c>
      <c r="O722" s="5" t="s">
        <v>38</v>
      </c>
      <c r="P722" s="5" t="s">
        <v>39</v>
      </c>
      <c r="Q722" s="2">
        <v>45966</v>
      </c>
      <c r="R722" s="1" t="s">
        <v>1830</v>
      </c>
      <c r="V722" s="45">
        <f>IF(
  OR(
    ISNUMBER(SEARCH("unable to locate acct", tblDocketedComments[[#This Row],[Docketed Consumer Comments]])),
    ISNUMBER(SEARCH("unknown", tblDocketedComments[[#This Row],[Docketed Consumer Comments]])),
    ISNUMBER(SEARCH("inactive", tblDocketedComments[[#This Row],[Docketed Consumer Comments]]))
  ),
  0,
  1
)</f>
        <v>1</v>
      </c>
    </row>
    <row r="723" spans="1:22" hidden="1">
      <c r="A723" s="2">
        <v>45905</v>
      </c>
      <c r="B723" s="1" t="s">
        <v>1225</v>
      </c>
      <c r="C723" s="1" t="s">
        <v>1831</v>
      </c>
      <c r="D723" s="1" t="s">
        <v>24</v>
      </c>
      <c r="E723" s="1">
        <v>85308</v>
      </c>
      <c r="F723" s="1" t="s">
        <v>310</v>
      </c>
      <c r="G723" s="1" t="s">
        <v>1541</v>
      </c>
      <c r="H723" s="4" t="s">
        <v>6046</v>
      </c>
      <c r="I723" s="5" t="s">
        <v>196</v>
      </c>
      <c r="J723" s="5" t="s">
        <v>38</v>
      </c>
      <c r="K723" s="5" t="s">
        <v>37</v>
      </c>
      <c r="L723" s="5" t="s">
        <v>1832</v>
      </c>
      <c r="M723" s="5" t="s">
        <v>37</v>
      </c>
      <c r="N723" s="5" t="s">
        <v>37</v>
      </c>
      <c r="O723" s="5" t="s">
        <v>38</v>
      </c>
      <c r="P723" s="5" t="s">
        <v>39</v>
      </c>
      <c r="Q723" s="2">
        <v>45966</v>
      </c>
      <c r="V723" s="45">
        <f>IF(
  OR(
    ISNUMBER(SEARCH("unable to locate acct", tblDocketedComments[[#This Row],[Docketed Consumer Comments]])),
    ISNUMBER(SEARCH("unknown", tblDocketedComments[[#This Row],[Docketed Consumer Comments]])),
    ISNUMBER(SEARCH("inactive", tblDocketedComments[[#This Row],[Docketed Consumer Comments]]))
  ),
  0,
  1
)</f>
        <v>1</v>
      </c>
    </row>
    <row r="724" spans="1:22" hidden="1">
      <c r="A724" s="2">
        <v>45905</v>
      </c>
      <c r="B724" s="1" t="s">
        <v>49</v>
      </c>
      <c r="C724" s="1" t="s">
        <v>1833</v>
      </c>
      <c r="D724" s="1" t="s">
        <v>536</v>
      </c>
      <c r="E724" s="1">
        <v>85122</v>
      </c>
      <c r="F724" s="1" t="s">
        <v>1834</v>
      </c>
      <c r="G724" s="1" t="s">
        <v>1835</v>
      </c>
      <c r="H724" s="4" t="s">
        <v>6271</v>
      </c>
      <c r="I724" s="5" t="s">
        <v>538</v>
      </c>
      <c r="J724" s="5" t="s">
        <v>37</v>
      </c>
      <c r="K724" s="5" t="s">
        <v>37</v>
      </c>
      <c r="L724" s="5" t="s">
        <v>387</v>
      </c>
      <c r="M724" s="5" t="s">
        <v>37</v>
      </c>
      <c r="N724" s="5" t="s">
        <v>37</v>
      </c>
      <c r="O724" s="5" t="s">
        <v>38</v>
      </c>
      <c r="P724" s="5" t="s">
        <v>39</v>
      </c>
      <c r="Q724" s="2">
        <v>45966</v>
      </c>
      <c r="V724" s="45">
        <f>IF(
  OR(
    ISNUMBER(SEARCH("unable to locate acct", tblDocketedComments[[#This Row],[Docketed Consumer Comments]])),
    ISNUMBER(SEARCH("unknown", tblDocketedComments[[#This Row],[Docketed Consumer Comments]])),
    ISNUMBER(SEARCH("inactive", tblDocketedComments[[#This Row],[Docketed Consumer Comments]]))
  ),
  0,
  1
)</f>
        <v>1</v>
      </c>
    </row>
    <row r="725" spans="1:22" hidden="1">
      <c r="A725" s="2">
        <v>45905</v>
      </c>
      <c r="B725" s="1" t="s">
        <v>1836</v>
      </c>
      <c r="C725" s="1" t="s">
        <v>133</v>
      </c>
      <c r="D725" s="1" t="s">
        <v>125</v>
      </c>
      <c r="E725" s="1">
        <v>85255</v>
      </c>
      <c r="F725" s="1" t="s">
        <v>310</v>
      </c>
      <c r="G725" s="1" t="s">
        <v>1835</v>
      </c>
      <c r="H725" s="4" t="s">
        <v>6272</v>
      </c>
      <c r="I725" s="5" t="s">
        <v>538</v>
      </c>
      <c r="J725" s="5" t="s">
        <v>37</v>
      </c>
      <c r="K725" s="5" t="s">
        <v>37</v>
      </c>
      <c r="L725" s="5" t="s">
        <v>387</v>
      </c>
      <c r="M725" s="5" t="s">
        <v>37</v>
      </c>
      <c r="N725" s="5" t="s">
        <v>37</v>
      </c>
      <c r="O725" s="5" t="s">
        <v>38</v>
      </c>
      <c r="P725" s="5" t="s">
        <v>39</v>
      </c>
      <c r="Q725" s="2">
        <v>45966</v>
      </c>
      <c r="V725" s="45">
        <f>IF(
  OR(
    ISNUMBER(SEARCH("unable to locate acct", tblDocketedComments[[#This Row],[Docketed Consumer Comments]])),
    ISNUMBER(SEARCH("unknown", tblDocketedComments[[#This Row],[Docketed Consumer Comments]])),
    ISNUMBER(SEARCH("inactive", tblDocketedComments[[#This Row],[Docketed Consumer Comments]]))
  ),
  0,
  1
)</f>
        <v>1</v>
      </c>
    </row>
    <row r="726" spans="1:22" hidden="1">
      <c r="A726" s="2">
        <v>45905</v>
      </c>
      <c r="B726" s="1" t="s">
        <v>1837</v>
      </c>
      <c r="C726" s="1" t="s">
        <v>1838</v>
      </c>
      <c r="D726" s="1" t="s">
        <v>240</v>
      </c>
      <c r="E726" s="1">
        <v>85340</v>
      </c>
      <c r="F726" s="1" t="s">
        <v>31</v>
      </c>
      <c r="G726" s="1" t="s">
        <v>1835</v>
      </c>
      <c r="H726" s="4" t="s">
        <v>6273</v>
      </c>
      <c r="I726" s="5" t="s">
        <v>243</v>
      </c>
      <c r="J726" s="5" t="s">
        <v>37</v>
      </c>
      <c r="K726" s="5" t="s">
        <v>37</v>
      </c>
      <c r="L726" s="5" t="s">
        <v>387</v>
      </c>
      <c r="M726" s="5" t="s">
        <v>37</v>
      </c>
      <c r="N726" s="5" t="s">
        <v>37</v>
      </c>
      <c r="O726" s="5" t="s">
        <v>38</v>
      </c>
      <c r="P726" s="5" t="s">
        <v>39</v>
      </c>
      <c r="Q726" s="2">
        <v>45966</v>
      </c>
      <c r="V726" s="45">
        <f>IF(
  OR(
    ISNUMBER(SEARCH("unable to locate acct", tblDocketedComments[[#This Row],[Docketed Consumer Comments]])),
    ISNUMBER(SEARCH("unknown", tblDocketedComments[[#This Row],[Docketed Consumer Comments]])),
    ISNUMBER(SEARCH("inactive", tblDocketedComments[[#This Row],[Docketed Consumer Comments]]))
  ),
  0,
  1
)</f>
        <v>1</v>
      </c>
    </row>
    <row r="727" spans="1:22" hidden="1">
      <c r="A727" s="2">
        <v>45905</v>
      </c>
      <c r="B727" s="1" t="s">
        <v>1651</v>
      </c>
      <c r="C727" s="1" t="s">
        <v>145</v>
      </c>
      <c r="D727" s="1" t="s">
        <v>129</v>
      </c>
      <c r="E727" s="1">
        <v>85296</v>
      </c>
      <c r="F727" s="1" t="s">
        <v>310</v>
      </c>
      <c r="G727" s="1" t="s">
        <v>1835</v>
      </c>
      <c r="H727" s="4" t="s">
        <v>6274</v>
      </c>
      <c r="I727" s="5" t="s">
        <v>126</v>
      </c>
      <c r="J727" s="5" t="s">
        <v>37</v>
      </c>
      <c r="K727" s="5" t="s">
        <v>37</v>
      </c>
      <c r="L727" s="5" t="s">
        <v>38</v>
      </c>
      <c r="M727" s="5" t="s">
        <v>37</v>
      </c>
      <c r="N727" s="5" t="s">
        <v>37</v>
      </c>
      <c r="O727" s="5" t="s">
        <v>38</v>
      </c>
      <c r="P727" s="5" t="s">
        <v>39</v>
      </c>
      <c r="Q727" s="2">
        <v>45966</v>
      </c>
      <c r="V727" s="45">
        <f>IF(
  OR(
    ISNUMBER(SEARCH("unable to locate acct", tblDocketedComments[[#This Row],[Docketed Consumer Comments]])),
    ISNUMBER(SEARCH("unknown", tblDocketedComments[[#This Row],[Docketed Consumer Comments]])),
    ISNUMBER(SEARCH("inactive", tblDocketedComments[[#This Row],[Docketed Consumer Comments]]))
  ),
  0,
  1
)</f>
        <v>1</v>
      </c>
    </row>
    <row r="728" spans="1:22" hidden="1">
      <c r="A728" s="2">
        <v>45905</v>
      </c>
      <c r="B728" s="1" t="s">
        <v>1839</v>
      </c>
      <c r="C728" s="1" t="s">
        <v>1840</v>
      </c>
      <c r="D728" s="1" t="s">
        <v>632</v>
      </c>
      <c r="E728" s="1">
        <v>85281</v>
      </c>
      <c r="F728" s="1" t="s">
        <v>310</v>
      </c>
      <c r="G728" s="1" t="s">
        <v>1835</v>
      </c>
      <c r="H728" s="4" t="s">
        <v>6151</v>
      </c>
      <c r="I728" s="5" t="s">
        <v>196</v>
      </c>
      <c r="J728" s="5" t="s">
        <v>37</v>
      </c>
      <c r="K728" s="5" t="s">
        <v>37</v>
      </c>
      <c r="L728" s="5" t="s">
        <v>38</v>
      </c>
      <c r="M728" s="5" t="s">
        <v>38</v>
      </c>
      <c r="N728" s="13">
        <v>422.52</v>
      </c>
      <c r="O728" s="5" t="s">
        <v>38</v>
      </c>
      <c r="P728" s="5" t="s">
        <v>39</v>
      </c>
      <c r="Q728" s="2">
        <v>45966</v>
      </c>
      <c r="V728" s="45">
        <f>IF(
  OR(
    ISNUMBER(SEARCH("unable to locate acct", tblDocketedComments[[#This Row],[Docketed Consumer Comments]])),
    ISNUMBER(SEARCH("unknown", tblDocketedComments[[#This Row],[Docketed Consumer Comments]])),
    ISNUMBER(SEARCH("inactive", tblDocketedComments[[#This Row],[Docketed Consumer Comments]]))
  ),
  0,
  1
)</f>
        <v>1</v>
      </c>
    </row>
    <row r="729" spans="1:22" hidden="1">
      <c r="A729" s="2">
        <v>45905</v>
      </c>
      <c r="B729" s="1" t="s">
        <v>1841</v>
      </c>
      <c r="C729" s="1" t="s">
        <v>1308</v>
      </c>
      <c r="D729" s="1" t="s">
        <v>369</v>
      </c>
      <c r="E729" s="1">
        <v>85225</v>
      </c>
      <c r="F729" s="1" t="s">
        <v>310</v>
      </c>
      <c r="G729" s="1" t="s">
        <v>1835</v>
      </c>
      <c r="H729" s="4" t="s">
        <v>6275</v>
      </c>
      <c r="I729" s="5" t="s">
        <v>36</v>
      </c>
      <c r="J729" s="5" t="s">
        <v>37</v>
      </c>
      <c r="K729" s="5" t="s">
        <v>37</v>
      </c>
      <c r="L729" s="5" t="s">
        <v>38</v>
      </c>
      <c r="M729" s="5" t="s">
        <v>37</v>
      </c>
      <c r="N729" s="5" t="s">
        <v>37</v>
      </c>
      <c r="O729" s="5" t="s">
        <v>38</v>
      </c>
      <c r="P729" s="5" t="s">
        <v>39</v>
      </c>
      <c r="Q729" s="2">
        <v>45966</v>
      </c>
      <c r="V729" s="45">
        <f>IF(
  OR(
    ISNUMBER(SEARCH("unable to locate acct", tblDocketedComments[[#This Row],[Docketed Consumer Comments]])),
    ISNUMBER(SEARCH("unknown", tblDocketedComments[[#This Row],[Docketed Consumer Comments]])),
    ISNUMBER(SEARCH("inactive", tblDocketedComments[[#This Row],[Docketed Consumer Comments]]))
  ),
  0,
  1
)</f>
        <v>1</v>
      </c>
    </row>
    <row r="730" spans="1:22" hidden="1">
      <c r="A730" s="2">
        <v>45905</v>
      </c>
      <c r="B730" s="1" t="s">
        <v>1842</v>
      </c>
      <c r="C730" s="1" t="s">
        <v>1843</v>
      </c>
      <c r="D730" s="1" t="s">
        <v>63</v>
      </c>
      <c r="E730" s="1">
        <v>85032</v>
      </c>
      <c r="F730" s="1" t="s">
        <v>310</v>
      </c>
      <c r="G730" s="1" t="s">
        <v>1835</v>
      </c>
      <c r="H730" s="4" t="s">
        <v>6047</v>
      </c>
      <c r="I730" s="5" t="s">
        <v>57</v>
      </c>
      <c r="J730" s="5" t="s">
        <v>37</v>
      </c>
      <c r="K730" s="5" t="s">
        <v>37</v>
      </c>
      <c r="L730" s="5" t="s">
        <v>399</v>
      </c>
      <c r="M730" s="5" t="s">
        <v>37</v>
      </c>
      <c r="N730" s="5" t="s">
        <v>37</v>
      </c>
      <c r="O730" s="5" t="s">
        <v>38</v>
      </c>
      <c r="P730" s="5" t="s">
        <v>39</v>
      </c>
      <c r="Q730" s="2">
        <v>45966</v>
      </c>
      <c r="V730" s="45">
        <f>IF(
  OR(
    ISNUMBER(SEARCH("unable to locate acct", tblDocketedComments[[#This Row],[Docketed Consumer Comments]])),
    ISNUMBER(SEARCH("unknown", tblDocketedComments[[#This Row],[Docketed Consumer Comments]])),
    ISNUMBER(SEARCH("inactive", tblDocketedComments[[#This Row],[Docketed Consumer Comments]]))
  ),
  0,
  1
)</f>
        <v>1</v>
      </c>
    </row>
    <row r="731" spans="1:22" hidden="1">
      <c r="A731" s="2">
        <v>45905</v>
      </c>
      <c r="B731" s="1" t="s">
        <v>1844</v>
      </c>
      <c r="C731" s="1" t="s">
        <v>120</v>
      </c>
      <c r="D731" s="1" t="s">
        <v>63</v>
      </c>
      <c r="E731" s="1">
        <v>85032</v>
      </c>
      <c r="F731" s="1" t="s">
        <v>310</v>
      </c>
      <c r="G731" s="1" t="s">
        <v>1835</v>
      </c>
      <c r="H731" s="4" t="s">
        <v>6048</v>
      </c>
      <c r="I731" s="5" t="s">
        <v>196</v>
      </c>
      <c r="J731" s="5" t="s">
        <v>37</v>
      </c>
      <c r="K731" s="5" t="s">
        <v>37</v>
      </c>
      <c r="L731" s="5" t="s">
        <v>1845</v>
      </c>
      <c r="M731" s="5" t="s">
        <v>37</v>
      </c>
      <c r="N731" s="5" t="s">
        <v>37</v>
      </c>
      <c r="O731" s="5" t="s">
        <v>38</v>
      </c>
      <c r="P731" s="5" t="s">
        <v>39</v>
      </c>
      <c r="Q731" s="2">
        <v>45966</v>
      </c>
      <c r="V731" s="45">
        <f>IF(
  OR(
    ISNUMBER(SEARCH("unable to locate acct", tblDocketedComments[[#This Row],[Docketed Consumer Comments]])),
    ISNUMBER(SEARCH("unknown", tblDocketedComments[[#This Row],[Docketed Consumer Comments]])),
    ISNUMBER(SEARCH("inactive", tblDocketedComments[[#This Row],[Docketed Consumer Comments]]))
  ),
  0,
  1
)</f>
        <v>1</v>
      </c>
    </row>
    <row r="732" spans="1:22" hidden="1">
      <c r="A732" s="2">
        <v>45905</v>
      </c>
      <c r="B732" s="1" t="s">
        <v>225</v>
      </c>
      <c r="C732" s="1" t="s">
        <v>1846</v>
      </c>
      <c r="D732" s="1" t="s">
        <v>63</v>
      </c>
      <c r="E732" s="1">
        <v>85006</v>
      </c>
      <c r="F732" s="1" t="s">
        <v>310</v>
      </c>
      <c r="G732" s="1" t="s">
        <v>1835</v>
      </c>
      <c r="H732" s="4" t="s">
        <v>6276</v>
      </c>
      <c r="I732" s="5" t="s">
        <v>73</v>
      </c>
      <c r="J732" s="5" t="s">
        <v>37</v>
      </c>
      <c r="K732" s="5" t="s">
        <v>37</v>
      </c>
      <c r="L732" s="5" t="s">
        <v>38</v>
      </c>
      <c r="M732" s="5" t="s">
        <v>37</v>
      </c>
      <c r="N732" s="5" t="s">
        <v>37</v>
      </c>
      <c r="O732" s="5" t="s">
        <v>38</v>
      </c>
      <c r="P732" s="5" t="s">
        <v>39</v>
      </c>
      <c r="Q732" s="2">
        <v>45966</v>
      </c>
      <c r="V732" s="45">
        <f>IF(
  OR(
    ISNUMBER(SEARCH("unable to locate acct", tblDocketedComments[[#This Row],[Docketed Consumer Comments]])),
    ISNUMBER(SEARCH("unknown", tblDocketedComments[[#This Row],[Docketed Consumer Comments]])),
    ISNUMBER(SEARCH("inactive", tblDocketedComments[[#This Row],[Docketed Consumer Comments]]))
  ),
  0,
  1
)</f>
        <v>1</v>
      </c>
    </row>
    <row r="733" spans="1:22" hidden="1">
      <c r="A733" s="2">
        <v>45905</v>
      </c>
      <c r="B733" s="1" t="s">
        <v>1847</v>
      </c>
      <c r="C733" s="1" t="s">
        <v>1848</v>
      </c>
      <c r="D733" s="1" t="s">
        <v>734</v>
      </c>
      <c r="E733" s="1">
        <v>86326</v>
      </c>
      <c r="F733" s="1" t="s">
        <v>1708</v>
      </c>
      <c r="G733" s="1" t="s">
        <v>1835</v>
      </c>
      <c r="H733" s="4" t="s">
        <v>6277</v>
      </c>
      <c r="I733" s="5" t="s">
        <v>46</v>
      </c>
      <c r="J733" s="5" t="s">
        <v>37</v>
      </c>
      <c r="K733" s="5" t="s">
        <v>37</v>
      </c>
      <c r="L733" s="5" t="s">
        <v>38</v>
      </c>
      <c r="M733" s="5" t="s">
        <v>37</v>
      </c>
      <c r="N733" s="5" t="s">
        <v>37</v>
      </c>
      <c r="O733" s="5" t="s">
        <v>38</v>
      </c>
      <c r="P733" s="5" t="s">
        <v>39</v>
      </c>
      <c r="Q733" s="2">
        <v>45966</v>
      </c>
      <c r="V733" s="45">
        <f>IF(
  OR(
    ISNUMBER(SEARCH("unable to locate acct", tblDocketedComments[[#This Row],[Docketed Consumer Comments]])),
    ISNUMBER(SEARCH("unknown", tblDocketedComments[[#This Row],[Docketed Consumer Comments]])),
    ISNUMBER(SEARCH("inactive", tblDocketedComments[[#This Row],[Docketed Consumer Comments]]))
  ),
  0,
  1
)</f>
        <v>1</v>
      </c>
    </row>
    <row r="734" spans="1:22" hidden="1">
      <c r="A734" s="2">
        <v>45905</v>
      </c>
      <c r="B734" s="1" t="s">
        <v>1849</v>
      </c>
      <c r="C734" s="1" t="s">
        <v>1639</v>
      </c>
      <c r="D734" s="1" t="s">
        <v>63</v>
      </c>
      <c r="E734" s="1">
        <v>85032</v>
      </c>
      <c r="F734" s="1" t="s">
        <v>310</v>
      </c>
      <c r="G734" s="1" t="s">
        <v>1835</v>
      </c>
      <c r="H734" s="4" t="s">
        <v>6278</v>
      </c>
      <c r="I734" s="5" t="s">
        <v>126</v>
      </c>
      <c r="J734" s="5" t="s">
        <v>37</v>
      </c>
      <c r="K734" s="5" t="s">
        <v>37</v>
      </c>
      <c r="L734" s="5" t="s">
        <v>38</v>
      </c>
      <c r="M734" s="5" t="s">
        <v>37</v>
      </c>
      <c r="N734" s="5" t="s">
        <v>37</v>
      </c>
      <c r="O734" s="5" t="s">
        <v>38</v>
      </c>
      <c r="P734" s="5" t="s">
        <v>39</v>
      </c>
      <c r="Q734" s="2">
        <v>45966</v>
      </c>
      <c r="V734" s="45">
        <f>IF(
  OR(
    ISNUMBER(SEARCH("unable to locate acct", tblDocketedComments[[#This Row],[Docketed Consumer Comments]])),
    ISNUMBER(SEARCH("unknown", tblDocketedComments[[#This Row],[Docketed Consumer Comments]])),
    ISNUMBER(SEARCH("inactive", tblDocketedComments[[#This Row],[Docketed Consumer Comments]]))
  ),
  0,
  1
)</f>
        <v>1</v>
      </c>
    </row>
    <row r="735" spans="1:22" hidden="1">
      <c r="A735" s="2">
        <v>45905</v>
      </c>
      <c r="B735" s="1" t="s">
        <v>1850</v>
      </c>
      <c r="C735" s="1" t="s">
        <v>409</v>
      </c>
      <c r="D735" s="1" t="s">
        <v>63</v>
      </c>
      <c r="E735" s="1">
        <v>85032</v>
      </c>
      <c r="F735" s="1" t="s">
        <v>310</v>
      </c>
      <c r="G735" s="1" t="s">
        <v>1835</v>
      </c>
      <c r="H735" s="4" t="s">
        <v>6279</v>
      </c>
      <c r="I735" s="5" t="s">
        <v>36</v>
      </c>
      <c r="J735" s="5" t="s">
        <v>37</v>
      </c>
      <c r="K735" s="5" t="s">
        <v>37</v>
      </c>
      <c r="L735" s="5" t="s">
        <v>38</v>
      </c>
      <c r="M735" s="5" t="s">
        <v>37</v>
      </c>
      <c r="N735" s="5" t="s">
        <v>37</v>
      </c>
      <c r="O735" s="5" t="s">
        <v>38</v>
      </c>
      <c r="P735" s="5" t="s">
        <v>39</v>
      </c>
      <c r="Q735" s="2">
        <v>45966</v>
      </c>
      <c r="V735" s="45">
        <f>IF(
  OR(
    ISNUMBER(SEARCH("unable to locate acct", tblDocketedComments[[#This Row],[Docketed Consumer Comments]])),
    ISNUMBER(SEARCH("unknown", tblDocketedComments[[#This Row],[Docketed Consumer Comments]])),
    ISNUMBER(SEARCH("inactive", tblDocketedComments[[#This Row],[Docketed Consumer Comments]]))
  ),
  0,
  1
)</f>
        <v>1</v>
      </c>
    </row>
    <row r="736" spans="1:22" hidden="1">
      <c r="A736" s="2">
        <v>45905</v>
      </c>
      <c r="B736" s="1" t="s">
        <v>1623</v>
      </c>
      <c r="C736" s="1" t="s">
        <v>1851</v>
      </c>
      <c r="D736" s="1" t="s">
        <v>63</v>
      </c>
      <c r="E736" s="1">
        <v>85024</v>
      </c>
      <c r="F736" s="1" t="s">
        <v>310</v>
      </c>
      <c r="G736" s="1" t="s">
        <v>1835</v>
      </c>
      <c r="H736" s="4" t="s">
        <v>6280</v>
      </c>
      <c r="I736" s="5" t="s">
        <v>36</v>
      </c>
      <c r="J736" s="5" t="s">
        <v>37</v>
      </c>
      <c r="K736" s="5" t="s">
        <v>37</v>
      </c>
      <c r="L736" s="5" t="s">
        <v>38</v>
      </c>
      <c r="M736" s="5" t="s">
        <v>37</v>
      </c>
      <c r="N736" s="5" t="s">
        <v>37</v>
      </c>
      <c r="O736" s="5" t="s">
        <v>38</v>
      </c>
      <c r="P736" s="5" t="s">
        <v>39</v>
      </c>
      <c r="Q736" s="2">
        <v>45966</v>
      </c>
      <c r="V736" s="45">
        <f>IF(
  OR(
    ISNUMBER(SEARCH("unable to locate acct", tblDocketedComments[[#This Row],[Docketed Consumer Comments]])),
    ISNUMBER(SEARCH("unknown", tblDocketedComments[[#This Row],[Docketed Consumer Comments]])),
    ISNUMBER(SEARCH("inactive", tblDocketedComments[[#This Row],[Docketed Consumer Comments]]))
  ),
  0,
  1
)</f>
        <v>1</v>
      </c>
    </row>
    <row r="737" spans="1:22" hidden="1">
      <c r="A737" s="2">
        <v>45905</v>
      </c>
      <c r="B737" s="1" t="s">
        <v>1852</v>
      </c>
      <c r="C737" s="1" t="s">
        <v>1853</v>
      </c>
      <c r="D737" s="1" t="s">
        <v>63</v>
      </c>
      <c r="E737" s="1">
        <v>85053</v>
      </c>
      <c r="F737" s="1" t="s">
        <v>310</v>
      </c>
      <c r="G737" s="1" t="s">
        <v>1835</v>
      </c>
      <c r="H737" s="4" t="s">
        <v>27</v>
      </c>
      <c r="V737" s="45">
        <f>IF(
  OR(
    ISNUMBER(SEARCH("unable to locate acct", tblDocketedComments[[#This Row],[Docketed Consumer Comments]])),
    ISNUMBER(SEARCH("unknown", tblDocketedComments[[#This Row],[Docketed Consumer Comments]])),
    ISNUMBER(SEARCH("inactive", tblDocketedComments[[#This Row],[Docketed Consumer Comments]]))
  ),
  0,
  1
)</f>
        <v>1</v>
      </c>
    </row>
    <row r="738" spans="1:22" hidden="1">
      <c r="A738" s="2">
        <v>45905</v>
      </c>
      <c r="B738" s="1" t="s">
        <v>1854</v>
      </c>
      <c r="C738" s="1" t="s">
        <v>702</v>
      </c>
      <c r="D738" s="1" t="s">
        <v>63</v>
      </c>
      <c r="E738" s="1">
        <v>85020</v>
      </c>
      <c r="F738" s="1" t="s">
        <v>1855</v>
      </c>
      <c r="G738" s="1" t="s">
        <v>1835</v>
      </c>
      <c r="H738" s="21" t="s">
        <v>6709</v>
      </c>
      <c r="I738" s="5" t="s">
        <v>36</v>
      </c>
      <c r="J738" s="5" t="s">
        <v>37</v>
      </c>
      <c r="K738" s="5" t="s">
        <v>37</v>
      </c>
      <c r="L738" s="5" t="s">
        <v>38</v>
      </c>
      <c r="M738" s="5" t="s">
        <v>37</v>
      </c>
      <c r="N738" s="5" t="s">
        <v>37</v>
      </c>
      <c r="O738" s="5" t="s">
        <v>38</v>
      </c>
      <c r="P738" s="5" t="s">
        <v>39</v>
      </c>
      <c r="Q738" s="2">
        <v>45966</v>
      </c>
      <c r="V738" s="45">
        <f>IF(
  OR(
    ISNUMBER(SEARCH("unable to locate acct", tblDocketedComments[[#This Row],[Docketed Consumer Comments]])),
    ISNUMBER(SEARCH("unknown", tblDocketedComments[[#This Row],[Docketed Consumer Comments]])),
    ISNUMBER(SEARCH("inactive", tblDocketedComments[[#This Row],[Docketed Consumer Comments]]))
  ),
  0,
  1
)</f>
        <v>1</v>
      </c>
    </row>
    <row r="739" spans="1:22" hidden="1">
      <c r="A739" s="2">
        <v>45905</v>
      </c>
      <c r="B739" s="1" t="s">
        <v>1856</v>
      </c>
      <c r="C739" s="1" t="s">
        <v>820</v>
      </c>
      <c r="D739" s="1" t="s">
        <v>63</v>
      </c>
      <c r="E739" s="1">
        <v>85003</v>
      </c>
      <c r="F739" s="1" t="s">
        <v>1857</v>
      </c>
      <c r="G739" s="1" t="s">
        <v>1835</v>
      </c>
      <c r="H739" s="4" t="s">
        <v>6281</v>
      </c>
      <c r="I739" s="5" t="s">
        <v>46</v>
      </c>
      <c r="J739" s="5" t="s">
        <v>37</v>
      </c>
      <c r="K739" s="5" t="s">
        <v>37</v>
      </c>
      <c r="L739" s="5" t="s">
        <v>38</v>
      </c>
      <c r="M739" s="5" t="s">
        <v>37</v>
      </c>
      <c r="N739" s="5" t="s">
        <v>37</v>
      </c>
      <c r="O739" s="5" t="s">
        <v>38</v>
      </c>
      <c r="P739" s="5" t="s">
        <v>39</v>
      </c>
      <c r="Q739" s="2">
        <v>45966</v>
      </c>
      <c r="V739" s="45">
        <f>IF(
  OR(
    ISNUMBER(SEARCH("unable to locate acct", tblDocketedComments[[#This Row],[Docketed Consumer Comments]])),
    ISNUMBER(SEARCH("unknown", tblDocketedComments[[#This Row],[Docketed Consumer Comments]])),
    ISNUMBER(SEARCH("inactive", tblDocketedComments[[#This Row],[Docketed Consumer Comments]]))
  ),
  0,
  1
)</f>
        <v>1</v>
      </c>
    </row>
    <row r="740" spans="1:22" hidden="1">
      <c r="A740" s="2">
        <v>45905</v>
      </c>
      <c r="B740" s="1" t="s">
        <v>1858</v>
      </c>
      <c r="C740" s="1" t="s">
        <v>1859</v>
      </c>
      <c r="D740" s="1" t="s">
        <v>68</v>
      </c>
      <c r="E740" s="1">
        <v>85331</v>
      </c>
      <c r="F740" s="1" t="s">
        <v>310</v>
      </c>
      <c r="G740" s="1" t="s">
        <v>1835</v>
      </c>
      <c r="H740" s="4" t="s">
        <v>6049</v>
      </c>
      <c r="I740" s="5" t="s">
        <v>196</v>
      </c>
      <c r="J740" s="5" t="s">
        <v>37</v>
      </c>
      <c r="K740" s="5" t="s">
        <v>37</v>
      </c>
      <c r="L740" s="7" t="s">
        <v>1860</v>
      </c>
      <c r="M740" s="5" t="s">
        <v>37</v>
      </c>
      <c r="N740" s="5" t="s">
        <v>37</v>
      </c>
      <c r="O740" s="5" t="s">
        <v>38</v>
      </c>
      <c r="P740" s="2">
        <v>45971</v>
      </c>
      <c r="Q740" s="2">
        <v>45966</v>
      </c>
      <c r="R740" s="1" t="s">
        <v>1861</v>
      </c>
      <c r="V740" s="45">
        <f>IF(
  OR(
    ISNUMBER(SEARCH("unable to locate acct", tblDocketedComments[[#This Row],[Docketed Consumer Comments]])),
    ISNUMBER(SEARCH("unknown", tblDocketedComments[[#This Row],[Docketed Consumer Comments]])),
    ISNUMBER(SEARCH("inactive", tblDocketedComments[[#This Row],[Docketed Consumer Comments]]))
  ),
  0,
  1
)</f>
        <v>1</v>
      </c>
    </row>
    <row r="741" spans="1:22" hidden="1">
      <c r="A741" s="2">
        <v>45905</v>
      </c>
      <c r="B741" s="1" t="s">
        <v>1862</v>
      </c>
      <c r="C741" s="1" t="s">
        <v>469</v>
      </c>
      <c r="D741" s="1" t="s">
        <v>24</v>
      </c>
      <c r="E741" s="1">
        <v>85308</v>
      </c>
      <c r="F741" s="1" t="s">
        <v>310</v>
      </c>
      <c r="G741" s="1" t="s">
        <v>1835</v>
      </c>
      <c r="H741" s="4" t="s">
        <v>1863</v>
      </c>
      <c r="I741" s="5" t="s">
        <v>36</v>
      </c>
      <c r="J741" s="5" t="s">
        <v>37</v>
      </c>
      <c r="K741" s="5" t="s">
        <v>37</v>
      </c>
      <c r="L741" s="5" t="s">
        <v>38</v>
      </c>
      <c r="M741" s="5" t="s">
        <v>37</v>
      </c>
      <c r="N741" s="5" t="s">
        <v>37</v>
      </c>
      <c r="O741" s="5" t="s">
        <v>38</v>
      </c>
      <c r="P741" s="5" t="s">
        <v>39</v>
      </c>
      <c r="Q741" s="2">
        <v>45966</v>
      </c>
      <c r="V741" s="45">
        <f>IF(
  OR(
    ISNUMBER(SEARCH("unable to locate acct", tblDocketedComments[[#This Row],[Docketed Consumer Comments]])),
    ISNUMBER(SEARCH("unknown", tblDocketedComments[[#This Row],[Docketed Consumer Comments]])),
    ISNUMBER(SEARCH("inactive", tblDocketedComments[[#This Row],[Docketed Consumer Comments]]))
  ),
  0,
  1
)</f>
        <v>1</v>
      </c>
    </row>
    <row r="742" spans="1:22" hidden="1">
      <c r="A742" s="2">
        <v>45905</v>
      </c>
      <c r="B742" s="1" t="s">
        <v>1864</v>
      </c>
      <c r="C742" s="1" t="s">
        <v>1865</v>
      </c>
      <c r="D742" s="1" t="s">
        <v>112</v>
      </c>
      <c r="E742" s="1">
        <v>85388</v>
      </c>
      <c r="F742" s="1" t="s">
        <v>310</v>
      </c>
      <c r="G742" s="1" t="s">
        <v>1835</v>
      </c>
      <c r="H742" s="4" t="s">
        <v>27</v>
      </c>
      <c r="V742" s="45">
        <f>IF(
  OR(
    ISNUMBER(SEARCH("unable to locate acct", tblDocketedComments[[#This Row],[Docketed Consumer Comments]])),
    ISNUMBER(SEARCH("unknown", tblDocketedComments[[#This Row],[Docketed Consumer Comments]])),
    ISNUMBER(SEARCH("inactive", tblDocketedComments[[#This Row],[Docketed Consumer Comments]]))
  ),
  0,
  1
)</f>
        <v>1</v>
      </c>
    </row>
    <row r="743" spans="1:22" hidden="1">
      <c r="A743" s="2">
        <v>45905</v>
      </c>
      <c r="B743" s="1" t="s">
        <v>1866</v>
      </c>
      <c r="C743" s="1" t="s">
        <v>1608</v>
      </c>
      <c r="D743" s="1" t="s">
        <v>112</v>
      </c>
      <c r="E743" s="1">
        <v>85388</v>
      </c>
      <c r="F743" s="1" t="s">
        <v>310</v>
      </c>
      <c r="G743" s="1" t="s">
        <v>1835</v>
      </c>
      <c r="H743" s="4" t="s">
        <v>90</v>
      </c>
      <c r="V743" s="45">
        <f>IF(
  OR(
    ISNUMBER(SEARCH("unable to locate acct", tblDocketedComments[[#This Row],[Docketed Consumer Comments]])),
    ISNUMBER(SEARCH("unknown", tblDocketedComments[[#This Row],[Docketed Consumer Comments]])),
    ISNUMBER(SEARCH("inactive", tblDocketedComments[[#This Row],[Docketed Consumer Comments]]))
  ),
  0,
  1
)</f>
        <v>1</v>
      </c>
    </row>
    <row r="744" spans="1:22" hidden="1">
      <c r="A744" s="2">
        <v>45905</v>
      </c>
      <c r="B744" s="1" t="s">
        <v>1867</v>
      </c>
      <c r="C744" s="1" t="s">
        <v>1868</v>
      </c>
      <c r="D744" s="1" t="s">
        <v>169</v>
      </c>
      <c r="E744" s="1">
        <v>85338</v>
      </c>
      <c r="F744" s="1" t="s">
        <v>310</v>
      </c>
      <c r="G744" s="1" t="s">
        <v>1835</v>
      </c>
      <c r="H744" s="4" t="s">
        <v>6282</v>
      </c>
      <c r="I744" s="5" t="s">
        <v>126</v>
      </c>
      <c r="J744" s="5" t="s">
        <v>37</v>
      </c>
      <c r="K744" s="5" t="s">
        <v>37</v>
      </c>
      <c r="L744" s="5" t="s">
        <v>38</v>
      </c>
      <c r="M744" s="5" t="s">
        <v>37</v>
      </c>
      <c r="N744" s="5" t="s">
        <v>37</v>
      </c>
      <c r="O744" s="5" t="s">
        <v>38</v>
      </c>
      <c r="P744" s="5" t="s">
        <v>39</v>
      </c>
      <c r="Q744" s="2">
        <v>45966</v>
      </c>
      <c r="V744" s="45">
        <f>IF(
  OR(
    ISNUMBER(SEARCH("unable to locate acct", tblDocketedComments[[#This Row],[Docketed Consumer Comments]])),
    ISNUMBER(SEARCH("unknown", tblDocketedComments[[#This Row],[Docketed Consumer Comments]])),
    ISNUMBER(SEARCH("inactive", tblDocketedComments[[#This Row],[Docketed Consumer Comments]]))
  ),
  0,
  1
)</f>
        <v>1</v>
      </c>
    </row>
    <row r="745" spans="1:22" hidden="1">
      <c r="A745" s="2">
        <v>45905</v>
      </c>
      <c r="B745" s="1" t="s">
        <v>1869</v>
      </c>
      <c r="C745" s="1" t="s">
        <v>75</v>
      </c>
      <c r="D745" s="1" t="s">
        <v>63</v>
      </c>
      <c r="E745" s="1">
        <v>85050</v>
      </c>
      <c r="F745" s="1" t="s">
        <v>310</v>
      </c>
      <c r="G745" s="1" t="s">
        <v>1835</v>
      </c>
      <c r="H745" s="4" t="s">
        <v>6283</v>
      </c>
      <c r="I745" s="5" t="s">
        <v>36</v>
      </c>
      <c r="J745" s="5" t="s">
        <v>37</v>
      </c>
      <c r="K745" s="5" t="s">
        <v>37</v>
      </c>
      <c r="L745" s="5" t="s">
        <v>38</v>
      </c>
      <c r="M745" s="5" t="s">
        <v>37</v>
      </c>
      <c r="N745" s="5" t="s">
        <v>37</v>
      </c>
      <c r="O745" s="5" t="s">
        <v>38</v>
      </c>
      <c r="P745" s="5" t="s">
        <v>39</v>
      </c>
      <c r="Q745" s="2">
        <v>45966</v>
      </c>
      <c r="V745" s="45">
        <f>IF(
  OR(
    ISNUMBER(SEARCH("unable to locate acct", tblDocketedComments[[#This Row],[Docketed Consumer Comments]])),
    ISNUMBER(SEARCH("unknown", tblDocketedComments[[#This Row],[Docketed Consumer Comments]])),
    ISNUMBER(SEARCH("inactive", tblDocketedComments[[#This Row],[Docketed Consumer Comments]]))
  ),
  0,
  1
)</f>
        <v>1</v>
      </c>
    </row>
    <row r="746" spans="1:22" hidden="1">
      <c r="A746" s="2">
        <v>45905</v>
      </c>
      <c r="B746" s="1" t="s">
        <v>1870</v>
      </c>
      <c r="C746" s="1" t="s">
        <v>1871</v>
      </c>
      <c r="D746" s="1" t="s">
        <v>125</v>
      </c>
      <c r="E746" s="1">
        <v>85260</v>
      </c>
      <c r="F746" s="1" t="s">
        <v>1872</v>
      </c>
      <c r="G746" s="1" t="s">
        <v>1835</v>
      </c>
      <c r="H746" s="4" t="s">
        <v>1873</v>
      </c>
      <c r="I746" s="5" t="s">
        <v>36</v>
      </c>
      <c r="J746" s="5" t="s">
        <v>37</v>
      </c>
      <c r="K746" s="5" t="s">
        <v>37</v>
      </c>
      <c r="L746" s="5" t="s">
        <v>38</v>
      </c>
      <c r="M746" s="5" t="s">
        <v>37</v>
      </c>
      <c r="N746" s="5" t="s">
        <v>37</v>
      </c>
      <c r="O746" s="5" t="s">
        <v>38</v>
      </c>
      <c r="P746" s="5" t="s">
        <v>39</v>
      </c>
      <c r="Q746" s="2">
        <v>45966</v>
      </c>
      <c r="V746" s="45">
        <f>IF(
  OR(
    ISNUMBER(SEARCH("unable to locate acct", tblDocketedComments[[#This Row],[Docketed Consumer Comments]])),
    ISNUMBER(SEARCH("unknown", tblDocketedComments[[#This Row],[Docketed Consumer Comments]])),
    ISNUMBER(SEARCH("inactive", tblDocketedComments[[#This Row],[Docketed Consumer Comments]]))
  ),
  0,
  1
)</f>
        <v>1</v>
      </c>
    </row>
    <row r="747" spans="1:22" hidden="1">
      <c r="A747" s="2">
        <v>45905</v>
      </c>
      <c r="B747" s="1" t="s">
        <v>1874</v>
      </c>
      <c r="C747" s="1" t="s">
        <v>1875</v>
      </c>
      <c r="D747" s="1" t="s">
        <v>63</v>
      </c>
      <c r="E747" s="1">
        <v>85024</v>
      </c>
      <c r="F747" s="1" t="s">
        <v>1876</v>
      </c>
      <c r="G747" s="1" t="s">
        <v>1835</v>
      </c>
      <c r="H747" s="4" t="s">
        <v>6000</v>
      </c>
      <c r="I747" s="5" t="s">
        <v>196</v>
      </c>
      <c r="J747" s="5" t="s">
        <v>37</v>
      </c>
      <c r="K747" s="5" t="s">
        <v>37</v>
      </c>
      <c r="L747" s="5" t="s">
        <v>1877</v>
      </c>
      <c r="M747" s="5" t="s">
        <v>38</v>
      </c>
      <c r="N747" s="13">
        <v>470.06</v>
      </c>
      <c r="O747" s="5" t="s">
        <v>38</v>
      </c>
      <c r="P747" s="5" t="s">
        <v>39</v>
      </c>
      <c r="Q747" s="2">
        <v>45966</v>
      </c>
      <c r="V747" s="45">
        <f>IF(
  OR(
    ISNUMBER(SEARCH("unable to locate acct", tblDocketedComments[[#This Row],[Docketed Consumer Comments]])),
    ISNUMBER(SEARCH("unknown", tblDocketedComments[[#This Row],[Docketed Consumer Comments]])),
    ISNUMBER(SEARCH("inactive", tblDocketedComments[[#This Row],[Docketed Consumer Comments]]))
  ),
  0,
  1
)</f>
        <v>1</v>
      </c>
    </row>
    <row r="748" spans="1:22" hidden="1">
      <c r="A748" s="2">
        <v>45905</v>
      </c>
      <c r="B748" s="1" t="s">
        <v>1878</v>
      </c>
      <c r="C748" s="1" t="s">
        <v>820</v>
      </c>
      <c r="D748" s="1" t="s">
        <v>63</v>
      </c>
      <c r="E748" s="1">
        <v>85016</v>
      </c>
      <c r="F748" s="1" t="s">
        <v>310</v>
      </c>
      <c r="G748" s="1" t="s">
        <v>1835</v>
      </c>
      <c r="H748" s="4" t="s">
        <v>6284</v>
      </c>
      <c r="I748" s="5" t="s">
        <v>126</v>
      </c>
      <c r="J748" s="5" t="s">
        <v>37</v>
      </c>
      <c r="K748" s="5" t="s">
        <v>37</v>
      </c>
      <c r="L748" s="5" t="s">
        <v>38</v>
      </c>
      <c r="M748" s="5" t="s">
        <v>37</v>
      </c>
      <c r="N748" s="5" t="s">
        <v>37</v>
      </c>
      <c r="O748" s="5" t="s">
        <v>38</v>
      </c>
      <c r="P748" s="5" t="s">
        <v>39</v>
      </c>
      <c r="Q748" s="2">
        <v>45966</v>
      </c>
      <c r="V748" s="45">
        <f>IF(
  OR(
    ISNUMBER(SEARCH("unable to locate acct", tblDocketedComments[[#This Row],[Docketed Consumer Comments]])),
    ISNUMBER(SEARCH("unknown", tblDocketedComments[[#This Row],[Docketed Consumer Comments]])),
    ISNUMBER(SEARCH("inactive", tblDocketedComments[[#This Row],[Docketed Consumer Comments]]))
  ),
  0,
  1
)</f>
        <v>1</v>
      </c>
    </row>
    <row r="749" spans="1:22" hidden="1">
      <c r="A749" s="2">
        <v>45905</v>
      </c>
      <c r="B749" s="1" t="s">
        <v>1879</v>
      </c>
      <c r="C749" s="1" t="s">
        <v>206</v>
      </c>
      <c r="D749" s="1" t="s">
        <v>125</v>
      </c>
      <c r="E749" s="1">
        <v>85258</v>
      </c>
      <c r="F749" s="1" t="s">
        <v>1880</v>
      </c>
      <c r="G749" s="1" t="s">
        <v>1835</v>
      </c>
      <c r="H749" s="4" t="s">
        <v>6050</v>
      </c>
      <c r="I749" s="5" t="s">
        <v>36</v>
      </c>
      <c r="J749" s="5" t="s">
        <v>37</v>
      </c>
      <c r="K749" s="5" t="s">
        <v>37</v>
      </c>
      <c r="L749" s="5" t="s">
        <v>1881</v>
      </c>
      <c r="M749" s="5" t="s">
        <v>37</v>
      </c>
      <c r="N749" s="5" t="s">
        <v>37</v>
      </c>
      <c r="O749" s="5" t="s">
        <v>38</v>
      </c>
      <c r="P749" s="5" t="s">
        <v>39</v>
      </c>
      <c r="Q749" s="2">
        <v>45966</v>
      </c>
      <c r="R749" s="1" t="s">
        <v>1285</v>
      </c>
      <c r="V749" s="45">
        <f>IF(
  OR(
    ISNUMBER(SEARCH("unable to locate acct", tblDocketedComments[[#This Row],[Docketed Consumer Comments]])),
    ISNUMBER(SEARCH("unknown", tblDocketedComments[[#This Row],[Docketed Consumer Comments]])),
    ISNUMBER(SEARCH("inactive", tblDocketedComments[[#This Row],[Docketed Consumer Comments]]))
  ),
  0,
  1
)</f>
        <v>1</v>
      </c>
    </row>
    <row r="750" spans="1:22" hidden="1">
      <c r="A750" s="2">
        <v>45905</v>
      </c>
      <c r="B750" s="1" t="s">
        <v>1882</v>
      </c>
      <c r="C750" s="1" t="s">
        <v>702</v>
      </c>
      <c r="D750" s="1" t="s">
        <v>63</v>
      </c>
      <c r="E750" s="1">
        <v>85022</v>
      </c>
      <c r="F750" s="1" t="s">
        <v>310</v>
      </c>
      <c r="G750" s="1" t="s">
        <v>1835</v>
      </c>
      <c r="H750" s="4" t="s">
        <v>6285</v>
      </c>
      <c r="I750" s="5" t="s">
        <v>73</v>
      </c>
      <c r="J750" s="5" t="s">
        <v>37</v>
      </c>
      <c r="K750" s="5" t="s">
        <v>37</v>
      </c>
      <c r="L750" s="5" t="s">
        <v>38</v>
      </c>
      <c r="M750" s="5" t="s">
        <v>37</v>
      </c>
      <c r="N750" s="5" t="s">
        <v>37</v>
      </c>
      <c r="O750" s="5" t="s">
        <v>38</v>
      </c>
      <c r="P750" s="5" t="s">
        <v>39</v>
      </c>
      <c r="Q750" s="2">
        <v>45966</v>
      </c>
      <c r="V750" s="45">
        <f>IF(
  OR(
    ISNUMBER(SEARCH("unable to locate acct", tblDocketedComments[[#This Row],[Docketed Consumer Comments]])),
    ISNUMBER(SEARCH("unknown", tblDocketedComments[[#This Row],[Docketed Consumer Comments]])),
    ISNUMBER(SEARCH("inactive", tblDocketedComments[[#This Row],[Docketed Consumer Comments]]))
  ),
  0,
  1
)</f>
        <v>1</v>
      </c>
    </row>
    <row r="751" spans="1:22" hidden="1">
      <c r="A751" s="2">
        <v>45905</v>
      </c>
      <c r="B751" s="1" t="s">
        <v>1883</v>
      </c>
      <c r="C751" s="1" t="s">
        <v>1884</v>
      </c>
      <c r="D751" s="1" t="s">
        <v>24</v>
      </c>
      <c r="E751" s="1">
        <v>85308</v>
      </c>
      <c r="F751" s="1" t="s">
        <v>310</v>
      </c>
      <c r="G751" s="1" t="s">
        <v>1835</v>
      </c>
      <c r="H751" s="4" t="s">
        <v>6286</v>
      </c>
      <c r="I751" s="5" t="s">
        <v>36</v>
      </c>
      <c r="J751" s="5" t="s">
        <v>37</v>
      </c>
      <c r="K751" s="5" t="s">
        <v>37</v>
      </c>
      <c r="L751" s="5" t="s">
        <v>38</v>
      </c>
      <c r="M751" s="5" t="s">
        <v>37</v>
      </c>
      <c r="N751" s="5" t="s">
        <v>37</v>
      </c>
      <c r="O751" s="5" t="s">
        <v>38</v>
      </c>
      <c r="P751" s="5" t="s">
        <v>39</v>
      </c>
      <c r="Q751" s="2">
        <v>45966</v>
      </c>
      <c r="V751" s="45">
        <f>IF(
  OR(
    ISNUMBER(SEARCH("unable to locate acct", tblDocketedComments[[#This Row],[Docketed Consumer Comments]])),
    ISNUMBER(SEARCH("unknown", tblDocketedComments[[#This Row],[Docketed Consumer Comments]])),
    ISNUMBER(SEARCH("inactive", tblDocketedComments[[#This Row],[Docketed Consumer Comments]]))
  ),
  0,
  1
)</f>
        <v>1</v>
      </c>
    </row>
    <row r="752" spans="1:22" hidden="1">
      <c r="A752" s="2">
        <v>45905</v>
      </c>
      <c r="B752" s="1" t="s">
        <v>1885</v>
      </c>
      <c r="C752" s="1" t="s">
        <v>329</v>
      </c>
      <c r="D752" s="1" t="s">
        <v>174</v>
      </c>
      <c r="E752" s="1">
        <v>85396</v>
      </c>
      <c r="F752" s="1" t="s">
        <v>310</v>
      </c>
      <c r="G752" s="1" t="s">
        <v>1835</v>
      </c>
      <c r="H752" s="4" t="s">
        <v>6287</v>
      </c>
      <c r="I752" s="5" t="s">
        <v>36</v>
      </c>
      <c r="J752" s="5" t="s">
        <v>37</v>
      </c>
      <c r="K752" s="5" t="s">
        <v>37</v>
      </c>
      <c r="L752" s="5" t="s">
        <v>38</v>
      </c>
      <c r="M752" s="5" t="s">
        <v>37</v>
      </c>
      <c r="N752" s="5" t="s">
        <v>37</v>
      </c>
      <c r="O752" s="5" t="s">
        <v>38</v>
      </c>
      <c r="P752" s="5" t="s">
        <v>39</v>
      </c>
      <c r="Q752" s="2">
        <v>45966</v>
      </c>
      <c r="V752" s="45">
        <f>IF(
  OR(
    ISNUMBER(SEARCH("unable to locate acct", tblDocketedComments[[#This Row],[Docketed Consumer Comments]])),
    ISNUMBER(SEARCH("unknown", tblDocketedComments[[#This Row],[Docketed Consumer Comments]])),
    ISNUMBER(SEARCH("inactive", tblDocketedComments[[#This Row],[Docketed Consumer Comments]]))
  ),
  0,
  1
)</f>
        <v>1</v>
      </c>
    </row>
    <row r="753" spans="1:22" hidden="1">
      <c r="A753" s="2">
        <v>45905</v>
      </c>
      <c r="B753" s="1" t="s">
        <v>1886</v>
      </c>
      <c r="C753" s="1" t="s">
        <v>915</v>
      </c>
      <c r="D753" s="1" t="s">
        <v>1514</v>
      </c>
      <c r="E753" s="1">
        <v>85351</v>
      </c>
      <c r="F753" s="1" t="s">
        <v>1887</v>
      </c>
      <c r="G753" s="1" t="s">
        <v>1835</v>
      </c>
      <c r="H753" s="21" t="s">
        <v>6710</v>
      </c>
      <c r="I753" s="5" t="s">
        <v>538</v>
      </c>
      <c r="J753" s="5" t="s">
        <v>37</v>
      </c>
      <c r="K753" s="5" t="s">
        <v>37</v>
      </c>
      <c r="L753" s="5" t="s">
        <v>387</v>
      </c>
      <c r="M753" s="5" t="s">
        <v>37</v>
      </c>
      <c r="N753" s="5" t="s">
        <v>37</v>
      </c>
      <c r="O753" s="5" t="s">
        <v>38</v>
      </c>
      <c r="P753" s="5" t="s">
        <v>39</v>
      </c>
      <c r="Q753" s="2">
        <v>45966</v>
      </c>
      <c r="V753" s="45">
        <f>IF(
  OR(
    ISNUMBER(SEARCH("unable to locate acct", tblDocketedComments[[#This Row],[Docketed Consumer Comments]])),
    ISNUMBER(SEARCH("unknown", tblDocketedComments[[#This Row],[Docketed Consumer Comments]])),
    ISNUMBER(SEARCH("inactive", tblDocketedComments[[#This Row],[Docketed Consumer Comments]]))
  ),
  0,
  1
)</f>
        <v>1</v>
      </c>
    </row>
    <row r="754" spans="1:22" hidden="1">
      <c r="A754" s="2">
        <v>45905</v>
      </c>
      <c r="B754" s="1" t="s">
        <v>1888</v>
      </c>
      <c r="C754" s="1" t="s">
        <v>145</v>
      </c>
      <c r="D754" s="1" t="s">
        <v>63</v>
      </c>
      <c r="E754" s="1">
        <v>85014</v>
      </c>
      <c r="F754" s="1" t="s">
        <v>31</v>
      </c>
      <c r="G754" s="1" t="s">
        <v>1835</v>
      </c>
      <c r="H754" s="4" t="s">
        <v>6051</v>
      </c>
      <c r="I754" s="5" t="s">
        <v>126</v>
      </c>
      <c r="J754" s="5" t="s">
        <v>37</v>
      </c>
      <c r="K754" s="5" t="s">
        <v>37</v>
      </c>
      <c r="L754" s="5" t="s">
        <v>1889</v>
      </c>
      <c r="M754" s="5" t="s">
        <v>37</v>
      </c>
      <c r="N754" s="5" t="s">
        <v>37</v>
      </c>
      <c r="O754" s="5" t="s">
        <v>38</v>
      </c>
      <c r="P754" s="5" t="s">
        <v>39</v>
      </c>
      <c r="Q754" s="2">
        <v>45966</v>
      </c>
      <c r="V754" s="45">
        <f>IF(
  OR(
    ISNUMBER(SEARCH("unable to locate acct", tblDocketedComments[[#This Row],[Docketed Consumer Comments]])),
    ISNUMBER(SEARCH("unknown", tblDocketedComments[[#This Row],[Docketed Consumer Comments]])),
    ISNUMBER(SEARCH("inactive", tblDocketedComments[[#This Row],[Docketed Consumer Comments]]))
  ),
  0,
  1
)</f>
        <v>1</v>
      </c>
    </row>
    <row r="755" spans="1:22" hidden="1">
      <c r="A755" s="2">
        <v>45905</v>
      </c>
      <c r="B755" s="1" t="s">
        <v>1890</v>
      </c>
      <c r="C755" s="1" t="s">
        <v>1891</v>
      </c>
      <c r="D755" s="1" t="s">
        <v>202</v>
      </c>
      <c r="E755" s="1">
        <v>85383</v>
      </c>
      <c r="F755" s="1" t="s">
        <v>310</v>
      </c>
      <c r="G755" s="1" t="s">
        <v>1835</v>
      </c>
      <c r="H755" s="4" t="s">
        <v>6052</v>
      </c>
      <c r="I755" s="5" t="s">
        <v>46</v>
      </c>
      <c r="J755" s="5" t="s">
        <v>37</v>
      </c>
      <c r="K755" s="5" t="s">
        <v>37</v>
      </c>
      <c r="L755" s="5" t="s">
        <v>1892</v>
      </c>
      <c r="M755" s="5" t="s">
        <v>37</v>
      </c>
      <c r="N755" s="5" t="s">
        <v>37</v>
      </c>
      <c r="O755" s="5" t="s">
        <v>38</v>
      </c>
      <c r="P755" s="5" t="s">
        <v>39</v>
      </c>
      <c r="Q755" s="2">
        <v>45966</v>
      </c>
      <c r="U755" s="1" t="s">
        <v>1893</v>
      </c>
      <c r="V755" s="45">
        <f>IF(
  OR(
    ISNUMBER(SEARCH("unable to locate acct", tblDocketedComments[[#This Row],[Docketed Consumer Comments]])),
    ISNUMBER(SEARCH("unknown", tblDocketedComments[[#This Row],[Docketed Consumer Comments]])),
    ISNUMBER(SEARCH("inactive", tblDocketedComments[[#This Row],[Docketed Consumer Comments]]))
  ),
  0,
  1
)</f>
        <v>1</v>
      </c>
    </row>
    <row r="756" spans="1:22" hidden="1">
      <c r="A756" s="2">
        <v>45905</v>
      </c>
      <c r="B756" s="1" t="s">
        <v>1894</v>
      </c>
      <c r="C756" s="1" t="s">
        <v>312</v>
      </c>
      <c r="D756" s="1" t="s">
        <v>63</v>
      </c>
      <c r="E756" s="1">
        <v>85023</v>
      </c>
      <c r="F756" s="1" t="s">
        <v>310</v>
      </c>
      <c r="G756" s="1" t="s">
        <v>1835</v>
      </c>
      <c r="H756" s="21" t="s">
        <v>6711</v>
      </c>
      <c r="I756" s="5" t="s">
        <v>73</v>
      </c>
      <c r="J756" s="5" t="s">
        <v>37</v>
      </c>
      <c r="K756" s="5" t="s">
        <v>37</v>
      </c>
      <c r="L756" s="5" t="s">
        <v>38</v>
      </c>
      <c r="M756" s="5" t="s">
        <v>37</v>
      </c>
      <c r="N756" s="5" t="s">
        <v>37</v>
      </c>
      <c r="O756" s="5" t="s">
        <v>38</v>
      </c>
      <c r="P756" s="5" t="s">
        <v>39</v>
      </c>
      <c r="Q756" s="2">
        <v>45966</v>
      </c>
      <c r="V756" s="45">
        <f>IF(
  OR(
    ISNUMBER(SEARCH("unable to locate acct", tblDocketedComments[[#This Row],[Docketed Consumer Comments]])),
    ISNUMBER(SEARCH("unknown", tblDocketedComments[[#This Row],[Docketed Consumer Comments]])),
    ISNUMBER(SEARCH("inactive", tblDocketedComments[[#This Row],[Docketed Consumer Comments]]))
  ),
  0,
  1
)</f>
        <v>1</v>
      </c>
    </row>
    <row r="757" spans="1:22" hidden="1">
      <c r="A757" s="2">
        <v>45905</v>
      </c>
      <c r="B757" s="1" t="s">
        <v>1895</v>
      </c>
      <c r="C757" s="1" t="s">
        <v>1896</v>
      </c>
      <c r="D757" s="1" t="s">
        <v>174</v>
      </c>
      <c r="E757" s="1">
        <v>85396</v>
      </c>
      <c r="F757" s="1" t="s">
        <v>31</v>
      </c>
      <c r="G757" s="1" t="s">
        <v>1835</v>
      </c>
      <c r="H757" s="4" t="s">
        <v>6288</v>
      </c>
      <c r="I757" s="5" t="s">
        <v>416</v>
      </c>
      <c r="J757" s="5" t="s">
        <v>37</v>
      </c>
      <c r="K757" s="5" t="s">
        <v>37</v>
      </c>
      <c r="L757" s="5" t="s">
        <v>387</v>
      </c>
      <c r="M757" s="5" t="s">
        <v>37</v>
      </c>
      <c r="N757" s="5" t="s">
        <v>37</v>
      </c>
      <c r="O757" s="5" t="s">
        <v>38</v>
      </c>
      <c r="P757" s="5" t="s">
        <v>39</v>
      </c>
      <c r="Q757" s="2">
        <v>45966</v>
      </c>
      <c r="V757" s="45">
        <f>IF(
  OR(
    ISNUMBER(SEARCH("unable to locate acct", tblDocketedComments[[#This Row],[Docketed Consumer Comments]])),
    ISNUMBER(SEARCH("unknown", tblDocketedComments[[#This Row],[Docketed Consumer Comments]])),
    ISNUMBER(SEARCH("inactive", tblDocketedComments[[#This Row],[Docketed Consumer Comments]]))
  ),
  0,
  1
)</f>
        <v>1</v>
      </c>
    </row>
    <row r="758" spans="1:22" hidden="1">
      <c r="A758" s="2">
        <v>45905</v>
      </c>
      <c r="B758" s="1" t="s">
        <v>1897</v>
      </c>
      <c r="C758" s="1" t="s">
        <v>1080</v>
      </c>
      <c r="D758" s="1" t="s">
        <v>63</v>
      </c>
      <c r="E758" s="1">
        <v>85022</v>
      </c>
      <c r="F758" s="1" t="s">
        <v>31</v>
      </c>
      <c r="G758" s="1" t="s">
        <v>1835</v>
      </c>
      <c r="H758" s="4" t="s">
        <v>27</v>
      </c>
      <c r="V758" s="45">
        <f>IF(
  OR(
    ISNUMBER(SEARCH("unable to locate acct", tblDocketedComments[[#This Row],[Docketed Consumer Comments]])),
    ISNUMBER(SEARCH("unknown", tblDocketedComments[[#This Row],[Docketed Consumer Comments]])),
    ISNUMBER(SEARCH("inactive", tblDocketedComments[[#This Row],[Docketed Consumer Comments]]))
  ),
  0,
  1
)</f>
        <v>1</v>
      </c>
    </row>
    <row r="759" spans="1:22" hidden="1">
      <c r="A759" s="2">
        <v>45905</v>
      </c>
      <c r="B759" s="1" t="s">
        <v>1898</v>
      </c>
      <c r="C759" s="1" t="s">
        <v>390</v>
      </c>
      <c r="D759" s="1" t="s">
        <v>169</v>
      </c>
      <c r="E759" s="1">
        <v>85448</v>
      </c>
      <c r="F759" s="1" t="s">
        <v>1582</v>
      </c>
      <c r="G759" s="1" t="s">
        <v>1835</v>
      </c>
      <c r="H759" s="4" t="s">
        <v>6289</v>
      </c>
      <c r="I759" s="5" t="s">
        <v>416</v>
      </c>
      <c r="J759" s="5" t="s">
        <v>37</v>
      </c>
      <c r="K759" s="5" t="s">
        <v>37</v>
      </c>
      <c r="L759" s="5" t="s">
        <v>387</v>
      </c>
      <c r="M759" s="5" t="s">
        <v>37</v>
      </c>
      <c r="N759" s="5" t="s">
        <v>37</v>
      </c>
      <c r="O759" s="5" t="s">
        <v>38</v>
      </c>
      <c r="P759" s="5" t="s">
        <v>39</v>
      </c>
      <c r="Q759" s="2">
        <v>45966</v>
      </c>
      <c r="V759" s="45">
        <f>IF(
  OR(
    ISNUMBER(SEARCH("unable to locate acct", tblDocketedComments[[#This Row],[Docketed Consumer Comments]])),
    ISNUMBER(SEARCH("unknown", tblDocketedComments[[#This Row],[Docketed Consumer Comments]])),
    ISNUMBER(SEARCH("inactive", tblDocketedComments[[#This Row],[Docketed Consumer Comments]]))
  ),
  0,
  1
)</f>
        <v>1</v>
      </c>
    </row>
    <row r="760" spans="1:22" hidden="1">
      <c r="A760" s="2">
        <v>45905</v>
      </c>
      <c r="B760" s="1" t="s">
        <v>1899</v>
      </c>
      <c r="C760" s="1" t="s">
        <v>909</v>
      </c>
      <c r="D760" s="1" t="s">
        <v>112</v>
      </c>
      <c r="E760" s="1">
        <v>85387</v>
      </c>
      <c r="F760" s="1" t="s">
        <v>310</v>
      </c>
      <c r="G760" s="1" t="s">
        <v>1835</v>
      </c>
      <c r="H760" s="4" t="s">
        <v>6001</v>
      </c>
      <c r="I760" s="5" t="s">
        <v>196</v>
      </c>
      <c r="J760" s="5" t="s">
        <v>37</v>
      </c>
      <c r="K760" s="5" t="s">
        <v>37</v>
      </c>
      <c r="L760" s="7" t="s">
        <v>1900</v>
      </c>
      <c r="M760" s="5" t="s">
        <v>1435</v>
      </c>
      <c r="N760" s="15">
        <v>1278.31</v>
      </c>
      <c r="O760" s="5" t="s">
        <v>38</v>
      </c>
      <c r="P760" s="2">
        <v>45936</v>
      </c>
      <c r="Q760" s="2">
        <v>45966</v>
      </c>
      <c r="R760" s="1" t="s">
        <v>1901</v>
      </c>
      <c r="V760" s="45">
        <f>IF(
  OR(
    ISNUMBER(SEARCH("unable to locate acct", tblDocketedComments[[#This Row],[Docketed Consumer Comments]])),
    ISNUMBER(SEARCH("unknown", tblDocketedComments[[#This Row],[Docketed Consumer Comments]])),
    ISNUMBER(SEARCH("inactive", tblDocketedComments[[#This Row],[Docketed Consumer Comments]]))
  ),
  0,
  1
)</f>
        <v>1</v>
      </c>
    </row>
    <row r="761" spans="1:22" hidden="1">
      <c r="A761" s="2">
        <v>45905</v>
      </c>
      <c r="B761" s="1" t="s">
        <v>1902</v>
      </c>
      <c r="C761" s="1" t="s">
        <v>393</v>
      </c>
      <c r="D761" s="1" t="s">
        <v>1903</v>
      </c>
      <c r="E761" s="1">
        <v>85321</v>
      </c>
      <c r="F761" s="1" t="s">
        <v>310</v>
      </c>
      <c r="G761" s="1" t="s">
        <v>1835</v>
      </c>
      <c r="H761" s="4" t="s">
        <v>6290</v>
      </c>
      <c r="I761" s="5" t="s">
        <v>46</v>
      </c>
      <c r="J761" s="5" t="s">
        <v>37</v>
      </c>
      <c r="K761" s="5" t="s">
        <v>37</v>
      </c>
      <c r="L761" s="5" t="s">
        <v>38</v>
      </c>
      <c r="M761" s="5" t="s">
        <v>37</v>
      </c>
      <c r="N761" s="5" t="s">
        <v>37</v>
      </c>
      <c r="O761" s="5" t="s">
        <v>38</v>
      </c>
      <c r="P761" s="5" t="s">
        <v>39</v>
      </c>
      <c r="Q761" s="2">
        <v>45966</v>
      </c>
      <c r="V761" s="45">
        <f>IF(
  OR(
    ISNUMBER(SEARCH("unable to locate acct", tblDocketedComments[[#This Row],[Docketed Consumer Comments]])),
    ISNUMBER(SEARCH("unknown", tblDocketedComments[[#This Row],[Docketed Consumer Comments]])),
    ISNUMBER(SEARCH("inactive", tblDocketedComments[[#This Row],[Docketed Consumer Comments]]))
  ),
  0,
  1
)</f>
        <v>1</v>
      </c>
    </row>
    <row r="762" spans="1:22" hidden="1">
      <c r="A762" s="2">
        <v>45905</v>
      </c>
      <c r="B762" s="1" t="s">
        <v>1039</v>
      </c>
      <c r="C762" s="1" t="s">
        <v>1904</v>
      </c>
      <c r="D762" s="1" t="s">
        <v>169</v>
      </c>
      <c r="E762" s="1">
        <v>85338</v>
      </c>
      <c r="F762" s="1" t="s">
        <v>310</v>
      </c>
      <c r="G762" s="1" t="s">
        <v>1835</v>
      </c>
      <c r="H762" s="4" t="s">
        <v>209</v>
      </c>
      <c r="V762" s="45">
        <f>IF(
  OR(
    ISNUMBER(SEARCH("unable to locate acct", tblDocketedComments[[#This Row],[Docketed Consumer Comments]])),
    ISNUMBER(SEARCH("unknown", tblDocketedComments[[#This Row],[Docketed Consumer Comments]])),
    ISNUMBER(SEARCH("inactive", tblDocketedComments[[#This Row],[Docketed Consumer Comments]]))
  ),
  0,
  1
)</f>
        <v>1</v>
      </c>
    </row>
    <row r="763" spans="1:22" hidden="1">
      <c r="A763" s="2">
        <v>45905</v>
      </c>
      <c r="B763" s="1" t="s">
        <v>1905</v>
      </c>
      <c r="C763" s="1" t="s">
        <v>375</v>
      </c>
      <c r="D763" s="1" t="s">
        <v>169</v>
      </c>
      <c r="E763" s="1">
        <v>85338</v>
      </c>
      <c r="F763" s="1" t="s">
        <v>1906</v>
      </c>
      <c r="G763" s="1" t="s">
        <v>1835</v>
      </c>
      <c r="H763" s="4" t="s">
        <v>1907</v>
      </c>
      <c r="I763" s="5" t="s">
        <v>46</v>
      </c>
      <c r="J763" s="5" t="s">
        <v>37</v>
      </c>
      <c r="K763" s="5" t="s">
        <v>37</v>
      </c>
      <c r="L763" s="5" t="s">
        <v>38</v>
      </c>
      <c r="M763" s="5" t="s">
        <v>37</v>
      </c>
      <c r="N763" s="5" t="s">
        <v>37</v>
      </c>
      <c r="O763" s="5" t="s">
        <v>38</v>
      </c>
      <c r="P763" s="5" t="s">
        <v>39</v>
      </c>
      <c r="Q763" s="2">
        <v>45966</v>
      </c>
      <c r="V763" s="45">
        <f>IF(
  OR(
    ISNUMBER(SEARCH("unable to locate acct", tblDocketedComments[[#This Row],[Docketed Consumer Comments]])),
    ISNUMBER(SEARCH("unknown", tblDocketedComments[[#This Row],[Docketed Consumer Comments]])),
    ISNUMBER(SEARCH("inactive", tblDocketedComments[[#This Row],[Docketed Consumer Comments]]))
  ),
  0,
  1
)</f>
        <v>1</v>
      </c>
    </row>
    <row r="764" spans="1:22" hidden="1">
      <c r="A764" s="2">
        <v>45905</v>
      </c>
      <c r="B764" s="1" t="s">
        <v>1908</v>
      </c>
      <c r="C764" s="1" t="s">
        <v>1909</v>
      </c>
      <c r="D764" s="1" t="s">
        <v>63</v>
      </c>
      <c r="E764" s="1">
        <v>85006</v>
      </c>
      <c r="F764" s="1" t="s">
        <v>31</v>
      </c>
      <c r="G764" s="1" t="s">
        <v>1835</v>
      </c>
      <c r="H764" s="4" t="s">
        <v>6053</v>
      </c>
      <c r="I764" s="5" t="s">
        <v>57</v>
      </c>
      <c r="J764" s="5" t="s">
        <v>37</v>
      </c>
      <c r="K764" s="5" t="s">
        <v>37</v>
      </c>
      <c r="L764" s="7" t="s">
        <v>1910</v>
      </c>
      <c r="M764" s="5" t="s">
        <v>37</v>
      </c>
      <c r="N764" s="5" t="s">
        <v>37</v>
      </c>
      <c r="O764" s="5" t="s">
        <v>38</v>
      </c>
      <c r="P764" s="2">
        <v>45937</v>
      </c>
      <c r="Q764" s="2">
        <v>45966</v>
      </c>
      <c r="R764" s="1" t="s">
        <v>1911</v>
      </c>
      <c r="V764" s="45">
        <f>IF(
  OR(
    ISNUMBER(SEARCH("unable to locate acct", tblDocketedComments[[#This Row],[Docketed Consumer Comments]])),
    ISNUMBER(SEARCH("unknown", tblDocketedComments[[#This Row],[Docketed Consumer Comments]])),
    ISNUMBER(SEARCH("inactive", tblDocketedComments[[#This Row],[Docketed Consumer Comments]]))
  ),
  0,
  1
)</f>
        <v>1</v>
      </c>
    </row>
    <row r="765" spans="1:22" hidden="1">
      <c r="A765" s="2">
        <v>45905</v>
      </c>
      <c r="B765" s="1" t="s">
        <v>1912</v>
      </c>
      <c r="C765" s="1" t="s">
        <v>877</v>
      </c>
      <c r="D765" s="1" t="s">
        <v>125</v>
      </c>
      <c r="E765" s="1">
        <v>85258</v>
      </c>
      <c r="F765" s="1" t="s">
        <v>310</v>
      </c>
      <c r="G765" s="1" t="s">
        <v>1835</v>
      </c>
      <c r="H765" s="4" t="s">
        <v>6291</v>
      </c>
      <c r="I765" s="5" t="s">
        <v>538</v>
      </c>
      <c r="J765" s="5" t="s">
        <v>37</v>
      </c>
      <c r="K765" s="5" t="s">
        <v>37</v>
      </c>
      <c r="L765" s="5" t="s">
        <v>387</v>
      </c>
      <c r="M765" s="5" t="s">
        <v>37</v>
      </c>
      <c r="N765" s="5" t="s">
        <v>37</v>
      </c>
      <c r="O765" s="5" t="s">
        <v>38</v>
      </c>
      <c r="P765" s="5" t="s">
        <v>39</v>
      </c>
      <c r="Q765" s="2">
        <v>45966</v>
      </c>
      <c r="V765" s="45">
        <f>IF(
  OR(
    ISNUMBER(SEARCH("unable to locate acct", tblDocketedComments[[#This Row],[Docketed Consumer Comments]])),
    ISNUMBER(SEARCH("unknown", tblDocketedComments[[#This Row],[Docketed Consumer Comments]])),
    ISNUMBER(SEARCH("inactive", tblDocketedComments[[#This Row],[Docketed Consumer Comments]]))
  ),
  0,
  1
)</f>
        <v>1</v>
      </c>
    </row>
    <row r="766" spans="1:22" hidden="1">
      <c r="A766" s="2">
        <v>45905</v>
      </c>
      <c r="B766" s="1" t="s">
        <v>1913</v>
      </c>
      <c r="C766" s="1" t="s">
        <v>1763</v>
      </c>
      <c r="D766" s="1" t="s">
        <v>125</v>
      </c>
      <c r="E766" s="1">
        <v>85258</v>
      </c>
      <c r="F766" s="1" t="s">
        <v>31</v>
      </c>
      <c r="G766" s="1" t="s">
        <v>1835</v>
      </c>
      <c r="H766" s="4" t="s">
        <v>6292</v>
      </c>
      <c r="I766" s="5" t="s">
        <v>36</v>
      </c>
      <c r="J766" s="5" t="s">
        <v>37</v>
      </c>
      <c r="K766" s="5" t="s">
        <v>37</v>
      </c>
      <c r="L766" s="5" t="s">
        <v>38</v>
      </c>
      <c r="M766" s="5" t="s">
        <v>37</v>
      </c>
      <c r="N766" s="5" t="s">
        <v>37</v>
      </c>
      <c r="O766" s="5" t="s">
        <v>38</v>
      </c>
      <c r="P766" s="5" t="s">
        <v>39</v>
      </c>
      <c r="Q766" s="2">
        <v>45966</v>
      </c>
      <c r="V766" s="45">
        <f>IF(
  OR(
    ISNUMBER(SEARCH("unable to locate acct", tblDocketedComments[[#This Row],[Docketed Consumer Comments]])),
    ISNUMBER(SEARCH("unknown", tblDocketedComments[[#This Row],[Docketed Consumer Comments]])),
    ISNUMBER(SEARCH("inactive", tblDocketedComments[[#This Row],[Docketed Consumer Comments]]))
  ),
  0,
  1
)</f>
        <v>1</v>
      </c>
    </row>
    <row r="767" spans="1:22" hidden="1">
      <c r="A767" s="2">
        <v>45905</v>
      </c>
      <c r="B767" s="1" t="s">
        <v>1914</v>
      </c>
      <c r="C767" s="1" t="s">
        <v>915</v>
      </c>
      <c r="D767" s="1" t="s">
        <v>63</v>
      </c>
      <c r="E767" s="1">
        <v>85085</v>
      </c>
      <c r="F767" s="1" t="s">
        <v>1915</v>
      </c>
      <c r="G767" s="1" t="s">
        <v>1835</v>
      </c>
      <c r="H767" s="4" t="s">
        <v>6293</v>
      </c>
      <c r="I767" s="5" t="s">
        <v>36</v>
      </c>
      <c r="J767" s="5" t="s">
        <v>37</v>
      </c>
      <c r="K767" s="5" t="s">
        <v>37</v>
      </c>
      <c r="L767" s="5" t="s">
        <v>38</v>
      </c>
      <c r="M767" s="5" t="s">
        <v>37</v>
      </c>
      <c r="N767" s="5" t="s">
        <v>37</v>
      </c>
      <c r="O767" s="5" t="s">
        <v>38</v>
      </c>
      <c r="P767" s="5" t="s">
        <v>39</v>
      </c>
      <c r="Q767" s="2">
        <v>45966</v>
      </c>
      <c r="V767" s="45">
        <f>IF(
  OR(
    ISNUMBER(SEARCH("unable to locate acct", tblDocketedComments[[#This Row],[Docketed Consumer Comments]])),
    ISNUMBER(SEARCH("unknown", tblDocketedComments[[#This Row],[Docketed Consumer Comments]])),
    ISNUMBER(SEARCH("inactive", tblDocketedComments[[#This Row],[Docketed Consumer Comments]]))
  ),
  0,
  1
)</f>
        <v>1</v>
      </c>
    </row>
    <row r="768" spans="1:22" hidden="1">
      <c r="A768" s="2">
        <v>45905</v>
      </c>
      <c r="B768" s="1" t="s">
        <v>683</v>
      </c>
      <c r="C768" s="1" t="s">
        <v>441</v>
      </c>
      <c r="D768" s="1" t="s">
        <v>63</v>
      </c>
      <c r="E768" s="1">
        <v>85014</v>
      </c>
      <c r="F768" s="1" t="s">
        <v>310</v>
      </c>
      <c r="G768" s="1" t="s">
        <v>1835</v>
      </c>
      <c r="H768" s="4" t="s">
        <v>6294</v>
      </c>
      <c r="I768" s="5" t="s">
        <v>73</v>
      </c>
      <c r="J768" s="5" t="s">
        <v>37</v>
      </c>
      <c r="K768" s="5" t="s">
        <v>37</v>
      </c>
      <c r="L768" s="5" t="s">
        <v>38</v>
      </c>
      <c r="M768" s="5" t="s">
        <v>37</v>
      </c>
      <c r="N768" s="5" t="s">
        <v>37</v>
      </c>
      <c r="O768" s="5" t="s">
        <v>38</v>
      </c>
      <c r="P768" s="5" t="s">
        <v>39</v>
      </c>
      <c r="Q768" s="2">
        <v>45966</v>
      </c>
      <c r="V768" s="45">
        <f>IF(
  OR(
    ISNUMBER(SEARCH("unable to locate acct", tblDocketedComments[[#This Row],[Docketed Consumer Comments]])),
    ISNUMBER(SEARCH("unknown", tblDocketedComments[[#This Row],[Docketed Consumer Comments]])),
    ISNUMBER(SEARCH("inactive", tblDocketedComments[[#This Row],[Docketed Consumer Comments]]))
  ),
  0,
  1
)</f>
        <v>1</v>
      </c>
    </row>
    <row r="769" spans="1:22" hidden="1">
      <c r="A769" s="2">
        <v>45905</v>
      </c>
      <c r="B769" s="1" t="s">
        <v>1916</v>
      </c>
      <c r="C769" s="1" t="s">
        <v>225</v>
      </c>
      <c r="D769" s="1" t="s">
        <v>63</v>
      </c>
      <c r="E769" s="1">
        <v>85016</v>
      </c>
      <c r="F769" s="1" t="s">
        <v>310</v>
      </c>
      <c r="G769" s="1" t="s">
        <v>1835</v>
      </c>
      <c r="H769" s="4" t="s">
        <v>6295</v>
      </c>
      <c r="I769" s="5" t="s">
        <v>126</v>
      </c>
      <c r="J769" s="5" t="s">
        <v>37</v>
      </c>
      <c r="K769" s="5" t="s">
        <v>37</v>
      </c>
      <c r="L769" s="5" t="s">
        <v>38</v>
      </c>
      <c r="M769" s="5" t="s">
        <v>37</v>
      </c>
      <c r="N769" s="5" t="s">
        <v>37</v>
      </c>
      <c r="O769" s="5" t="s">
        <v>38</v>
      </c>
      <c r="P769" s="5" t="s">
        <v>39</v>
      </c>
      <c r="Q769" s="2">
        <v>45966</v>
      </c>
      <c r="V769" s="45">
        <f>IF(
  OR(
    ISNUMBER(SEARCH("unable to locate acct", tblDocketedComments[[#This Row],[Docketed Consumer Comments]])),
    ISNUMBER(SEARCH("unknown", tblDocketedComments[[#This Row],[Docketed Consumer Comments]])),
    ISNUMBER(SEARCH("inactive", tblDocketedComments[[#This Row],[Docketed Consumer Comments]]))
  ),
  0,
  1
)</f>
        <v>1</v>
      </c>
    </row>
    <row r="770" spans="1:22" hidden="1">
      <c r="A770" s="2">
        <v>45905</v>
      </c>
      <c r="B770" s="1" t="s">
        <v>1917</v>
      </c>
      <c r="C770" s="1" t="s">
        <v>1753</v>
      </c>
      <c r="D770" s="1" t="s">
        <v>125</v>
      </c>
      <c r="E770" s="1">
        <v>85254</v>
      </c>
      <c r="F770" s="1" t="s">
        <v>1918</v>
      </c>
      <c r="G770" s="1" t="s">
        <v>1835</v>
      </c>
      <c r="H770" s="4" t="s">
        <v>6296</v>
      </c>
      <c r="I770" s="5" t="s">
        <v>243</v>
      </c>
      <c r="J770" s="5" t="s">
        <v>37</v>
      </c>
      <c r="K770" s="5" t="s">
        <v>37</v>
      </c>
      <c r="L770" s="5" t="s">
        <v>387</v>
      </c>
      <c r="M770" s="5" t="s">
        <v>37</v>
      </c>
      <c r="N770" s="5" t="s">
        <v>37</v>
      </c>
      <c r="O770" s="5" t="s">
        <v>38</v>
      </c>
      <c r="P770" s="5" t="s">
        <v>39</v>
      </c>
      <c r="Q770" s="2">
        <v>45966</v>
      </c>
      <c r="V770" s="45">
        <f>IF(
  OR(
    ISNUMBER(SEARCH("unable to locate acct", tblDocketedComments[[#This Row],[Docketed Consumer Comments]])),
    ISNUMBER(SEARCH("unknown", tblDocketedComments[[#This Row],[Docketed Consumer Comments]])),
    ISNUMBER(SEARCH("inactive", tblDocketedComments[[#This Row],[Docketed Consumer Comments]]))
  ),
  0,
  1
)</f>
        <v>1</v>
      </c>
    </row>
    <row r="771" spans="1:22" hidden="1">
      <c r="A771" s="2">
        <v>45905</v>
      </c>
      <c r="B771" s="1" t="s">
        <v>1919</v>
      </c>
      <c r="C771" s="1" t="s">
        <v>124</v>
      </c>
      <c r="D771" s="1" t="s">
        <v>536</v>
      </c>
      <c r="E771" s="1">
        <v>85122</v>
      </c>
      <c r="F771" s="1" t="s">
        <v>1920</v>
      </c>
      <c r="G771" s="1" t="s">
        <v>1835</v>
      </c>
      <c r="H771" s="4" t="s">
        <v>27</v>
      </c>
      <c r="V771" s="45">
        <f>IF(
  OR(
    ISNUMBER(SEARCH("unable to locate acct", tblDocketedComments[[#This Row],[Docketed Consumer Comments]])),
    ISNUMBER(SEARCH("unknown", tblDocketedComments[[#This Row],[Docketed Consumer Comments]])),
    ISNUMBER(SEARCH("inactive", tblDocketedComments[[#This Row],[Docketed Consumer Comments]]))
  ),
  0,
  1
)</f>
        <v>1</v>
      </c>
    </row>
    <row r="772" spans="1:22" hidden="1">
      <c r="A772" s="2">
        <v>45905</v>
      </c>
      <c r="B772" s="1" t="s">
        <v>1921</v>
      </c>
      <c r="C772" s="1" t="s">
        <v>1922</v>
      </c>
      <c r="D772" s="1" t="s">
        <v>1098</v>
      </c>
      <c r="E772" s="1">
        <v>85355</v>
      </c>
      <c r="F772" s="1" t="s">
        <v>310</v>
      </c>
      <c r="G772" s="1" t="s">
        <v>1835</v>
      </c>
      <c r="H772" s="4" t="s">
        <v>27</v>
      </c>
      <c r="V772" s="45">
        <f>IF(
  OR(
    ISNUMBER(SEARCH("unable to locate acct", tblDocketedComments[[#This Row],[Docketed Consumer Comments]])),
    ISNUMBER(SEARCH("unknown", tblDocketedComments[[#This Row],[Docketed Consumer Comments]])),
    ISNUMBER(SEARCH("inactive", tblDocketedComments[[#This Row],[Docketed Consumer Comments]]))
  ),
  0,
  1
)</f>
        <v>1</v>
      </c>
    </row>
    <row r="773" spans="1:22" hidden="1">
      <c r="A773" s="2">
        <v>45905</v>
      </c>
      <c r="B773" s="1" t="s">
        <v>1648</v>
      </c>
      <c r="C773" s="1" t="s">
        <v>153</v>
      </c>
      <c r="D773" s="1" t="s">
        <v>63</v>
      </c>
      <c r="E773" s="1">
        <v>85020</v>
      </c>
      <c r="F773" s="1" t="s">
        <v>657</v>
      </c>
      <c r="G773" s="1" t="s">
        <v>1835</v>
      </c>
      <c r="H773" s="4" t="s">
        <v>90</v>
      </c>
      <c r="V773" s="45">
        <f>IF(
  OR(
    ISNUMBER(SEARCH("unable to locate acct", tblDocketedComments[[#This Row],[Docketed Consumer Comments]])),
    ISNUMBER(SEARCH("unknown", tblDocketedComments[[#This Row],[Docketed Consumer Comments]])),
    ISNUMBER(SEARCH("inactive", tblDocketedComments[[#This Row],[Docketed Consumer Comments]]))
  ),
  0,
  1
)</f>
        <v>1</v>
      </c>
    </row>
    <row r="774" spans="1:22" hidden="1">
      <c r="A774" s="2">
        <v>45905</v>
      </c>
      <c r="B774" s="1" t="s">
        <v>1923</v>
      </c>
      <c r="C774" s="1" t="s">
        <v>324</v>
      </c>
      <c r="D774" s="1" t="s">
        <v>63</v>
      </c>
      <c r="E774" s="1">
        <v>85013</v>
      </c>
      <c r="F774" s="1" t="s">
        <v>31</v>
      </c>
      <c r="G774" s="1" t="s">
        <v>1835</v>
      </c>
      <c r="H774" s="4" t="s">
        <v>27</v>
      </c>
      <c r="V774" s="45">
        <f>IF(
  OR(
    ISNUMBER(SEARCH("unable to locate acct", tblDocketedComments[[#This Row],[Docketed Consumer Comments]])),
    ISNUMBER(SEARCH("unknown", tblDocketedComments[[#This Row],[Docketed Consumer Comments]])),
    ISNUMBER(SEARCH("inactive", tblDocketedComments[[#This Row],[Docketed Consumer Comments]]))
  ),
  0,
  1
)</f>
        <v>1</v>
      </c>
    </row>
    <row r="775" spans="1:22" hidden="1">
      <c r="A775" s="2">
        <v>45905</v>
      </c>
      <c r="B775" s="1" t="s">
        <v>1924</v>
      </c>
      <c r="C775" s="1" t="s">
        <v>655</v>
      </c>
      <c r="D775" s="1" t="s">
        <v>63</v>
      </c>
      <c r="E775" s="1">
        <v>85083</v>
      </c>
      <c r="F775" s="1" t="s">
        <v>31</v>
      </c>
      <c r="G775" s="1" t="s">
        <v>1835</v>
      </c>
      <c r="H775" s="4" t="s">
        <v>6297</v>
      </c>
      <c r="I775" s="5" t="s">
        <v>36</v>
      </c>
      <c r="J775" s="5" t="s">
        <v>37</v>
      </c>
      <c r="K775" s="5" t="s">
        <v>37</v>
      </c>
      <c r="L775" s="5" t="s">
        <v>38</v>
      </c>
      <c r="M775" s="5" t="s">
        <v>37</v>
      </c>
      <c r="N775" s="5" t="s">
        <v>37</v>
      </c>
      <c r="O775" s="5" t="s">
        <v>38</v>
      </c>
      <c r="P775" s="5" t="s">
        <v>39</v>
      </c>
      <c r="Q775" s="2">
        <v>45966</v>
      </c>
      <c r="V775" s="45">
        <f>IF(
  OR(
    ISNUMBER(SEARCH("unable to locate acct", tblDocketedComments[[#This Row],[Docketed Consumer Comments]])),
    ISNUMBER(SEARCH("unknown", tblDocketedComments[[#This Row],[Docketed Consumer Comments]])),
    ISNUMBER(SEARCH("inactive", tblDocketedComments[[#This Row],[Docketed Consumer Comments]]))
  ),
  0,
  1
)</f>
        <v>1</v>
      </c>
    </row>
    <row r="776" spans="1:22" hidden="1">
      <c r="A776" s="2">
        <v>45905</v>
      </c>
      <c r="B776" s="1" t="s">
        <v>1925</v>
      </c>
      <c r="C776" s="1" t="s">
        <v>1926</v>
      </c>
      <c r="D776" s="1" t="s">
        <v>369</v>
      </c>
      <c r="E776" s="1">
        <v>85225</v>
      </c>
      <c r="F776" s="1" t="s">
        <v>310</v>
      </c>
      <c r="G776" s="1" t="s">
        <v>1835</v>
      </c>
      <c r="H776" s="21" t="s">
        <v>6712</v>
      </c>
      <c r="I776" s="5" t="s">
        <v>416</v>
      </c>
      <c r="J776" s="5" t="s">
        <v>37</v>
      </c>
      <c r="K776" s="5" t="s">
        <v>37</v>
      </c>
      <c r="L776" s="5" t="s">
        <v>387</v>
      </c>
      <c r="M776" s="5" t="s">
        <v>37</v>
      </c>
      <c r="N776" s="5" t="s">
        <v>37</v>
      </c>
      <c r="O776" s="5" t="s">
        <v>38</v>
      </c>
      <c r="P776" s="5" t="s">
        <v>39</v>
      </c>
      <c r="Q776" s="2">
        <v>45966</v>
      </c>
      <c r="V776" s="45">
        <f>IF(
  OR(
    ISNUMBER(SEARCH("unable to locate acct", tblDocketedComments[[#This Row],[Docketed Consumer Comments]])),
    ISNUMBER(SEARCH("unknown", tblDocketedComments[[#This Row],[Docketed Consumer Comments]])),
    ISNUMBER(SEARCH("inactive", tblDocketedComments[[#This Row],[Docketed Consumer Comments]]))
  ),
  0,
  1
)</f>
        <v>1</v>
      </c>
    </row>
    <row r="777" spans="1:22" hidden="1">
      <c r="A777" s="2">
        <v>45905</v>
      </c>
      <c r="B777" s="1" t="s">
        <v>1927</v>
      </c>
      <c r="C777" s="1" t="s">
        <v>1928</v>
      </c>
      <c r="D777" s="1" t="s">
        <v>1929</v>
      </c>
      <c r="E777" s="1">
        <v>85603</v>
      </c>
      <c r="F777" s="1" t="s">
        <v>31</v>
      </c>
      <c r="G777" s="1" t="s">
        <v>1835</v>
      </c>
      <c r="H777" s="4" t="s">
        <v>6298</v>
      </c>
      <c r="I777" s="5" t="s">
        <v>36</v>
      </c>
      <c r="J777" s="5" t="s">
        <v>37</v>
      </c>
      <c r="K777" s="5" t="s">
        <v>37</v>
      </c>
      <c r="L777" s="5" t="s">
        <v>38</v>
      </c>
      <c r="M777" s="5" t="s">
        <v>37</v>
      </c>
      <c r="N777" s="5" t="s">
        <v>37</v>
      </c>
      <c r="O777" s="5" t="s">
        <v>38</v>
      </c>
      <c r="P777" s="5" t="s">
        <v>39</v>
      </c>
      <c r="Q777" s="2">
        <v>45966</v>
      </c>
      <c r="V777" s="45">
        <f>IF(
  OR(
    ISNUMBER(SEARCH("unable to locate acct", tblDocketedComments[[#This Row],[Docketed Consumer Comments]])),
    ISNUMBER(SEARCH("unknown", tblDocketedComments[[#This Row],[Docketed Consumer Comments]])),
    ISNUMBER(SEARCH("inactive", tblDocketedComments[[#This Row],[Docketed Consumer Comments]]))
  ),
  0,
  1
)</f>
        <v>1</v>
      </c>
    </row>
    <row r="778" spans="1:22" hidden="1">
      <c r="A778" s="2">
        <v>45905</v>
      </c>
      <c r="B778" s="1" t="s">
        <v>1930</v>
      </c>
      <c r="C778" s="1" t="s">
        <v>1931</v>
      </c>
      <c r="D778" s="1" t="s">
        <v>63</v>
      </c>
      <c r="E778" s="1">
        <v>85086</v>
      </c>
      <c r="F778" s="1" t="s">
        <v>31</v>
      </c>
      <c r="G778" s="1" t="s">
        <v>1835</v>
      </c>
      <c r="H778" s="4" t="s">
        <v>27</v>
      </c>
      <c r="V778" s="45">
        <f>IF(
  OR(
    ISNUMBER(SEARCH("unable to locate acct", tblDocketedComments[[#This Row],[Docketed Consumer Comments]])),
    ISNUMBER(SEARCH("unknown", tblDocketedComments[[#This Row],[Docketed Consumer Comments]])),
    ISNUMBER(SEARCH("inactive", tblDocketedComments[[#This Row],[Docketed Consumer Comments]]))
  ),
  0,
  1
)</f>
        <v>1</v>
      </c>
    </row>
    <row r="779" spans="1:22" hidden="1">
      <c r="A779" s="2">
        <v>45905</v>
      </c>
      <c r="B779" s="1" t="s">
        <v>1932</v>
      </c>
      <c r="C779" s="1" t="s">
        <v>1608</v>
      </c>
      <c r="D779" s="1" t="s">
        <v>125</v>
      </c>
      <c r="E779" s="1">
        <v>85260</v>
      </c>
      <c r="F779" s="1" t="s">
        <v>310</v>
      </c>
      <c r="G779" s="1" t="s">
        <v>1835</v>
      </c>
      <c r="H779" s="4" t="s">
        <v>6054</v>
      </c>
      <c r="I779" s="5" t="s">
        <v>57</v>
      </c>
      <c r="J779" s="5" t="s">
        <v>37</v>
      </c>
      <c r="K779" s="5" t="s">
        <v>37</v>
      </c>
      <c r="L779" s="7" t="s">
        <v>1933</v>
      </c>
      <c r="M779" s="5" t="s">
        <v>37</v>
      </c>
      <c r="N779" s="5" t="s">
        <v>37</v>
      </c>
      <c r="O779" s="5" t="s">
        <v>38</v>
      </c>
      <c r="P779" s="2">
        <v>45937</v>
      </c>
      <c r="Q779" s="2">
        <v>45966</v>
      </c>
      <c r="R779" s="1" t="s">
        <v>1934</v>
      </c>
      <c r="V779" s="45">
        <f>IF(
  OR(
    ISNUMBER(SEARCH("unable to locate acct", tblDocketedComments[[#This Row],[Docketed Consumer Comments]])),
    ISNUMBER(SEARCH("unknown", tblDocketedComments[[#This Row],[Docketed Consumer Comments]])),
    ISNUMBER(SEARCH("inactive", tblDocketedComments[[#This Row],[Docketed Consumer Comments]]))
  ),
  0,
  1
)</f>
        <v>1</v>
      </c>
    </row>
    <row r="780" spans="1:22" hidden="1">
      <c r="A780" s="2">
        <v>45905</v>
      </c>
      <c r="B780" s="1" t="s">
        <v>824</v>
      </c>
      <c r="C780" s="1" t="s">
        <v>1935</v>
      </c>
      <c r="D780" s="1" t="s">
        <v>112</v>
      </c>
      <c r="E780" s="1">
        <v>85388</v>
      </c>
      <c r="F780" s="1" t="s">
        <v>1936</v>
      </c>
      <c r="G780" s="1" t="s">
        <v>1835</v>
      </c>
      <c r="H780" s="21" t="s">
        <v>6713</v>
      </c>
      <c r="I780" s="5" t="s">
        <v>36</v>
      </c>
      <c r="J780" s="5" t="s">
        <v>37</v>
      </c>
      <c r="K780" s="5" t="s">
        <v>37</v>
      </c>
      <c r="L780" s="5" t="s">
        <v>38</v>
      </c>
      <c r="M780" s="5" t="s">
        <v>37</v>
      </c>
      <c r="N780" s="5" t="s">
        <v>37</v>
      </c>
      <c r="O780" s="5" t="s">
        <v>38</v>
      </c>
      <c r="P780" s="5" t="s">
        <v>39</v>
      </c>
      <c r="Q780" s="2">
        <v>45966</v>
      </c>
      <c r="V780" s="45">
        <f>IF(
  OR(
    ISNUMBER(SEARCH("unable to locate acct", tblDocketedComments[[#This Row],[Docketed Consumer Comments]])),
    ISNUMBER(SEARCH("unknown", tblDocketedComments[[#This Row],[Docketed Consumer Comments]])),
    ISNUMBER(SEARCH("inactive", tblDocketedComments[[#This Row],[Docketed Consumer Comments]]))
  ),
  0,
  1
)</f>
        <v>1</v>
      </c>
    </row>
    <row r="781" spans="1:22" hidden="1">
      <c r="A781" s="2">
        <v>45905</v>
      </c>
      <c r="B781" s="1" t="s">
        <v>1937</v>
      </c>
      <c r="C781" s="1" t="s">
        <v>1614</v>
      </c>
      <c r="D781" s="1" t="s">
        <v>24</v>
      </c>
      <c r="E781" s="1">
        <v>85308</v>
      </c>
      <c r="F781" s="1" t="s">
        <v>31</v>
      </c>
      <c r="G781" s="1" t="s">
        <v>1835</v>
      </c>
      <c r="H781" s="4" t="s">
        <v>6299</v>
      </c>
      <c r="I781" s="5" t="s">
        <v>196</v>
      </c>
      <c r="J781" s="5" t="s">
        <v>37</v>
      </c>
      <c r="K781" s="5" t="s">
        <v>37</v>
      </c>
      <c r="L781" s="5" t="s">
        <v>38</v>
      </c>
      <c r="M781" s="5" t="s">
        <v>37</v>
      </c>
      <c r="N781" s="5" t="s">
        <v>37</v>
      </c>
      <c r="O781" s="5" t="s">
        <v>38</v>
      </c>
      <c r="P781" s="5" t="s">
        <v>39</v>
      </c>
      <c r="Q781" s="2">
        <v>45966</v>
      </c>
      <c r="V781" s="45">
        <f>IF(
  OR(
    ISNUMBER(SEARCH("unable to locate acct", tblDocketedComments[[#This Row],[Docketed Consumer Comments]])),
    ISNUMBER(SEARCH("unknown", tblDocketedComments[[#This Row],[Docketed Consumer Comments]])),
    ISNUMBER(SEARCH("inactive", tblDocketedComments[[#This Row],[Docketed Consumer Comments]]))
  ),
  0,
  1
)</f>
        <v>1</v>
      </c>
    </row>
    <row r="782" spans="1:22" hidden="1">
      <c r="A782" s="2">
        <v>45905</v>
      </c>
      <c r="B782" s="1" t="s">
        <v>1803</v>
      </c>
      <c r="C782" s="1" t="s">
        <v>215</v>
      </c>
      <c r="D782" s="1" t="s">
        <v>63</v>
      </c>
      <c r="E782" s="1">
        <v>85028</v>
      </c>
      <c r="F782" s="1" t="s">
        <v>310</v>
      </c>
      <c r="G782" s="1" t="s">
        <v>1835</v>
      </c>
      <c r="H782" s="21" t="s">
        <v>6714</v>
      </c>
      <c r="I782" s="5" t="s">
        <v>46</v>
      </c>
      <c r="J782" s="5" t="s">
        <v>37</v>
      </c>
      <c r="K782" s="5" t="s">
        <v>37</v>
      </c>
      <c r="L782" s="7" t="s">
        <v>1938</v>
      </c>
      <c r="M782" s="5" t="s">
        <v>37</v>
      </c>
      <c r="N782" s="5" t="s">
        <v>37</v>
      </c>
      <c r="O782" s="5" t="s">
        <v>38</v>
      </c>
      <c r="P782" s="2">
        <v>45937</v>
      </c>
      <c r="Q782" s="2">
        <v>45966</v>
      </c>
      <c r="R782" s="1" t="s">
        <v>1939</v>
      </c>
      <c r="V782" s="45">
        <f>IF(
  OR(
    ISNUMBER(SEARCH("unable to locate acct", tblDocketedComments[[#This Row],[Docketed Consumer Comments]])),
    ISNUMBER(SEARCH("unknown", tblDocketedComments[[#This Row],[Docketed Consumer Comments]])),
    ISNUMBER(SEARCH("inactive", tblDocketedComments[[#This Row],[Docketed Consumer Comments]]))
  ),
  0,
  1
)</f>
        <v>1</v>
      </c>
    </row>
    <row r="783" spans="1:22" hidden="1">
      <c r="A783" s="2">
        <v>45905</v>
      </c>
      <c r="B783" s="1" t="s">
        <v>633</v>
      </c>
      <c r="C783" s="1" t="s">
        <v>225</v>
      </c>
      <c r="D783" s="1" t="s">
        <v>63</v>
      </c>
      <c r="E783" s="1">
        <v>85050</v>
      </c>
      <c r="F783" s="1" t="s">
        <v>310</v>
      </c>
      <c r="G783" s="1" t="s">
        <v>1835</v>
      </c>
      <c r="H783" s="4" t="s">
        <v>6300</v>
      </c>
      <c r="I783" s="5" t="s">
        <v>36</v>
      </c>
      <c r="J783" s="5" t="s">
        <v>37</v>
      </c>
      <c r="K783" s="5" t="s">
        <v>37</v>
      </c>
      <c r="L783" s="5" t="s">
        <v>38</v>
      </c>
      <c r="M783" s="5" t="s">
        <v>37</v>
      </c>
      <c r="N783" s="5" t="s">
        <v>37</v>
      </c>
      <c r="O783" s="5" t="s">
        <v>38</v>
      </c>
      <c r="P783" s="5" t="s">
        <v>39</v>
      </c>
      <c r="Q783" s="2">
        <v>45966</v>
      </c>
      <c r="V783" s="45">
        <f>IF(
  OR(
    ISNUMBER(SEARCH("unable to locate acct", tblDocketedComments[[#This Row],[Docketed Consumer Comments]])),
    ISNUMBER(SEARCH("unknown", tblDocketedComments[[#This Row],[Docketed Consumer Comments]])),
    ISNUMBER(SEARCH("inactive", tblDocketedComments[[#This Row],[Docketed Consumer Comments]]))
  ),
  0,
  1
)</f>
        <v>1</v>
      </c>
    </row>
    <row r="784" spans="1:22" hidden="1">
      <c r="A784" s="2">
        <v>45905</v>
      </c>
      <c r="B784" s="1" t="s">
        <v>1940</v>
      </c>
      <c r="C784" s="1" t="s">
        <v>131</v>
      </c>
      <c r="D784" s="1" t="s">
        <v>125</v>
      </c>
      <c r="E784" s="1">
        <v>85254</v>
      </c>
      <c r="F784" s="1" t="s">
        <v>310</v>
      </c>
      <c r="G784" s="1" t="s">
        <v>1835</v>
      </c>
      <c r="H784" s="21" t="s">
        <v>6715</v>
      </c>
      <c r="I784" s="5" t="s">
        <v>126</v>
      </c>
      <c r="J784" s="5" t="s">
        <v>37</v>
      </c>
      <c r="K784" s="5" t="s">
        <v>37</v>
      </c>
      <c r="L784" s="5" t="s">
        <v>1941</v>
      </c>
      <c r="M784" s="5" t="s">
        <v>37</v>
      </c>
      <c r="N784" s="5" t="s">
        <v>37</v>
      </c>
      <c r="O784" s="5" t="s">
        <v>38</v>
      </c>
      <c r="P784" s="5" t="s">
        <v>39</v>
      </c>
      <c r="Q784" s="2">
        <v>45966</v>
      </c>
      <c r="R784" s="1" t="s">
        <v>280</v>
      </c>
      <c r="V784" s="45">
        <f>IF(
  OR(
    ISNUMBER(SEARCH("unable to locate acct", tblDocketedComments[[#This Row],[Docketed Consumer Comments]])),
    ISNUMBER(SEARCH("unknown", tblDocketedComments[[#This Row],[Docketed Consumer Comments]])),
    ISNUMBER(SEARCH("inactive", tblDocketedComments[[#This Row],[Docketed Consumer Comments]]))
  ),
  0,
  1
)</f>
        <v>1</v>
      </c>
    </row>
    <row r="785" spans="1:22" hidden="1">
      <c r="A785" s="2">
        <v>45905</v>
      </c>
      <c r="B785" s="1" t="s">
        <v>1942</v>
      </c>
      <c r="C785" s="1" t="s">
        <v>1943</v>
      </c>
      <c r="D785" s="1" t="s">
        <v>202</v>
      </c>
      <c r="E785" s="1">
        <v>85383</v>
      </c>
      <c r="F785" s="1" t="s">
        <v>1944</v>
      </c>
      <c r="G785" s="1" t="s">
        <v>1835</v>
      </c>
      <c r="H785" s="4" t="s">
        <v>27</v>
      </c>
      <c r="V785" s="45">
        <f>IF(
  OR(
    ISNUMBER(SEARCH("unable to locate acct", tblDocketedComments[[#This Row],[Docketed Consumer Comments]])),
    ISNUMBER(SEARCH("unknown", tblDocketedComments[[#This Row],[Docketed Consumer Comments]])),
    ISNUMBER(SEARCH("inactive", tblDocketedComments[[#This Row],[Docketed Consumer Comments]]))
  ),
  0,
  1
)</f>
        <v>1</v>
      </c>
    </row>
    <row r="786" spans="1:22" hidden="1">
      <c r="A786" s="2">
        <v>45905</v>
      </c>
      <c r="B786" s="1" t="s">
        <v>1945</v>
      </c>
      <c r="C786" s="1" t="s">
        <v>1946</v>
      </c>
      <c r="D786" s="1" t="s">
        <v>63</v>
      </c>
      <c r="E786" s="1">
        <v>85013</v>
      </c>
      <c r="F786" s="1" t="s">
        <v>31</v>
      </c>
      <c r="G786" s="1" t="s">
        <v>1835</v>
      </c>
      <c r="H786" s="4" t="s">
        <v>27</v>
      </c>
      <c r="V786" s="45">
        <f>IF(
  OR(
    ISNUMBER(SEARCH("unable to locate acct", tblDocketedComments[[#This Row],[Docketed Consumer Comments]])),
    ISNUMBER(SEARCH("unknown", tblDocketedComments[[#This Row],[Docketed Consumer Comments]])),
    ISNUMBER(SEARCH("inactive", tblDocketedComments[[#This Row],[Docketed Consumer Comments]]))
  ),
  0,
  1
)</f>
        <v>1</v>
      </c>
    </row>
    <row r="787" spans="1:22" hidden="1">
      <c r="A787" s="2">
        <v>45905</v>
      </c>
      <c r="B787" s="1" t="s">
        <v>1947</v>
      </c>
      <c r="C787" s="1" t="s">
        <v>545</v>
      </c>
      <c r="D787" s="1" t="s">
        <v>63</v>
      </c>
      <c r="E787" s="1">
        <v>85024</v>
      </c>
      <c r="F787" s="1" t="s">
        <v>31</v>
      </c>
      <c r="G787" s="1" t="s">
        <v>1835</v>
      </c>
      <c r="H787" s="4" t="s">
        <v>209</v>
      </c>
      <c r="V787" s="45">
        <f>IF(
  OR(
    ISNUMBER(SEARCH("unable to locate acct", tblDocketedComments[[#This Row],[Docketed Consumer Comments]])),
    ISNUMBER(SEARCH("unknown", tblDocketedComments[[#This Row],[Docketed Consumer Comments]])),
    ISNUMBER(SEARCH("inactive", tblDocketedComments[[#This Row],[Docketed Consumer Comments]]))
  ),
  0,
  1
)</f>
        <v>1</v>
      </c>
    </row>
    <row r="788" spans="1:22" hidden="1">
      <c r="A788" s="2">
        <v>45905</v>
      </c>
      <c r="B788" s="1" t="s">
        <v>1616</v>
      </c>
      <c r="C788" s="1" t="s">
        <v>124</v>
      </c>
      <c r="D788" s="1" t="s">
        <v>501</v>
      </c>
      <c r="E788" s="1">
        <v>86001</v>
      </c>
      <c r="F788" s="1" t="s">
        <v>1948</v>
      </c>
      <c r="G788" s="1" t="s">
        <v>1835</v>
      </c>
      <c r="H788" s="4" t="s">
        <v>6055</v>
      </c>
      <c r="I788" s="5" t="s">
        <v>126</v>
      </c>
      <c r="J788" s="5" t="s">
        <v>37</v>
      </c>
      <c r="K788" s="5" t="s">
        <v>37</v>
      </c>
      <c r="L788" s="7" t="s">
        <v>1949</v>
      </c>
      <c r="M788" s="5" t="s">
        <v>37</v>
      </c>
      <c r="N788" s="5" t="s">
        <v>37</v>
      </c>
      <c r="O788" s="5" t="s">
        <v>38</v>
      </c>
      <c r="P788" s="2">
        <v>45937</v>
      </c>
      <c r="Q788" s="2">
        <v>45966</v>
      </c>
      <c r="R788" s="1" t="s">
        <v>1939</v>
      </c>
      <c r="V788" s="45">
        <f>IF(
  OR(
    ISNUMBER(SEARCH("unable to locate acct", tblDocketedComments[[#This Row],[Docketed Consumer Comments]])),
    ISNUMBER(SEARCH("unknown", tblDocketedComments[[#This Row],[Docketed Consumer Comments]])),
    ISNUMBER(SEARCH("inactive", tblDocketedComments[[#This Row],[Docketed Consumer Comments]]))
  ),
  0,
  1
)</f>
        <v>1</v>
      </c>
    </row>
    <row r="789" spans="1:22" hidden="1">
      <c r="A789" s="2">
        <v>45905</v>
      </c>
      <c r="B789" s="1" t="s">
        <v>1950</v>
      </c>
      <c r="C789" s="1" t="s">
        <v>381</v>
      </c>
      <c r="D789" s="1" t="s">
        <v>240</v>
      </c>
      <c r="E789" s="1">
        <v>85340</v>
      </c>
      <c r="F789" s="1" t="s">
        <v>1732</v>
      </c>
      <c r="G789" s="1" t="s">
        <v>1835</v>
      </c>
      <c r="H789" s="4" t="s">
        <v>6301</v>
      </c>
      <c r="I789" s="5" t="s">
        <v>36</v>
      </c>
      <c r="J789" s="5" t="s">
        <v>37</v>
      </c>
      <c r="K789" s="5" t="s">
        <v>37</v>
      </c>
      <c r="L789" s="5" t="s">
        <v>38</v>
      </c>
      <c r="M789" s="5" t="s">
        <v>37</v>
      </c>
      <c r="N789" s="5" t="s">
        <v>37</v>
      </c>
      <c r="O789" s="5" t="s">
        <v>38</v>
      </c>
      <c r="P789" s="5" t="s">
        <v>39</v>
      </c>
      <c r="Q789" s="2">
        <v>45966</v>
      </c>
      <c r="V789" s="45">
        <f>IF(
  OR(
    ISNUMBER(SEARCH("unable to locate acct", tblDocketedComments[[#This Row],[Docketed Consumer Comments]])),
    ISNUMBER(SEARCH("unknown", tblDocketedComments[[#This Row],[Docketed Consumer Comments]])),
    ISNUMBER(SEARCH("inactive", tblDocketedComments[[#This Row],[Docketed Consumer Comments]]))
  ),
  0,
  1
)</f>
        <v>1</v>
      </c>
    </row>
    <row r="790" spans="1:22" hidden="1">
      <c r="A790" s="2">
        <v>45905</v>
      </c>
      <c r="B790" s="1" t="s">
        <v>219</v>
      </c>
      <c r="C790" s="1" t="s">
        <v>220</v>
      </c>
      <c r="D790" s="1" t="s">
        <v>63</v>
      </c>
      <c r="E790" s="1">
        <v>85032</v>
      </c>
      <c r="F790" s="1" t="s">
        <v>31</v>
      </c>
      <c r="G790" s="1" t="s">
        <v>1835</v>
      </c>
      <c r="H790" s="4" t="s">
        <v>222</v>
      </c>
      <c r="I790" s="5" t="s">
        <v>126</v>
      </c>
      <c r="J790" s="5" t="s">
        <v>37</v>
      </c>
      <c r="K790" s="5" t="s">
        <v>37</v>
      </c>
      <c r="L790" s="5" t="s">
        <v>38</v>
      </c>
      <c r="M790" s="5" t="s">
        <v>37</v>
      </c>
      <c r="N790" s="5" t="s">
        <v>37</v>
      </c>
      <c r="O790" s="5" t="s">
        <v>38</v>
      </c>
      <c r="P790" s="5" t="s">
        <v>39</v>
      </c>
      <c r="Q790" s="2">
        <v>45966</v>
      </c>
      <c r="U790" s="1" t="s">
        <v>1893</v>
      </c>
      <c r="V790" s="45">
        <f>IF(
  OR(
    ISNUMBER(SEARCH("unable to locate acct", tblDocketedComments[[#This Row],[Docketed Consumer Comments]])),
    ISNUMBER(SEARCH("unknown", tblDocketedComments[[#This Row],[Docketed Consumer Comments]])),
    ISNUMBER(SEARCH("inactive", tblDocketedComments[[#This Row],[Docketed Consumer Comments]]))
  ),
  0,
  1
)</f>
        <v>1</v>
      </c>
    </row>
    <row r="791" spans="1:22" hidden="1">
      <c r="A791" s="2">
        <v>45905</v>
      </c>
      <c r="B791" s="1" t="s">
        <v>1951</v>
      </c>
      <c r="C791" s="1" t="s">
        <v>1952</v>
      </c>
      <c r="D791" s="1" t="s">
        <v>85</v>
      </c>
      <c r="E791" s="1">
        <v>86323</v>
      </c>
      <c r="F791" s="1" t="s">
        <v>1691</v>
      </c>
      <c r="G791" s="1" t="s">
        <v>1835</v>
      </c>
      <c r="H791" s="4" t="s">
        <v>27</v>
      </c>
      <c r="V791" s="45">
        <f>IF(
  OR(
    ISNUMBER(SEARCH("unable to locate acct", tblDocketedComments[[#This Row],[Docketed Consumer Comments]])),
    ISNUMBER(SEARCH("unknown", tblDocketedComments[[#This Row],[Docketed Consumer Comments]])),
    ISNUMBER(SEARCH("inactive", tblDocketedComments[[#This Row],[Docketed Consumer Comments]]))
  ),
  0,
  1
)</f>
        <v>1</v>
      </c>
    </row>
    <row r="792" spans="1:22" hidden="1">
      <c r="A792" s="2">
        <v>45905</v>
      </c>
      <c r="B792" s="1" t="s">
        <v>1953</v>
      </c>
      <c r="C792" s="1" t="s">
        <v>1954</v>
      </c>
      <c r="D792" s="1" t="s">
        <v>63</v>
      </c>
      <c r="E792" s="1">
        <v>85014</v>
      </c>
      <c r="F792" s="1" t="s">
        <v>310</v>
      </c>
      <c r="G792" s="1" t="s">
        <v>1835</v>
      </c>
      <c r="H792" s="4" t="s">
        <v>27</v>
      </c>
      <c r="V792" s="45">
        <f>IF(
  OR(
    ISNUMBER(SEARCH("unable to locate acct", tblDocketedComments[[#This Row],[Docketed Consumer Comments]])),
    ISNUMBER(SEARCH("unknown", tblDocketedComments[[#This Row],[Docketed Consumer Comments]])),
    ISNUMBER(SEARCH("inactive", tblDocketedComments[[#This Row],[Docketed Consumer Comments]]))
  ),
  0,
  1
)</f>
        <v>1</v>
      </c>
    </row>
    <row r="793" spans="1:22" hidden="1">
      <c r="A793" s="2">
        <v>45905</v>
      </c>
      <c r="B793" s="1" t="s">
        <v>1955</v>
      </c>
      <c r="C793" s="1" t="s">
        <v>1956</v>
      </c>
      <c r="D793" s="1" t="s">
        <v>63</v>
      </c>
      <c r="E793" s="1">
        <v>85028</v>
      </c>
      <c r="F793" s="1" t="s">
        <v>310</v>
      </c>
      <c r="G793" s="1" t="s">
        <v>1835</v>
      </c>
      <c r="H793" s="4" t="s">
        <v>1957</v>
      </c>
      <c r="I793" s="5" t="s">
        <v>36</v>
      </c>
      <c r="J793" s="5" t="s">
        <v>37</v>
      </c>
      <c r="K793" s="5" t="s">
        <v>37</v>
      </c>
      <c r="L793" s="5" t="s">
        <v>38</v>
      </c>
      <c r="M793" s="5" t="s">
        <v>37</v>
      </c>
      <c r="N793" s="5" t="s">
        <v>37</v>
      </c>
      <c r="O793" s="5" t="s">
        <v>38</v>
      </c>
      <c r="P793" s="5" t="s">
        <v>39</v>
      </c>
      <c r="Q793" s="2">
        <v>45966</v>
      </c>
      <c r="V793" s="45">
        <f>IF(
  OR(
    ISNUMBER(SEARCH("unable to locate acct", tblDocketedComments[[#This Row],[Docketed Consumer Comments]])),
    ISNUMBER(SEARCH("unknown", tblDocketedComments[[#This Row],[Docketed Consumer Comments]])),
    ISNUMBER(SEARCH("inactive", tblDocketedComments[[#This Row],[Docketed Consumer Comments]]))
  ),
  0,
  1
)</f>
        <v>1</v>
      </c>
    </row>
    <row r="794" spans="1:22" hidden="1">
      <c r="A794" s="2">
        <v>45905</v>
      </c>
      <c r="B794" s="1" t="s">
        <v>1958</v>
      </c>
      <c r="C794" s="1" t="s">
        <v>478</v>
      </c>
      <c r="D794" s="1" t="s">
        <v>112</v>
      </c>
      <c r="E794" s="1">
        <v>85374</v>
      </c>
      <c r="F794" s="1" t="s">
        <v>1959</v>
      </c>
      <c r="G794" s="1" t="s">
        <v>1835</v>
      </c>
      <c r="H794" s="4" t="s">
        <v>6302</v>
      </c>
      <c r="I794" s="5" t="s">
        <v>36</v>
      </c>
      <c r="J794" s="5" t="s">
        <v>37</v>
      </c>
      <c r="K794" s="5" t="s">
        <v>37</v>
      </c>
      <c r="L794" s="5" t="s">
        <v>38</v>
      </c>
      <c r="M794" s="5" t="s">
        <v>37</v>
      </c>
      <c r="N794" s="5" t="s">
        <v>37</v>
      </c>
      <c r="O794" s="5" t="s">
        <v>38</v>
      </c>
      <c r="P794" s="5" t="s">
        <v>39</v>
      </c>
      <c r="Q794" s="2">
        <v>45966</v>
      </c>
      <c r="V794" s="45">
        <f>IF(
  OR(
    ISNUMBER(SEARCH("unable to locate acct", tblDocketedComments[[#This Row],[Docketed Consumer Comments]])),
    ISNUMBER(SEARCH("unknown", tblDocketedComments[[#This Row],[Docketed Consumer Comments]])),
    ISNUMBER(SEARCH("inactive", tblDocketedComments[[#This Row],[Docketed Consumer Comments]]))
  ),
  0,
  1
)</f>
        <v>1</v>
      </c>
    </row>
    <row r="795" spans="1:22" hidden="1">
      <c r="A795" s="2">
        <v>45905</v>
      </c>
      <c r="B795" s="1" t="s">
        <v>1960</v>
      </c>
      <c r="C795" s="1" t="s">
        <v>1961</v>
      </c>
      <c r="D795" s="1" t="s">
        <v>63</v>
      </c>
      <c r="E795" s="1">
        <v>85029</v>
      </c>
      <c r="F795" s="1" t="s">
        <v>310</v>
      </c>
      <c r="G795" s="1" t="s">
        <v>1835</v>
      </c>
      <c r="H795" s="4" t="s">
        <v>6303</v>
      </c>
      <c r="I795" s="5" t="s">
        <v>416</v>
      </c>
      <c r="J795" s="5" t="s">
        <v>37</v>
      </c>
      <c r="K795" s="5" t="s">
        <v>37</v>
      </c>
      <c r="L795" s="5" t="s">
        <v>387</v>
      </c>
      <c r="M795" s="5" t="s">
        <v>37</v>
      </c>
      <c r="N795" s="5" t="s">
        <v>37</v>
      </c>
      <c r="O795" s="5" t="s">
        <v>38</v>
      </c>
      <c r="P795" s="5" t="s">
        <v>39</v>
      </c>
      <c r="Q795" s="2">
        <v>45966</v>
      </c>
      <c r="V795" s="45">
        <f>IF(
  OR(
    ISNUMBER(SEARCH("unable to locate acct", tblDocketedComments[[#This Row],[Docketed Consumer Comments]])),
    ISNUMBER(SEARCH("unknown", tblDocketedComments[[#This Row],[Docketed Consumer Comments]])),
    ISNUMBER(SEARCH("inactive", tblDocketedComments[[#This Row],[Docketed Consumer Comments]]))
  ),
  0,
  1
)</f>
        <v>1</v>
      </c>
    </row>
    <row r="796" spans="1:22" hidden="1">
      <c r="A796" s="2">
        <v>45905</v>
      </c>
      <c r="B796" s="1" t="s">
        <v>1962</v>
      </c>
      <c r="C796" s="1" t="s">
        <v>1963</v>
      </c>
      <c r="D796" s="1" t="s">
        <v>63</v>
      </c>
      <c r="E796" s="1">
        <v>85043</v>
      </c>
      <c r="F796" s="1" t="s">
        <v>1964</v>
      </c>
      <c r="G796" s="1" t="s">
        <v>1835</v>
      </c>
      <c r="H796" s="4" t="s">
        <v>27</v>
      </c>
      <c r="V796" s="45">
        <f>IF(
  OR(
    ISNUMBER(SEARCH("unable to locate acct", tblDocketedComments[[#This Row],[Docketed Consumer Comments]])),
    ISNUMBER(SEARCH("unknown", tblDocketedComments[[#This Row],[Docketed Consumer Comments]])),
    ISNUMBER(SEARCH("inactive", tblDocketedComments[[#This Row],[Docketed Consumer Comments]]))
  ),
  0,
  1
)</f>
        <v>1</v>
      </c>
    </row>
    <row r="797" spans="1:22" hidden="1">
      <c r="A797" s="2">
        <v>45905</v>
      </c>
      <c r="B797" s="1" t="s">
        <v>1965</v>
      </c>
      <c r="C797" s="1" t="s">
        <v>194</v>
      </c>
      <c r="D797" s="1" t="s">
        <v>63</v>
      </c>
      <c r="E797" s="1">
        <v>85013</v>
      </c>
      <c r="F797" s="1" t="s">
        <v>310</v>
      </c>
      <c r="G797" s="1" t="s">
        <v>1835</v>
      </c>
      <c r="H797" s="4" t="s">
        <v>1966</v>
      </c>
      <c r="I797" s="5" t="s">
        <v>36</v>
      </c>
      <c r="J797" s="5" t="s">
        <v>37</v>
      </c>
      <c r="K797" s="5" t="s">
        <v>37</v>
      </c>
      <c r="L797" s="5" t="s">
        <v>38</v>
      </c>
      <c r="M797" s="5" t="s">
        <v>37</v>
      </c>
      <c r="N797" s="5" t="s">
        <v>37</v>
      </c>
      <c r="O797" s="5" t="s">
        <v>38</v>
      </c>
      <c r="P797" s="5" t="s">
        <v>39</v>
      </c>
      <c r="Q797" s="2">
        <v>45965</v>
      </c>
      <c r="V797" s="45">
        <f>IF(
  OR(
    ISNUMBER(SEARCH("unable to locate acct", tblDocketedComments[[#This Row],[Docketed Consumer Comments]])),
    ISNUMBER(SEARCH("unknown", tblDocketedComments[[#This Row],[Docketed Consumer Comments]])),
    ISNUMBER(SEARCH("inactive", tblDocketedComments[[#This Row],[Docketed Consumer Comments]]))
  ),
  0,
  1
)</f>
        <v>1</v>
      </c>
    </row>
    <row r="798" spans="1:22" hidden="1">
      <c r="A798" s="2">
        <v>45905</v>
      </c>
      <c r="B798" s="1" t="s">
        <v>1967</v>
      </c>
      <c r="C798" s="1" t="s">
        <v>1968</v>
      </c>
      <c r="D798" s="1" t="s">
        <v>369</v>
      </c>
      <c r="E798" s="1">
        <v>85225</v>
      </c>
      <c r="F798" s="1" t="s">
        <v>1969</v>
      </c>
      <c r="G798" s="1" t="s">
        <v>1835</v>
      </c>
      <c r="H798" s="21" t="s">
        <v>6716</v>
      </c>
      <c r="I798" s="5" t="s">
        <v>36</v>
      </c>
      <c r="J798" s="5" t="s">
        <v>38</v>
      </c>
      <c r="K798" s="5" t="s">
        <v>37</v>
      </c>
      <c r="L798" s="5" t="s">
        <v>38</v>
      </c>
      <c r="M798" s="5" t="s">
        <v>37</v>
      </c>
      <c r="N798" s="5" t="s">
        <v>37</v>
      </c>
      <c r="O798" s="5" t="s">
        <v>38</v>
      </c>
      <c r="P798" s="5" t="s">
        <v>39</v>
      </c>
      <c r="Q798" s="2">
        <v>45965</v>
      </c>
      <c r="V798" s="45">
        <f>IF(
  OR(
    ISNUMBER(SEARCH("unable to locate acct", tblDocketedComments[[#This Row],[Docketed Consumer Comments]])),
    ISNUMBER(SEARCH("unknown", tblDocketedComments[[#This Row],[Docketed Consumer Comments]])),
    ISNUMBER(SEARCH("inactive", tblDocketedComments[[#This Row],[Docketed Consumer Comments]]))
  ),
  0,
  1
)</f>
        <v>1</v>
      </c>
    </row>
    <row r="799" spans="1:22" hidden="1">
      <c r="A799" s="2">
        <v>45905</v>
      </c>
      <c r="B799" s="1" t="s">
        <v>1970</v>
      </c>
      <c r="C799" s="1" t="s">
        <v>1971</v>
      </c>
      <c r="D799" s="1" t="s">
        <v>202</v>
      </c>
      <c r="E799" s="1">
        <v>85383</v>
      </c>
      <c r="F799" s="1" t="s">
        <v>310</v>
      </c>
      <c r="G799" s="1" t="s">
        <v>1835</v>
      </c>
      <c r="H799" s="21" t="s">
        <v>6717</v>
      </c>
      <c r="I799" s="5" t="s">
        <v>36</v>
      </c>
      <c r="J799" s="5" t="s">
        <v>37</v>
      </c>
      <c r="K799" s="5" t="s">
        <v>37</v>
      </c>
      <c r="L799" s="5" t="s">
        <v>38</v>
      </c>
      <c r="M799" s="5" t="s">
        <v>37</v>
      </c>
      <c r="N799" s="5" t="s">
        <v>37</v>
      </c>
      <c r="O799" s="5" t="s">
        <v>38</v>
      </c>
      <c r="P799" s="5" t="s">
        <v>39</v>
      </c>
      <c r="Q799" s="2">
        <v>45965</v>
      </c>
      <c r="V799" s="45">
        <f>IF(
  OR(
    ISNUMBER(SEARCH("unable to locate acct", tblDocketedComments[[#This Row],[Docketed Consumer Comments]])),
    ISNUMBER(SEARCH("unknown", tblDocketedComments[[#This Row],[Docketed Consumer Comments]])),
    ISNUMBER(SEARCH("inactive", tblDocketedComments[[#This Row],[Docketed Consumer Comments]]))
  ),
  0,
  1
)</f>
        <v>1</v>
      </c>
    </row>
    <row r="800" spans="1:22" hidden="1">
      <c r="A800" s="2">
        <v>45905</v>
      </c>
      <c r="B800" s="1" t="s">
        <v>1972</v>
      </c>
      <c r="C800" s="1" t="s">
        <v>1871</v>
      </c>
      <c r="D800" s="1" t="s">
        <v>136</v>
      </c>
      <c r="E800" s="1">
        <v>85377</v>
      </c>
      <c r="F800" s="1" t="s">
        <v>1973</v>
      </c>
      <c r="G800" s="1" t="s">
        <v>1835</v>
      </c>
      <c r="H800" s="4" t="s">
        <v>6056</v>
      </c>
      <c r="I800" s="5" t="s">
        <v>196</v>
      </c>
      <c r="J800" s="5" t="s">
        <v>37</v>
      </c>
      <c r="K800" s="5" t="s">
        <v>37</v>
      </c>
      <c r="L800" s="7" t="s">
        <v>1974</v>
      </c>
      <c r="M800" s="5" t="s">
        <v>37</v>
      </c>
      <c r="N800" s="5" t="s">
        <v>37</v>
      </c>
      <c r="O800" s="5" t="s">
        <v>38</v>
      </c>
      <c r="P800" s="2">
        <v>45937</v>
      </c>
      <c r="Q800" s="2">
        <v>45965</v>
      </c>
      <c r="R800" s="1" t="s">
        <v>1975</v>
      </c>
      <c r="V800" s="45">
        <f>IF(
  OR(
    ISNUMBER(SEARCH("unable to locate acct", tblDocketedComments[[#This Row],[Docketed Consumer Comments]])),
    ISNUMBER(SEARCH("unknown", tblDocketedComments[[#This Row],[Docketed Consumer Comments]])),
    ISNUMBER(SEARCH("inactive", tblDocketedComments[[#This Row],[Docketed Consumer Comments]]))
  ),
  0,
  1
)</f>
        <v>1</v>
      </c>
    </row>
    <row r="801" spans="1:22" hidden="1">
      <c r="A801" s="2">
        <v>45905</v>
      </c>
      <c r="B801" s="1" t="s">
        <v>1976</v>
      </c>
      <c r="C801" s="1" t="s">
        <v>1977</v>
      </c>
      <c r="D801" s="1" t="s">
        <v>63</v>
      </c>
      <c r="E801" s="1">
        <v>85006</v>
      </c>
      <c r="F801" s="1" t="s">
        <v>1978</v>
      </c>
      <c r="G801" s="1" t="s">
        <v>1835</v>
      </c>
      <c r="H801" s="4" t="s">
        <v>6304</v>
      </c>
      <c r="I801" s="5" t="s">
        <v>73</v>
      </c>
      <c r="J801" s="5" t="s">
        <v>37</v>
      </c>
      <c r="K801" s="5" t="s">
        <v>37</v>
      </c>
      <c r="L801" s="5" t="s">
        <v>38</v>
      </c>
      <c r="M801" s="5" t="s">
        <v>37</v>
      </c>
      <c r="N801" s="5" t="s">
        <v>37</v>
      </c>
      <c r="O801" s="5" t="s">
        <v>38</v>
      </c>
      <c r="P801" s="5" t="s">
        <v>39</v>
      </c>
      <c r="Q801" s="2">
        <v>45965</v>
      </c>
      <c r="V801" s="45">
        <f>IF(
  OR(
    ISNUMBER(SEARCH("unable to locate acct", tblDocketedComments[[#This Row],[Docketed Consumer Comments]])),
    ISNUMBER(SEARCH("unknown", tblDocketedComments[[#This Row],[Docketed Consumer Comments]])),
    ISNUMBER(SEARCH("inactive", tblDocketedComments[[#This Row],[Docketed Consumer Comments]]))
  ),
  0,
  1
)</f>
        <v>1</v>
      </c>
    </row>
    <row r="802" spans="1:22" hidden="1">
      <c r="A802" s="2">
        <v>45905</v>
      </c>
      <c r="B802" s="1" t="s">
        <v>1979</v>
      </c>
      <c r="C802" s="1" t="s">
        <v>1980</v>
      </c>
      <c r="D802" s="1" t="s">
        <v>632</v>
      </c>
      <c r="E802" s="1">
        <v>85281</v>
      </c>
      <c r="F802" s="1" t="s">
        <v>310</v>
      </c>
      <c r="G802" s="1" t="s">
        <v>1835</v>
      </c>
      <c r="H802" s="4" t="s">
        <v>6057</v>
      </c>
      <c r="I802" s="5" t="s">
        <v>126</v>
      </c>
      <c r="J802" s="5" t="s">
        <v>37</v>
      </c>
      <c r="K802" s="5" t="s">
        <v>37</v>
      </c>
      <c r="L802" s="5" t="s">
        <v>1981</v>
      </c>
      <c r="M802" s="5" t="s">
        <v>37</v>
      </c>
      <c r="N802" s="5" t="s">
        <v>37</v>
      </c>
      <c r="O802" s="5" t="s">
        <v>38</v>
      </c>
      <c r="P802" s="5" t="s">
        <v>39</v>
      </c>
      <c r="Q802" s="2">
        <v>45965</v>
      </c>
      <c r="V802" s="45">
        <f>IF(
  OR(
    ISNUMBER(SEARCH("unable to locate acct", tblDocketedComments[[#This Row],[Docketed Consumer Comments]])),
    ISNUMBER(SEARCH("unknown", tblDocketedComments[[#This Row],[Docketed Consumer Comments]])),
    ISNUMBER(SEARCH("inactive", tblDocketedComments[[#This Row],[Docketed Consumer Comments]]))
  ),
  0,
  1
)</f>
        <v>1</v>
      </c>
    </row>
    <row r="803" spans="1:22" hidden="1">
      <c r="A803" s="2">
        <v>45905</v>
      </c>
      <c r="B803" s="1" t="s">
        <v>1982</v>
      </c>
      <c r="C803" s="1" t="s">
        <v>1983</v>
      </c>
      <c r="D803" s="1" t="s">
        <v>63</v>
      </c>
      <c r="E803" s="1">
        <v>85032</v>
      </c>
      <c r="F803" s="1" t="s">
        <v>1984</v>
      </c>
      <c r="G803" s="1" t="s">
        <v>1835</v>
      </c>
      <c r="H803" s="4" t="s">
        <v>27</v>
      </c>
      <c r="V803" s="45">
        <f>IF(
  OR(
    ISNUMBER(SEARCH("unable to locate acct", tblDocketedComments[[#This Row],[Docketed Consumer Comments]])),
    ISNUMBER(SEARCH("unknown", tblDocketedComments[[#This Row],[Docketed Consumer Comments]])),
    ISNUMBER(SEARCH("inactive", tblDocketedComments[[#This Row],[Docketed Consumer Comments]]))
  ),
  0,
  1
)</f>
        <v>1</v>
      </c>
    </row>
    <row r="804" spans="1:22" hidden="1">
      <c r="A804" s="2">
        <v>45905</v>
      </c>
      <c r="B804" s="1" t="s">
        <v>1985</v>
      </c>
      <c r="C804" s="1" t="s">
        <v>1986</v>
      </c>
      <c r="D804" s="1" t="s">
        <v>632</v>
      </c>
      <c r="E804" s="1">
        <v>85281</v>
      </c>
      <c r="F804" s="1" t="s">
        <v>310</v>
      </c>
      <c r="G804" s="1" t="s">
        <v>1835</v>
      </c>
      <c r="H804" s="4" t="s">
        <v>90</v>
      </c>
      <c r="V804" s="45">
        <f>IF(
  OR(
    ISNUMBER(SEARCH("unable to locate acct", tblDocketedComments[[#This Row],[Docketed Consumer Comments]])),
    ISNUMBER(SEARCH("unknown", tblDocketedComments[[#This Row],[Docketed Consumer Comments]])),
    ISNUMBER(SEARCH("inactive", tblDocketedComments[[#This Row],[Docketed Consumer Comments]]))
  ),
  0,
  1
)</f>
        <v>1</v>
      </c>
    </row>
    <row r="805" spans="1:22" hidden="1">
      <c r="A805" s="2">
        <v>45905</v>
      </c>
      <c r="B805" s="1" t="s">
        <v>1987</v>
      </c>
      <c r="C805" s="1" t="s">
        <v>1988</v>
      </c>
      <c r="D805" s="1" t="s">
        <v>174</v>
      </c>
      <c r="E805" s="1">
        <v>85326</v>
      </c>
      <c r="F805" s="1" t="s">
        <v>310</v>
      </c>
      <c r="G805" s="1" t="s">
        <v>1835</v>
      </c>
      <c r="H805" s="4" t="s">
        <v>6305</v>
      </c>
      <c r="I805" s="5" t="s">
        <v>538</v>
      </c>
      <c r="J805" s="5" t="s">
        <v>38</v>
      </c>
      <c r="K805" s="5" t="s">
        <v>37</v>
      </c>
      <c r="L805" s="5" t="s">
        <v>387</v>
      </c>
      <c r="M805" s="5" t="s">
        <v>37</v>
      </c>
      <c r="N805" s="5" t="s">
        <v>37</v>
      </c>
      <c r="O805" s="5" t="s">
        <v>38</v>
      </c>
      <c r="P805" s="5" t="s">
        <v>39</v>
      </c>
      <c r="Q805" s="2">
        <v>45965</v>
      </c>
      <c r="V805" s="45">
        <f>IF(
  OR(
    ISNUMBER(SEARCH("unable to locate acct", tblDocketedComments[[#This Row],[Docketed Consumer Comments]])),
    ISNUMBER(SEARCH("unknown", tblDocketedComments[[#This Row],[Docketed Consumer Comments]])),
    ISNUMBER(SEARCH("inactive", tblDocketedComments[[#This Row],[Docketed Consumer Comments]]))
  ),
  0,
  1
)</f>
        <v>1</v>
      </c>
    </row>
    <row r="806" spans="1:22" hidden="1">
      <c r="A806" s="2">
        <v>45905</v>
      </c>
      <c r="B806" s="1" t="s">
        <v>1947</v>
      </c>
      <c r="C806" s="1" t="s">
        <v>1989</v>
      </c>
      <c r="D806" s="1" t="s">
        <v>63</v>
      </c>
      <c r="E806" s="1">
        <v>85024</v>
      </c>
      <c r="F806" s="1" t="s">
        <v>31</v>
      </c>
      <c r="G806" s="1" t="s">
        <v>1835</v>
      </c>
      <c r="H806" s="4" t="s">
        <v>6306</v>
      </c>
      <c r="I806" s="5" t="s">
        <v>36</v>
      </c>
      <c r="J806" s="5" t="s">
        <v>37</v>
      </c>
      <c r="K806" s="5" t="s">
        <v>37</v>
      </c>
      <c r="L806" s="5" t="s">
        <v>38</v>
      </c>
      <c r="M806" s="5" t="s">
        <v>37</v>
      </c>
      <c r="N806" s="5" t="s">
        <v>37</v>
      </c>
      <c r="O806" s="5" t="s">
        <v>38</v>
      </c>
      <c r="P806" s="5" t="s">
        <v>39</v>
      </c>
      <c r="Q806" s="2">
        <v>45965</v>
      </c>
      <c r="V806" s="45">
        <f>IF(
  OR(
    ISNUMBER(SEARCH("unable to locate acct", tblDocketedComments[[#This Row],[Docketed Consumer Comments]])),
    ISNUMBER(SEARCH("unknown", tblDocketedComments[[#This Row],[Docketed Consumer Comments]])),
    ISNUMBER(SEARCH("inactive", tblDocketedComments[[#This Row],[Docketed Consumer Comments]]))
  ),
  0,
  1
)</f>
        <v>1</v>
      </c>
    </row>
    <row r="807" spans="1:22" hidden="1">
      <c r="A807" s="2">
        <v>45905</v>
      </c>
      <c r="B807" s="1" t="s">
        <v>1990</v>
      </c>
      <c r="C807" s="1" t="s">
        <v>75</v>
      </c>
      <c r="D807" s="1" t="s">
        <v>63</v>
      </c>
      <c r="E807" s="1">
        <v>85012</v>
      </c>
      <c r="F807" s="1" t="s">
        <v>310</v>
      </c>
      <c r="G807" s="1" t="s">
        <v>1835</v>
      </c>
      <c r="H807" s="21" t="s">
        <v>6718</v>
      </c>
      <c r="I807" s="5" t="s">
        <v>73</v>
      </c>
      <c r="J807" s="5" t="s">
        <v>37</v>
      </c>
      <c r="K807" s="5" t="s">
        <v>37</v>
      </c>
      <c r="L807" s="5" t="s">
        <v>399</v>
      </c>
      <c r="M807" s="5" t="s">
        <v>37</v>
      </c>
      <c r="N807" s="5" t="s">
        <v>37</v>
      </c>
      <c r="O807" s="5" t="s">
        <v>38</v>
      </c>
      <c r="P807" s="5" t="s">
        <v>39</v>
      </c>
      <c r="Q807" s="2">
        <v>38660</v>
      </c>
      <c r="R807" s="1" t="s">
        <v>1991</v>
      </c>
      <c r="V807" s="45">
        <f>IF(
  OR(
    ISNUMBER(SEARCH("unable to locate acct", tblDocketedComments[[#This Row],[Docketed Consumer Comments]])),
    ISNUMBER(SEARCH("unknown", tblDocketedComments[[#This Row],[Docketed Consumer Comments]])),
    ISNUMBER(SEARCH("inactive", tblDocketedComments[[#This Row],[Docketed Consumer Comments]]))
  ),
  0,
  1
)</f>
        <v>1</v>
      </c>
    </row>
    <row r="808" spans="1:22" hidden="1">
      <c r="A808" s="2">
        <v>45905</v>
      </c>
      <c r="B808" s="1" t="s">
        <v>1992</v>
      </c>
      <c r="C808" s="1" t="s">
        <v>1993</v>
      </c>
      <c r="D808" s="1" t="s">
        <v>63</v>
      </c>
      <c r="E808" s="1">
        <v>85008</v>
      </c>
      <c r="F808" s="1" t="s">
        <v>31</v>
      </c>
      <c r="G808" s="1" t="s">
        <v>1835</v>
      </c>
      <c r="H808" s="4" t="s">
        <v>6058</v>
      </c>
      <c r="I808" s="5" t="s">
        <v>196</v>
      </c>
      <c r="J808" s="5" t="s">
        <v>37</v>
      </c>
      <c r="K808" s="5" t="s">
        <v>37</v>
      </c>
      <c r="L808" s="7" t="s">
        <v>1994</v>
      </c>
      <c r="M808" s="5" t="s">
        <v>37</v>
      </c>
      <c r="N808" s="5" t="s">
        <v>37</v>
      </c>
      <c r="O808" s="5" t="s">
        <v>38</v>
      </c>
      <c r="P808" s="2">
        <v>45937</v>
      </c>
      <c r="Q808" s="2">
        <v>45965</v>
      </c>
      <c r="R808" s="1" t="s">
        <v>1995</v>
      </c>
      <c r="V808" s="45">
        <f>IF(
  OR(
    ISNUMBER(SEARCH("unable to locate acct", tblDocketedComments[[#This Row],[Docketed Consumer Comments]])),
    ISNUMBER(SEARCH("unknown", tblDocketedComments[[#This Row],[Docketed Consumer Comments]])),
    ISNUMBER(SEARCH("inactive", tblDocketedComments[[#This Row],[Docketed Consumer Comments]]))
  ),
  0,
  1
)</f>
        <v>1</v>
      </c>
    </row>
    <row r="809" spans="1:22" hidden="1">
      <c r="A809" s="2">
        <v>45905</v>
      </c>
      <c r="B809" s="1" t="s">
        <v>1996</v>
      </c>
      <c r="C809" s="1" t="s">
        <v>1997</v>
      </c>
      <c r="D809" s="1" t="s">
        <v>63</v>
      </c>
      <c r="E809" s="1">
        <v>85027</v>
      </c>
      <c r="F809" s="1" t="s">
        <v>310</v>
      </c>
      <c r="G809" s="1" t="s">
        <v>1835</v>
      </c>
      <c r="H809" s="21" t="s">
        <v>6719</v>
      </c>
      <c r="I809" s="5" t="s">
        <v>538</v>
      </c>
      <c r="J809" s="5" t="s">
        <v>37</v>
      </c>
      <c r="K809" s="5" t="s">
        <v>37</v>
      </c>
      <c r="L809" s="5" t="s">
        <v>387</v>
      </c>
      <c r="M809" s="5" t="s">
        <v>37</v>
      </c>
      <c r="N809" s="5" t="s">
        <v>37</v>
      </c>
      <c r="O809" s="5" t="s">
        <v>38</v>
      </c>
      <c r="P809" s="5" t="s">
        <v>39</v>
      </c>
      <c r="Q809" s="2">
        <v>45965</v>
      </c>
      <c r="V809" s="45">
        <f>IF(
  OR(
    ISNUMBER(SEARCH("unable to locate acct", tblDocketedComments[[#This Row],[Docketed Consumer Comments]])),
    ISNUMBER(SEARCH("unknown", tblDocketedComments[[#This Row],[Docketed Consumer Comments]])),
    ISNUMBER(SEARCH("inactive", tblDocketedComments[[#This Row],[Docketed Consumer Comments]]))
  ),
  0,
  1
)</f>
        <v>1</v>
      </c>
    </row>
    <row r="810" spans="1:22" hidden="1">
      <c r="A810" s="2">
        <v>45905</v>
      </c>
      <c r="B810" s="1" t="s">
        <v>1998</v>
      </c>
      <c r="C810" s="1" t="s">
        <v>1896</v>
      </c>
      <c r="D810" s="1" t="s">
        <v>30</v>
      </c>
      <c r="E810" s="23" t="s">
        <v>30</v>
      </c>
      <c r="F810" s="1" t="s">
        <v>1999</v>
      </c>
      <c r="G810" s="1" t="s">
        <v>1835</v>
      </c>
      <c r="H810" s="4" t="s">
        <v>6307</v>
      </c>
      <c r="I810" s="5" t="s">
        <v>126</v>
      </c>
      <c r="J810" s="5" t="s">
        <v>37</v>
      </c>
      <c r="K810" s="5" t="s">
        <v>37</v>
      </c>
      <c r="L810" s="5" t="s">
        <v>38</v>
      </c>
      <c r="M810" s="5" t="s">
        <v>37</v>
      </c>
      <c r="N810" s="5" t="s">
        <v>37</v>
      </c>
      <c r="O810" s="5" t="s">
        <v>38</v>
      </c>
      <c r="P810" s="5" t="s">
        <v>39</v>
      </c>
      <c r="Q810" s="2">
        <v>45965</v>
      </c>
      <c r="V810" s="45">
        <f>IF(
  OR(
    ISNUMBER(SEARCH("unable to locate acct", tblDocketedComments[[#This Row],[Docketed Consumer Comments]])),
    ISNUMBER(SEARCH("unknown", tblDocketedComments[[#This Row],[Docketed Consumer Comments]])),
    ISNUMBER(SEARCH("inactive", tblDocketedComments[[#This Row],[Docketed Consumer Comments]]))
  ),
  0,
  1
)</f>
        <v>1</v>
      </c>
    </row>
    <row r="811" spans="1:22" hidden="1">
      <c r="A811" s="14">
        <v>45905</v>
      </c>
      <c r="B811" s="24" t="s">
        <v>2000</v>
      </c>
      <c r="C811" s="24" t="s">
        <v>2001</v>
      </c>
      <c r="D811" s="24" t="s">
        <v>2002</v>
      </c>
      <c r="E811" s="24">
        <v>86335</v>
      </c>
      <c r="F811" s="24" t="s">
        <v>31</v>
      </c>
      <c r="G811" s="25" t="s">
        <v>2003</v>
      </c>
      <c r="H811" s="4" t="s">
        <v>27</v>
      </c>
      <c r="V811" s="45">
        <f>IF(
  OR(
    ISNUMBER(SEARCH("unable to locate acct", tblDocketedComments[[#This Row],[Docketed Consumer Comments]])),
    ISNUMBER(SEARCH("unknown", tblDocketedComments[[#This Row],[Docketed Consumer Comments]])),
    ISNUMBER(SEARCH("inactive", tblDocketedComments[[#This Row],[Docketed Consumer Comments]]))
  ),
  0,
  1
)</f>
        <v>1</v>
      </c>
    </row>
    <row r="812" spans="1:22" hidden="1">
      <c r="A812" s="2">
        <v>45905</v>
      </c>
      <c r="B812" s="1" t="s">
        <v>744</v>
      </c>
      <c r="C812" s="1" t="s">
        <v>1711</v>
      </c>
      <c r="D812" s="1" t="s">
        <v>30</v>
      </c>
      <c r="E812" s="1" t="s">
        <v>30</v>
      </c>
      <c r="F812" s="1" t="s">
        <v>31</v>
      </c>
      <c r="G812" s="1" t="s">
        <v>1835</v>
      </c>
      <c r="H812" s="4" t="s">
        <v>209</v>
      </c>
      <c r="V812" s="45">
        <f>IF(
  OR(
    ISNUMBER(SEARCH("unable to locate acct", tblDocketedComments[[#This Row],[Docketed Consumer Comments]])),
    ISNUMBER(SEARCH("unknown", tblDocketedComments[[#This Row],[Docketed Consumer Comments]])),
    ISNUMBER(SEARCH("inactive", tblDocketedComments[[#This Row],[Docketed Consumer Comments]]))
  ),
  0,
  1
)</f>
        <v>1</v>
      </c>
    </row>
    <row r="813" spans="1:22" hidden="1">
      <c r="A813" s="2">
        <v>45906</v>
      </c>
      <c r="B813" s="1" t="s">
        <v>2004</v>
      </c>
      <c r="C813" s="1" t="s">
        <v>852</v>
      </c>
      <c r="D813" s="1" t="s">
        <v>112</v>
      </c>
      <c r="E813" s="1">
        <v>85388</v>
      </c>
      <c r="F813" s="1" t="s">
        <v>310</v>
      </c>
      <c r="G813" s="1" t="s">
        <v>2005</v>
      </c>
      <c r="H813" s="4" t="s">
        <v>27</v>
      </c>
      <c r="V813" s="45">
        <f>IF(
  OR(
    ISNUMBER(SEARCH("unable to locate acct", tblDocketedComments[[#This Row],[Docketed Consumer Comments]])),
    ISNUMBER(SEARCH("unknown", tblDocketedComments[[#This Row],[Docketed Consumer Comments]])),
    ISNUMBER(SEARCH("inactive", tblDocketedComments[[#This Row],[Docketed Consumer Comments]]))
  ),
  0,
  1
)</f>
        <v>1</v>
      </c>
    </row>
    <row r="814" spans="1:22" hidden="1">
      <c r="A814" s="2">
        <v>45906</v>
      </c>
      <c r="B814" s="1" t="s">
        <v>2006</v>
      </c>
      <c r="C814" s="1" t="s">
        <v>547</v>
      </c>
      <c r="D814" s="1" t="s">
        <v>63</v>
      </c>
      <c r="E814" s="1">
        <v>85004</v>
      </c>
      <c r="F814" s="1" t="s">
        <v>2007</v>
      </c>
      <c r="G814" s="1" t="s">
        <v>2005</v>
      </c>
      <c r="H814" s="4" t="s">
        <v>6308</v>
      </c>
      <c r="I814" s="5" t="s">
        <v>36</v>
      </c>
      <c r="J814" s="5" t="s">
        <v>37</v>
      </c>
      <c r="K814" s="5" t="s">
        <v>37</v>
      </c>
      <c r="L814" s="5" t="s">
        <v>38</v>
      </c>
      <c r="M814" s="5" t="s">
        <v>37</v>
      </c>
      <c r="N814" s="5" t="s">
        <v>37</v>
      </c>
      <c r="O814" s="5" t="s">
        <v>38</v>
      </c>
      <c r="P814" s="5" t="s">
        <v>39</v>
      </c>
      <c r="Q814" s="2">
        <v>45965</v>
      </c>
      <c r="V814" s="45">
        <f>IF(
  OR(
    ISNUMBER(SEARCH("unable to locate acct", tblDocketedComments[[#This Row],[Docketed Consumer Comments]])),
    ISNUMBER(SEARCH("unknown", tblDocketedComments[[#This Row],[Docketed Consumer Comments]])),
    ISNUMBER(SEARCH("inactive", tblDocketedComments[[#This Row],[Docketed Consumer Comments]]))
  ),
  0,
  1
)</f>
        <v>1</v>
      </c>
    </row>
    <row r="815" spans="1:22" hidden="1">
      <c r="A815" s="2">
        <v>45906</v>
      </c>
      <c r="B815" s="1" t="s">
        <v>2008</v>
      </c>
      <c r="C815" s="1" t="s">
        <v>1824</v>
      </c>
      <c r="D815" s="1" t="s">
        <v>63</v>
      </c>
      <c r="E815" s="1">
        <v>85022</v>
      </c>
      <c r="F815" s="1" t="s">
        <v>310</v>
      </c>
      <c r="G815" s="1" t="s">
        <v>2005</v>
      </c>
      <c r="H815" s="4" t="s">
        <v>6059</v>
      </c>
      <c r="I815" s="5" t="s">
        <v>196</v>
      </c>
      <c r="J815" s="5" t="s">
        <v>37</v>
      </c>
      <c r="K815" s="5" t="s">
        <v>37</v>
      </c>
      <c r="L815" s="5" t="s">
        <v>2009</v>
      </c>
      <c r="M815" s="5" t="s">
        <v>37</v>
      </c>
      <c r="N815" s="5" t="s">
        <v>37</v>
      </c>
      <c r="O815" s="5" t="s">
        <v>38</v>
      </c>
      <c r="P815" s="5" t="s">
        <v>39</v>
      </c>
      <c r="Q815" s="2">
        <v>45965</v>
      </c>
      <c r="V815" s="45">
        <f>IF(
  OR(
    ISNUMBER(SEARCH("unable to locate acct", tblDocketedComments[[#This Row],[Docketed Consumer Comments]])),
    ISNUMBER(SEARCH("unknown", tblDocketedComments[[#This Row],[Docketed Consumer Comments]])),
    ISNUMBER(SEARCH("inactive", tblDocketedComments[[#This Row],[Docketed Consumer Comments]]))
  ),
  0,
  1
)</f>
        <v>1</v>
      </c>
    </row>
    <row r="816" spans="1:22" hidden="1">
      <c r="A816" s="2">
        <v>45906</v>
      </c>
      <c r="B816" s="1" t="s">
        <v>2010</v>
      </c>
      <c r="C816" s="1" t="s">
        <v>500</v>
      </c>
      <c r="D816" s="1" t="s">
        <v>125</v>
      </c>
      <c r="E816" s="1">
        <v>85260</v>
      </c>
      <c r="F816" s="1" t="s">
        <v>310</v>
      </c>
      <c r="G816" s="1" t="s">
        <v>2005</v>
      </c>
      <c r="H816" s="4" t="s">
        <v>6309</v>
      </c>
      <c r="I816" s="5" t="s">
        <v>36</v>
      </c>
      <c r="J816" s="5" t="s">
        <v>37</v>
      </c>
      <c r="K816" s="5" t="s">
        <v>37</v>
      </c>
      <c r="L816" s="5" t="s">
        <v>38</v>
      </c>
      <c r="M816" s="5" t="s">
        <v>37</v>
      </c>
      <c r="N816" s="5" t="s">
        <v>37</v>
      </c>
      <c r="O816" s="5" t="s">
        <v>38</v>
      </c>
      <c r="P816" s="5" t="s">
        <v>39</v>
      </c>
      <c r="Q816" s="2">
        <v>45965</v>
      </c>
      <c r="V816" s="45">
        <f>IF(
  OR(
    ISNUMBER(SEARCH("unable to locate acct", tblDocketedComments[[#This Row],[Docketed Consumer Comments]])),
    ISNUMBER(SEARCH("unknown", tblDocketedComments[[#This Row],[Docketed Consumer Comments]])),
    ISNUMBER(SEARCH("inactive", tblDocketedComments[[#This Row],[Docketed Consumer Comments]]))
  ),
  0,
  1
)</f>
        <v>1</v>
      </c>
    </row>
    <row r="817" spans="1:22" hidden="1">
      <c r="A817" s="2">
        <v>45906</v>
      </c>
      <c r="B817" s="1" t="s">
        <v>2011</v>
      </c>
      <c r="C817" s="1" t="s">
        <v>1986</v>
      </c>
      <c r="D817" s="1" t="s">
        <v>63</v>
      </c>
      <c r="E817" s="1">
        <v>85016</v>
      </c>
      <c r="F817" s="1" t="s">
        <v>2012</v>
      </c>
      <c r="G817" s="1" t="s">
        <v>2005</v>
      </c>
      <c r="H817" s="4" t="s">
        <v>6310</v>
      </c>
      <c r="I817" s="5" t="s">
        <v>126</v>
      </c>
      <c r="J817" s="5" t="s">
        <v>37</v>
      </c>
      <c r="K817" s="5" t="s">
        <v>37</v>
      </c>
      <c r="L817" s="5" t="s">
        <v>38</v>
      </c>
      <c r="M817" s="5" t="s">
        <v>37</v>
      </c>
      <c r="N817" s="5" t="s">
        <v>37</v>
      </c>
      <c r="O817" s="5" t="s">
        <v>38</v>
      </c>
      <c r="P817" s="5" t="s">
        <v>39</v>
      </c>
      <c r="Q817" s="2">
        <v>45965</v>
      </c>
      <c r="V817" s="45">
        <f>IF(
  OR(
    ISNUMBER(SEARCH("unable to locate acct", tblDocketedComments[[#This Row],[Docketed Consumer Comments]])),
    ISNUMBER(SEARCH("unknown", tblDocketedComments[[#This Row],[Docketed Consumer Comments]])),
    ISNUMBER(SEARCH("inactive", tblDocketedComments[[#This Row],[Docketed Consumer Comments]]))
  ),
  0,
  1
)</f>
        <v>1</v>
      </c>
    </row>
    <row r="818" spans="1:22" hidden="1">
      <c r="A818" s="2">
        <v>45906</v>
      </c>
      <c r="B818" s="1" t="s">
        <v>2013</v>
      </c>
      <c r="C818" s="1" t="s">
        <v>2014</v>
      </c>
      <c r="D818" s="1" t="s">
        <v>853</v>
      </c>
      <c r="E818" s="1">
        <v>85086</v>
      </c>
      <c r="F818" s="1" t="s">
        <v>2015</v>
      </c>
      <c r="G818" s="1" t="s">
        <v>2005</v>
      </c>
      <c r="H818" s="4" t="s">
        <v>27</v>
      </c>
      <c r="V818" s="45">
        <f>IF(
  OR(
    ISNUMBER(SEARCH("unable to locate acct", tblDocketedComments[[#This Row],[Docketed Consumer Comments]])),
    ISNUMBER(SEARCH("unknown", tblDocketedComments[[#This Row],[Docketed Consumer Comments]])),
    ISNUMBER(SEARCH("inactive", tblDocketedComments[[#This Row],[Docketed Consumer Comments]]))
  ),
  0,
  1
)</f>
        <v>1</v>
      </c>
    </row>
    <row r="819" spans="1:22" hidden="1">
      <c r="A819" s="2">
        <v>45906</v>
      </c>
      <c r="B819" s="1" t="s">
        <v>2016</v>
      </c>
      <c r="C819" s="1" t="s">
        <v>2017</v>
      </c>
      <c r="D819" s="1" t="s">
        <v>63</v>
      </c>
      <c r="E819" s="1">
        <v>37204</v>
      </c>
      <c r="F819" s="1" t="s">
        <v>2018</v>
      </c>
      <c r="G819" s="1" t="s">
        <v>2005</v>
      </c>
      <c r="H819" s="4" t="s">
        <v>6311</v>
      </c>
      <c r="I819" s="5" t="s">
        <v>538</v>
      </c>
      <c r="J819" s="5" t="s">
        <v>37</v>
      </c>
      <c r="K819" s="5" t="s">
        <v>37</v>
      </c>
      <c r="L819" s="5" t="s">
        <v>387</v>
      </c>
      <c r="M819" s="5" t="s">
        <v>37</v>
      </c>
      <c r="N819" s="5" t="s">
        <v>37</v>
      </c>
      <c r="O819" s="5" t="s">
        <v>38</v>
      </c>
      <c r="P819" s="5" t="s">
        <v>39</v>
      </c>
      <c r="Q819" s="2">
        <v>45965</v>
      </c>
      <c r="U819" s="1" t="s">
        <v>721</v>
      </c>
      <c r="V819" s="45">
        <f>IF(
  OR(
    ISNUMBER(SEARCH("unable to locate acct", tblDocketedComments[[#This Row],[Docketed Consumer Comments]])),
    ISNUMBER(SEARCH("unknown", tblDocketedComments[[#This Row],[Docketed Consumer Comments]])),
    ISNUMBER(SEARCH("inactive", tblDocketedComments[[#This Row],[Docketed Consumer Comments]]))
  ),
  0,
  1
)</f>
        <v>1</v>
      </c>
    </row>
    <row r="820" spans="1:22" hidden="1">
      <c r="A820" s="2">
        <v>45906</v>
      </c>
      <c r="B820" s="1" t="s">
        <v>2019</v>
      </c>
      <c r="C820" s="1" t="s">
        <v>246</v>
      </c>
      <c r="D820" s="1" t="s">
        <v>264</v>
      </c>
      <c r="E820" s="1">
        <v>85541</v>
      </c>
      <c r="F820" s="1" t="s">
        <v>2020</v>
      </c>
      <c r="G820" s="1" t="s">
        <v>2005</v>
      </c>
      <c r="H820" s="4" t="s">
        <v>6312</v>
      </c>
      <c r="I820" s="5" t="s">
        <v>36</v>
      </c>
      <c r="J820" s="5" t="s">
        <v>37</v>
      </c>
      <c r="K820" s="5" t="s">
        <v>37</v>
      </c>
      <c r="L820" s="5" t="s">
        <v>38</v>
      </c>
      <c r="M820" s="5" t="s">
        <v>37</v>
      </c>
      <c r="N820" s="5" t="s">
        <v>37</v>
      </c>
      <c r="O820" s="5" t="s">
        <v>38</v>
      </c>
      <c r="P820" s="5" t="s">
        <v>39</v>
      </c>
      <c r="Q820" s="2">
        <v>45965</v>
      </c>
      <c r="V820" s="45">
        <f>IF(
  OR(
    ISNUMBER(SEARCH("unable to locate acct", tblDocketedComments[[#This Row],[Docketed Consumer Comments]])),
    ISNUMBER(SEARCH("unknown", tblDocketedComments[[#This Row],[Docketed Consumer Comments]])),
    ISNUMBER(SEARCH("inactive", tblDocketedComments[[#This Row],[Docketed Consumer Comments]]))
  ),
  0,
  1
)</f>
        <v>1</v>
      </c>
    </row>
    <row r="821" spans="1:22" hidden="1">
      <c r="A821" s="2">
        <v>45906</v>
      </c>
      <c r="B821" s="1" t="s">
        <v>2021</v>
      </c>
      <c r="C821" s="1" t="s">
        <v>694</v>
      </c>
      <c r="D821" s="1" t="s">
        <v>1514</v>
      </c>
      <c r="E821" s="1">
        <v>85373</v>
      </c>
      <c r="F821" s="1" t="s">
        <v>2022</v>
      </c>
      <c r="G821" s="1" t="s">
        <v>2005</v>
      </c>
      <c r="H821" s="4" t="s">
        <v>6313</v>
      </c>
      <c r="I821" s="5" t="s">
        <v>46</v>
      </c>
      <c r="J821" s="5" t="s">
        <v>37</v>
      </c>
      <c r="K821" s="5" t="s">
        <v>37</v>
      </c>
      <c r="L821" s="5" t="s">
        <v>38</v>
      </c>
      <c r="M821" s="5" t="s">
        <v>37</v>
      </c>
      <c r="N821" s="5" t="s">
        <v>37</v>
      </c>
      <c r="O821" s="5" t="s">
        <v>38</v>
      </c>
      <c r="P821" s="5" t="s">
        <v>39</v>
      </c>
      <c r="Q821" s="2">
        <v>45965</v>
      </c>
      <c r="V821" s="45">
        <f>IF(
  OR(
    ISNUMBER(SEARCH("unable to locate acct", tblDocketedComments[[#This Row],[Docketed Consumer Comments]])),
    ISNUMBER(SEARCH("unknown", tblDocketedComments[[#This Row],[Docketed Consumer Comments]])),
    ISNUMBER(SEARCH("inactive", tblDocketedComments[[#This Row],[Docketed Consumer Comments]]))
  ),
  0,
  1
)</f>
        <v>1</v>
      </c>
    </row>
    <row r="822" spans="1:22" hidden="1">
      <c r="A822" s="2">
        <v>45906</v>
      </c>
      <c r="B822" s="1" t="s">
        <v>2023</v>
      </c>
      <c r="C822" s="1" t="s">
        <v>2024</v>
      </c>
      <c r="D822" s="1" t="s">
        <v>63</v>
      </c>
      <c r="E822" s="1">
        <v>85023</v>
      </c>
      <c r="F822" s="1" t="s">
        <v>310</v>
      </c>
      <c r="G822" s="1" t="s">
        <v>2005</v>
      </c>
      <c r="H822" s="4" t="s">
        <v>27</v>
      </c>
      <c r="V822" s="45">
        <f>IF(
  OR(
    ISNUMBER(SEARCH("unable to locate acct", tblDocketedComments[[#This Row],[Docketed Consumer Comments]])),
    ISNUMBER(SEARCH("unknown", tblDocketedComments[[#This Row],[Docketed Consumer Comments]])),
    ISNUMBER(SEARCH("inactive", tblDocketedComments[[#This Row],[Docketed Consumer Comments]]))
  ),
  0,
  1
)</f>
        <v>1</v>
      </c>
    </row>
    <row r="823" spans="1:22" hidden="1">
      <c r="A823" s="2">
        <v>45906</v>
      </c>
      <c r="B823" s="1" t="s">
        <v>2025</v>
      </c>
      <c r="C823" s="1" t="s">
        <v>2026</v>
      </c>
      <c r="D823" s="1" t="s">
        <v>63</v>
      </c>
      <c r="E823" s="1">
        <v>85029</v>
      </c>
      <c r="F823" s="1" t="s">
        <v>305</v>
      </c>
      <c r="G823" s="1" t="s">
        <v>2005</v>
      </c>
      <c r="H823" s="4" t="s">
        <v>6314</v>
      </c>
      <c r="I823" s="5" t="s">
        <v>126</v>
      </c>
      <c r="J823" s="5" t="s">
        <v>37</v>
      </c>
      <c r="K823" s="5" t="s">
        <v>37</v>
      </c>
      <c r="L823" s="5" t="s">
        <v>38</v>
      </c>
      <c r="M823" s="5" t="s">
        <v>37</v>
      </c>
      <c r="N823" s="5" t="s">
        <v>37</v>
      </c>
      <c r="O823" s="5" t="s">
        <v>38</v>
      </c>
      <c r="P823" s="5" t="s">
        <v>39</v>
      </c>
      <c r="Q823" s="2">
        <v>45965</v>
      </c>
      <c r="V823" s="45">
        <f>IF(
  OR(
    ISNUMBER(SEARCH("unable to locate acct", tblDocketedComments[[#This Row],[Docketed Consumer Comments]])),
    ISNUMBER(SEARCH("unknown", tblDocketedComments[[#This Row],[Docketed Consumer Comments]])),
    ISNUMBER(SEARCH("inactive", tblDocketedComments[[#This Row],[Docketed Consumer Comments]]))
  ),
  0,
  1
)</f>
        <v>1</v>
      </c>
    </row>
    <row r="824" spans="1:22" hidden="1">
      <c r="A824" s="2">
        <v>45906</v>
      </c>
      <c r="B824" s="1" t="s">
        <v>2027</v>
      </c>
      <c r="C824" s="1" t="s">
        <v>2028</v>
      </c>
      <c r="D824" s="1" t="s">
        <v>125</v>
      </c>
      <c r="E824" s="1">
        <v>85260</v>
      </c>
      <c r="F824" s="1" t="s">
        <v>31</v>
      </c>
      <c r="G824" s="1" t="s">
        <v>2005</v>
      </c>
      <c r="H824" s="4" t="s">
        <v>6060</v>
      </c>
      <c r="I824" s="5" t="s">
        <v>196</v>
      </c>
      <c r="J824" s="5" t="s">
        <v>37</v>
      </c>
      <c r="K824" s="5" t="s">
        <v>37</v>
      </c>
      <c r="L824" s="7" t="s">
        <v>2029</v>
      </c>
      <c r="M824" s="5" t="s">
        <v>37</v>
      </c>
      <c r="N824" s="5" t="s">
        <v>37</v>
      </c>
      <c r="O824" s="5" t="s">
        <v>38</v>
      </c>
      <c r="P824" s="2">
        <v>45964</v>
      </c>
      <c r="Q824" s="2">
        <v>45965</v>
      </c>
      <c r="R824" s="1" t="s">
        <v>2030</v>
      </c>
      <c r="V824" s="45">
        <f>IF(
  OR(
    ISNUMBER(SEARCH("unable to locate acct", tblDocketedComments[[#This Row],[Docketed Consumer Comments]])),
    ISNUMBER(SEARCH("unknown", tblDocketedComments[[#This Row],[Docketed Consumer Comments]])),
    ISNUMBER(SEARCH("inactive", tblDocketedComments[[#This Row],[Docketed Consumer Comments]]))
  ),
  0,
  1
)</f>
        <v>1</v>
      </c>
    </row>
    <row r="825" spans="1:22" hidden="1">
      <c r="A825" s="2">
        <v>45906</v>
      </c>
      <c r="B825" s="1" t="s">
        <v>2031</v>
      </c>
      <c r="C825" s="1" t="s">
        <v>2032</v>
      </c>
      <c r="D825" s="1" t="s">
        <v>169</v>
      </c>
      <c r="E825" s="1">
        <v>85338</v>
      </c>
      <c r="F825" s="1" t="s">
        <v>310</v>
      </c>
      <c r="G825" s="1" t="s">
        <v>2005</v>
      </c>
      <c r="H825" s="4" t="s">
        <v>27</v>
      </c>
      <c r="V825" s="45">
        <f>IF(
  OR(
    ISNUMBER(SEARCH("unable to locate acct", tblDocketedComments[[#This Row],[Docketed Consumer Comments]])),
    ISNUMBER(SEARCH("unknown", tblDocketedComments[[#This Row],[Docketed Consumer Comments]])),
    ISNUMBER(SEARCH("inactive", tblDocketedComments[[#This Row],[Docketed Consumer Comments]]))
  ),
  0,
  1
)</f>
        <v>1</v>
      </c>
    </row>
    <row r="826" spans="1:22" hidden="1">
      <c r="A826" s="2">
        <v>45906</v>
      </c>
      <c r="B826" s="1" t="s">
        <v>2033</v>
      </c>
      <c r="C826" s="1" t="s">
        <v>333</v>
      </c>
      <c r="D826" s="1" t="s">
        <v>63</v>
      </c>
      <c r="E826" s="1">
        <v>85012</v>
      </c>
      <c r="F826" s="1" t="s">
        <v>310</v>
      </c>
      <c r="G826" s="1" t="s">
        <v>2005</v>
      </c>
      <c r="H826" s="4" t="s">
        <v>6315</v>
      </c>
      <c r="I826" s="5" t="s">
        <v>73</v>
      </c>
      <c r="J826" s="5" t="s">
        <v>37</v>
      </c>
      <c r="K826" s="5" t="s">
        <v>37</v>
      </c>
      <c r="L826" s="5" t="s">
        <v>38</v>
      </c>
      <c r="M826" s="5" t="s">
        <v>37</v>
      </c>
      <c r="N826" s="5" t="s">
        <v>37</v>
      </c>
      <c r="O826" s="5" t="s">
        <v>38</v>
      </c>
      <c r="P826" s="5" t="s">
        <v>39</v>
      </c>
      <c r="Q826" s="2">
        <v>45965</v>
      </c>
      <c r="V826" s="45">
        <f>IF(
  OR(
    ISNUMBER(SEARCH("unable to locate acct", tblDocketedComments[[#This Row],[Docketed Consumer Comments]])),
    ISNUMBER(SEARCH("unknown", tblDocketedComments[[#This Row],[Docketed Consumer Comments]])),
    ISNUMBER(SEARCH("inactive", tblDocketedComments[[#This Row],[Docketed Consumer Comments]]))
  ),
  0,
  1
)</f>
        <v>1</v>
      </c>
    </row>
    <row r="827" spans="1:22" hidden="1">
      <c r="A827" s="2">
        <v>45906</v>
      </c>
      <c r="B827" s="1" t="s">
        <v>2034</v>
      </c>
      <c r="C827" s="1" t="s">
        <v>2035</v>
      </c>
      <c r="D827" s="1" t="s">
        <v>125</v>
      </c>
      <c r="E827" s="1">
        <v>85251</v>
      </c>
      <c r="F827" s="1" t="s">
        <v>2036</v>
      </c>
      <c r="G827" s="26" t="s">
        <v>2005</v>
      </c>
      <c r="H827" s="4" t="s">
        <v>6316</v>
      </c>
      <c r="I827" s="5" t="s">
        <v>36</v>
      </c>
      <c r="J827" s="5" t="s">
        <v>37</v>
      </c>
      <c r="K827" s="5" t="s">
        <v>37</v>
      </c>
      <c r="L827" s="5" t="s">
        <v>38</v>
      </c>
      <c r="M827" s="5" t="s">
        <v>37</v>
      </c>
      <c r="N827" s="5" t="s">
        <v>37</v>
      </c>
      <c r="O827" s="5" t="s">
        <v>38</v>
      </c>
      <c r="P827" s="5" t="s">
        <v>39</v>
      </c>
      <c r="Q827" s="2">
        <v>45965</v>
      </c>
      <c r="V827" s="45">
        <f>IF(
  OR(
    ISNUMBER(SEARCH("unable to locate acct", tblDocketedComments[[#This Row],[Docketed Consumer Comments]])),
    ISNUMBER(SEARCH("unknown", tblDocketedComments[[#This Row],[Docketed Consumer Comments]])),
    ISNUMBER(SEARCH("inactive", tblDocketedComments[[#This Row],[Docketed Consumer Comments]]))
  ),
  0,
  1
)</f>
        <v>1</v>
      </c>
    </row>
    <row r="828" spans="1:22" hidden="1">
      <c r="A828" s="2">
        <v>45906</v>
      </c>
      <c r="B828" s="1" t="s">
        <v>1076</v>
      </c>
      <c r="C828" s="1" t="s">
        <v>462</v>
      </c>
      <c r="D828" s="1" t="s">
        <v>63</v>
      </c>
      <c r="E828" s="1">
        <v>85022</v>
      </c>
      <c r="F828" s="1" t="s">
        <v>2037</v>
      </c>
      <c r="G828" s="1" t="s">
        <v>2005</v>
      </c>
      <c r="H828" s="4" t="s">
        <v>27</v>
      </c>
      <c r="V828" s="45">
        <f>IF(
  OR(
    ISNUMBER(SEARCH("unable to locate acct", tblDocketedComments[[#This Row],[Docketed Consumer Comments]])),
    ISNUMBER(SEARCH("unknown", tblDocketedComments[[#This Row],[Docketed Consumer Comments]])),
    ISNUMBER(SEARCH("inactive", tblDocketedComments[[#This Row],[Docketed Consumer Comments]]))
  ),
  0,
  1
)</f>
        <v>1</v>
      </c>
    </row>
    <row r="829" spans="1:22" hidden="1">
      <c r="A829" s="2">
        <v>45906</v>
      </c>
      <c r="B829" s="1" t="s">
        <v>2038</v>
      </c>
      <c r="C829" s="1" t="s">
        <v>354</v>
      </c>
      <c r="D829" s="1" t="s">
        <v>24</v>
      </c>
      <c r="E829" s="1">
        <v>85310</v>
      </c>
      <c r="F829" s="1" t="s">
        <v>2039</v>
      </c>
      <c r="G829" s="1" t="s">
        <v>2005</v>
      </c>
      <c r="H829" s="4" t="s">
        <v>6317</v>
      </c>
      <c r="I829" s="5" t="s">
        <v>126</v>
      </c>
      <c r="J829" s="5" t="s">
        <v>37</v>
      </c>
      <c r="K829" s="5" t="s">
        <v>37</v>
      </c>
      <c r="L829" s="5" t="s">
        <v>38</v>
      </c>
      <c r="M829" s="5" t="s">
        <v>37</v>
      </c>
      <c r="N829" s="5" t="s">
        <v>37</v>
      </c>
      <c r="O829" s="5" t="s">
        <v>38</v>
      </c>
      <c r="P829" s="5" t="s">
        <v>39</v>
      </c>
      <c r="Q829" s="2">
        <v>45965</v>
      </c>
      <c r="V829" s="45">
        <f>IF(
  OR(
    ISNUMBER(SEARCH("unable to locate acct", tblDocketedComments[[#This Row],[Docketed Consumer Comments]])),
    ISNUMBER(SEARCH("unknown", tblDocketedComments[[#This Row],[Docketed Consumer Comments]])),
    ISNUMBER(SEARCH("inactive", tblDocketedComments[[#This Row],[Docketed Consumer Comments]]))
  ),
  0,
  1
)</f>
        <v>1</v>
      </c>
    </row>
    <row r="830" spans="1:22" hidden="1">
      <c r="A830" s="2">
        <v>45906</v>
      </c>
      <c r="B830" s="1" t="s">
        <v>2040</v>
      </c>
      <c r="C830" s="1" t="s">
        <v>2041</v>
      </c>
      <c r="D830" s="1" t="s">
        <v>63</v>
      </c>
      <c r="E830" s="1">
        <v>85027</v>
      </c>
      <c r="F830" s="1" t="s">
        <v>310</v>
      </c>
      <c r="G830" s="1" t="s">
        <v>2005</v>
      </c>
      <c r="H830" s="4" t="s">
        <v>27</v>
      </c>
      <c r="V830" s="45">
        <f>IF(
  OR(
    ISNUMBER(SEARCH("unable to locate acct", tblDocketedComments[[#This Row],[Docketed Consumer Comments]])),
    ISNUMBER(SEARCH("unknown", tblDocketedComments[[#This Row],[Docketed Consumer Comments]])),
    ISNUMBER(SEARCH("inactive", tblDocketedComments[[#This Row],[Docketed Consumer Comments]]))
  ),
  0,
  1
)</f>
        <v>1</v>
      </c>
    </row>
    <row r="831" spans="1:22" hidden="1">
      <c r="A831" s="2">
        <v>45906</v>
      </c>
      <c r="B831" s="1" t="s">
        <v>2042</v>
      </c>
      <c r="C831" s="1" t="s">
        <v>425</v>
      </c>
      <c r="D831" s="1" t="s">
        <v>24</v>
      </c>
      <c r="E831" s="1">
        <v>85308</v>
      </c>
      <c r="F831" s="1" t="s">
        <v>2043</v>
      </c>
      <c r="G831" s="1" t="s">
        <v>2005</v>
      </c>
      <c r="H831" s="4" t="s">
        <v>6318</v>
      </c>
      <c r="I831" s="5" t="s">
        <v>36</v>
      </c>
      <c r="J831" s="5" t="s">
        <v>37</v>
      </c>
      <c r="K831" s="5" t="s">
        <v>37</v>
      </c>
      <c r="L831" s="5" t="s">
        <v>38</v>
      </c>
      <c r="M831" s="5" t="s">
        <v>37</v>
      </c>
      <c r="N831" s="5" t="s">
        <v>37</v>
      </c>
      <c r="O831" s="5" t="s">
        <v>38</v>
      </c>
      <c r="P831" s="5" t="s">
        <v>39</v>
      </c>
      <c r="Q831" s="2">
        <v>45965</v>
      </c>
      <c r="V831" s="45">
        <f>IF(
  OR(
    ISNUMBER(SEARCH("unable to locate acct", tblDocketedComments[[#This Row],[Docketed Consumer Comments]])),
    ISNUMBER(SEARCH("unknown", tblDocketedComments[[#This Row],[Docketed Consumer Comments]])),
    ISNUMBER(SEARCH("inactive", tblDocketedComments[[#This Row],[Docketed Consumer Comments]]))
  ),
  0,
  1
)</f>
        <v>1</v>
      </c>
    </row>
    <row r="832" spans="1:22" hidden="1">
      <c r="A832" s="2">
        <v>45906</v>
      </c>
      <c r="B832" s="1" t="s">
        <v>2044</v>
      </c>
      <c r="C832" s="1" t="s">
        <v>714</v>
      </c>
      <c r="D832" s="1" t="s">
        <v>30</v>
      </c>
      <c r="E832" s="1" t="s">
        <v>30</v>
      </c>
      <c r="F832" s="1" t="s">
        <v>2045</v>
      </c>
      <c r="G832" s="1" t="s">
        <v>2005</v>
      </c>
      <c r="H832" s="4" t="s">
        <v>2467</v>
      </c>
      <c r="I832" s="5" t="s">
        <v>126</v>
      </c>
      <c r="J832" s="5" t="s">
        <v>37</v>
      </c>
      <c r="K832" s="5" t="s">
        <v>37</v>
      </c>
      <c r="L832" s="5" t="s">
        <v>2046</v>
      </c>
      <c r="M832" s="5" t="s">
        <v>37</v>
      </c>
      <c r="N832" s="5" t="s">
        <v>37</v>
      </c>
      <c r="O832" s="5" t="s">
        <v>38</v>
      </c>
      <c r="P832" s="5" t="s">
        <v>39</v>
      </c>
      <c r="Q832" s="2">
        <v>45965</v>
      </c>
      <c r="V832" s="45">
        <f>IF(
  OR(
    ISNUMBER(SEARCH("unable to locate acct", tblDocketedComments[[#This Row],[Docketed Consumer Comments]])),
    ISNUMBER(SEARCH("unknown", tblDocketedComments[[#This Row],[Docketed Consumer Comments]])),
    ISNUMBER(SEARCH("inactive", tblDocketedComments[[#This Row],[Docketed Consumer Comments]]))
  ),
  0,
  1
)</f>
        <v>1</v>
      </c>
    </row>
    <row r="833" spans="1:22" hidden="1">
      <c r="A833" s="2">
        <v>45906</v>
      </c>
      <c r="B833" s="1" t="s">
        <v>2047</v>
      </c>
      <c r="C833" s="1" t="s">
        <v>608</v>
      </c>
      <c r="D833" s="1" t="s">
        <v>129</v>
      </c>
      <c r="E833" s="1">
        <v>85233</v>
      </c>
      <c r="F833" s="1" t="s">
        <v>310</v>
      </c>
      <c r="G833" s="1" t="s">
        <v>2005</v>
      </c>
      <c r="H833" s="4" t="s">
        <v>6319</v>
      </c>
      <c r="I833" s="5" t="s">
        <v>243</v>
      </c>
      <c r="J833" s="5" t="s">
        <v>37</v>
      </c>
      <c r="K833" s="5" t="s">
        <v>37</v>
      </c>
      <c r="L833" s="5" t="s">
        <v>387</v>
      </c>
      <c r="M833" s="5" t="s">
        <v>37</v>
      </c>
      <c r="N833" s="5" t="s">
        <v>37</v>
      </c>
      <c r="O833" s="5" t="s">
        <v>38</v>
      </c>
      <c r="P833" s="5" t="s">
        <v>39</v>
      </c>
      <c r="Q833" s="2">
        <v>45965</v>
      </c>
      <c r="V833" s="45">
        <f>IF(
  OR(
    ISNUMBER(SEARCH("unable to locate acct", tblDocketedComments[[#This Row],[Docketed Consumer Comments]])),
    ISNUMBER(SEARCH("unknown", tblDocketedComments[[#This Row],[Docketed Consumer Comments]])),
    ISNUMBER(SEARCH("inactive", tblDocketedComments[[#This Row],[Docketed Consumer Comments]]))
  ),
  0,
  1
)</f>
        <v>1</v>
      </c>
    </row>
    <row r="834" spans="1:22" hidden="1">
      <c r="A834" s="2">
        <v>45906</v>
      </c>
      <c r="B834" s="1" t="s">
        <v>49</v>
      </c>
      <c r="C834" s="1" t="s">
        <v>2048</v>
      </c>
      <c r="D834" s="1" t="s">
        <v>24</v>
      </c>
      <c r="E834" s="1">
        <v>85306</v>
      </c>
      <c r="F834" s="1" t="s">
        <v>310</v>
      </c>
      <c r="G834" s="1" t="s">
        <v>2005</v>
      </c>
      <c r="H834" s="21" t="s">
        <v>6720</v>
      </c>
      <c r="I834" s="5" t="s">
        <v>36</v>
      </c>
      <c r="J834" s="5" t="s">
        <v>37</v>
      </c>
      <c r="K834" s="5" t="s">
        <v>37</v>
      </c>
      <c r="L834" s="5" t="s">
        <v>38</v>
      </c>
      <c r="M834" s="5" t="s">
        <v>37</v>
      </c>
      <c r="N834" s="5" t="s">
        <v>37</v>
      </c>
      <c r="O834" s="5" t="s">
        <v>38</v>
      </c>
      <c r="P834" s="5" t="s">
        <v>39</v>
      </c>
      <c r="Q834" s="2">
        <v>45965</v>
      </c>
      <c r="V834" s="45">
        <f>IF(
  OR(
    ISNUMBER(SEARCH("unable to locate acct", tblDocketedComments[[#This Row],[Docketed Consumer Comments]])),
    ISNUMBER(SEARCH("unknown", tblDocketedComments[[#This Row],[Docketed Consumer Comments]])),
    ISNUMBER(SEARCH("inactive", tblDocketedComments[[#This Row],[Docketed Consumer Comments]]))
  ),
  0,
  1
)</f>
        <v>1</v>
      </c>
    </row>
    <row r="835" spans="1:22" hidden="1">
      <c r="A835" s="2">
        <v>45906</v>
      </c>
      <c r="B835" s="1" t="s">
        <v>1867</v>
      </c>
      <c r="C835" s="1" t="s">
        <v>1810</v>
      </c>
      <c r="D835" s="1" t="s">
        <v>63</v>
      </c>
      <c r="E835" s="1">
        <v>85028</v>
      </c>
      <c r="F835" s="1" t="s">
        <v>310</v>
      </c>
      <c r="G835" s="1" t="s">
        <v>2005</v>
      </c>
      <c r="H835" s="21" t="s">
        <v>6721</v>
      </c>
      <c r="I835" s="5" t="s">
        <v>538</v>
      </c>
      <c r="J835" s="5" t="s">
        <v>37</v>
      </c>
      <c r="K835" s="5" t="s">
        <v>37</v>
      </c>
      <c r="L835" s="5" t="s">
        <v>387</v>
      </c>
      <c r="M835" s="5" t="s">
        <v>37</v>
      </c>
      <c r="N835" s="5" t="s">
        <v>37</v>
      </c>
      <c r="O835" s="5" t="s">
        <v>38</v>
      </c>
      <c r="P835" s="5" t="s">
        <v>39</v>
      </c>
      <c r="Q835" s="2">
        <v>45965</v>
      </c>
      <c r="V835" s="45">
        <f>IF(
  OR(
    ISNUMBER(SEARCH("unable to locate acct", tblDocketedComments[[#This Row],[Docketed Consumer Comments]])),
    ISNUMBER(SEARCH("unknown", tblDocketedComments[[#This Row],[Docketed Consumer Comments]])),
    ISNUMBER(SEARCH("inactive", tblDocketedComments[[#This Row],[Docketed Consumer Comments]]))
  ),
  0,
  1
)</f>
        <v>1</v>
      </c>
    </row>
    <row r="836" spans="1:22" hidden="1">
      <c r="A836" s="2">
        <v>45906</v>
      </c>
      <c r="B836" s="1" t="s">
        <v>2049</v>
      </c>
      <c r="C836" s="1" t="s">
        <v>2050</v>
      </c>
      <c r="D836" s="1" t="s">
        <v>63</v>
      </c>
      <c r="E836" s="1">
        <v>85085</v>
      </c>
      <c r="F836" s="1" t="s">
        <v>310</v>
      </c>
      <c r="G836" s="1" t="s">
        <v>2005</v>
      </c>
      <c r="H836" s="4" t="s">
        <v>6320</v>
      </c>
      <c r="I836" s="5" t="s">
        <v>73</v>
      </c>
      <c r="J836" s="5" t="s">
        <v>37</v>
      </c>
      <c r="K836" s="5" t="s">
        <v>37</v>
      </c>
      <c r="L836" s="5" t="s">
        <v>38</v>
      </c>
      <c r="M836" s="5" t="s">
        <v>37</v>
      </c>
      <c r="N836" s="5" t="s">
        <v>37</v>
      </c>
      <c r="O836" s="5" t="s">
        <v>38</v>
      </c>
      <c r="P836" s="5" t="s">
        <v>39</v>
      </c>
      <c r="Q836" s="2">
        <v>45965</v>
      </c>
      <c r="V836" s="45">
        <f>IF(
  OR(
    ISNUMBER(SEARCH("unable to locate acct", tblDocketedComments[[#This Row],[Docketed Consumer Comments]])),
    ISNUMBER(SEARCH("unknown", tblDocketedComments[[#This Row],[Docketed Consumer Comments]])),
    ISNUMBER(SEARCH("inactive", tblDocketedComments[[#This Row],[Docketed Consumer Comments]]))
  ),
  0,
  1
)</f>
        <v>1</v>
      </c>
    </row>
    <row r="837" spans="1:22" hidden="1">
      <c r="A837" s="2">
        <v>45906</v>
      </c>
      <c r="B837" s="1" t="s">
        <v>2051</v>
      </c>
      <c r="C837" s="1" t="s">
        <v>849</v>
      </c>
      <c r="D837" s="1" t="s">
        <v>2052</v>
      </c>
      <c r="E837" s="1">
        <v>85132</v>
      </c>
      <c r="F837" s="1" t="s">
        <v>2053</v>
      </c>
      <c r="G837" s="1" t="s">
        <v>2005</v>
      </c>
      <c r="H837" s="4" t="s">
        <v>6321</v>
      </c>
      <c r="I837" s="5" t="s">
        <v>46</v>
      </c>
      <c r="J837" s="5" t="s">
        <v>37</v>
      </c>
      <c r="K837" s="5" t="s">
        <v>37</v>
      </c>
      <c r="L837" s="5" t="s">
        <v>38</v>
      </c>
      <c r="M837" s="5" t="s">
        <v>37</v>
      </c>
      <c r="N837" s="5" t="s">
        <v>37</v>
      </c>
      <c r="O837" s="5" t="s">
        <v>38</v>
      </c>
      <c r="P837" s="5" t="s">
        <v>39</v>
      </c>
      <c r="Q837" s="2">
        <v>45965</v>
      </c>
      <c r="V837" s="45">
        <f>IF(
  OR(
    ISNUMBER(SEARCH("unable to locate acct", tblDocketedComments[[#This Row],[Docketed Consumer Comments]])),
    ISNUMBER(SEARCH("unknown", tblDocketedComments[[#This Row],[Docketed Consumer Comments]])),
    ISNUMBER(SEARCH("inactive", tblDocketedComments[[#This Row],[Docketed Consumer Comments]]))
  ),
  0,
  1
)</f>
        <v>1</v>
      </c>
    </row>
    <row r="838" spans="1:22" hidden="1">
      <c r="A838" s="2">
        <v>45906</v>
      </c>
      <c r="B838" s="1" t="s">
        <v>2054</v>
      </c>
      <c r="C838" s="1" t="s">
        <v>478</v>
      </c>
      <c r="D838" s="1" t="s">
        <v>24</v>
      </c>
      <c r="E838" s="1">
        <v>85308</v>
      </c>
      <c r="F838" s="1" t="s">
        <v>31</v>
      </c>
      <c r="G838" s="1" t="s">
        <v>2005</v>
      </c>
      <c r="H838" s="4" t="s">
        <v>6322</v>
      </c>
      <c r="I838" s="5" t="s">
        <v>36</v>
      </c>
      <c r="J838" s="5" t="s">
        <v>37</v>
      </c>
      <c r="K838" s="5" t="s">
        <v>37</v>
      </c>
      <c r="L838" s="5" t="s">
        <v>38</v>
      </c>
      <c r="M838" s="5" t="s">
        <v>37</v>
      </c>
      <c r="N838" s="5" t="s">
        <v>37</v>
      </c>
      <c r="O838" s="5" t="s">
        <v>38</v>
      </c>
      <c r="P838" s="5" t="s">
        <v>39</v>
      </c>
      <c r="Q838" s="2">
        <v>45965</v>
      </c>
      <c r="V838" s="45">
        <f>IF(
  OR(
    ISNUMBER(SEARCH("unable to locate acct", tblDocketedComments[[#This Row],[Docketed Consumer Comments]])),
    ISNUMBER(SEARCH("unknown", tblDocketedComments[[#This Row],[Docketed Consumer Comments]])),
    ISNUMBER(SEARCH("inactive", tblDocketedComments[[#This Row],[Docketed Consumer Comments]]))
  ),
  0,
  1
)</f>
        <v>1</v>
      </c>
    </row>
    <row r="839" spans="1:22" hidden="1">
      <c r="A839" s="2">
        <v>45906</v>
      </c>
      <c r="B839" s="1" t="s">
        <v>2055</v>
      </c>
      <c r="C839" s="1" t="s">
        <v>256</v>
      </c>
      <c r="D839" s="1" t="s">
        <v>112</v>
      </c>
      <c r="E839" s="1">
        <v>85379</v>
      </c>
      <c r="F839" s="1" t="s">
        <v>31</v>
      </c>
      <c r="G839" s="1" t="s">
        <v>2005</v>
      </c>
      <c r="H839" s="4" t="s">
        <v>6323</v>
      </c>
      <c r="I839" s="5" t="s">
        <v>46</v>
      </c>
      <c r="J839" s="5" t="s">
        <v>37</v>
      </c>
      <c r="K839" s="5" t="s">
        <v>37</v>
      </c>
      <c r="L839" s="5" t="s">
        <v>38</v>
      </c>
      <c r="M839" s="5" t="s">
        <v>37</v>
      </c>
      <c r="N839" s="5" t="s">
        <v>37</v>
      </c>
      <c r="O839" s="5" t="s">
        <v>38</v>
      </c>
      <c r="P839" s="5" t="s">
        <v>39</v>
      </c>
      <c r="Q839" s="2">
        <v>45965</v>
      </c>
      <c r="V839" s="45">
        <f>IF(
  OR(
    ISNUMBER(SEARCH("unable to locate acct", tblDocketedComments[[#This Row],[Docketed Consumer Comments]])),
    ISNUMBER(SEARCH("unknown", tblDocketedComments[[#This Row],[Docketed Consumer Comments]])),
    ISNUMBER(SEARCH("inactive", tblDocketedComments[[#This Row],[Docketed Consumer Comments]]))
  ),
  0,
  1
)</f>
        <v>1</v>
      </c>
    </row>
    <row r="840" spans="1:22" hidden="1">
      <c r="A840" s="2">
        <v>45906</v>
      </c>
      <c r="B840" s="1" t="s">
        <v>2056</v>
      </c>
      <c r="C840" s="1" t="s">
        <v>225</v>
      </c>
      <c r="D840" s="1" t="s">
        <v>125</v>
      </c>
      <c r="E840" s="1">
        <v>85260</v>
      </c>
      <c r="F840" s="1" t="s">
        <v>2057</v>
      </c>
      <c r="G840" s="1" t="s">
        <v>2005</v>
      </c>
      <c r="H840" s="4" t="s">
        <v>6061</v>
      </c>
      <c r="I840" s="5" t="s">
        <v>36</v>
      </c>
      <c r="J840" s="5" t="s">
        <v>37</v>
      </c>
      <c r="K840" s="5" t="s">
        <v>37</v>
      </c>
      <c r="L840" s="7" t="s">
        <v>2058</v>
      </c>
      <c r="M840" s="5" t="s">
        <v>37</v>
      </c>
      <c r="N840" s="5" t="s">
        <v>37</v>
      </c>
      <c r="O840" s="5" t="s">
        <v>38</v>
      </c>
      <c r="P840" s="2">
        <v>45945</v>
      </c>
      <c r="Q840" s="2">
        <v>45965</v>
      </c>
      <c r="R840" s="1" t="s">
        <v>2059</v>
      </c>
      <c r="V840" s="45">
        <f>IF(
  OR(
    ISNUMBER(SEARCH("unable to locate acct", tblDocketedComments[[#This Row],[Docketed Consumer Comments]])),
    ISNUMBER(SEARCH("unknown", tblDocketedComments[[#This Row],[Docketed Consumer Comments]])),
    ISNUMBER(SEARCH("inactive", tblDocketedComments[[#This Row],[Docketed Consumer Comments]]))
  ),
  0,
  1
)</f>
        <v>1</v>
      </c>
    </row>
    <row r="841" spans="1:22" hidden="1">
      <c r="A841" s="2">
        <v>45906</v>
      </c>
      <c r="B841" s="1" t="s">
        <v>2060</v>
      </c>
      <c r="C841" s="1" t="s">
        <v>71</v>
      </c>
      <c r="D841" s="1" t="s">
        <v>63</v>
      </c>
      <c r="E841" s="1">
        <v>85006</v>
      </c>
      <c r="F841" s="1" t="s">
        <v>310</v>
      </c>
      <c r="G841" s="1" t="s">
        <v>2005</v>
      </c>
      <c r="H841" s="4" t="s">
        <v>6324</v>
      </c>
      <c r="I841" s="5" t="s">
        <v>73</v>
      </c>
      <c r="J841" s="5" t="s">
        <v>37</v>
      </c>
      <c r="K841" s="5" t="s">
        <v>37</v>
      </c>
      <c r="L841" s="5" t="s">
        <v>38</v>
      </c>
      <c r="M841" s="5" t="s">
        <v>37</v>
      </c>
      <c r="N841" s="5" t="s">
        <v>37</v>
      </c>
      <c r="O841" s="5" t="s">
        <v>38</v>
      </c>
      <c r="P841" s="5" t="s">
        <v>39</v>
      </c>
      <c r="Q841" s="2">
        <v>45965</v>
      </c>
      <c r="V841" s="45">
        <f>IF(
  OR(
    ISNUMBER(SEARCH("unable to locate acct", tblDocketedComments[[#This Row],[Docketed Consumer Comments]])),
    ISNUMBER(SEARCH("unknown", tblDocketedComments[[#This Row],[Docketed Consumer Comments]])),
    ISNUMBER(SEARCH("inactive", tblDocketedComments[[#This Row],[Docketed Consumer Comments]]))
  ),
  0,
  1
)</f>
        <v>1</v>
      </c>
    </row>
    <row r="842" spans="1:22" hidden="1">
      <c r="A842" s="2">
        <v>45906</v>
      </c>
      <c r="B842" s="1" t="s">
        <v>2061</v>
      </c>
      <c r="C842" s="1" t="s">
        <v>2062</v>
      </c>
      <c r="D842" s="1" t="s">
        <v>202</v>
      </c>
      <c r="E842" s="1">
        <v>85383</v>
      </c>
      <c r="F842" s="1" t="s">
        <v>310</v>
      </c>
      <c r="G842" s="1" t="s">
        <v>2005</v>
      </c>
      <c r="H842" s="4" t="s">
        <v>6062</v>
      </c>
      <c r="I842" s="5" t="s">
        <v>46</v>
      </c>
      <c r="J842" s="5" t="s">
        <v>37</v>
      </c>
      <c r="K842" s="5" t="s">
        <v>37</v>
      </c>
      <c r="L842" s="7" t="s">
        <v>2063</v>
      </c>
      <c r="M842" s="5" t="s">
        <v>37</v>
      </c>
      <c r="N842" s="5" t="s">
        <v>37</v>
      </c>
      <c r="O842" s="5" t="s">
        <v>38</v>
      </c>
      <c r="P842" s="2">
        <v>45939</v>
      </c>
      <c r="Q842" s="2">
        <v>45965</v>
      </c>
      <c r="R842" s="1" t="s">
        <v>481</v>
      </c>
      <c r="V842" s="45">
        <f>IF(
  OR(
    ISNUMBER(SEARCH("unable to locate acct", tblDocketedComments[[#This Row],[Docketed Consumer Comments]])),
    ISNUMBER(SEARCH("unknown", tblDocketedComments[[#This Row],[Docketed Consumer Comments]])),
    ISNUMBER(SEARCH("inactive", tblDocketedComments[[#This Row],[Docketed Consumer Comments]]))
  ),
  0,
  1
)</f>
        <v>1</v>
      </c>
    </row>
    <row r="843" spans="1:22" hidden="1">
      <c r="A843" s="2">
        <v>45906</v>
      </c>
      <c r="B843" s="1" t="s">
        <v>2064</v>
      </c>
      <c r="C843" s="1" t="s">
        <v>334</v>
      </c>
      <c r="D843" s="1" t="s">
        <v>63</v>
      </c>
      <c r="E843" s="1">
        <v>85027</v>
      </c>
      <c r="F843" s="1" t="s">
        <v>310</v>
      </c>
      <c r="G843" s="1" t="s">
        <v>2005</v>
      </c>
      <c r="H843" s="4" t="s">
        <v>6325</v>
      </c>
      <c r="I843" s="5" t="s">
        <v>250</v>
      </c>
      <c r="J843" s="5" t="s">
        <v>37</v>
      </c>
      <c r="K843" s="5" t="s">
        <v>37</v>
      </c>
      <c r="L843" s="5" t="s">
        <v>38</v>
      </c>
      <c r="M843" s="5" t="s">
        <v>37</v>
      </c>
      <c r="N843" s="5" t="s">
        <v>37</v>
      </c>
      <c r="O843" s="5" t="s">
        <v>38</v>
      </c>
      <c r="P843" s="5" t="s">
        <v>39</v>
      </c>
      <c r="Q843" s="2">
        <v>45965</v>
      </c>
      <c r="V843" s="45">
        <f>IF(
  OR(
    ISNUMBER(SEARCH("unable to locate acct", tblDocketedComments[[#This Row],[Docketed Consumer Comments]])),
    ISNUMBER(SEARCH("unknown", tblDocketedComments[[#This Row],[Docketed Consumer Comments]])),
    ISNUMBER(SEARCH("inactive", tblDocketedComments[[#This Row],[Docketed Consumer Comments]]))
  ),
  0,
  1
)</f>
        <v>1</v>
      </c>
    </row>
    <row r="844" spans="1:22" hidden="1">
      <c r="A844" s="2">
        <v>45906</v>
      </c>
      <c r="B844" s="1" t="s">
        <v>2065</v>
      </c>
      <c r="C844" s="1" t="s">
        <v>2066</v>
      </c>
      <c r="D844" s="1" t="s">
        <v>112</v>
      </c>
      <c r="E844" s="1">
        <v>85338</v>
      </c>
      <c r="F844" s="1" t="s">
        <v>310</v>
      </c>
      <c r="G844" s="1" t="s">
        <v>2005</v>
      </c>
      <c r="H844" s="4" t="s">
        <v>6326</v>
      </c>
      <c r="I844" s="5" t="s">
        <v>36</v>
      </c>
      <c r="J844" s="5" t="s">
        <v>37</v>
      </c>
      <c r="K844" s="5" t="s">
        <v>37</v>
      </c>
      <c r="L844" s="5" t="s">
        <v>38</v>
      </c>
      <c r="M844" s="5" t="s">
        <v>37</v>
      </c>
      <c r="N844" s="5" t="s">
        <v>37</v>
      </c>
      <c r="O844" s="5" t="s">
        <v>38</v>
      </c>
      <c r="P844" s="5" t="s">
        <v>39</v>
      </c>
      <c r="Q844" s="2">
        <v>45964</v>
      </c>
      <c r="V844" s="45">
        <f>IF(
  OR(
    ISNUMBER(SEARCH("unable to locate acct", tblDocketedComments[[#This Row],[Docketed Consumer Comments]])),
    ISNUMBER(SEARCH("unknown", tblDocketedComments[[#This Row],[Docketed Consumer Comments]])),
    ISNUMBER(SEARCH("inactive", tblDocketedComments[[#This Row],[Docketed Consumer Comments]]))
  ),
  0,
  1
)</f>
        <v>1</v>
      </c>
    </row>
    <row r="845" spans="1:22" hidden="1">
      <c r="A845" s="2">
        <v>45906</v>
      </c>
      <c r="B845" s="1" t="s">
        <v>2067</v>
      </c>
      <c r="C845" s="1" t="s">
        <v>2028</v>
      </c>
      <c r="D845" s="1" t="s">
        <v>63</v>
      </c>
      <c r="E845" s="1">
        <v>85050</v>
      </c>
      <c r="F845" s="1" t="s">
        <v>310</v>
      </c>
      <c r="G845" s="1" t="s">
        <v>2005</v>
      </c>
      <c r="H845" s="4" t="s">
        <v>27</v>
      </c>
      <c r="V845" s="45">
        <f>IF(
  OR(
    ISNUMBER(SEARCH("unable to locate acct", tblDocketedComments[[#This Row],[Docketed Consumer Comments]])),
    ISNUMBER(SEARCH("unknown", tblDocketedComments[[#This Row],[Docketed Consumer Comments]])),
    ISNUMBER(SEARCH("inactive", tblDocketedComments[[#This Row],[Docketed Consumer Comments]]))
  ),
  0,
  1
)</f>
        <v>1</v>
      </c>
    </row>
    <row r="846" spans="1:22" hidden="1">
      <c r="A846" s="2">
        <v>45906</v>
      </c>
      <c r="B846" s="1" t="s">
        <v>2068</v>
      </c>
      <c r="C846" s="1" t="s">
        <v>2069</v>
      </c>
      <c r="D846" s="1" t="s">
        <v>63</v>
      </c>
      <c r="E846" s="1">
        <v>85024</v>
      </c>
      <c r="F846" s="1" t="s">
        <v>310</v>
      </c>
      <c r="G846" s="1" t="s">
        <v>2005</v>
      </c>
      <c r="H846" s="4" t="s">
        <v>6063</v>
      </c>
      <c r="I846" s="5" t="s">
        <v>57</v>
      </c>
      <c r="J846" s="5" t="s">
        <v>37</v>
      </c>
      <c r="K846" s="5" t="s">
        <v>37</v>
      </c>
      <c r="L846" s="5" t="s">
        <v>2070</v>
      </c>
      <c r="M846" s="5" t="s">
        <v>37</v>
      </c>
      <c r="N846" s="5" t="s">
        <v>37</v>
      </c>
      <c r="O846" s="5" t="s">
        <v>38</v>
      </c>
      <c r="P846" s="5" t="s">
        <v>39</v>
      </c>
      <c r="Q846" s="2">
        <v>45964</v>
      </c>
      <c r="V846" s="45">
        <f>IF(
  OR(
    ISNUMBER(SEARCH("unable to locate acct", tblDocketedComments[[#This Row],[Docketed Consumer Comments]])),
    ISNUMBER(SEARCH("unknown", tblDocketedComments[[#This Row],[Docketed Consumer Comments]])),
    ISNUMBER(SEARCH("inactive", tblDocketedComments[[#This Row],[Docketed Consumer Comments]]))
  ),
  0,
  1
)</f>
        <v>1</v>
      </c>
    </row>
    <row r="847" spans="1:22" hidden="1">
      <c r="A847" s="2">
        <v>45906</v>
      </c>
      <c r="B847" s="1" t="s">
        <v>2071</v>
      </c>
      <c r="C847" s="1" t="s">
        <v>2072</v>
      </c>
      <c r="D847" s="1" t="s">
        <v>632</v>
      </c>
      <c r="E847" s="1">
        <v>85281</v>
      </c>
      <c r="F847" s="1" t="s">
        <v>31</v>
      </c>
      <c r="G847" s="1" t="s">
        <v>2005</v>
      </c>
      <c r="H847" s="4" t="s">
        <v>6064</v>
      </c>
      <c r="I847" s="5" t="s">
        <v>196</v>
      </c>
      <c r="J847" s="5" t="s">
        <v>37</v>
      </c>
      <c r="K847" s="5" t="s">
        <v>37</v>
      </c>
      <c r="L847" s="5" t="s">
        <v>2073</v>
      </c>
      <c r="M847" s="5" t="s">
        <v>37</v>
      </c>
      <c r="N847" s="5" t="s">
        <v>37</v>
      </c>
      <c r="O847" s="5" t="s">
        <v>38</v>
      </c>
      <c r="P847" s="5" t="s">
        <v>39</v>
      </c>
      <c r="Q847" s="2">
        <v>45964</v>
      </c>
      <c r="V847" s="45">
        <f>IF(
  OR(
    ISNUMBER(SEARCH("unable to locate acct", tblDocketedComments[[#This Row],[Docketed Consumer Comments]])),
    ISNUMBER(SEARCH("unknown", tblDocketedComments[[#This Row],[Docketed Consumer Comments]])),
    ISNUMBER(SEARCH("inactive", tblDocketedComments[[#This Row],[Docketed Consumer Comments]]))
  ),
  0,
  1
)</f>
        <v>1</v>
      </c>
    </row>
    <row r="848" spans="1:22" hidden="1">
      <c r="A848" s="2">
        <v>45906</v>
      </c>
      <c r="B848" s="1" t="s">
        <v>369</v>
      </c>
      <c r="C848" s="1" t="s">
        <v>765</v>
      </c>
      <c r="D848" s="1" t="s">
        <v>63</v>
      </c>
      <c r="E848" s="1">
        <v>85024</v>
      </c>
      <c r="F848" s="1" t="s">
        <v>2074</v>
      </c>
      <c r="G848" s="1" t="s">
        <v>2005</v>
      </c>
      <c r="H848" s="4" t="s">
        <v>6065</v>
      </c>
      <c r="I848" s="5" t="s">
        <v>57</v>
      </c>
      <c r="J848" s="5" t="s">
        <v>37</v>
      </c>
      <c r="K848" s="5" t="s">
        <v>37</v>
      </c>
      <c r="L848" s="7" t="s">
        <v>2075</v>
      </c>
      <c r="M848" s="5" t="s">
        <v>37</v>
      </c>
      <c r="N848" s="5" t="s">
        <v>37</v>
      </c>
      <c r="O848" s="5" t="s">
        <v>38</v>
      </c>
      <c r="P848" s="5" t="s">
        <v>39</v>
      </c>
      <c r="Q848" s="2">
        <v>45964</v>
      </c>
      <c r="R848" s="1" t="s">
        <v>2076</v>
      </c>
      <c r="V848" s="45">
        <f>IF(
  OR(
    ISNUMBER(SEARCH("unable to locate acct", tblDocketedComments[[#This Row],[Docketed Consumer Comments]])),
    ISNUMBER(SEARCH("unknown", tblDocketedComments[[#This Row],[Docketed Consumer Comments]])),
    ISNUMBER(SEARCH("inactive", tblDocketedComments[[#This Row],[Docketed Consumer Comments]]))
  ),
  0,
  1
)</f>
        <v>1</v>
      </c>
    </row>
    <row r="849" spans="1:22" hidden="1">
      <c r="A849" s="2">
        <v>45906</v>
      </c>
      <c r="B849" s="1" t="s">
        <v>2077</v>
      </c>
      <c r="C849" s="1" t="s">
        <v>2078</v>
      </c>
      <c r="D849" s="1" t="s">
        <v>63</v>
      </c>
      <c r="E849" s="1">
        <v>85018</v>
      </c>
      <c r="F849" s="1" t="s">
        <v>310</v>
      </c>
      <c r="G849" s="1" t="s">
        <v>2005</v>
      </c>
      <c r="H849" s="4" t="s">
        <v>27</v>
      </c>
      <c r="V849" s="45">
        <f>IF(
  OR(
    ISNUMBER(SEARCH("unable to locate acct", tblDocketedComments[[#This Row],[Docketed Consumer Comments]])),
    ISNUMBER(SEARCH("unknown", tblDocketedComments[[#This Row],[Docketed Consumer Comments]])),
    ISNUMBER(SEARCH("inactive", tblDocketedComments[[#This Row],[Docketed Consumer Comments]]))
  ),
  0,
  1
)</f>
        <v>1</v>
      </c>
    </row>
    <row r="850" spans="1:22" hidden="1">
      <c r="A850" s="2">
        <v>45906</v>
      </c>
      <c r="B850" s="1" t="s">
        <v>2079</v>
      </c>
      <c r="C850" s="1" t="s">
        <v>381</v>
      </c>
      <c r="D850" s="1" t="s">
        <v>63</v>
      </c>
      <c r="E850" s="1">
        <v>85023</v>
      </c>
      <c r="F850" s="1" t="s">
        <v>310</v>
      </c>
      <c r="G850" s="1" t="s">
        <v>2005</v>
      </c>
      <c r="H850" s="4" t="s">
        <v>90</v>
      </c>
      <c r="V850" s="45">
        <f>IF(
  OR(
    ISNUMBER(SEARCH("unable to locate acct", tblDocketedComments[[#This Row],[Docketed Consumer Comments]])),
    ISNUMBER(SEARCH("unknown", tblDocketedComments[[#This Row],[Docketed Consumer Comments]])),
    ISNUMBER(SEARCH("inactive", tblDocketedComments[[#This Row],[Docketed Consumer Comments]]))
  ),
  0,
  1
)</f>
        <v>1</v>
      </c>
    </row>
    <row r="851" spans="1:22" ht="11.45" hidden="1" customHeight="1">
      <c r="A851" s="2">
        <v>45906</v>
      </c>
      <c r="B851" s="1" t="s">
        <v>2080</v>
      </c>
      <c r="C851" s="1" t="s">
        <v>478</v>
      </c>
      <c r="D851" s="1" t="s">
        <v>501</v>
      </c>
      <c r="E851" s="1">
        <v>86005</v>
      </c>
      <c r="F851" s="1" t="s">
        <v>310</v>
      </c>
      <c r="G851" s="1" t="s">
        <v>2005</v>
      </c>
      <c r="H851" s="4" t="s">
        <v>6327</v>
      </c>
      <c r="I851" s="5" t="s">
        <v>73</v>
      </c>
      <c r="J851" s="5" t="s">
        <v>37</v>
      </c>
      <c r="K851" s="5" t="s">
        <v>37</v>
      </c>
      <c r="L851" s="5" t="s">
        <v>38</v>
      </c>
      <c r="M851" s="5" t="s">
        <v>37</v>
      </c>
      <c r="N851" s="5" t="s">
        <v>37</v>
      </c>
      <c r="O851" s="5" t="s">
        <v>38</v>
      </c>
      <c r="P851" s="5" t="s">
        <v>39</v>
      </c>
      <c r="Q851" s="2">
        <v>45964</v>
      </c>
      <c r="V851" s="45">
        <f>IF(
  OR(
    ISNUMBER(SEARCH("unable to locate acct", tblDocketedComments[[#This Row],[Docketed Consumer Comments]])),
    ISNUMBER(SEARCH("unknown", tblDocketedComments[[#This Row],[Docketed Consumer Comments]])),
    ISNUMBER(SEARCH("inactive", tblDocketedComments[[#This Row],[Docketed Consumer Comments]]))
  ),
  0,
  1
)</f>
        <v>1</v>
      </c>
    </row>
    <row r="852" spans="1:22" hidden="1">
      <c r="A852" s="2">
        <v>45906</v>
      </c>
      <c r="B852" s="1" t="s">
        <v>262</v>
      </c>
      <c r="C852" s="1" t="s">
        <v>655</v>
      </c>
      <c r="D852" s="1" t="s">
        <v>63</v>
      </c>
      <c r="E852" s="1">
        <v>85028</v>
      </c>
      <c r="F852" s="1" t="s">
        <v>310</v>
      </c>
      <c r="G852" s="1" t="s">
        <v>2005</v>
      </c>
      <c r="H852" s="4" t="s">
        <v>6328</v>
      </c>
      <c r="I852" s="5" t="s">
        <v>46</v>
      </c>
      <c r="J852" s="5" t="s">
        <v>37</v>
      </c>
      <c r="K852" s="5" t="s">
        <v>37</v>
      </c>
      <c r="L852" s="5" t="s">
        <v>38</v>
      </c>
      <c r="M852" s="5" t="s">
        <v>37</v>
      </c>
      <c r="N852" s="5" t="s">
        <v>37</v>
      </c>
      <c r="O852" s="5" t="s">
        <v>38</v>
      </c>
      <c r="P852" s="5" t="s">
        <v>39</v>
      </c>
      <c r="Q852" s="2">
        <v>45964</v>
      </c>
      <c r="V852" s="45">
        <f>IF(
  OR(
    ISNUMBER(SEARCH("unable to locate acct", tblDocketedComments[[#This Row],[Docketed Consumer Comments]])),
    ISNUMBER(SEARCH("unknown", tblDocketedComments[[#This Row],[Docketed Consumer Comments]])),
    ISNUMBER(SEARCH("inactive", tblDocketedComments[[#This Row],[Docketed Consumer Comments]]))
  ),
  0,
  1
)</f>
        <v>1</v>
      </c>
    </row>
    <row r="853" spans="1:22" hidden="1">
      <c r="A853" s="2">
        <v>45906</v>
      </c>
      <c r="B853" s="1" t="s">
        <v>2081</v>
      </c>
      <c r="C853" s="1" t="s">
        <v>375</v>
      </c>
      <c r="D853" s="1" t="s">
        <v>68</v>
      </c>
      <c r="E853" s="1">
        <v>85331</v>
      </c>
      <c r="F853" s="1" t="s">
        <v>310</v>
      </c>
      <c r="G853" s="1" t="s">
        <v>2005</v>
      </c>
      <c r="H853" s="4" t="s">
        <v>6066</v>
      </c>
      <c r="I853" s="5" t="s">
        <v>196</v>
      </c>
      <c r="J853" s="5" t="s">
        <v>37</v>
      </c>
      <c r="K853" s="5" t="s">
        <v>37</v>
      </c>
      <c r="L853" s="7" t="s">
        <v>2082</v>
      </c>
      <c r="M853" s="5" t="s">
        <v>37</v>
      </c>
      <c r="N853" s="5" t="s">
        <v>37</v>
      </c>
      <c r="O853" s="5" t="s">
        <v>38</v>
      </c>
      <c r="P853" s="2">
        <v>45939</v>
      </c>
      <c r="Q853" s="2">
        <v>45964</v>
      </c>
      <c r="R853" s="27" t="s">
        <v>2083</v>
      </c>
      <c r="V853" s="45">
        <f>IF(
  OR(
    ISNUMBER(SEARCH("unable to locate acct", tblDocketedComments[[#This Row],[Docketed Consumer Comments]])),
    ISNUMBER(SEARCH("unknown", tblDocketedComments[[#This Row],[Docketed Consumer Comments]])),
    ISNUMBER(SEARCH("inactive", tblDocketedComments[[#This Row],[Docketed Consumer Comments]]))
  ),
  0,
  1
)</f>
        <v>1</v>
      </c>
    </row>
    <row r="854" spans="1:22" hidden="1">
      <c r="A854" s="2">
        <v>45906</v>
      </c>
      <c r="B854" s="1" t="s">
        <v>2084</v>
      </c>
      <c r="C854" s="1" t="s">
        <v>2085</v>
      </c>
      <c r="D854" s="1" t="s">
        <v>63</v>
      </c>
      <c r="E854" s="1">
        <v>85032</v>
      </c>
      <c r="F854" s="1" t="s">
        <v>310</v>
      </c>
      <c r="G854" s="1" t="s">
        <v>2005</v>
      </c>
      <c r="H854" s="4" t="s">
        <v>6329</v>
      </c>
      <c r="I854" s="5" t="s">
        <v>416</v>
      </c>
      <c r="J854" s="5" t="s">
        <v>37</v>
      </c>
      <c r="K854" s="5" t="s">
        <v>37</v>
      </c>
      <c r="L854" s="5" t="s">
        <v>387</v>
      </c>
      <c r="M854" s="5" t="s">
        <v>37</v>
      </c>
      <c r="N854" s="5" t="s">
        <v>37</v>
      </c>
      <c r="O854" s="5" t="s">
        <v>38</v>
      </c>
      <c r="P854" s="5" t="s">
        <v>39</v>
      </c>
      <c r="Q854" s="2">
        <v>45964</v>
      </c>
      <c r="V854" s="45">
        <f>IF(
  OR(
    ISNUMBER(SEARCH("unable to locate acct", tblDocketedComments[[#This Row],[Docketed Consumer Comments]])),
    ISNUMBER(SEARCH("unknown", tblDocketedComments[[#This Row],[Docketed Consumer Comments]])),
    ISNUMBER(SEARCH("inactive", tblDocketedComments[[#This Row],[Docketed Consumer Comments]]))
  ),
  0,
  1
)</f>
        <v>1</v>
      </c>
    </row>
    <row r="855" spans="1:22" hidden="1">
      <c r="A855" s="2">
        <v>45906</v>
      </c>
      <c r="B855" s="1" t="s">
        <v>654</v>
      </c>
      <c r="C855" s="1" t="s">
        <v>2086</v>
      </c>
      <c r="D855" s="1" t="s">
        <v>129</v>
      </c>
      <c r="E855" s="1">
        <v>85234</v>
      </c>
      <c r="F855" s="1" t="s">
        <v>31</v>
      </c>
      <c r="G855" s="1" t="s">
        <v>2005</v>
      </c>
      <c r="H855" s="4" t="s">
        <v>6330</v>
      </c>
      <c r="I855" s="5" t="s">
        <v>126</v>
      </c>
      <c r="J855" s="5" t="s">
        <v>37</v>
      </c>
      <c r="K855" s="5" t="s">
        <v>37</v>
      </c>
      <c r="L855" s="5" t="s">
        <v>38</v>
      </c>
      <c r="M855" s="5" t="s">
        <v>37</v>
      </c>
      <c r="N855" s="5" t="s">
        <v>37</v>
      </c>
      <c r="O855" s="5" t="s">
        <v>38</v>
      </c>
      <c r="P855" s="5" t="s">
        <v>39</v>
      </c>
      <c r="Q855" s="2">
        <v>45964</v>
      </c>
      <c r="V855" s="45">
        <f>IF(
  OR(
    ISNUMBER(SEARCH("unable to locate acct", tblDocketedComments[[#This Row],[Docketed Consumer Comments]])),
    ISNUMBER(SEARCH("unknown", tblDocketedComments[[#This Row],[Docketed Consumer Comments]])),
    ISNUMBER(SEARCH("inactive", tblDocketedComments[[#This Row],[Docketed Consumer Comments]]))
  ),
  0,
  1
)</f>
        <v>1</v>
      </c>
    </row>
    <row r="856" spans="1:22" hidden="1">
      <c r="A856" s="2">
        <v>45906</v>
      </c>
      <c r="B856" s="1" t="s">
        <v>2087</v>
      </c>
      <c r="C856" s="1" t="s">
        <v>362</v>
      </c>
      <c r="D856" s="1" t="s">
        <v>616</v>
      </c>
      <c r="E856" s="1">
        <v>85367</v>
      </c>
      <c r="F856" s="1" t="s">
        <v>31</v>
      </c>
      <c r="G856" s="1" t="s">
        <v>2005</v>
      </c>
      <c r="H856" s="4" t="s">
        <v>6152</v>
      </c>
      <c r="I856" s="5" t="s">
        <v>46</v>
      </c>
      <c r="J856" s="5" t="s">
        <v>37</v>
      </c>
      <c r="K856" s="5" t="s">
        <v>37</v>
      </c>
      <c r="L856" s="5" t="s">
        <v>38</v>
      </c>
      <c r="M856" s="5" t="s">
        <v>38</v>
      </c>
      <c r="N856" s="13">
        <v>122.88</v>
      </c>
      <c r="O856" s="5" t="s">
        <v>38</v>
      </c>
      <c r="P856" s="5" t="s">
        <v>39</v>
      </c>
      <c r="Q856" s="2">
        <v>45964</v>
      </c>
      <c r="V856" s="45">
        <f>IF(
  OR(
    ISNUMBER(SEARCH("unable to locate acct", tblDocketedComments[[#This Row],[Docketed Consumer Comments]])),
    ISNUMBER(SEARCH("unknown", tblDocketedComments[[#This Row],[Docketed Consumer Comments]])),
    ISNUMBER(SEARCH("inactive", tblDocketedComments[[#This Row],[Docketed Consumer Comments]]))
  ),
  0,
  1
)</f>
        <v>1</v>
      </c>
    </row>
    <row r="857" spans="1:22" hidden="1">
      <c r="A857" s="2">
        <v>45906</v>
      </c>
      <c r="B857" s="1" t="s">
        <v>2088</v>
      </c>
      <c r="C857" s="1" t="s">
        <v>62</v>
      </c>
      <c r="D857" s="1" t="s">
        <v>63</v>
      </c>
      <c r="E857" s="1">
        <v>85024</v>
      </c>
      <c r="F857" s="1" t="s">
        <v>2007</v>
      </c>
      <c r="G857" s="1" t="s">
        <v>2005</v>
      </c>
      <c r="H857" s="4" t="s">
        <v>6331</v>
      </c>
      <c r="I857" s="5" t="s">
        <v>36</v>
      </c>
      <c r="J857" s="5" t="s">
        <v>37</v>
      </c>
      <c r="K857" s="5" t="s">
        <v>37</v>
      </c>
      <c r="L857" s="5" t="s">
        <v>38</v>
      </c>
      <c r="M857" s="5" t="s">
        <v>37</v>
      </c>
      <c r="N857" s="5" t="s">
        <v>37</v>
      </c>
      <c r="O857" s="5" t="s">
        <v>38</v>
      </c>
      <c r="P857" s="5" t="s">
        <v>39</v>
      </c>
      <c r="Q857" s="2">
        <v>45964</v>
      </c>
      <c r="V857" s="45">
        <f>IF(
  OR(
    ISNUMBER(SEARCH("unable to locate acct", tblDocketedComments[[#This Row],[Docketed Consumer Comments]])),
    ISNUMBER(SEARCH("unknown", tblDocketedComments[[#This Row],[Docketed Consumer Comments]])),
    ISNUMBER(SEARCH("inactive", tblDocketedComments[[#This Row],[Docketed Consumer Comments]]))
  ),
  0,
  1
)</f>
        <v>1</v>
      </c>
    </row>
    <row r="858" spans="1:22" hidden="1">
      <c r="A858" s="2">
        <v>45906</v>
      </c>
      <c r="B858" s="1" t="s">
        <v>2089</v>
      </c>
      <c r="C858" s="1" t="s">
        <v>320</v>
      </c>
      <c r="D858" s="1" t="s">
        <v>501</v>
      </c>
      <c r="E858" s="1">
        <v>86005</v>
      </c>
      <c r="F858" s="1" t="s">
        <v>310</v>
      </c>
      <c r="G858" s="1" t="s">
        <v>2005</v>
      </c>
      <c r="H858" s="4" t="s">
        <v>27</v>
      </c>
      <c r="V858" s="45">
        <f>IF(
  OR(
    ISNUMBER(SEARCH("unable to locate acct", tblDocketedComments[[#This Row],[Docketed Consumer Comments]])),
    ISNUMBER(SEARCH("unknown", tblDocketedComments[[#This Row],[Docketed Consumer Comments]])),
    ISNUMBER(SEARCH("inactive", tblDocketedComments[[#This Row],[Docketed Consumer Comments]]))
  ),
  0,
  1
)</f>
        <v>1</v>
      </c>
    </row>
    <row r="859" spans="1:22" hidden="1">
      <c r="A859" s="2">
        <v>45906</v>
      </c>
      <c r="B859" s="1" t="s">
        <v>2090</v>
      </c>
      <c r="C859" s="1" t="s">
        <v>754</v>
      </c>
      <c r="D859" s="1" t="s">
        <v>632</v>
      </c>
      <c r="E859" s="1">
        <v>85281</v>
      </c>
      <c r="F859" s="1" t="s">
        <v>310</v>
      </c>
      <c r="G859" s="1" t="s">
        <v>2005</v>
      </c>
      <c r="H859" s="4" t="s">
        <v>6332</v>
      </c>
      <c r="I859" s="5" t="s">
        <v>36</v>
      </c>
      <c r="J859" s="5" t="s">
        <v>37</v>
      </c>
      <c r="K859" s="5" t="s">
        <v>37</v>
      </c>
      <c r="L859" s="5" t="s">
        <v>38</v>
      </c>
      <c r="M859" s="5" t="s">
        <v>37</v>
      </c>
      <c r="N859" s="5" t="s">
        <v>37</v>
      </c>
      <c r="O859" s="5" t="s">
        <v>38</v>
      </c>
      <c r="P859" s="5" t="s">
        <v>39</v>
      </c>
      <c r="Q859" s="2">
        <v>45964</v>
      </c>
      <c r="V859" s="45">
        <f>IF(
  OR(
    ISNUMBER(SEARCH("unable to locate acct", tblDocketedComments[[#This Row],[Docketed Consumer Comments]])),
    ISNUMBER(SEARCH("unknown", tblDocketedComments[[#This Row],[Docketed Consumer Comments]])),
    ISNUMBER(SEARCH("inactive", tblDocketedComments[[#This Row],[Docketed Consumer Comments]]))
  ),
  0,
  1
)</f>
        <v>1</v>
      </c>
    </row>
    <row r="860" spans="1:22" hidden="1">
      <c r="A860" s="2">
        <v>45906</v>
      </c>
      <c r="B860" s="1" t="s">
        <v>417</v>
      </c>
      <c r="C860" s="1" t="s">
        <v>2091</v>
      </c>
      <c r="D860" s="1" t="s">
        <v>24</v>
      </c>
      <c r="E860" s="1">
        <v>85301</v>
      </c>
      <c r="F860" s="1" t="s">
        <v>310</v>
      </c>
      <c r="G860" s="1" t="s">
        <v>2005</v>
      </c>
      <c r="H860" s="4" t="s">
        <v>27</v>
      </c>
      <c r="V860" s="45">
        <f>IF(
  OR(
    ISNUMBER(SEARCH("unable to locate acct", tblDocketedComments[[#This Row],[Docketed Consumer Comments]])),
    ISNUMBER(SEARCH("unknown", tblDocketedComments[[#This Row],[Docketed Consumer Comments]])),
    ISNUMBER(SEARCH("inactive", tblDocketedComments[[#This Row],[Docketed Consumer Comments]]))
  ),
  0,
  1
)</f>
        <v>1</v>
      </c>
    </row>
    <row r="861" spans="1:22" hidden="1">
      <c r="A861" s="2">
        <v>45906</v>
      </c>
      <c r="B861" s="1" t="s">
        <v>2092</v>
      </c>
      <c r="C861" s="1" t="s">
        <v>478</v>
      </c>
      <c r="D861" s="1" t="s">
        <v>63</v>
      </c>
      <c r="E861" s="1">
        <v>85004</v>
      </c>
      <c r="F861" s="1" t="s">
        <v>310</v>
      </c>
      <c r="G861" s="1" t="s">
        <v>2005</v>
      </c>
      <c r="H861" s="4" t="s">
        <v>6067</v>
      </c>
      <c r="I861" s="5" t="s">
        <v>126</v>
      </c>
      <c r="J861" s="5" t="s">
        <v>37</v>
      </c>
      <c r="K861" s="5" t="s">
        <v>37</v>
      </c>
      <c r="L861" s="5" t="s">
        <v>2093</v>
      </c>
      <c r="M861" s="5" t="s">
        <v>37</v>
      </c>
      <c r="N861" s="5" t="s">
        <v>37</v>
      </c>
      <c r="O861" s="5" t="s">
        <v>38</v>
      </c>
      <c r="P861" s="5" t="s">
        <v>39</v>
      </c>
      <c r="Q861" s="2">
        <v>45964</v>
      </c>
      <c r="V861" s="45">
        <f>IF(
  OR(
    ISNUMBER(SEARCH("unable to locate acct", tblDocketedComments[[#This Row],[Docketed Consumer Comments]])),
    ISNUMBER(SEARCH("unknown", tblDocketedComments[[#This Row],[Docketed Consumer Comments]])),
    ISNUMBER(SEARCH("inactive", tblDocketedComments[[#This Row],[Docketed Consumer Comments]]))
  ),
  0,
  1
)</f>
        <v>1</v>
      </c>
    </row>
    <row r="862" spans="1:22" hidden="1">
      <c r="A862" s="2">
        <v>45906</v>
      </c>
      <c r="B862" s="1" t="s">
        <v>2094</v>
      </c>
      <c r="C862" s="1" t="s">
        <v>2095</v>
      </c>
      <c r="D862" s="1" t="s">
        <v>202</v>
      </c>
      <c r="E862" s="1">
        <v>85382</v>
      </c>
      <c r="F862" s="1" t="s">
        <v>310</v>
      </c>
      <c r="G862" s="1" t="s">
        <v>2005</v>
      </c>
      <c r="H862" s="4" t="s">
        <v>6333</v>
      </c>
      <c r="I862" s="5" t="s">
        <v>36</v>
      </c>
      <c r="J862" s="5" t="s">
        <v>37</v>
      </c>
      <c r="K862" s="5" t="s">
        <v>37</v>
      </c>
      <c r="L862" s="5" t="s">
        <v>38</v>
      </c>
      <c r="M862" s="5" t="s">
        <v>37</v>
      </c>
      <c r="N862" s="5" t="s">
        <v>37</v>
      </c>
      <c r="O862" s="5" t="s">
        <v>38</v>
      </c>
      <c r="P862" s="5" t="s">
        <v>39</v>
      </c>
      <c r="Q862" s="2">
        <v>45964</v>
      </c>
      <c r="V862" s="45">
        <f>IF(
  OR(
    ISNUMBER(SEARCH("unable to locate acct", tblDocketedComments[[#This Row],[Docketed Consumer Comments]])),
    ISNUMBER(SEARCH("unknown", tblDocketedComments[[#This Row],[Docketed Consumer Comments]])),
    ISNUMBER(SEARCH("inactive", tblDocketedComments[[#This Row],[Docketed Consumer Comments]]))
  ),
  0,
  1
)</f>
        <v>1</v>
      </c>
    </row>
    <row r="863" spans="1:22" ht="11.45" hidden="1" customHeight="1">
      <c r="A863" s="2">
        <v>45906</v>
      </c>
      <c r="B863" s="1" t="s">
        <v>2096</v>
      </c>
      <c r="C863" s="1" t="s">
        <v>2097</v>
      </c>
      <c r="D863" s="1" t="s">
        <v>63</v>
      </c>
      <c r="E863" s="1">
        <v>85014</v>
      </c>
      <c r="F863" s="1" t="s">
        <v>310</v>
      </c>
      <c r="G863" s="1" t="s">
        <v>2005</v>
      </c>
      <c r="H863" s="4" t="s">
        <v>6068</v>
      </c>
      <c r="I863" s="5" t="s">
        <v>196</v>
      </c>
      <c r="J863" s="5" t="s">
        <v>37</v>
      </c>
      <c r="K863" s="5" t="s">
        <v>37</v>
      </c>
      <c r="L863" s="5" t="s">
        <v>2098</v>
      </c>
      <c r="M863" s="5" t="s">
        <v>37</v>
      </c>
      <c r="N863" s="5" t="s">
        <v>37</v>
      </c>
      <c r="O863" s="5" t="s">
        <v>38</v>
      </c>
      <c r="P863" s="5" t="s">
        <v>39</v>
      </c>
      <c r="Q863" s="2">
        <v>45964</v>
      </c>
      <c r="V863" s="45">
        <f>IF(
  OR(
    ISNUMBER(SEARCH("unable to locate acct", tblDocketedComments[[#This Row],[Docketed Consumer Comments]])),
    ISNUMBER(SEARCH("unknown", tblDocketedComments[[#This Row],[Docketed Consumer Comments]])),
    ISNUMBER(SEARCH("inactive", tblDocketedComments[[#This Row],[Docketed Consumer Comments]]))
  ),
  0,
  1
)</f>
        <v>1</v>
      </c>
    </row>
    <row r="864" spans="1:22" ht="11.45" hidden="1" customHeight="1">
      <c r="A864" s="2">
        <v>45906</v>
      </c>
      <c r="B864" s="1" t="s">
        <v>2099</v>
      </c>
      <c r="C864" s="1" t="s">
        <v>2100</v>
      </c>
      <c r="D864" s="1" t="s">
        <v>202</v>
      </c>
      <c r="E864" s="1">
        <v>85383</v>
      </c>
      <c r="F864" s="1" t="s">
        <v>2101</v>
      </c>
      <c r="G864" s="1" t="s">
        <v>2005</v>
      </c>
      <c r="H864" s="4" t="s">
        <v>6069</v>
      </c>
      <c r="I864" s="5" t="s">
        <v>46</v>
      </c>
      <c r="J864" s="5" t="s">
        <v>37</v>
      </c>
      <c r="K864" s="5" t="s">
        <v>37</v>
      </c>
      <c r="L864" s="5" t="s">
        <v>2102</v>
      </c>
      <c r="M864" s="5" t="s">
        <v>37</v>
      </c>
      <c r="N864" s="5" t="s">
        <v>37</v>
      </c>
      <c r="O864" s="5" t="s">
        <v>38</v>
      </c>
      <c r="P864" s="2">
        <v>45939</v>
      </c>
      <c r="Q864" s="2">
        <v>45964</v>
      </c>
      <c r="R864" s="1" t="s">
        <v>2103</v>
      </c>
      <c r="V864" s="45">
        <f>IF(
  OR(
    ISNUMBER(SEARCH("unable to locate acct", tblDocketedComments[[#This Row],[Docketed Consumer Comments]])),
    ISNUMBER(SEARCH("unknown", tblDocketedComments[[#This Row],[Docketed Consumer Comments]])),
    ISNUMBER(SEARCH("inactive", tblDocketedComments[[#This Row],[Docketed Consumer Comments]]))
  ),
  0,
  1
)</f>
        <v>1</v>
      </c>
    </row>
    <row r="865" spans="1:22" ht="11.45" hidden="1" customHeight="1">
      <c r="A865" s="2">
        <v>45906</v>
      </c>
      <c r="B865" s="1" t="s">
        <v>2104</v>
      </c>
      <c r="C865" s="1" t="s">
        <v>2105</v>
      </c>
      <c r="D865" s="1" t="s">
        <v>68</v>
      </c>
      <c r="E865" s="1">
        <v>85331</v>
      </c>
      <c r="F865" s="1" t="s">
        <v>310</v>
      </c>
      <c r="G865" s="1" t="s">
        <v>2005</v>
      </c>
      <c r="H865" s="4" t="s">
        <v>6334</v>
      </c>
      <c r="I865" s="5" t="s">
        <v>196</v>
      </c>
      <c r="J865" s="5" t="s">
        <v>37</v>
      </c>
      <c r="K865" s="5" t="s">
        <v>37</v>
      </c>
      <c r="L865" s="5" t="s">
        <v>38</v>
      </c>
      <c r="M865" s="5" t="s">
        <v>37</v>
      </c>
      <c r="N865" s="5" t="s">
        <v>37</v>
      </c>
      <c r="O865" s="5" t="s">
        <v>38</v>
      </c>
      <c r="P865" s="5" t="s">
        <v>39</v>
      </c>
      <c r="Q865" s="2">
        <v>45964</v>
      </c>
      <c r="V865" s="45">
        <f>IF(
  OR(
    ISNUMBER(SEARCH("unable to locate acct", tblDocketedComments[[#This Row],[Docketed Consumer Comments]])),
    ISNUMBER(SEARCH("unknown", tblDocketedComments[[#This Row],[Docketed Consumer Comments]])),
    ISNUMBER(SEARCH("inactive", tblDocketedComments[[#This Row],[Docketed Consumer Comments]]))
  ),
  0,
  1
)</f>
        <v>1</v>
      </c>
    </row>
    <row r="866" spans="1:22" ht="11.45" hidden="1" customHeight="1">
      <c r="A866" s="2">
        <v>45906</v>
      </c>
      <c r="B866" s="1" t="s">
        <v>2106</v>
      </c>
      <c r="C866" s="1" t="s">
        <v>67</v>
      </c>
      <c r="D866" s="1" t="s">
        <v>112</v>
      </c>
      <c r="E866" s="1">
        <v>85378</v>
      </c>
      <c r="F866" s="1" t="s">
        <v>738</v>
      </c>
      <c r="G866" s="1" t="s">
        <v>2005</v>
      </c>
      <c r="H866" s="4" t="s">
        <v>6335</v>
      </c>
      <c r="I866" s="5" t="s">
        <v>36</v>
      </c>
      <c r="J866" s="5" t="s">
        <v>37</v>
      </c>
      <c r="K866" s="5" t="s">
        <v>37</v>
      </c>
      <c r="L866" s="5" t="s">
        <v>38</v>
      </c>
      <c r="M866" s="5" t="s">
        <v>37</v>
      </c>
      <c r="N866" s="5" t="s">
        <v>37</v>
      </c>
      <c r="O866" s="5" t="s">
        <v>38</v>
      </c>
      <c r="P866" s="5" t="s">
        <v>39</v>
      </c>
      <c r="Q866" s="2">
        <v>45964</v>
      </c>
      <c r="R866" s="1" t="s">
        <v>2107</v>
      </c>
      <c r="V866" s="45">
        <f>IF(
  OR(
    ISNUMBER(SEARCH("unable to locate acct", tblDocketedComments[[#This Row],[Docketed Consumer Comments]])),
    ISNUMBER(SEARCH("unknown", tblDocketedComments[[#This Row],[Docketed Consumer Comments]])),
    ISNUMBER(SEARCH("inactive", tblDocketedComments[[#This Row],[Docketed Consumer Comments]]))
  ),
  0,
  1
)</f>
        <v>1</v>
      </c>
    </row>
    <row r="867" spans="1:22" ht="11.45" hidden="1" customHeight="1">
      <c r="A867" s="2">
        <v>45906</v>
      </c>
      <c r="B867" s="1" t="s">
        <v>2108</v>
      </c>
      <c r="C867" s="1" t="s">
        <v>362</v>
      </c>
      <c r="D867" s="1" t="s">
        <v>63</v>
      </c>
      <c r="E867" s="1">
        <v>85083</v>
      </c>
      <c r="F867" s="1" t="s">
        <v>31</v>
      </c>
      <c r="G867" s="1" t="s">
        <v>2005</v>
      </c>
      <c r="H867" s="4" t="s">
        <v>6336</v>
      </c>
      <c r="I867" s="5" t="s">
        <v>36</v>
      </c>
      <c r="J867" s="5" t="s">
        <v>37</v>
      </c>
      <c r="K867" s="5" t="s">
        <v>37</v>
      </c>
      <c r="L867" s="5" t="s">
        <v>38</v>
      </c>
      <c r="M867" s="5" t="s">
        <v>37</v>
      </c>
      <c r="N867" s="5" t="s">
        <v>37</v>
      </c>
      <c r="O867" s="5" t="s">
        <v>38</v>
      </c>
      <c r="P867" s="5" t="s">
        <v>39</v>
      </c>
      <c r="Q867" s="2">
        <v>45964</v>
      </c>
      <c r="V867" s="45">
        <f>IF(
  OR(
    ISNUMBER(SEARCH("unable to locate acct", tblDocketedComments[[#This Row],[Docketed Consumer Comments]])),
    ISNUMBER(SEARCH("unknown", tblDocketedComments[[#This Row],[Docketed Consumer Comments]])),
    ISNUMBER(SEARCH("inactive", tblDocketedComments[[#This Row],[Docketed Consumer Comments]]))
  ),
  0,
  1
)</f>
        <v>1</v>
      </c>
    </row>
    <row r="868" spans="1:22" ht="11.45" hidden="1" customHeight="1">
      <c r="A868" s="2">
        <v>45906</v>
      </c>
      <c r="B868" s="1" t="s">
        <v>2109</v>
      </c>
      <c r="C868" s="1" t="s">
        <v>572</v>
      </c>
      <c r="D868" s="1" t="s">
        <v>68</v>
      </c>
      <c r="E868" s="1">
        <v>85331</v>
      </c>
      <c r="F868" s="1" t="s">
        <v>310</v>
      </c>
      <c r="G868" s="1" t="s">
        <v>2005</v>
      </c>
      <c r="H868" s="4" t="s">
        <v>27</v>
      </c>
      <c r="V868" s="45">
        <f>IF(
  OR(
    ISNUMBER(SEARCH("unable to locate acct", tblDocketedComments[[#This Row],[Docketed Consumer Comments]])),
    ISNUMBER(SEARCH("unknown", tblDocketedComments[[#This Row],[Docketed Consumer Comments]])),
    ISNUMBER(SEARCH("inactive", tblDocketedComments[[#This Row],[Docketed Consumer Comments]]))
  ),
  0,
  1
)</f>
        <v>1</v>
      </c>
    </row>
    <row r="869" spans="1:22" ht="11.45" hidden="1" customHeight="1">
      <c r="A869" s="2">
        <v>45906</v>
      </c>
      <c r="B869" s="1" t="s">
        <v>647</v>
      </c>
      <c r="C869" s="1" t="s">
        <v>1608</v>
      </c>
      <c r="D869" s="1" t="s">
        <v>125</v>
      </c>
      <c r="E869" s="1">
        <v>85260</v>
      </c>
      <c r="F869" s="1" t="s">
        <v>310</v>
      </c>
      <c r="G869" s="1" t="s">
        <v>2005</v>
      </c>
      <c r="H869" s="4" t="s">
        <v>6070</v>
      </c>
      <c r="I869" s="5" t="s">
        <v>73</v>
      </c>
      <c r="J869" s="5" t="s">
        <v>37</v>
      </c>
      <c r="K869" s="5" t="s">
        <v>37</v>
      </c>
      <c r="L869" s="5" t="s">
        <v>399</v>
      </c>
      <c r="M869" s="5" t="s">
        <v>37</v>
      </c>
      <c r="N869" s="5" t="s">
        <v>37</v>
      </c>
      <c r="O869" s="5" t="s">
        <v>38</v>
      </c>
      <c r="P869" s="5" t="s">
        <v>39</v>
      </c>
      <c r="Q869" s="2">
        <v>45964</v>
      </c>
      <c r="V869" s="45">
        <f>IF(
  OR(
    ISNUMBER(SEARCH("unable to locate acct", tblDocketedComments[[#This Row],[Docketed Consumer Comments]])),
    ISNUMBER(SEARCH("unknown", tblDocketedComments[[#This Row],[Docketed Consumer Comments]])),
    ISNUMBER(SEARCH("inactive", tblDocketedComments[[#This Row],[Docketed Consumer Comments]]))
  ),
  0,
  1
)</f>
        <v>1</v>
      </c>
    </row>
    <row r="870" spans="1:22" ht="11.45" hidden="1" customHeight="1">
      <c r="A870" s="2">
        <v>45906</v>
      </c>
      <c r="B870" s="1" t="s">
        <v>2110</v>
      </c>
      <c r="C870" s="1" t="s">
        <v>1651</v>
      </c>
      <c r="D870" s="1" t="s">
        <v>125</v>
      </c>
      <c r="E870" s="1">
        <v>85260</v>
      </c>
      <c r="F870" s="1" t="s">
        <v>31</v>
      </c>
      <c r="G870" s="1" t="s">
        <v>2005</v>
      </c>
      <c r="H870" s="4" t="s">
        <v>6337</v>
      </c>
      <c r="I870" s="5" t="s">
        <v>36</v>
      </c>
      <c r="J870" s="5" t="s">
        <v>37</v>
      </c>
      <c r="K870" s="5" t="s">
        <v>37</v>
      </c>
      <c r="L870" s="5" t="s">
        <v>38</v>
      </c>
      <c r="M870" s="5" t="s">
        <v>37</v>
      </c>
      <c r="N870" s="5" t="s">
        <v>37</v>
      </c>
      <c r="O870" s="5" t="s">
        <v>38</v>
      </c>
      <c r="P870" s="5" t="s">
        <v>39</v>
      </c>
      <c r="Q870" s="2">
        <v>45964</v>
      </c>
      <c r="V870" s="45">
        <f>IF(
  OR(
    ISNUMBER(SEARCH("unable to locate acct", tblDocketedComments[[#This Row],[Docketed Consumer Comments]])),
    ISNUMBER(SEARCH("unknown", tblDocketedComments[[#This Row],[Docketed Consumer Comments]])),
    ISNUMBER(SEARCH("inactive", tblDocketedComments[[#This Row],[Docketed Consumer Comments]]))
  ),
  0,
  1
)</f>
        <v>1</v>
      </c>
    </row>
    <row r="871" spans="1:22" ht="11.45" hidden="1" customHeight="1">
      <c r="A871" s="2">
        <v>45906</v>
      </c>
      <c r="B871" s="1" t="s">
        <v>2111</v>
      </c>
      <c r="C871" s="1" t="s">
        <v>1045</v>
      </c>
      <c r="D871" s="1" t="s">
        <v>125</v>
      </c>
      <c r="E871" s="1">
        <v>85260</v>
      </c>
      <c r="F871" s="1" t="s">
        <v>310</v>
      </c>
      <c r="G871" s="1" t="s">
        <v>2005</v>
      </c>
      <c r="H871" s="4" t="s">
        <v>6338</v>
      </c>
      <c r="I871" s="5" t="s">
        <v>126</v>
      </c>
      <c r="J871" s="5" t="s">
        <v>37</v>
      </c>
      <c r="K871" s="5" t="s">
        <v>37</v>
      </c>
      <c r="L871" s="5" t="s">
        <v>38</v>
      </c>
      <c r="M871" s="5" t="s">
        <v>37</v>
      </c>
      <c r="N871" s="5" t="s">
        <v>37</v>
      </c>
      <c r="O871" s="5" t="s">
        <v>38</v>
      </c>
      <c r="P871" s="5" t="s">
        <v>39</v>
      </c>
      <c r="Q871" s="2">
        <v>45964</v>
      </c>
      <c r="V871" s="45">
        <f>IF(
  OR(
    ISNUMBER(SEARCH("unable to locate acct", tblDocketedComments[[#This Row],[Docketed Consumer Comments]])),
    ISNUMBER(SEARCH("unknown", tblDocketedComments[[#This Row],[Docketed Consumer Comments]])),
    ISNUMBER(SEARCH("inactive", tblDocketedComments[[#This Row],[Docketed Consumer Comments]]))
  ),
  0,
  1
)</f>
        <v>1</v>
      </c>
    </row>
    <row r="872" spans="1:22" ht="11.45" hidden="1" customHeight="1">
      <c r="A872" s="2">
        <v>45906</v>
      </c>
      <c r="B872" s="1" t="s">
        <v>333</v>
      </c>
      <c r="C872" s="1" t="s">
        <v>145</v>
      </c>
      <c r="D872" s="1" t="s">
        <v>63</v>
      </c>
      <c r="E872" s="1">
        <v>85085</v>
      </c>
      <c r="F872" s="1" t="s">
        <v>2112</v>
      </c>
      <c r="G872" s="1" t="s">
        <v>2005</v>
      </c>
      <c r="H872" s="4" t="s">
        <v>2113</v>
      </c>
      <c r="I872" s="5" t="s">
        <v>36</v>
      </c>
      <c r="J872" s="5" t="s">
        <v>37</v>
      </c>
      <c r="K872" s="5" t="s">
        <v>37</v>
      </c>
      <c r="L872" s="5" t="s">
        <v>38</v>
      </c>
      <c r="M872" s="5" t="s">
        <v>37</v>
      </c>
      <c r="N872" s="5" t="s">
        <v>37</v>
      </c>
      <c r="O872" s="5" t="s">
        <v>38</v>
      </c>
      <c r="P872" s="5" t="s">
        <v>39</v>
      </c>
      <c r="Q872" s="2">
        <v>45964</v>
      </c>
      <c r="V872" s="45">
        <f>IF(
  OR(
    ISNUMBER(SEARCH("unable to locate acct", tblDocketedComments[[#This Row],[Docketed Consumer Comments]])),
    ISNUMBER(SEARCH("unknown", tblDocketedComments[[#This Row],[Docketed Consumer Comments]])),
    ISNUMBER(SEARCH("inactive", tblDocketedComments[[#This Row],[Docketed Consumer Comments]]))
  ),
  0,
  1
)</f>
        <v>1</v>
      </c>
    </row>
    <row r="873" spans="1:22" ht="11.45" hidden="1" customHeight="1">
      <c r="A873" s="2">
        <v>45906</v>
      </c>
      <c r="B873" s="1" t="s">
        <v>2114</v>
      </c>
      <c r="C873" s="1" t="s">
        <v>2115</v>
      </c>
      <c r="D873" s="1" t="s">
        <v>169</v>
      </c>
      <c r="E873" s="1">
        <v>85338</v>
      </c>
      <c r="F873" s="1" t="s">
        <v>2116</v>
      </c>
      <c r="G873" s="1" t="s">
        <v>2005</v>
      </c>
      <c r="H873" s="4" t="s">
        <v>27</v>
      </c>
      <c r="V873" s="45">
        <f>IF(
  OR(
    ISNUMBER(SEARCH("unable to locate acct", tblDocketedComments[[#This Row],[Docketed Consumer Comments]])),
    ISNUMBER(SEARCH("unknown", tblDocketedComments[[#This Row],[Docketed Consumer Comments]])),
    ISNUMBER(SEARCH("inactive", tblDocketedComments[[#This Row],[Docketed Consumer Comments]]))
  ),
  0,
  1
)</f>
        <v>1</v>
      </c>
    </row>
    <row r="874" spans="1:22" ht="11.45" hidden="1" customHeight="1">
      <c r="A874" s="2">
        <v>45906</v>
      </c>
      <c r="B874" s="1" t="s">
        <v>2117</v>
      </c>
      <c r="C874" s="1" t="s">
        <v>757</v>
      </c>
      <c r="D874" s="1" t="s">
        <v>2118</v>
      </c>
      <c r="E874" s="1">
        <v>85122</v>
      </c>
      <c r="F874" s="1" t="s">
        <v>2119</v>
      </c>
      <c r="G874" s="1" t="s">
        <v>2005</v>
      </c>
      <c r="H874" s="4" t="s">
        <v>6339</v>
      </c>
      <c r="I874" s="5" t="s">
        <v>36</v>
      </c>
      <c r="J874" s="5" t="s">
        <v>37</v>
      </c>
      <c r="K874" s="5" t="s">
        <v>37</v>
      </c>
      <c r="L874" s="5" t="s">
        <v>38</v>
      </c>
      <c r="M874" s="5" t="s">
        <v>37</v>
      </c>
      <c r="N874" s="5" t="s">
        <v>37</v>
      </c>
      <c r="O874" s="5" t="s">
        <v>38</v>
      </c>
      <c r="P874" s="5" t="s">
        <v>39</v>
      </c>
      <c r="Q874" s="2">
        <v>45964</v>
      </c>
      <c r="V874" s="45">
        <f>IF(
  OR(
    ISNUMBER(SEARCH("unable to locate acct", tblDocketedComments[[#This Row],[Docketed Consumer Comments]])),
    ISNUMBER(SEARCH("unknown", tblDocketedComments[[#This Row],[Docketed Consumer Comments]])),
    ISNUMBER(SEARCH("inactive", tblDocketedComments[[#This Row],[Docketed Consumer Comments]]))
  ),
  0,
  1
)</f>
        <v>1</v>
      </c>
    </row>
    <row r="875" spans="1:22" ht="11.45" hidden="1" customHeight="1">
      <c r="A875" s="2">
        <v>45906</v>
      </c>
      <c r="B875" s="1" t="s">
        <v>2120</v>
      </c>
      <c r="C875" s="1" t="s">
        <v>2121</v>
      </c>
      <c r="D875" s="1" t="s">
        <v>202</v>
      </c>
      <c r="E875" s="1">
        <v>85383</v>
      </c>
      <c r="F875" s="1" t="s">
        <v>310</v>
      </c>
      <c r="G875" s="1" t="s">
        <v>2005</v>
      </c>
      <c r="H875" s="4" t="s">
        <v>6071</v>
      </c>
      <c r="I875" s="5" t="s">
        <v>57</v>
      </c>
      <c r="J875" s="5" t="s">
        <v>37</v>
      </c>
      <c r="K875" s="5" t="s">
        <v>37</v>
      </c>
      <c r="L875" s="7" t="s">
        <v>2122</v>
      </c>
      <c r="M875" s="5" t="s">
        <v>37</v>
      </c>
      <c r="N875" s="5" t="s">
        <v>37</v>
      </c>
      <c r="O875" s="5" t="s">
        <v>38</v>
      </c>
      <c r="P875" s="2">
        <v>45939</v>
      </c>
      <c r="Q875" s="2">
        <v>45964</v>
      </c>
      <c r="R875" s="1" t="s">
        <v>2083</v>
      </c>
      <c r="V875" s="45">
        <f>IF(
  OR(
    ISNUMBER(SEARCH("unable to locate acct", tblDocketedComments[[#This Row],[Docketed Consumer Comments]])),
    ISNUMBER(SEARCH("unknown", tblDocketedComments[[#This Row],[Docketed Consumer Comments]])),
    ISNUMBER(SEARCH("inactive", tblDocketedComments[[#This Row],[Docketed Consumer Comments]]))
  ),
  0,
  1
)</f>
        <v>1</v>
      </c>
    </row>
    <row r="876" spans="1:22" ht="11.45" hidden="1" customHeight="1">
      <c r="A876" s="2">
        <v>45906</v>
      </c>
      <c r="B876" s="1" t="s">
        <v>2123</v>
      </c>
      <c r="C876" s="1" t="s">
        <v>526</v>
      </c>
      <c r="D876" s="1" t="s">
        <v>24</v>
      </c>
      <c r="E876" s="1">
        <v>85307</v>
      </c>
      <c r="F876" s="1" t="s">
        <v>2124</v>
      </c>
      <c r="G876" s="1" t="s">
        <v>2005</v>
      </c>
      <c r="H876" s="4" t="s">
        <v>6340</v>
      </c>
      <c r="I876" s="5" t="s">
        <v>46</v>
      </c>
      <c r="J876" s="5" t="s">
        <v>37</v>
      </c>
      <c r="K876" s="5" t="s">
        <v>37</v>
      </c>
      <c r="L876" s="5" t="s">
        <v>38</v>
      </c>
      <c r="M876" s="5" t="s">
        <v>37</v>
      </c>
      <c r="N876" s="5" t="s">
        <v>37</v>
      </c>
      <c r="O876" s="5" t="s">
        <v>38</v>
      </c>
      <c r="P876" s="5" t="s">
        <v>39</v>
      </c>
      <c r="Q876" s="2">
        <v>45964</v>
      </c>
      <c r="V876" s="45">
        <f>IF(
  OR(
    ISNUMBER(SEARCH("unable to locate acct", tblDocketedComments[[#This Row],[Docketed Consumer Comments]])),
    ISNUMBER(SEARCH("unknown", tblDocketedComments[[#This Row],[Docketed Consumer Comments]])),
    ISNUMBER(SEARCH("inactive", tblDocketedComments[[#This Row],[Docketed Consumer Comments]]))
  ),
  0,
  1
)</f>
        <v>1</v>
      </c>
    </row>
    <row r="877" spans="1:22" ht="11.45" hidden="1" customHeight="1">
      <c r="A877" s="2">
        <v>45906</v>
      </c>
      <c r="B877" s="1" t="s">
        <v>2125</v>
      </c>
      <c r="C877" s="1" t="s">
        <v>177</v>
      </c>
      <c r="D877" s="1" t="s">
        <v>63</v>
      </c>
      <c r="E877" s="1">
        <v>85053</v>
      </c>
      <c r="F877" s="1" t="s">
        <v>310</v>
      </c>
      <c r="G877" s="1" t="s">
        <v>2005</v>
      </c>
      <c r="H877" s="4" t="s">
        <v>6341</v>
      </c>
      <c r="I877" s="5" t="s">
        <v>36</v>
      </c>
      <c r="J877" s="5" t="s">
        <v>37</v>
      </c>
      <c r="K877" s="5" t="s">
        <v>37</v>
      </c>
      <c r="L877" s="5" t="s">
        <v>38</v>
      </c>
      <c r="M877" s="5" t="s">
        <v>37</v>
      </c>
      <c r="N877" s="5" t="s">
        <v>37</v>
      </c>
      <c r="O877" s="5" t="s">
        <v>38</v>
      </c>
      <c r="P877" s="5" t="s">
        <v>39</v>
      </c>
      <c r="Q877" s="2">
        <v>45964</v>
      </c>
      <c r="V877" s="45">
        <f>IF(
  OR(
    ISNUMBER(SEARCH("unable to locate acct", tblDocketedComments[[#This Row],[Docketed Consumer Comments]])),
    ISNUMBER(SEARCH("unknown", tblDocketedComments[[#This Row],[Docketed Consumer Comments]])),
    ISNUMBER(SEARCH("inactive", tblDocketedComments[[#This Row],[Docketed Consumer Comments]]))
  ),
  0,
  1
)</f>
        <v>1</v>
      </c>
    </row>
    <row r="878" spans="1:22" ht="11.45" hidden="1" customHeight="1">
      <c r="A878" s="2">
        <v>45906</v>
      </c>
      <c r="B878" s="1" t="s">
        <v>2126</v>
      </c>
      <c r="C878" s="1" t="s">
        <v>135</v>
      </c>
      <c r="D878" s="1" t="s">
        <v>89</v>
      </c>
      <c r="E878" s="1">
        <v>86336</v>
      </c>
      <c r="F878" s="1" t="s">
        <v>1834</v>
      </c>
      <c r="G878" s="1" t="s">
        <v>2005</v>
      </c>
      <c r="H878" s="4" t="s">
        <v>6342</v>
      </c>
      <c r="I878" s="5" t="s">
        <v>243</v>
      </c>
      <c r="J878" s="5" t="s">
        <v>37</v>
      </c>
      <c r="K878" s="5" t="s">
        <v>37</v>
      </c>
      <c r="L878" s="5" t="s">
        <v>387</v>
      </c>
      <c r="M878" s="5" t="s">
        <v>37</v>
      </c>
      <c r="N878" s="5" t="s">
        <v>37</v>
      </c>
      <c r="O878" s="5" t="s">
        <v>38</v>
      </c>
      <c r="P878" s="5" t="s">
        <v>39</v>
      </c>
      <c r="Q878" s="2">
        <v>45964</v>
      </c>
      <c r="V878" s="45">
        <f>IF(
  OR(
    ISNUMBER(SEARCH("unable to locate acct", tblDocketedComments[[#This Row],[Docketed Consumer Comments]])),
    ISNUMBER(SEARCH("unknown", tblDocketedComments[[#This Row],[Docketed Consumer Comments]])),
    ISNUMBER(SEARCH("inactive", tblDocketedComments[[#This Row],[Docketed Consumer Comments]]))
  ),
  0,
  1
)</f>
        <v>1</v>
      </c>
    </row>
    <row r="879" spans="1:22" ht="11.45" hidden="1" customHeight="1">
      <c r="A879" s="2">
        <v>45906</v>
      </c>
      <c r="B879" s="1" t="s">
        <v>2127</v>
      </c>
      <c r="C879" s="1" t="s">
        <v>1843</v>
      </c>
      <c r="D879" s="1" t="s">
        <v>63</v>
      </c>
      <c r="E879" s="1">
        <v>85012</v>
      </c>
      <c r="F879" s="1" t="s">
        <v>310</v>
      </c>
      <c r="G879" s="1" t="s">
        <v>2005</v>
      </c>
      <c r="H879" s="4" t="s">
        <v>2128</v>
      </c>
      <c r="I879" s="5" t="s">
        <v>36</v>
      </c>
      <c r="J879" s="5" t="s">
        <v>37</v>
      </c>
      <c r="K879" s="5" t="s">
        <v>37</v>
      </c>
      <c r="L879" s="5" t="s">
        <v>399</v>
      </c>
      <c r="M879" s="5" t="s">
        <v>37</v>
      </c>
      <c r="N879" s="5" t="s">
        <v>37</v>
      </c>
      <c r="O879" s="5" t="s">
        <v>38</v>
      </c>
      <c r="P879" s="5" t="s">
        <v>39</v>
      </c>
      <c r="Q879" s="2">
        <v>45964</v>
      </c>
      <c r="V879" s="45">
        <f>IF(
  OR(
    ISNUMBER(SEARCH("unable to locate acct", tblDocketedComments[[#This Row],[Docketed Consumer Comments]])),
    ISNUMBER(SEARCH("unknown", tblDocketedComments[[#This Row],[Docketed Consumer Comments]])),
    ISNUMBER(SEARCH("inactive", tblDocketedComments[[#This Row],[Docketed Consumer Comments]]))
  ),
  0,
  1
)</f>
        <v>1</v>
      </c>
    </row>
    <row r="880" spans="1:22" ht="11.45" hidden="1" customHeight="1">
      <c r="A880" s="2">
        <v>45906</v>
      </c>
      <c r="B880" s="1" t="s">
        <v>2129</v>
      </c>
      <c r="C880" s="1" t="s">
        <v>2130</v>
      </c>
      <c r="D880" s="1" t="s">
        <v>2131</v>
      </c>
      <c r="E880" s="1">
        <v>86325</v>
      </c>
      <c r="F880" s="1" t="s">
        <v>2132</v>
      </c>
      <c r="G880" s="1" t="s">
        <v>2005</v>
      </c>
      <c r="H880" s="4" t="s">
        <v>6343</v>
      </c>
      <c r="I880" s="5" t="s">
        <v>73</v>
      </c>
      <c r="J880" s="5" t="s">
        <v>37</v>
      </c>
      <c r="K880" s="5" t="s">
        <v>37</v>
      </c>
      <c r="L880" s="5" t="s">
        <v>38</v>
      </c>
      <c r="M880" s="5" t="s">
        <v>37</v>
      </c>
      <c r="N880" s="5" t="s">
        <v>37</v>
      </c>
      <c r="O880" s="5" t="s">
        <v>38</v>
      </c>
      <c r="P880" s="5" t="s">
        <v>39</v>
      </c>
      <c r="Q880" s="2">
        <v>45964</v>
      </c>
      <c r="V880" s="45">
        <f>IF(
  OR(
    ISNUMBER(SEARCH("unable to locate acct", tblDocketedComments[[#This Row],[Docketed Consumer Comments]])),
    ISNUMBER(SEARCH("unknown", tblDocketedComments[[#This Row],[Docketed Consumer Comments]])),
    ISNUMBER(SEARCH("inactive", tblDocketedComments[[#This Row],[Docketed Consumer Comments]]))
  ),
  0,
  1
)</f>
        <v>1</v>
      </c>
    </row>
    <row r="881" spans="1:22" ht="11.45" hidden="1" customHeight="1">
      <c r="A881" s="2">
        <v>45906</v>
      </c>
      <c r="B881" s="1" t="s">
        <v>2133</v>
      </c>
      <c r="C881" s="1" t="s">
        <v>540</v>
      </c>
      <c r="D881" s="1" t="s">
        <v>63</v>
      </c>
      <c r="E881" s="1">
        <v>85003</v>
      </c>
      <c r="F881" s="1" t="s">
        <v>310</v>
      </c>
      <c r="G881" s="1" t="s">
        <v>2005</v>
      </c>
      <c r="H881" s="4" t="s">
        <v>6344</v>
      </c>
      <c r="I881" s="5" t="s">
        <v>73</v>
      </c>
      <c r="J881" s="5" t="s">
        <v>37</v>
      </c>
      <c r="K881" s="5" t="s">
        <v>37</v>
      </c>
      <c r="L881" s="5" t="s">
        <v>38</v>
      </c>
      <c r="M881" s="5" t="s">
        <v>37</v>
      </c>
      <c r="N881" s="5" t="s">
        <v>37</v>
      </c>
      <c r="O881" s="5" t="s">
        <v>38</v>
      </c>
      <c r="P881" s="5" t="s">
        <v>39</v>
      </c>
      <c r="Q881" s="2">
        <v>45964</v>
      </c>
      <c r="V881" s="45">
        <f>IF(
  OR(
    ISNUMBER(SEARCH("unable to locate acct", tblDocketedComments[[#This Row],[Docketed Consumer Comments]])),
    ISNUMBER(SEARCH("unknown", tblDocketedComments[[#This Row],[Docketed Consumer Comments]])),
    ISNUMBER(SEARCH("inactive", tblDocketedComments[[#This Row],[Docketed Consumer Comments]]))
  ),
  0,
  1
)</f>
        <v>1</v>
      </c>
    </row>
    <row r="882" spans="1:22" ht="11.45" hidden="1" customHeight="1">
      <c r="A882" s="2">
        <v>45906</v>
      </c>
      <c r="B882" s="1" t="s">
        <v>2134</v>
      </c>
      <c r="C882" s="1" t="s">
        <v>608</v>
      </c>
      <c r="D882" s="1" t="s">
        <v>202</v>
      </c>
      <c r="E882" s="1">
        <v>85383</v>
      </c>
      <c r="F882" s="1" t="s">
        <v>2135</v>
      </c>
      <c r="G882" s="1" t="s">
        <v>2005</v>
      </c>
      <c r="H882" s="4" t="s">
        <v>6345</v>
      </c>
      <c r="I882" s="5" t="s">
        <v>416</v>
      </c>
      <c r="J882" s="5" t="s">
        <v>38</v>
      </c>
      <c r="K882" s="5" t="s">
        <v>37</v>
      </c>
      <c r="L882" s="5" t="s">
        <v>387</v>
      </c>
      <c r="M882" s="5" t="s">
        <v>37</v>
      </c>
      <c r="N882" s="5" t="s">
        <v>37</v>
      </c>
      <c r="O882" s="5" t="s">
        <v>38</v>
      </c>
      <c r="P882" s="5" t="s">
        <v>39</v>
      </c>
      <c r="Q882" s="2">
        <v>45964</v>
      </c>
      <c r="V882" s="45">
        <f>IF(
  OR(
    ISNUMBER(SEARCH("unable to locate acct", tblDocketedComments[[#This Row],[Docketed Consumer Comments]])),
    ISNUMBER(SEARCH("unknown", tblDocketedComments[[#This Row],[Docketed Consumer Comments]])),
    ISNUMBER(SEARCH("inactive", tblDocketedComments[[#This Row],[Docketed Consumer Comments]]))
  ),
  0,
  1
)</f>
        <v>1</v>
      </c>
    </row>
    <row r="883" spans="1:22" ht="11.45" hidden="1" customHeight="1">
      <c r="A883" s="2">
        <v>45906</v>
      </c>
      <c r="B883" s="1" t="s">
        <v>2136</v>
      </c>
      <c r="C883" s="1" t="s">
        <v>2137</v>
      </c>
      <c r="D883" s="1" t="s">
        <v>169</v>
      </c>
      <c r="E883" s="1">
        <v>85338</v>
      </c>
      <c r="F883" s="1" t="s">
        <v>31</v>
      </c>
      <c r="G883" s="1" t="s">
        <v>2005</v>
      </c>
      <c r="H883" s="4" t="s">
        <v>6346</v>
      </c>
      <c r="I883" s="5" t="s">
        <v>36</v>
      </c>
      <c r="J883" s="5" t="s">
        <v>37</v>
      </c>
      <c r="K883" s="5" t="s">
        <v>37</v>
      </c>
      <c r="L883" s="5" t="s">
        <v>38</v>
      </c>
      <c r="M883" s="5" t="s">
        <v>37</v>
      </c>
      <c r="N883" s="5" t="s">
        <v>37</v>
      </c>
      <c r="O883" s="5" t="s">
        <v>38</v>
      </c>
      <c r="P883" s="5" t="s">
        <v>39</v>
      </c>
      <c r="Q883" s="2">
        <v>45964</v>
      </c>
      <c r="V883" s="45">
        <f>IF(
  OR(
    ISNUMBER(SEARCH("unable to locate acct", tblDocketedComments[[#This Row],[Docketed Consumer Comments]])),
    ISNUMBER(SEARCH("unknown", tblDocketedComments[[#This Row],[Docketed Consumer Comments]])),
    ISNUMBER(SEARCH("inactive", tblDocketedComments[[#This Row],[Docketed Consumer Comments]]))
  ),
  0,
  1
)</f>
        <v>1</v>
      </c>
    </row>
    <row r="884" spans="1:22" ht="11.45" hidden="1" customHeight="1">
      <c r="A884" s="2">
        <v>45906</v>
      </c>
      <c r="B884" s="1" t="s">
        <v>2138</v>
      </c>
      <c r="C884" s="1" t="s">
        <v>2139</v>
      </c>
      <c r="D884" s="1" t="s">
        <v>63</v>
      </c>
      <c r="E884" s="1">
        <v>85032</v>
      </c>
      <c r="F884" s="1" t="s">
        <v>310</v>
      </c>
      <c r="G884" s="1" t="s">
        <v>2005</v>
      </c>
      <c r="H884" s="21" t="s">
        <v>6722</v>
      </c>
      <c r="I884" s="5" t="s">
        <v>57</v>
      </c>
      <c r="J884" s="5" t="s">
        <v>37</v>
      </c>
      <c r="K884" s="5" t="s">
        <v>37</v>
      </c>
      <c r="L884" s="5" t="s">
        <v>2140</v>
      </c>
      <c r="M884" s="5" t="s">
        <v>37</v>
      </c>
      <c r="N884" s="5" t="s">
        <v>37</v>
      </c>
      <c r="O884" s="5" t="s">
        <v>38</v>
      </c>
      <c r="P884" s="5" t="s">
        <v>39</v>
      </c>
      <c r="Q884" s="2">
        <v>45964</v>
      </c>
      <c r="V884" s="45">
        <f>IF(
  OR(
    ISNUMBER(SEARCH("unable to locate acct", tblDocketedComments[[#This Row],[Docketed Consumer Comments]])),
    ISNUMBER(SEARCH("unknown", tblDocketedComments[[#This Row],[Docketed Consumer Comments]])),
    ISNUMBER(SEARCH("inactive", tblDocketedComments[[#This Row],[Docketed Consumer Comments]]))
  ),
  0,
  1
)</f>
        <v>1</v>
      </c>
    </row>
    <row r="885" spans="1:22" ht="11.45" hidden="1" customHeight="1">
      <c r="A885" s="2">
        <v>45906</v>
      </c>
      <c r="B885" s="1" t="s">
        <v>2141</v>
      </c>
      <c r="C885" s="1" t="s">
        <v>2142</v>
      </c>
      <c r="D885" s="1" t="s">
        <v>63</v>
      </c>
      <c r="E885" s="1">
        <v>85014</v>
      </c>
      <c r="F885" s="1" t="s">
        <v>2143</v>
      </c>
      <c r="G885" s="1" t="s">
        <v>2005</v>
      </c>
      <c r="H885" s="4" t="s">
        <v>6347</v>
      </c>
      <c r="I885" s="5" t="s">
        <v>73</v>
      </c>
      <c r="J885" s="5" t="s">
        <v>37</v>
      </c>
      <c r="K885" s="5" t="s">
        <v>37</v>
      </c>
      <c r="L885" s="5" t="s">
        <v>38</v>
      </c>
      <c r="M885" s="5" t="s">
        <v>37</v>
      </c>
      <c r="N885" s="5" t="s">
        <v>37</v>
      </c>
      <c r="O885" s="5" t="s">
        <v>38</v>
      </c>
      <c r="P885" s="5" t="s">
        <v>39</v>
      </c>
      <c r="Q885" s="2">
        <v>45964</v>
      </c>
      <c r="V885" s="45">
        <f>IF(
  OR(
    ISNUMBER(SEARCH("unable to locate acct", tblDocketedComments[[#This Row],[Docketed Consumer Comments]])),
    ISNUMBER(SEARCH("unknown", tblDocketedComments[[#This Row],[Docketed Consumer Comments]])),
    ISNUMBER(SEARCH("inactive", tblDocketedComments[[#This Row],[Docketed Consumer Comments]]))
  ),
  0,
  1
)</f>
        <v>1</v>
      </c>
    </row>
    <row r="886" spans="1:22" ht="11.45" hidden="1" customHeight="1">
      <c r="A886" s="2">
        <v>45906</v>
      </c>
      <c r="B886" s="1" t="s">
        <v>2144</v>
      </c>
      <c r="C886" s="1" t="s">
        <v>2145</v>
      </c>
      <c r="D886" s="1" t="s">
        <v>112</v>
      </c>
      <c r="E886" s="1">
        <v>85388</v>
      </c>
      <c r="F886" s="1" t="s">
        <v>310</v>
      </c>
      <c r="G886" s="1" t="s">
        <v>2146</v>
      </c>
      <c r="H886" s="4" t="s">
        <v>2147</v>
      </c>
      <c r="I886" s="5" t="s">
        <v>46</v>
      </c>
      <c r="J886" s="5" t="s">
        <v>37</v>
      </c>
      <c r="K886" s="5" t="s">
        <v>37</v>
      </c>
      <c r="L886" s="5" t="s">
        <v>1435</v>
      </c>
      <c r="M886" s="5" t="s">
        <v>37</v>
      </c>
      <c r="N886" s="5" t="s">
        <v>37</v>
      </c>
      <c r="O886" s="5" t="s">
        <v>38</v>
      </c>
      <c r="P886" s="5" t="s">
        <v>39</v>
      </c>
      <c r="Q886" s="2">
        <v>45960</v>
      </c>
      <c r="R886" s="1" t="s">
        <v>2148</v>
      </c>
      <c r="V886" s="45">
        <f>IF(
  OR(
    ISNUMBER(SEARCH("unable to locate acct", tblDocketedComments[[#This Row],[Docketed Consumer Comments]])),
    ISNUMBER(SEARCH("unknown", tblDocketedComments[[#This Row],[Docketed Consumer Comments]])),
    ISNUMBER(SEARCH("inactive", tblDocketedComments[[#This Row],[Docketed Consumer Comments]]))
  ),
  0,
  1
)</f>
        <v>1</v>
      </c>
    </row>
    <row r="887" spans="1:22" ht="11.45" hidden="1" customHeight="1">
      <c r="A887" s="2">
        <v>45906</v>
      </c>
      <c r="B887" s="1" t="s">
        <v>2149</v>
      </c>
      <c r="C887" s="1" t="s">
        <v>438</v>
      </c>
      <c r="D887" s="1" t="s">
        <v>112</v>
      </c>
      <c r="E887" s="1">
        <v>85379</v>
      </c>
      <c r="F887" s="1" t="s">
        <v>2150</v>
      </c>
      <c r="G887" s="1" t="s">
        <v>2005</v>
      </c>
      <c r="H887" s="4" t="s">
        <v>27</v>
      </c>
      <c r="V887" s="45">
        <f>IF(
  OR(
    ISNUMBER(SEARCH("unable to locate acct", tblDocketedComments[[#This Row],[Docketed Consumer Comments]])),
    ISNUMBER(SEARCH("unknown", tblDocketedComments[[#This Row],[Docketed Consumer Comments]])),
    ISNUMBER(SEARCH("inactive", tblDocketedComments[[#This Row],[Docketed Consumer Comments]]))
  ),
  0,
  1
)</f>
        <v>1</v>
      </c>
    </row>
    <row r="888" spans="1:22" ht="11.45" hidden="1" customHeight="1">
      <c r="A888" s="2">
        <v>45906</v>
      </c>
      <c r="B888" s="1" t="s">
        <v>2151</v>
      </c>
      <c r="C888" s="1" t="s">
        <v>2152</v>
      </c>
      <c r="D888" s="1" t="s">
        <v>202</v>
      </c>
      <c r="E888" s="1">
        <v>85383</v>
      </c>
      <c r="F888" s="1" t="s">
        <v>25</v>
      </c>
      <c r="G888" s="1" t="s">
        <v>2005</v>
      </c>
      <c r="H888" s="21" t="s">
        <v>6723</v>
      </c>
      <c r="I888" s="5" t="s">
        <v>36</v>
      </c>
      <c r="J888" s="5" t="s">
        <v>37</v>
      </c>
      <c r="K888" s="5" t="s">
        <v>37</v>
      </c>
      <c r="L888" s="5" t="s">
        <v>38</v>
      </c>
      <c r="M888" s="5" t="s">
        <v>37</v>
      </c>
      <c r="N888" s="5" t="s">
        <v>37</v>
      </c>
      <c r="O888" s="5" t="s">
        <v>38</v>
      </c>
      <c r="P888" s="5" t="s">
        <v>39</v>
      </c>
      <c r="Q888" s="2">
        <v>45964</v>
      </c>
      <c r="V888" s="45">
        <f>IF(
  OR(
    ISNUMBER(SEARCH("unable to locate acct", tblDocketedComments[[#This Row],[Docketed Consumer Comments]])),
    ISNUMBER(SEARCH("unknown", tblDocketedComments[[#This Row],[Docketed Consumer Comments]])),
    ISNUMBER(SEARCH("inactive", tblDocketedComments[[#This Row],[Docketed Consumer Comments]]))
  ),
  0,
  1
)</f>
        <v>1</v>
      </c>
    </row>
    <row r="889" spans="1:22" ht="11.45" hidden="1" customHeight="1">
      <c r="A889" s="2">
        <v>45907</v>
      </c>
      <c r="B889" s="1" t="s">
        <v>2153</v>
      </c>
      <c r="C889" s="1" t="s">
        <v>2154</v>
      </c>
      <c r="D889" s="1" t="s">
        <v>616</v>
      </c>
      <c r="E889" s="1">
        <v>85364</v>
      </c>
      <c r="F889" s="1" t="s">
        <v>310</v>
      </c>
      <c r="G889" s="1" t="s">
        <v>2005</v>
      </c>
      <c r="H889" s="4" t="s">
        <v>209</v>
      </c>
      <c r="V889" s="45">
        <f>IF(
  OR(
    ISNUMBER(SEARCH("unable to locate acct", tblDocketedComments[[#This Row],[Docketed Consumer Comments]])),
    ISNUMBER(SEARCH("unknown", tblDocketedComments[[#This Row],[Docketed Consumer Comments]])),
    ISNUMBER(SEARCH("inactive", tblDocketedComments[[#This Row],[Docketed Consumer Comments]]))
  ),
  0,
  1
)</f>
        <v>1</v>
      </c>
    </row>
    <row r="890" spans="1:22" ht="11.45" hidden="1" customHeight="1">
      <c r="A890" s="2">
        <v>45907</v>
      </c>
      <c r="B890" s="1" t="s">
        <v>2155</v>
      </c>
      <c r="C890" s="1" t="s">
        <v>312</v>
      </c>
      <c r="D890" s="1" t="s">
        <v>125</v>
      </c>
      <c r="E890" s="1">
        <v>85254</v>
      </c>
      <c r="F890" s="1" t="s">
        <v>2156</v>
      </c>
      <c r="G890" s="1" t="s">
        <v>2005</v>
      </c>
      <c r="H890" s="4" t="s">
        <v>2157</v>
      </c>
      <c r="I890" s="5" t="s">
        <v>36</v>
      </c>
      <c r="J890" s="5" t="s">
        <v>37</v>
      </c>
      <c r="K890" s="5" t="s">
        <v>37</v>
      </c>
      <c r="L890" s="5" t="s">
        <v>38</v>
      </c>
      <c r="M890" s="5" t="s">
        <v>37</v>
      </c>
      <c r="N890" s="5" t="s">
        <v>37</v>
      </c>
      <c r="O890" s="5" t="s">
        <v>38</v>
      </c>
      <c r="P890" s="5" t="s">
        <v>39</v>
      </c>
      <c r="Q890" s="2">
        <v>45964</v>
      </c>
      <c r="V890" s="45">
        <f>IF(
  OR(
    ISNUMBER(SEARCH("unable to locate acct", tblDocketedComments[[#This Row],[Docketed Consumer Comments]])),
    ISNUMBER(SEARCH("unknown", tblDocketedComments[[#This Row],[Docketed Consumer Comments]])),
    ISNUMBER(SEARCH("inactive", tblDocketedComments[[#This Row],[Docketed Consumer Comments]]))
  ),
  0,
  1
)</f>
        <v>1</v>
      </c>
    </row>
    <row r="891" spans="1:22" ht="11.45" hidden="1" customHeight="1">
      <c r="A891" s="2">
        <v>45907</v>
      </c>
      <c r="B891" s="1" t="s">
        <v>2158</v>
      </c>
      <c r="C891" s="1" t="s">
        <v>2159</v>
      </c>
      <c r="D891" s="1" t="s">
        <v>202</v>
      </c>
      <c r="E891" s="1">
        <v>85382</v>
      </c>
      <c r="F891" s="1" t="s">
        <v>310</v>
      </c>
      <c r="G891" s="1" t="s">
        <v>2005</v>
      </c>
      <c r="H891" s="4" t="s">
        <v>6072</v>
      </c>
      <c r="I891" s="5" t="s">
        <v>196</v>
      </c>
      <c r="J891" s="5" t="s">
        <v>37</v>
      </c>
      <c r="K891" s="5" t="s">
        <v>37</v>
      </c>
      <c r="L891" s="7" t="s">
        <v>2160</v>
      </c>
      <c r="M891" s="5" t="s">
        <v>37</v>
      </c>
      <c r="N891" s="5" t="s">
        <v>37</v>
      </c>
      <c r="O891" s="5" t="s">
        <v>38</v>
      </c>
      <c r="P891" s="2">
        <v>45939</v>
      </c>
      <c r="Q891" s="2">
        <v>45964</v>
      </c>
      <c r="R891" s="1" t="s">
        <v>2083</v>
      </c>
      <c r="V891" s="45">
        <f>IF(
  OR(
    ISNUMBER(SEARCH("unable to locate acct", tblDocketedComments[[#This Row],[Docketed Consumer Comments]])),
    ISNUMBER(SEARCH("unknown", tblDocketedComments[[#This Row],[Docketed Consumer Comments]])),
    ISNUMBER(SEARCH("inactive", tblDocketedComments[[#This Row],[Docketed Consumer Comments]]))
  ),
  0,
  1
)</f>
        <v>1</v>
      </c>
    </row>
    <row r="892" spans="1:22" ht="11.45" hidden="1" customHeight="1">
      <c r="A892" s="2">
        <v>45907</v>
      </c>
      <c r="B892" s="1" t="s">
        <v>2161</v>
      </c>
      <c r="C892" s="1" t="s">
        <v>913</v>
      </c>
      <c r="D892" s="1" t="s">
        <v>63</v>
      </c>
      <c r="E892" s="1">
        <v>85022</v>
      </c>
      <c r="F892" s="1" t="s">
        <v>2162</v>
      </c>
      <c r="G892" s="1" t="s">
        <v>2005</v>
      </c>
      <c r="H892" s="4" t="s">
        <v>6348</v>
      </c>
      <c r="I892" s="5" t="s">
        <v>36</v>
      </c>
      <c r="J892" s="5" t="s">
        <v>37</v>
      </c>
      <c r="K892" s="5" t="s">
        <v>37</v>
      </c>
      <c r="L892" s="5" t="s">
        <v>38</v>
      </c>
      <c r="M892" s="5" t="s">
        <v>37</v>
      </c>
      <c r="N892" s="5" t="s">
        <v>37</v>
      </c>
      <c r="O892" s="5" t="s">
        <v>38</v>
      </c>
      <c r="P892" s="5" t="s">
        <v>39</v>
      </c>
      <c r="Q892" s="2">
        <v>45964</v>
      </c>
      <c r="V892" s="45">
        <f>IF(
  OR(
    ISNUMBER(SEARCH("unable to locate acct", tblDocketedComments[[#This Row],[Docketed Consumer Comments]])),
    ISNUMBER(SEARCH("unknown", tblDocketedComments[[#This Row],[Docketed Consumer Comments]])),
    ISNUMBER(SEARCH("inactive", tblDocketedComments[[#This Row],[Docketed Consumer Comments]]))
  ),
  0,
  1
)</f>
        <v>1</v>
      </c>
    </row>
    <row r="893" spans="1:22" ht="11.45" hidden="1" customHeight="1">
      <c r="A893" s="2">
        <v>45907</v>
      </c>
      <c r="B893" s="1" t="s">
        <v>2163</v>
      </c>
      <c r="C893" s="1" t="s">
        <v>2085</v>
      </c>
      <c r="D893" s="1" t="s">
        <v>63</v>
      </c>
      <c r="E893" s="1">
        <v>85024</v>
      </c>
      <c r="F893" s="1" t="s">
        <v>310</v>
      </c>
      <c r="G893" s="1" t="s">
        <v>2005</v>
      </c>
      <c r="H893" s="4" t="s">
        <v>27</v>
      </c>
      <c r="V893" s="45">
        <f>IF(
  OR(
    ISNUMBER(SEARCH("unable to locate acct", tblDocketedComments[[#This Row],[Docketed Consumer Comments]])),
    ISNUMBER(SEARCH("unknown", tblDocketedComments[[#This Row],[Docketed Consumer Comments]])),
    ISNUMBER(SEARCH("inactive", tblDocketedComments[[#This Row],[Docketed Consumer Comments]]))
  ),
  0,
  1
)</f>
        <v>1</v>
      </c>
    </row>
    <row r="894" spans="1:22" ht="11.45" hidden="1" customHeight="1">
      <c r="A894" s="2">
        <v>45907</v>
      </c>
      <c r="B894" s="1" t="s">
        <v>2164</v>
      </c>
      <c r="C894" s="1" t="s">
        <v>358</v>
      </c>
      <c r="D894" s="1" t="s">
        <v>112</v>
      </c>
      <c r="E894" s="1">
        <v>85387</v>
      </c>
      <c r="F894" s="1" t="s">
        <v>310</v>
      </c>
      <c r="G894" s="1" t="s">
        <v>2005</v>
      </c>
      <c r="H894" s="4" t="s">
        <v>6349</v>
      </c>
      <c r="I894" s="5" t="s">
        <v>196</v>
      </c>
      <c r="J894" s="5" t="s">
        <v>37</v>
      </c>
      <c r="K894" s="5" t="s">
        <v>37</v>
      </c>
      <c r="L894" s="5" t="s">
        <v>38</v>
      </c>
      <c r="M894" s="5" t="s">
        <v>37</v>
      </c>
      <c r="N894" s="5" t="s">
        <v>37</v>
      </c>
      <c r="O894" s="5" t="s">
        <v>38</v>
      </c>
      <c r="P894" s="5" t="s">
        <v>39</v>
      </c>
      <c r="Q894" s="2">
        <v>45964</v>
      </c>
      <c r="V894" s="45">
        <f>IF(
  OR(
    ISNUMBER(SEARCH("unable to locate acct", tblDocketedComments[[#This Row],[Docketed Consumer Comments]])),
    ISNUMBER(SEARCH("unknown", tblDocketedComments[[#This Row],[Docketed Consumer Comments]])),
    ISNUMBER(SEARCH("inactive", tblDocketedComments[[#This Row],[Docketed Consumer Comments]]))
  ),
  0,
  1
)</f>
        <v>1</v>
      </c>
    </row>
    <row r="895" spans="1:22" ht="11.45" hidden="1" customHeight="1">
      <c r="A895" s="2">
        <v>45907</v>
      </c>
      <c r="B895" s="1" t="s">
        <v>2165</v>
      </c>
      <c r="C895" s="1" t="s">
        <v>2166</v>
      </c>
      <c r="D895" s="1" t="s">
        <v>125</v>
      </c>
      <c r="E895" s="1">
        <v>85251</v>
      </c>
      <c r="F895" s="1" t="s">
        <v>2167</v>
      </c>
      <c r="G895" s="1" t="s">
        <v>2005</v>
      </c>
      <c r="H895" s="21" t="s">
        <v>6724</v>
      </c>
      <c r="I895" s="5" t="s">
        <v>73</v>
      </c>
      <c r="J895" s="5" t="s">
        <v>37</v>
      </c>
      <c r="K895" s="5" t="s">
        <v>37</v>
      </c>
      <c r="L895" s="5" t="s">
        <v>38</v>
      </c>
      <c r="M895" s="5" t="s">
        <v>37</v>
      </c>
      <c r="N895" s="5" t="s">
        <v>37</v>
      </c>
      <c r="O895" s="5" t="s">
        <v>38</v>
      </c>
      <c r="P895" s="5" t="s">
        <v>39</v>
      </c>
      <c r="Q895" s="2">
        <v>45964</v>
      </c>
      <c r="V895" s="45">
        <f>IF(
  OR(
    ISNUMBER(SEARCH("unable to locate acct", tblDocketedComments[[#This Row],[Docketed Consumer Comments]])),
    ISNUMBER(SEARCH("unknown", tblDocketedComments[[#This Row],[Docketed Consumer Comments]])),
    ISNUMBER(SEARCH("inactive", tblDocketedComments[[#This Row],[Docketed Consumer Comments]]))
  ),
  0,
  1
)</f>
        <v>1</v>
      </c>
    </row>
    <row r="896" spans="1:22" ht="11.45" hidden="1" customHeight="1">
      <c r="A896" s="2">
        <v>45907</v>
      </c>
      <c r="B896" s="1" t="s">
        <v>2168</v>
      </c>
      <c r="C896" s="1" t="s">
        <v>1614</v>
      </c>
      <c r="D896" s="1" t="s">
        <v>112</v>
      </c>
      <c r="E896" s="1">
        <v>85379</v>
      </c>
      <c r="F896" s="1" t="s">
        <v>2169</v>
      </c>
      <c r="G896" s="1" t="s">
        <v>2005</v>
      </c>
      <c r="H896" s="4" t="s">
        <v>6002</v>
      </c>
      <c r="I896" s="5" t="s">
        <v>196</v>
      </c>
      <c r="J896" s="5" t="s">
        <v>37</v>
      </c>
      <c r="K896" s="5" t="s">
        <v>37</v>
      </c>
      <c r="L896" s="5" t="s">
        <v>2170</v>
      </c>
      <c r="M896" s="5" t="s">
        <v>38</v>
      </c>
      <c r="N896" s="15">
        <v>803.66</v>
      </c>
      <c r="O896" s="5" t="s">
        <v>38</v>
      </c>
      <c r="P896" s="7"/>
      <c r="Q896" s="2">
        <v>45964</v>
      </c>
      <c r="R896" s="1" t="s">
        <v>492</v>
      </c>
      <c r="V896" s="45">
        <f>IF(
  OR(
    ISNUMBER(SEARCH("unable to locate acct", tblDocketedComments[[#This Row],[Docketed Consumer Comments]])),
    ISNUMBER(SEARCH("unknown", tblDocketedComments[[#This Row],[Docketed Consumer Comments]])),
    ISNUMBER(SEARCH("inactive", tblDocketedComments[[#This Row],[Docketed Consumer Comments]]))
  ),
  0,
  1
)</f>
        <v>1</v>
      </c>
    </row>
    <row r="897" spans="1:22" ht="11.45" hidden="1" customHeight="1">
      <c r="A897" s="2">
        <v>45907</v>
      </c>
      <c r="B897" s="1" t="s">
        <v>2171</v>
      </c>
      <c r="C897" s="1" t="s">
        <v>2172</v>
      </c>
      <c r="D897" s="1" t="s">
        <v>656</v>
      </c>
      <c r="E897" s="1">
        <v>85350</v>
      </c>
      <c r="F897" s="1" t="s">
        <v>2173</v>
      </c>
      <c r="G897" s="1" t="s">
        <v>2005</v>
      </c>
      <c r="H897" s="4" t="s">
        <v>6153</v>
      </c>
      <c r="I897" s="5" t="s">
        <v>36</v>
      </c>
      <c r="J897" s="5" t="s">
        <v>38</v>
      </c>
      <c r="K897" s="5" t="s">
        <v>37</v>
      </c>
      <c r="L897" s="5" t="s">
        <v>38</v>
      </c>
      <c r="M897" s="5" t="s">
        <v>38</v>
      </c>
      <c r="N897" s="15">
        <v>1530.91</v>
      </c>
      <c r="O897" s="5" t="s">
        <v>38</v>
      </c>
      <c r="P897" s="7"/>
      <c r="Q897" s="2">
        <v>45964</v>
      </c>
      <c r="R897" s="1" t="s">
        <v>492</v>
      </c>
      <c r="V897" s="45">
        <f>IF(
  OR(
    ISNUMBER(SEARCH("unable to locate acct", tblDocketedComments[[#This Row],[Docketed Consumer Comments]])),
    ISNUMBER(SEARCH("unknown", tblDocketedComments[[#This Row],[Docketed Consumer Comments]])),
    ISNUMBER(SEARCH("inactive", tblDocketedComments[[#This Row],[Docketed Consumer Comments]]))
  ),
  0,
  1
)</f>
        <v>1</v>
      </c>
    </row>
    <row r="898" spans="1:22" ht="11.45" hidden="1" customHeight="1">
      <c r="A898" s="2">
        <v>45907</v>
      </c>
      <c r="B898" s="1" t="s">
        <v>2174</v>
      </c>
      <c r="C898" s="1" t="s">
        <v>2066</v>
      </c>
      <c r="D898" s="1" t="s">
        <v>695</v>
      </c>
      <c r="E898" s="1">
        <v>85375</v>
      </c>
      <c r="F898" s="1" t="s">
        <v>2175</v>
      </c>
      <c r="G898" s="1" t="s">
        <v>2005</v>
      </c>
      <c r="H898" s="4" t="s">
        <v>27</v>
      </c>
      <c r="V898" s="45">
        <f>IF(
  OR(
    ISNUMBER(SEARCH("unable to locate acct", tblDocketedComments[[#This Row],[Docketed Consumer Comments]])),
    ISNUMBER(SEARCH("unknown", tblDocketedComments[[#This Row],[Docketed Consumer Comments]])),
    ISNUMBER(SEARCH("inactive", tblDocketedComments[[#This Row],[Docketed Consumer Comments]]))
  ),
  0,
  1
)</f>
        <v>1</v>
      </c>
    </row>
    <row r="899" spans="1:22" ht="11.45" hidden="1" customHeight="1">
      <c r="A899" s="2">
        <v>45907</v>
      </c>
      <c r="B899" s="1" t="s">
        <v>2176</v>
      </c>
      <c r="C899" s="1" t="s">
        <v>2177</v>
      </c>
      <c r="D899" s="1" t="s">
        <v>43</v>
      </c>
      <c r="E899" s="1">
        <v>85363</v>
      </c>
      <c r="F899" s="1" t="s">
        <v>310</v>
      </c>
      <c r="G899" s="1" t="s">
        <v>2005</v>
      </c>
      <c r="H899" s="4" t="s">
        <v>6073</v>
      </c>
      <c r="I899" s="5" t="s">
        <v>196</v>
      </c>
      <c r="J899" s="5" t="s">
        <v>37</v>
      </c>
      <c r="K899" s="5" t="s">
        <v>37</v>
      </c>
      <c r="L899" s="7" t="s">
        <v>2178</v>
      </c>
      <c r="M899" s="5" t="s">
        <v>37</v>
      </c>
      <c r="N899" s="5" t="s">
        <v>37</v>
      </c>
      <c r="O899" s="5" t="s">
        <v>38</v>
      </c>
      <c r="P899" s="2">
        <v>45964</v>
      </c>
      <c r="Q899" s="2">
        <v>45964</v>
      </c>
      <c r="R899" s="1" t="s">
        <v>2030</v>
      </c>
      <c r="V899" s="45">
        <f>IF(
  OR(
    ISNUMBER(SEARCH("unable to locate acct", tblDocketedComments[[#This Row],[Docketed Consumer Comments]])),
    ISNUMBER(SEARCH("unknown", tblDocketedComments[[#This Row],[Docketed Consumer Comments]])),
    ISNUMBER(SEARCH("inactive", tblDocketedComments[[#This Row],[Docketed Consumer Comments]]))
  ),
  0,
  1
)</f>
        <v>1</v>
      </c>
    </row>
    <row r="900" spans="1:22" ht="11.45" hidden="1" customHeight="1">
      <c r="A900" s="2">
        <v>45907</v>
      </c>
      <c r="B900" s="1" t="s">
        <v>2149</v>
      </c>
      <c r="C900" s="1" t="s">
        <v>2014</v>
      </c>
      <c r="D900" s="1" t="s">
        <v>695</v>
      </c>
      <c r="E900" s="1">
        <v>85376</v>
      </c>
      <c r="F900" s="1" t="s">
        <v>2179</v>
      </c>
      <c r="G900" s="1" t="s">
        <v>2005</v>
      </c>
      <c r="H900" s="4" t="s">
        <v>6074</v>
      </c>
      <c r="I900" s="5" t="s">
        <v>196</v>
      </c>
      <c r="J900" s="5" t="s">
        <v>37</v>
      </c>
      <c r="K900" s="5" t="s">
        <v>37</v>
      </c>
      <c r="L900" s="7" t="s">
        <v>2180</v>
      </c>
      <c r="M900" s="5" t="s">
        <v>37</v>
      </c>
      <c r="N900" s="5" t="s">
        <v>37</v>
      </c>
      <c r="O900" s="5" t="s">
        <v>38</v>
      </c>
      <c r="P900" s="5" t="s">
        <v>39</v>
      </c>
      <c r="Q900" s="2">
        <v>45964</v>
      </c>
      <c r="R900" s="1" t="s">
        <v>2181</v>
      </c>
      <c r="V900" s="45">
        <f>IF(
  OR(
    ISNUMBER(SEARCH("unable to locate acct", tblDocketedComments[[#This Row],[Docketed Consumer Comments]])),
    ISNUMBER(SEARCH("unknown", tblDocketedComments[[#This Row],[Docketed Consumer Comments]])),
    ISNUMBER(SEARCH("inactive", tblDocketedComments[[#This Row],[Docketed Consumer Comments]]))
  ),
  0,
  1
)</f>
        <v>1</v>
      </c>
    </row>
    <row r="901" spans="1:22" ht="11.45" hidden="1" customHeight="1">
      <c r="A901" s="2">
        <v>45907</v>
      </c>
      <c r="B901" s="1" t="s">
        <v>2182</v>
      </c>
      <c r="C901" s="1" t="s">
        <v>2183</v>
      </c>
      <c r="D901" s="1" t="s">
        <v>63</v>
      </c>
      <c r="E901" s="1">
        <v>85024</v>
      </c>
      <c r="F901" s="1" t="s">
        <v>310</v>
      </c>
      <c r="G901" s="1" t="s">
        <v>2005</v>
      </c>
      <c r="H901" s="4" t="s">
        <v>6075</v>
      </c>
      <c r="I901" s="5" t="s">
        <v>57</v>
      </c>
      <c r="J901" s="5" t="s">
        <v>37</v>
      </c>
      <c r="K901" s="5" t="s">
        <v>37</v>
      </c>
      <c r="L901" s="7" t="s">
        <v>2184</v>
      </c>
      <c r="M901" s="5" t="s">
        <v>37</v>
      </c>
      <c r="N901" s="5" t="s">
        <v>37</v>
      </c>
      <c r="O901" s="5" t="s">
        <v>38</v>
      </c>
      <c r="P901" s="2">
        <v>45939</v>
      </c>
      <c r="Q901" s="2">
        <v>45964</v>
      </c>
      <c r="R901" s="1" t="s">
        <v>2083</v>
      </c>
      <c r="V901" s="45">
        <f>IF(
  OR(
    ISNUMBER(SEARCH("unable to locate acct", tblDocketedComments[[#This Row],[Docketed Consumer Comments]])),
    ISNUMBER(SEARCH("unknown", tblDocketedComments[[#This Row],[Docketed Consumer Comments]])),
    ISNUMBER(SEARCH("inactive", tblDocketedComments[[#This Row],[Docketed Consumer Comments]]))
  ),
  0,
  1
)</f>
        <v>1</v>
      </c>
    </row>
    <row r="902" spans="1:22" ht="11.85" hidden="1" customHeight="1">
      <c r="A902" s="2">
        <v>45907</v>
      </c>
      <c r="B902" s="1" t="s">
        <v>2185</v>
      </c>
      <c r="C902" s="1" t="s">
        <v>469</v>
      </c>
      <c r="D902" s="1" t="s">
        <v>112</v>
      </c>
      <c r="E902" s="1">
        <v>85387</v>
      </c>
      <c r="F902" s="1" t="s">
        <v>2186</v>
      </c>
      <c r="G902" s="1" t="s">
        <v>2005</v>
      </c>
      <c r="H902" s="4" t="s">
        <v>6076</v>
      </c>
      <c r="I902" s="5" t="s">
        <v>196</v>
      </c>
      <c r="J902" s="5" t="s">
        <v>37</v>
      </c>
      <c r="K902" s="5" t="s">
        <v>37</v>
      </c>
      <c r="L902" s="7" t="s">
        <v>2187</v>
      </c>
      <c r="M902" s="5" t="s">
        <v>37</v>
      </c>
      <c r="N902" s="5" t="s">
        <v>37</v>
      </c>
      <c r="O902" s="5" t="s">
        <v>38</v>
      </c>
      <c r="P902" s="5" t="s">
        <v>39</v>
      </c>
      <c r="Q902" s="2">
        <v>45964</v>
      </c>
      <c r="R902" s="1" t="s">
        <v>2188</v>
      </c>
      <c r="V902" s="45">
        <f>IF(
  OR(
    ISNUMBER(SEARCH("unable to locate acct", tblDocketedComments[[#This Row],[Docketed Consumer Comments]])),
    ISNUMBER(SEARCH("unknown", tblDocketedComments[[#This Row],[Docketed Consumer Comments]])),
    ISNUMBER(SEARCH("inactive", tblDocketedComments[[#This Row],[Docketed Consumer Comments]]))
  ),
  0,
  1
)</f>
        <v>1</v>
      </c>
    </row>
    <row r="903" spans="1:22" ht="11.85" hidden="1" customHeight="1">
      <c r="A903" s="2">
        <v>45907</v>
      </c>
      <c r="B903" s="1" t="s">
        <v>2189</v>
      </c>
      <c r="C903" s="1" t="s">
        <v>1680</v>
      </c>
      <c r="D903" s="1" t="s">
        <v>63</v>
      </c>
      <c r="E903" s="1">
        <v>85032</v>
      </c>
      <c r="F903" s="1" t="s">
        <v>2190</v>
      </c>
      <c r="G903" s="1" t="s">
        <v>2005</v>
      </c>
      <c r="H903" s="4" t="s">
        <v>6350</v>
      </c>
      <c r="I903" s="5" t="s">
        <v>73</v>
      </c>
      <c r="J903" s="5" t="s">
        <v>37</v>
      </c>
      <c r="K903" s="5" t="s">
        <v>37</v>
      </c>
      <c r="L903" s="5" t="s">
        <v>38</v>
      </c>
      <c r="M903" s="5" t="s">
        <v>37</v>
      </c>
      <c r="N903" s="5" t="s">
        <v>37</v>
      </c>
      <c r="O903" s="5" t="s">
        <v>38</v>
      </c>
      <c r="P903" s="5" t="s">
        <v>39</v>
      </c>
      <c r="Q903" s="2">
        <v>45964</v>
      </c>
      <c r="R903" s="1" t="s">
        <v>2191</v>
      </c>
      <c r="V903" s="45">
        <f>IF(
  OR(
    ISNUMBER(SEARCH("unable to locate acct", tblDocketedComments[[#This Row],[Docketed Consumer Comments]])),
    ISNUMBER(SEARCH("unknown", tblDocketedComments[[#This Row],[Docketed Consumer Comments]])),
    ISNUMBER(SEARCH("inactive", tblDocketedComments[[#This Row],[Docketed Consumer Comments]]))
  ),
  0,
  1
)</f>
        <v>1</v>
      </c>
    </row>
    <row r="904" spans="1:22" ht="11.85" hidden="1" customHeight="1">
      <c r="A904" s="2">
        <v>45907</v>
      </c>
      <c r="B904" s="1" t="s">
        <v>2192</v>
      </c>
      <c r="C904" s="1" t="s">
        <v>768</v>
      </c>
      <c r="D904" s="1" t="s">
        <v>264</v>
      </c>
      <c r="E904" s="1">
        <v>85541</v>
      </c>
      <c r="F904" s="1" t="s">
        <v>310</v>
      </c>
      <c r="G904" s="1" t="s">
        <v>2005</v>
      </c>
      <c r="H904" s="4" t="s">
        <v>27</v>
      </c>
      <c r="V904" s="45">
        <f>IF(
  OR(
    ISNUMBER(SEARCH("unable to locate acct", tblDocketedComments[[#This Row],[Docketed Consumer Comments]])),
    ISNUMBER(SEARCH("unknown", tblDocketedComments[[#This Row],[Docketed Consumer Comments]])),
    ISNUMBER(SEARCH("inactive", tblDocketedComments[[#This Row],[Docketed Consumer Comments]]))
  ),
  0,
  1
)</f>
        <v>1</v>
      </c>
    </row>
    <row r="905" spans="1:22" ht="11.85" hidden="1" customHeight="1">
      <c r="A905" s="2">
        <v>45907</v>
      </c>
      <c r="B905" s="1" t="s">
        <v>1087</v>
      </c>
      <c r="C905" s="1" t="s">
        <v>312</v>
      </c>
      <c r="D905" s="1" t="s">
        <v>63</v>
      </c>
      <c r="E905" s="1">
        <v>85027</v>
      </c>
      <c r="F905" s="1" t="s">
        <v>804</v>
      </c>
      <c r="G905" s="1" t="s">
        <v>2005</v>
      </c>
      <c r="H905" s="4" t="s">
        <v>6351</v>
      </c>
      <c r="I905" s="5" t="s">
        <v>36</v>
      </c>
      <c r="J905" s="5" t="s">
        <v>37</v>
      </c>
      <c r="K905" s="5" t="s">
        <v>37</v>
      </c>
      <c r="L905" s="5" t="s">
        <v>38</v>
      </c>
      <c r="M905" s="5" t="s">
        <v>37</v>
      </c>
      <c r="N905" s="5" t="s">
        <v>37</v>
      </c>
      <c r="O905" s="5" t="s">
        <v>38</v>
      </c>
      <c r="P905" s="5" t="s">
        <v>39</v>
      </c>
      <c r="Q905" s="2">
        <v>45964</v>
      </c>
      <c r="V905" s="45">
        <f>IF(
  OR(
    ISNUMBER(SEARCH("unable to locate acct", tblDocketedComments[[#This Row],[Docketed Consumer Comments]])),
    ISNUMBER(SEARCH("unknown", tblDocketedComments[[#This Row],[Docketed Consumer Comments]])),
    ISNUMBER(SEARCH("inactive", tblDocketedComments[[#This Row],[Docketed Consumer Comments]]))
  ),
  0,
  1
)</f>
        <v>1</v>
      </c>
    </row>
    <row r="906" spans="1:22" ht="11.85" hidden="1" customHeight="1">
      <c r="A906" s="2">
        <v>45907</v>
      </c>
      <c r="B906" s="1" t="s">
        <v>2193</v>
      </c>
      <c r="C906" s="1" t="s">
        <v>1311</v>
      </c>
      <c r="D906" s="1" t="s">
        <v>63</v>
      </c>
      <c r="E906" s="1">
        <v>85008</v>
      </c>
      <c r="F906" s="1" t="s">
        <v>310</v>
      </c>
      <c r="G906" s="1" t="s">
        <v>2005</v>
      </c>
      <c r="H906" s="4" t="s">
        <v>6077</v>
      </c>
      <c r="I906" s="5" t="s">
        <v>126</v>
      </c>
      <c r="J906" s="5" t="s">
        <v>37</v>
      </c>
      <c r="K906" s="5" t="s">
        <v>37</v>
      </c>
      <c r="L906" s="5" t="s">
        <v>2194</v>
      </c>
      <c r="M906" s="5" t="s">
        <v>37</v>
      </c>
      <c r="N906" s="5" t="s">
        <v>37</v>
      </c>
      <c r="O906" s="5" t="s">
        <v>38</v>
      </c>
      <c r="P906" s="5" t="s">
        <v>39</v>
      </c>
      <c r="Q906" s="2">
        <v>45964</v>
      </c>
      <c r="V906" s="45">
        <f>IF(
  OR(
    ISNUMBER(SEARCH("unable to locate acct", tblDocketedComments[[#This Row],[Docketed Consumer Comments]])),
    ISNUMBER(SEARCH("unknown", tblDocketedComments[[#This Row],[Docketed Consumer Comments]])),
    ISNUMBER(SEARCH("inactive", tblDocketedComments[[#This Row],[Docketed Consumer Comments]]))
  ),
  0,
  1
)</f>
        <v>1</v>
      </c>
    </row>
    <row r="907" spans="1:22" ht="11.85" hidden="1" customHeight="1">
      <c r="A907" s="2">
        <v>45907</v>
      </c>
      <c r="B907" s="1" t="s">
        <v>2195</v>
      </c>
      <c r="C907" s="1" t="s">
        <v>425</v>
      </c>
      <c r="D907" s="1" t="s">
        <v>112</v>
      </c>
      <c r="E907" s="1">
        <v>85379</v>
      </c>
      <c r="F907" s="1" t="s">
        <v>2043</v>
      </c>
      <c r="G907" s="1" t="s">
        <v>2005</v>
      </c>
      <c r="H907" s="4" t="s">
        <v>6078</v>
      </c>
      <c r="I907" s="5" t="s">
        <v>73</v>
      </c>
      <c r="J907" s="5" t="s">
        <v>37</v>
      </c>
      <c r="K907" s="5" t="s">
        <v>37</v>
      </c>
      <c r="L907" s="7" t="s">
        <v>2196</v>
      </c>
      <c r="M907" s="5" t="s">
        <v>37</v>
      </c>
      <c r="N907" s="5" t="s">
        <v>37</v>
      </c>
      <c r="O907" s="5" t="s">
        <v>38</v>
      </c>
      <c r="P907" s="2">
        <v>45939</v>
      </c>
      <c r="Q907" s="2">
        <v>45964</v>
      </c>
      <c r="R907" s="1" t="s">
        <v>2197</v>
      </c>
      <c r="V907" s="45">
        <f>IF(
  OR(
    ISNUMBER(SEARCH("unable to locate acct", tblDocketedComments[[#This Row],[Docketed Consumer Comments]])),
    ISNUMBER(SEARCH("unknown", tblDocketedComments[[#This Row],[Docketed Consumer Comments]])),
    ISNUMBER(SEARCH("inactive", tblDocketedComments[[#This Row],[Docketed Consumer Comments]]))
  ),
  0,
  1
)</f>
        <v>1</v>
      </c>
    </row>
    <row r="908" spans="1:22" ht="11.85" hidden="1" customHeight="1">
      <c r="A908" s="2">
        <v>45907</v>
      </c>
      <c r="B908" s="1" t="s">
        <v>2198</v>
      </c>
      <c r="C908" s="1" t="s">
        <v>131</v>
      </c>
      <c r="D908" s="1" t="s">
        <v>369</v>
      </c>
      <c r="E908" s="1">
        <v>85225</v>
      </c>
      <c r="F908" s="1" t="s">
        <v>310</v>
      </c>
      <c r="G908" s="1" t="s">
        <v>2005</v>
      </c>
      <c r="H908" s="4" t="s">
        <v>2199</v>
      </c>
      <c r="I908" s="5" t="s">
        <v>243</v>
      </c>
      <c r="J908" s="5" t="s">
        <v>37</v>
      </c>
      <c r="K908" s="5" t="s">
        <v>37</v>
      </c>
      <c r="L908" s="5" t="s">
        <v>387</v>
      </c>
      <c r="M908" s="5" t="s">
        <v>37</v>
      </c>
      <c r="N908" s="5" t="s">
        <v>37</v>
      </c>
      <c r="O908" s="5" t="s">
        <v>38</v>
      </c>
      <c r="P908" s="5" t="s">
        <v>39</v>
      </c>
      <c r="Q908" s="2">
        <v>45964</v>
      </c>
      <c r="V908" s="45">
        <f>IF(
  OR(
    ISNUMBER(SEARCH("unable to locate acct", tblDocketedComments[[#This Row],[Docketed Consumer Comments]])),
    ISNUMBER(SEARCH("unknown", tblDocketedComments[[#This Row],[Docketed Consumer Comments]])),
    ISNUMBER(SEARCH("inactive", tblDocketedComments[[#This Row],[Docketed Consumer Comments]]))
  ),
  0,
  1
)</f>
        <v>1</v>
      </c>
    </row>
    <row r="909" spans="1:22" ht="11.85" hidden="1" customHeight="1">
      <c r="A909" s="2">
        <v>45907</v>
      </c>
      <c r="B909" s="1" t="s">
        <v>2200</v>
      </c>
      <c r="C909" s="1" t="s">
        <v>2201</v>
      </c>
      <c r="D909" s="1" t="s">
        <v>125</v>
      </c>
      <c r="E909" s="1">
        <v>85259</v>
      </c>
      <c r="F909" s="1" t="s">
        <v>310</v>
      </c>
      <c r="G909" s="1" t="s">
        <v>2005</v>
      </c>
      <c r="H909" s="4" t="s">
        <v>27</v>
      </c>
      <c r="V909" s="45">
        <f>IF(
  OR(
    ISNUMBER(SEARCH("unable to locate acct", tblDocketedComments[[#This Row],[Docketed Consumer Comments]])),
    ISNUMBER(SEARCH("unknown", tblDocketedComments[[#This Row],[Docketed Consumer Comments]])),
    ISNUMBER(SEARCH("inactive", tblDocketedComments[[#This Row],[Docketed Consumer Comments]]))
  ),
  0,
  1
)</f>
        <v>1</v>
      </c>
    </row>
    <row r="910" spans="1:22" ht="11.85" hidden="1" customHeight="1">
      <c r="A910" s="2">
        <v>45907</v>
      </c>
      <c r="B910" s="1" t="s">
        <v>2202</v>
      </c>
      <c r="C910" s="1" t="s">
        <v>2145</v>
      </c>
      <c r="D910" s="1" t="s">
        <v>1098</v>
      </c>
      <c r="E910" s="1">
        <v>85355</v>
      </c>
      <c r="F910" s="1" t="s">
        <v>2203</v>
      </c>
      <c r="G910" s="1" t="s">
        <v>2005</v>
      </c>
      <c r="H910" s="4" t="s">
        <v>6154</v>
      </c>
      <c r="I910" s="5" t="s">
        <v>36</v>
      </c>
      <c r="J910" s="5" t="s">
        <v>37</v>
      </c>
      <c r="K910" s="5" t="s">
        <v>37</v>
      </c>
      <c r="L910" s="5" t="s">
        <v>38</v>
      </c>
      <c r="M910" s="5" t="s">
        <v>38</v>
      </c>
      <c r="N910" s="13">
        <v>189.57</v>
      </c>
      <c r="O910" s="5" t="s">
        <v>38</v>
      </c>
      <c r="P910" s="5" t="s">
        <v>39</v>
      </c>
      <c r="Q910" s="2">
        <v>45964</v>
      </c>
      <c r="V910" s="45">
        <f>IF(
  OR(
    ISNUMBER(SEARCH("unable to locate acct", tblDocketedComments[[#This Row],[Docketed Consumer Comments]])),
    ISNUMBER(SEARCH("unknown", tblDocketedComments[[#This Row],[Docketed Consumer Comments]])),
    ISNUMBER(SEARCH("inactive", tblDocketedComments[[#This Row],[Docketed Consumer Comments]]))
  ),
  0,
  1
)</f>
        <v>1</v>
      </c>
    </row>
    <row r="911" spans="1:22" ht="11.85" hidden="1" customHeight="1">
      <c r="A911" s="2">
        <v>45907</v>
      </c>
      <c r="B911" s="1" t="s">
        <v>2204</v>
      </c>
      <c r="C911" s="1" t="s">
        <v>2205</v>
      </c>
      <c r="D911" s="1" t="s">
        <v>202</v>
      </c>
      <c r="E911" s="1">
        <v>85383</v>
      </c>
      <c r="F911" s="1" t="s">
        <v>31</v>
      </c>
      <c r="G911" s="1" t="s">
        <v>2005</v>
      </c>
      <c r="H911" s="21" t="s">
        <v>6725</v>
      </c>
      <c r="I911" s="5" t="s">
        <v>36</v>
      </c>
      <c r="J911" s="5" t="s">
        <v>37</v>
      </c>
      <c r="K911" s="5" t="s">
        <v>37</v>
      </c>
      <c r="L911" s="5" t="s">
        <v>38</v>
      </c>
      <c r="M911" s="5" t="s">
        <v>37</v>
      </c>
      <c r="N911" s="5" t="s">
        <v>37</v>
      </c>
      <c r="O911" s="5" t="s">
        <v>38</v>
      </c>
      <c r="P911" s="5" t="s">
        <v>39</v>
      </c>
      <c r="Q911" s="2">
        <v>45964</v>
      </c>
      <c r="V911" s="45">
        <f>IF(
  OR(
    ISNUMBER(SEARCH("unable to locate acct", tblDocketedComments[[#This Row],[Docketed Consumer Comments]])),
    ISNUMBER(SEARCH("unknown", tblDocketedComments[[#This Row],[Docketed Consumer Comments]])),
    ISNUMBER(SEARCH("inactive", tblDocketedComments[[#This Row],[Docketed Consumer Comments]]))
  ),
  0,
  1
)</f>
        <v>1</v>
      </c>
    </row>
    <row r="912" spans="1:22" ht="11.85" hidden="1" customHeight="1">
      <c r="A912" s="2">
        <v>45907</v>
      </c>
      <c r="B912" s="1" t="s">
        <v>2206</v>
      </c>
      <c r="C912" s="1" t="s">
        <v>754</v>
      </c>
      <c r="D912" s="1" t="s">
        <v>2207</v>
      </c>
      <c r="E912" s="1">
        <v>85087</v>
      </c>
      <c r="F912" s="1" t="s">
        <v>31</v>
      </c>
      <c r="G912" s="1" t="s">
        <v>2005</v>
      </c>
      <c r="H912" s="4" t="s">
        <v>6352</v>
      </c>
      <c r="I912" s="5" t="s">
        <v>250</v>
      </c>
      <c r="J912" s="5" t="s">
        <v>37</v>
      </c>
      <c r="K912" s="5" t="s">
        <v>37</v>
      </c>
      <c r="L912" s="5" t="s">
        <v>38</v>
      </c>
      <c r="M912" s="5" t="s">
        <v>37</v>
      </c>
      <c r="N912" s="5" t="s">
        <v>37</v>
      </c>
      <c r="O912" s="5" t="s">
        <v>38</v>
      </c>
      <c r="P912" s="5" t="s">
        <v>39</v>
      </c>
      <c r="Q912" s="2">
        <v>45964</v>
      </c>
      <c r="V912" s="45">
        <f>IF(
  OR(
    ISNUMBER(SEARCH("unable to locate acct", tblDocketedComments[[#This Row],[Docketed Consumer Comments]])),
    ISNUMBER(SEARCH("unknown", tblDocketedComments[[#This Row],[Docketed Consumer Comments]])),
    ISNUMBER(SEARCH("inactive", tblDocketedComments[[#This Row],[Docketed Consumer Comments]]))
  ),
  0,
  1
)</f>
        <v>1</v>
      </c>
    </row>
    <row r="913" spans="1:22" ht="11.85" hidden="1" customHeight="1">
      <c r="A913" s="2">
        <v>45907</v>
      </c>
      <c r="B913" s="1" t="s">
        <v>824</v>
      </c>
      <c r="C913" s="1" t="s">
        <v>2208</v>
      </c>
      <c r="D913" s="1" t="s">
        <v>63</v>
      </c>
      <c r="E913" s="1">
        <v>85013</v>
      </c>
      <c r="F913" s="1" t="s">
        <v>310</v>
      </c>
      <c r="G913" s="1" t="s">
        <v>2005</v>
      </c>
      <c r="H913" s="4" t="s">
        <v>6353</v>
      </c>
      <c r="I913" s="5" t="s">
        <v>126</v>
      </c>
      <c r="J913" s="5" t="s">
        <v>37</v>
      </c>
      <c r="K913" s="5" t="s">
        <v>37</v>
      </c>
      <c r="L913" s="5" t="s">
        <v>38</v>
      </c>
      <c r="M913" s="5" t="s">
        <v>37</v>
      </c>
      <c r="N913" s="5" t="s">
        <v>37</v>
      </c>
      <c r="O913" s="5" t="s">
        <v>38</v>
      </c>
      <c r="P913" s="5" t="s">
        <v>39</v>
      </c>
      <c r="Q913" s="2">
        <v>45964</v>
      </c>
      <c r="V913" s="45">
        <f>IF(
  OR(
    ISNUMBER(SEARCH("unable to locate acct", tblDocketedComments[[#This Row],[Docketed Consumer Comments]])),
    ISNUMBER(SEARCH("unknown", tblDocketedComments[[#This Row],[Docketed Consumer Comments]])),
    ISNUMBER(SEARCH("inactive", tblDocketedComments[[#This Row],[Docketed Consumer Comments]]))
  ),
  0,
  1
)</f>
        <v>1</v>
      </c>
    </row>
    <row r="914" spans="1:22" ht="11.85" hidden="1" customHeight="1">
      <c r="A914" s="2">
        <v>45907</v>
      </c>
      <c r="B914" s="1" t="s">
        <v>2209</v>
      </c>
      <c r="C914" s="1" t="s">
        <v>2210</v>
      </c>
      <c r="D914" s="1" t="s">
        <v>63</v>
      </c>
      <c r="E914" s="1">
        <v>85023</v>
      </c>
      <c r="F914" s="1" t="s">
        <v>2211</v>
      </c>
      <c r="G914" s="1" t="s">
        <v>2005</v>
      </c>
      <c r="H914" s="4" t="s">
        <v>6354</v>
      </c>
      <c r="I914" s="5" t="s">
        <v>73</v>
      </c>
      <c r="J914" s="5" t="s">
        <v>37</v>
      </c>
      <c r="K914" s="5" t="s">
        <v>37</v>
      </c>
      <c r="L914" s="5" t="s">
        <v>38</v>
      </c>
      <c r="M914" s="5" t="s">
        <v>37</v>
      </c>
      <c r="N914" s="5" t="s">
        <v>37</v>
      </c>
      <c r="O914" s="5" t="s">
        <v>38</v>
      </c>
      <c r="P914" s="5" t="s">
        <v>39</v>
      </c>
      <c r="Q914" s="2">
        <v>45964</v>
      </c>
      <c r="V914" s="45">
        <f>IF(
  OR(
    ISNUMBER(SEARCH("unable to locate acct", tblDocketedComments[[#This Row],[Docketed Consumer Comments]])),
    ISNUMBER(SEARCH("unknown", tblDocketedComments[[#This Row],[Docketed Consumer Comments]])),
    ISNUMBER(SEARCH("inactive", tblDocketedComments[[#This Row],[Docketed Consumer Comments]]))
  ),
  0,
  1
)</f>
        <v>1</v>
      </c>
    </row>
    <row r="915" spans="1:22" ht="11.85" hidden="1" customHeight="1">
      <c r="A915" s="2">
        <v>45907</v>
      </c>
      <c r="B915" s="1" t="s">
        <v>2212</v>
      </c>
      <c r="C915" s="1" t="s">
        <v>2213</v>
      </c>
      <c r="D915" s="1" t="s">
        <v>63</v>
      </c>
      <c r="E915" s="1">
        <v>85027</v>
      </c>
      <c r="F915" s="1" t="s">
        <v>31</v>
      </c>
      <c r="G915" s="1" t="s">
        <v>2005</v>
      </c>
      <c r="H915" s="4" t="s">
        <v>27</v>
      </c>
      <c r="V915" s="45">
        <f>IF(
  OR(
    ISNUMBER(SEARCH("unable to locate acct", tblDocketedComments[[#This Row],[Docketed Consumer Comments]])),
    ISNUMBER(SEARCH("unknown", tblDocketedComments[[#This Row],[Docketed Consumer Comments]])),
    ISNUMBER(SEARCH("inactive", tblDocketedComments[[#This Row],[Docketed Consumer Comments]]))
  ),
  0,
  1
)</f>
        <v>1</v>
      </c>
    </row>
    <row r="916" spans="1:22" ht="11.85" hidden="1" customHeight="1">
      <c r="A916" s="2">
        <v>45907</v>
      </c>
      <c r="B916" s="1" t="s">
        <v>2214</v>
      </c>
      <c r="C916" s="1" t="s">
        <v>2215</v>
      </c>
      <c r="D916" s="1" t="s">
        <v>202</v>
      </c>
      <c r="E916" s="1">
        <v>85383</v>
      </c>
      <c r="F916" s="1" t="s">
        <v>2216</v>
      </c>
      <c r="G916" s="1" t="s">
        <v>2005</v>
      </c>
      <c r="H916" s="4" t="s">
        <v>6355</v>
      </c>
      <c r="I916" s="5" t="s">
        <v>36</v>
      </c>
      <c r="J916" s="5" t="s">
        <v>37</v>
      </c>
      <c r="K916" s="5" t="s">
        <v>37</v>
      </c>
      <c r="L916" s="5" t="s">
        <v>38</v>
      </c>
      <c r="M916" s="5" t="s">
        <v>37</v>
      </c>
      <c r="N916" s="5" t="s">
        <v>37</v>
      </c>
      <c r="O916" s="5" t="s">
        <v>38</v>
      </c>
      <c r="P916" s="5" t="s">
        <v>39</v>
      </c>
      <c r="Q916" s="2">
        <v>45964</v>
      </c>
      <c r="V916" s="45">
        <f>IF(
  OR(
    ISNUMBER(SEARCH("unable to locate acct", tblDocketedComments[[#This Row],[Docketed Consumer Comments]])),
    ISNUMBER(SEARCH("unknown", tblDocketedComments[[#This Row],[Docketed Consumer Comments]])),
    ISNUMBER(SEARCH("inactive", tblDocketedComments[[#This Row],[Docketed Consumer Comments]]))
  ),
  0,
  1
)</f>
        <v>1</v>
      </c>
    </row>
    <row r="917" spans="1:22" ht="11.85" hidden="1" customHeight="1">
      <c r="A917" s="2">
        <v>45907</v>
      </c>
      <c r="B917" s="1" t="s">
        <v>505</v>
      </c>
      <c r="C917" s="1" t="s">
        <v>915</v>
      </c>
      <c r="D917" s="1" t="s">
        <v>125</v>
      </c>
      <c r="E917" s="1">
        <v>85266</v>
      </c>
      <c r="F917" s="1" t="s">
        <v>31</v>
      </c>
      <c r="G917" s="1" t="s">
        <v>2005</v>
      </c>
      <c r="H917" s="21" t="s">
        <v>6726</v>
      </c>
      <c r="I917" s="5" t="s">
        <v>36</v>
      </c>
      <c r="J917" s="5" t="s">
        <v>37</v>
      </c>
      <c r="K917" s="5" t="s">
        <v>37</v>
      </c>
      <c r="L917" s="5" t="s">
        <v>38</v>
      </c>
      <c r="M917" s="5" t="s">
        <v>37</v>
      </c>
      <c r="N917" s="5" t="s">
        <v>37</v>
      </c>
      <c r="O917" s="5" t="s">
        <v>38</v>
      </c>
      <c r="P917" s="5" t="s">
        <v>39</v>
      </c>
      <c r="Q917" s="2">
        <v>45964</v>
      </c>
      <c r="V917" s="45">
        <f>IF(
  OR(
    ISNUMBER(SEARCH("unable to locate acct", tblDocketedComments[[#This Row],[Docketed Consumer Comments]])),
    ISNUMBER(SEARCH("unknown", tblDocketedComments[[#This Row],[Docketed Consumer Comments]])),
    ISNUMBER(SEARCH("inactive", tblDocketedComments[[#This Row],[Docketed Consumer Comments]]))
  ),
  0,
  1
)</f>
        <v>1</v>
      </c>
    </row>
    <row r="918" spans="1:22" ht="11.85" hidden="1" customHeight="1">
      <c r="A918" s="2">
        <v>45907</v>
      </c>
      <c r="B918" s="1" t="s">
        <v>683</v>
      </c>
      <c r="C918" s="1" t="s">
        <v>478</v>
      </c>
      <c r="D918" s="1" t="s">
        <v>202</v>
      </c>
      <c r="E918" s="1">
        <v>85383</v>
      </c>
      <c r="F918" s="1" t="s">
        <v>310</v>
      </c>
      <c r="G918" s="1" t="s">
        <v>2005</v>
      </c>
      <c r="H918" s="4" t="s">
        <v>209</v>
      </c>
      <c r="V918" s="45">
        <f>IF(
  OR(
    ISNUMBER(SEARCH("unable to locate acct", tblDocketedComments[[#This Row],[Docketed Consumer Comments]])),
    ISNUMBER(SEARCH("unknown", tblDocketedComments[[#This Row],[Docketed Consumer Comments]])),
    ISNUMBER(SEARCH("inactive", tblDocketedComments[[#This Row],[Docketed Consumer Comments]]))
  ),
  0,
  1
)</f>
        <v>1</v>
      </c>
    </row>
    <row r="919" spans="1:22" ht="11.85" hidden="1" customHeight="1">
      <c r="A919" s="2">
        <v>45907</v>
      </c>
      <c r="B919" s="1" t="s">
        <v>2217</v>
      </c>
      <c r="C919" s="1" t="s">
        <v>2218</v>
      </c>
      <c r="D919" s="1" t="s">
        <v>202</v>
      </c>
      <c r="E919" s="1">
        <v>85381</v>
      </c>
      <c r="F919" s="1" t="s">
        <v>310</v>
      </c>
      <c r="G919" s="1" t="s">
        <v>2005</v>
      </c>
      <c r="H919" s="4" t="s">
        <v>27</v>
      </c>
      <c r="V919" s="45">
        <f>IF(
  OR(
    ISNUMBER(SEARCH("unable to locate acct", tblDocketedComments[[#This Row],[Docketed Consumer Comments]])),
    ISNUMBER(SEARCH("unknown", tblDocketedComments[[#This Row],[Docketed Consumer Comments]])),
    ISNUMBER(SEARCH("inactive", tblDocketedComments[[#This Row],[Docketed Consumer Comments]]))
  ),
  0,
  1
)</f>
        <v>1</v>
      </c>
    </row>
    <row r="920" spans="1:22" ht="11.85" hidden="1" customHeight="1">
      <c r="A920" s="2">
        <v>45907</v>
      </c>
      <c r="B920" s="1" t="s">
        <v>1364</v>
      </c>
      <c r="C920" s="1" t="s">
        <v>2219</v>
      </c>
      <c r="D920" s="1" t="s">
        <v>169</v>
      </c>
      <c r="E920" s="1">
        <v>85395</v>
      </c>
      <c r="F920" s="1" t="s">
        <v>31</v>
      </c>
      <c r="G920" s="1" t="s">
        <v>2005</v>
      </c>
      <c r="H920" s="21" t="s">
        <v>6727</v>
      </c>
      <c r="I920" s="5" t="s">
        <v>1507</v>
      </c>
      <c r="J920" s="5" t="s">
        <v>37</v>
      </c>
      <c r="K920" s="5" t="s">
        <v>37</v>
      </c>
      <c r="L920" s="5" t="s">
        <v>38</v>
      </c>
      <c r="M920" s="5" t="s">
        <v>37</v>
      </c>
      <c r="N920" s="5" t="s">
        <v>37</v>
      </c>
      <c r="O920" s="5" t="s">
        <v>38</v>
      </c>
      <c r="P920" s="5" t="s">
        <v>39</v>
      </c>
      <c r="Q920" s="2">
        <v>45964</v>
      </c>
      <c r="V920" s="45">
        <f>IF(
  OR(
    ISNUMBER(SEARCH("unable to locate acct", tblDocketedComments[[#This Row],[Docketed Consumer Comments]])),
    ISNUMBER(SEARCH("unknown", tblDocketedComments[[#This Row],[Docketed Consumer Comments]])),
    ISNUMBER(SEARCH("inactive", tblDocketedComments[[#This Row],[Docketed Consumer Comments]]))
  ),
  0,
  1
)</f>
        <v>1</v>
      </c>
    </row>
    <row r="921" spans="1:22" ht="11.85" hidden="1" customHeight="1">
      <c r="A921" s="2">
        <v>45907</v>
      </c>
      <c r="B921" s="1" t="s">
        <v>2220</v>
      </c>
      <c r="C921" s="1" t="s">
        <v>1753</v>
      </c>
      <c r="D921" s="1" t="s">
        <v>169</v>
      </c>
      <c r="E921" s="1">
        <v>85395</v>
      </c>
      <c r="F921" s="1" t="s">
        <v>2135</v>
      </c>
      <c r="G921" s="1" t="s">
        <v>2005</v>
      </c>
      <c r="H921" s="4" t="s">
        <v>6356</v>
      </c>
      <c r="I921" s="5" t="s">
        <v>36</v>
      </c>
      <c r="J921" s="5" t="s">
        <v>37</v>
      </c>
      <c r="K921" s="5" t="s">
        <v>37</v>
      </c>
      <c r="L921" s="5" t="s">
        <v>38</v>
      </c>
      <c r="M921" s="5" t="s">
        <v>37</v>
      </c>
      <c r="N921" s="5" t="s">
        <v>37</v>
      </c>
      <c r="O921" s="5" t="s">
        <v>38</v>
      </c>
      <c r="P921" s="5" t="s">
        <v>39</v>
      </c>
      <c r="Q921" s="2">
        <v>45964</v>
      </c>
      <c r="V921" s="45">
        <f>IF(
  OR(
    ISNUMBER(SEARCH("unable to locate acct", tblDocketedComments[[#This Row],[Docketed Consumer Comments]])),
    ISNUMBER(SEARCH("unknown", tblDocketedComments[[#This Row],[Docketed Consumer Comments]])),
    ISNUMBER(SEARCH("inactive", tblDocketedComments[[#This Row],[Docketed Consumer Comments]]))
  ),
  0,
  1
)</f>
        <v>1</v>
      </c>
    </row>
    <row r="922" spans="1:22" ht="11.85" hidden="1" customHeight="1">
      <c r="A922" s="2">
        <v>45907</v>
      </c>
      <c r="B922" s="1" t="s">
        <v>2221</v>
      </c>
      <c r="C922" s="1" t="s">
        <v>2222</v>
      </c>
      <c r="D922" s="1" t="s">
        <v>129</v>
      </c>
      <c r="E922" s="1">
        <v>85223</v>
      </c>
      <c r="F922" s="1" t="s">
        <v>310</v>
      </c>
      <c r="G922" s="1" t="s">
        <v>2005</v>
      </c>
      <c r="H922" s="4" t="s">
        <v>6079</v>
      </c>
      <c r="I922" s="5" t="s">
        <v>57</v>
      </c>
      <c r="J922" s="5" t="s">
        <v>37</v>
      </c>
      <c r="K922" s="5" t="s">
        <v>37</v>
      </c>
      <c r="L922" s="5" t="s">
        <v>2223</v>
      </c>
      <c r="M922" s="5" t="s">
        <v>37</v>
      </c>
      <c r="N922" s="5" t="s">
        <v>37</v>
      </c>
      <c r="O922" s="5" t="s">
        <v>38</v>
      </c>
      <c r="P922" s="5" t="s">
        <v>39</v>
      </c>
      <c r="Q922" s="2">
        <v>45964</v>
      </c>
      <c r="V922" s="45">
        <f>IF(
  OR(
    ISNUMBER(SEARCH("unable to locate acct", tblDocketedComments[[#This Row],[Docketed Consumer Comments]])),
    ISNUMBER(SEARCH("unknown", tblDocketedComments[[#This Row],[Docketed Consumer Comments]])),
    ISNUMBER(SEARCH("inactive", tblDocketedComments[[#This Row],[Docketed Consumer Comments]]))
  ),
  0,
  1
)</f>
        <v>1</v>
      </c>
    </row>
    <row r="923" spans="1:22" ht="11.85" hidden="1" customHeight="1">
      <c r="A923" s="2">
        <v>45907</v>
      </c>
      <c r="B923" s="1" t="s">
        <v>2224</v>
      </c>
      <c r="C923" s="1" t="s">
        <v>2225</v>
      </c>
      <c r="D923" s="1" t="s">
        <v>2226</v>
      </c>
      <c r="E923" s="1">
        <v>85086</v>
      </c>
      <c r="F923" s="1" t="s">
        <v>2227</v>
      </c>
      <c r="G923" s="1" t="s">
        <v>2005</v>
      </c>
      <c r="H923" s="4" t="s">
        <v>27</v>
      </c>
      <c r="V923" s="45">
        <f>IF(
  OR(
    ISNUMBER(SEARCH("unable to locate acct", tblDocketedComments[[#This Row],[Docketed Consumer Comments]])),
    ISNUMBER(SEARCH("unknown", tblDocketedComments[[#This Row],[Docketed Consumer Comments]])),
    ISNUMBER(SEARCH("inactive", tblDocketedComments[[#This Row],[Docketed Consumer Comments]]))
  ),
  0,
  1
)</f>
        <v>1</v>
      </c>
    </row>
    <row r="924" spans="1:22" ht="11.85" hidden="1" customHeight="1">
      <c r="A924" s="2">
        <v>45907</v>
      </c>
      <c r="B924" s="1" t="s">
        <v>2228</v>
      </c>
      <c r="C924" s="1" t="s">
        <v>2229</v>
      </c>
      <c r="D924" s="1" t="s">
        <v>136</v>
      </c>
      <c r="E924" s="1">
        <v>85377</v>
      </c>
      <c r="F924" s="1" t="s">
        <v>2230</v>
      </c>
      <c r="G924" s="1" t="s">
        <v>2005</v>
      </c>
      <c r="H924" s="4" t="s">
        <v>6357</v>
      </c>
      <c r="I924" s="5" t="s">
        <v>36</v>
      </c>
      <c r="J924" s="5" t="s">
        <v>37</v>
      </c>
      <c r="K924" s="5" t="s">
        <v>37</v>
      </c>
      <c r="L924" s="5" t="s">
        <v>38</v>
      </c>
      <c r="M924" s="5" t="s">
        <v>37</v>
      </c>
      <c r="N924" s="5" t="s">
        <v>37</v>
      </c>
      <c r="O924" s="5" t="s">
        <v>38</v>
      </c>
      <c r="P924" s="5" t="s">
        <v>39</v>
      </c>
      <c r="Q924" s="2">
        <v>45961</v>
      </c>
      <c r="V924" s="45">
        <f>IF(
  OR(
    ISNUMBER(SEARCH("unable to locate acct", tblDocketedComments[[#This Row],[Docketed Consumer Comments]])),
    ISNUMBER(SEARCH("unknown", tblDocketedComments[[#This Row],[Docketed Consumer Comments]])),
    ISNUMBER(SEARCH("inactive", tblDocketedComments[[#This Row],[Docketed Consumer Comments]]))
  ),
  0,
  1
)</f>
        <v>1</v>
      </c>
    </row>
    <row r="925" spans="1:22" ht="11.85" hidden="1" customHeight="1">
      <c r="A925" s="2">
        <v>45907</v>
      </c>
      <c r="B925" s="1" t="s">
        <v>2231</v>
      </c>
      <c r="C925" s="1" t="s">
        <v>2232</v>
      </c>
      <c r="D925" s="1" t="s">
        <v>853</v>
      </c>
      <c r="E925" s="1">
        <v>85086</v>
      </c>
      <c r="F925" s="1" t="s">
        <v>2233</v>
      </c>
      <c r="G925" s="1" t="s">
        <v>2005</v>
      </c>
      <c r="H925" s="4" t="s">
        <v>6080</v>
      </c>
      <c r="I925" s="5" t="s">
        <v>196</v>
      </c>
      <c r="J925" s="5" t="s">
        <v>37</v>
      </c>
      <c r="K925" s="5" t="s">
        <v>37</v>
      </c>
      <c r="L925" s="5" t="s">
        <v>2234</v>
      </c>
      <c r="M925" s="5" t="s">
        <v>37</v>
      </c>
      <c r="N925" s="5" t="s">
        <v>37</v>
      </c>
      <c r="O925" s="5" t="s">
        <v>38</v>
      </c>
      <c r="P925" s="5" t="s">
        <v>39</v>
      </c>
      <c r="Q925" s="2">
        <v>45961</v>
      </c>
      <c r="V925" s="45">
        <f>IF(
  OR(
    ISNUMBER(SEARCH("unable to locate acct", tblDocketedComments[[#This Row],[Docketed Consumer Comments]])),
    ISNUMBER(SEARCH("unknown", tblDocketedComments[[#This Row],[Docketed Consumer Comments]])),
    ISNUMBER(SEARCH("inactive", tblDocketedComments[[#This Row],[Docketed Consumer Comments]]))
  ),
  0,
  1
)</f>
        <v>1</v>
      </c>
    </row>
    <row r="926" spans="1:22" ht="11.85" hidden="1" customHeight="1">
      <c r="A926" s="2">
        <v>45907</v>
      </c>
      <c r="B926" s="1" t="s">
        <v>2235</v>
      </c>
      <c r="C926" s="1" t="s">
        <v>2236</v>
      </c>
      <c r="D926" s="1" t="s">
        <v>2237</v>
      </c>
      <c r="E926" s="1">
        <v>85342</v>
      </c>
      <c r="F926" s="1" t="s">
        <v>31</v>
      </c>
      <c r="G926" s="1" t="s">
        <v>2005</v>
      </c>
      <c r="H926" s="4" t="s">
        <v>27</v>
      </c>
      <c r="V926" s="45">
        <f>IF(
  OR(
    ISNUMBER(SEARCH("unable to locate acct", tblDocketedComments[[#This Row],[Docketed Consumer Comments]])),
    ISNUMBER(SEARCH("unknown", tblDocketedComments[[#This Row],[Docketed Consumer Comments]])),
    ISNUMBER(SEARCH("inactive", tblDocketedComments[[#This Row],[Docketed Consumer Comments]]))
  ),
  0,
  1
)</f>
        <v>1</v>
      </c>
    </row>
    <row r="927" spans="1:22" ht="11.85" hidden="1" customHeight="1">
      <c r="A927" s="2">
        <v>45907</v>
      </c>
      <c r="B927" s="1" t="s">
        <v>2238</v>
      </c>
      <c r="C927" s="1" t="s">
        <v>1034</v>
      </c>
      <c r="D927" s="1" t="s">
        <v>2237</v>
      </c>
      <c r="E927" s="1">
        <v>85342</v>
      </c>
      <c r="F927" s="1" t="s">
        <v>31</v>
      </c>
      <c r="G927" s="1" t="s">
        <v>2005</v>
      </c>
      <c r="H927" s="4" t="s">
        <v>6081</v>
      </c>
      <c r="I927" s="5" t="s">
        <v>36</v>
      </c>
      <c r="J927" s="5" t="s">
        <v>37</v>
      </c>
      <c r="K927" s="5" t="s">
        <v>37</v>
      </c>
      <c r="L927" s="5" t="s">
        <v>2239</v>
      </c>
      <c r="M927" s="5" t="s">
        <v>37</v>
      </c>
      <c r="N927" s="5" t="s">
        <v>37</v>
      </c>
      <c r="O927" s="5" t="s">
        <v>38</v>
      </c>
      <c r="P927" s="5" t="s">
        <v>39</v>
      </c>
      <c r="Q927" s="2">
        <v>45961</v>
      </c>
      <c r="V927" s="45">
        <f>IF(
  OR(
    ISNUMBER(SEARCH("unable to locate acct", tblDocketedComments[[#This Row],[Docketed Consumer Comments]])),
    ISNUMBER(SEARCH("unknown", tblDocketedComments[[#This Row],[Docketed Consumer Comments]])),
    ISNUMBER(SEARCH("inactive", tblDocketedComments[[#This Row],[Docketed Consumer Comments]]))
  ),
  0,
  1
)</f>
        <v>1</v>
      </c>
    </row>
    <row r="928" spans="1:22" ht="11.85" hidden="1" customHeight="1">
      <c r="A928" s="2">
        <v>45907</v>
      </c>
      <c r="B928" s="1" t="s">
        <v>2240</v>
      </c>
      <c r="C928" s="1" t="s">
        <v>2241</v>
      </c>
      <c r="D928" s="1" t="s">
        <v>202</v>
      </c>
      <c r="E928" s="1">
        <v>85383</v>
      </c>
      <c r="F928" s="1" t="s">
        <v>31</v>
      </c>
      <c r="G928" s="1" t="s">
        <v>2005</v>
      </c>
      <c r="H928" s="4" t="s">
        <v>6358</v>
      </c>
      <c r="I928" s="5" t="s">
        <v>73</v>
      </c>
      <c r="J928" s="5" t="s">
        <v>37</v>
      </c>
      <c r="K928" s="5" t="s">
        <v>37</v>
      </c>
      <c r="L928" s="5" t="s">
        <v>38</v>
      </c>
      <c r="M928" s="5" t="s">
        <v>37</v>
      </c>
      <c r="N928" s="5" t="s">
        <v>37</v>
      </c>
      <c r="O928" s="5" t="s">
        <v>38</v>
      </c>
      <c r="P928" s="5" t="s">
        <v>39</v>
      </c>
      <c r="Q928" s="2">
        <v>45961</v>
      </c>
      <c r="V928" s="45">
        <f>IF(
  OR(
    ISNUMBER(SEARCH("unable to locate acct", tblDocketedComments[[#This Row],[Docketed Consumer Comments]])),
    ISNUMBER(SEARCH("unknown", tblDocketedComments[[#This Row],[Docketed Consumer Comments]])),
    ISNUMBER(SEARCH("inactive", tblDocketedComments[[#This Row],[Docketed Consumer Comments]]))
  ),
  0,
  1
)</f>
        <v>1</v>
      </c>
    </row>
    <row r="929" spans="1:22" ht="11.85" hidden="1" customHeight="1">
      <c r="A929" s="2">
        <v>45907</v>
      </c>
      <c r="B929" s="1" t="s">
        <v>2242</v>
      </c>
      <c r="C929" s="1" t="s">
        <v>2243</v>
      </c>
      <c r="D929" s="1" t="s">
        <v>63</v>
      </c>
      <c r="E929" s="1">
        <v>85028</v>
      </c>
      <c r="F929" s="1" t="s">
        <v>310</v>
      </c>
      <c r="G929" s="1" t="s">
        <v>2005</v>
      </c>
      <c r="H929" s="4" t="s">
        <v>27</v>
      </c>
      <c r="V929" s="45">
        <f>IF(
  OR(
    ISNUMBER(SEARCH("unable to locate acct", tblDocketedComments[[#This Row],[Docketed Consumer Comments]])),
    ISNUMBER(SEARCH("unknown", tblDocketedComments[[#This Row],[Docketed Consumer Comments]])),
    ISNUMBER(SEARCH("inactive", tblDocketedComments[[#This Row],[Docketed Consumer Comments]]))
  ),
  0,
  1
)</f>
        <v>1</v>
      </c>
    </row>
    <row r="930" spans="1:22" ht="11.85" hidden="1" customHeight="1">
      <c r="A930" s="2">
        <v>45907</v>
      </c>
      <c r="B930" s="1" t="s">
        <v>2244</v>
      </c>
      <c r="C930" s="1" t="s">
        <v>2245</v>
      </c>
      <c r="D930" s="1" t="s">
        <v>112</v>
      </c>
      <c r="E930" s="1">
        <v>85388</v>
      </c>
      <c r="F930" s="1" t="s">
        <v>310</v>
      </c>
      <c r="G930" s="1" t="s">
        <v>2005</v>
      </c>
      <c r="H930" s="4" t="s">
        <v>6359</v>
      </c>
      <c r="I930" s="5" t="s">
        <v>250</v>
      </c>
      <c r="J930" s="5" t="s">
        <v>37</v>
      </c>
      <c r="K930" s="5" t="s">
        <v>37</v>
      </c>
      <c r="L930" s="5" t="s">
        <v>38</v>
      </c>
      <c r="M930" s="5" t="s">
        <v>37</v>
      </c>
      <c r="N930" s="5" t="s">
        <v>37</v>
      </c>
      <c r="O930" s="5" t="s">
        <v>38</v>
      </c>
      <c r="P930" s="5" t="s">
        <v>39</v>
      </c>
      <c r="Q930" s="2">
        <v>45961</v>
      </c>
      <c r="V930" s="45">
        <f>IF(
  OR(
    ISNUMBER(SEARCH("unable to locate acct", tblDocketedComments[[#This Row],[Docketed Consumer Comments]])),
    ISNUMBER(SEARCH("unknown", tblDocketedComments[[#This Row],[Docketed Consumer Comments]])),
    ISNUMBER(SEARCH("inactive", tblDocketedComments[[#This Row],[Docketed Consumer Comments]]))
  ),
  0,
  1
)</f>
        <v>1</v>
      </c>
    </row>
    <row r="931" spans="1:22" ht="11.85" hidden="1" customHeight="1">
      <c r="A931" s="2">
        <v>45907</v>
      </c>
      <c r="B931" s="1" t="s">
        <v>2246</v>
      </c>
      <c r="C931" s="1" t="s">
        <v>1614</v>
      </c>
      <c r="D931" s="1" t="s">
        <v>202</v>
      </c>
      <c r="E931" s="1">
        <v>85345</v>
      </c>
      <c r="F931" s="1" t="s">
        <v>310</v>
      </c>
      <c r="G931" s="1" t="s">
        <v>2005</v>
      </c>
      <c r="H931" s="4" t="s">
        <v>6082</v>
      </c>
      <c r="I931" s="5" t="s">
        <v>57</v>
      </c>
      <c r="J931" s="5" t="s">
        <v>37</v>
      </c>
      <c r="K931" s="5" t="s">
        <v>37</v>
      </c>
      <c r="L931" s="7" t="s">
        <v>2247</v>
      </c>
      <c r="M931" s="5" t="s">
        <v>37</v>
      </c>
      <c r="N931" s="5" t="s">
        <v>37</v>
      </c>
      <c r="O931" s="5" t="s">
        <v>38</v>
      </c>
      <c r="P931" s="2">
        <v>45939</v>
      </c>
      <c r="Q931" s="2">
        <v>45961</v>
      </c>
      <c r="R931" s="1" t="s">
        <v>2083</v>
      </c>
      <c r="V931" s="45">
        <f>IF(
  OR(
    ISNUMBER(SEARCH("unable to locate acct", tblDocketedComments[[#This Row],[Docketed Consumer Comments]])),
    ISNUMBER(SEARCH("unknown", tblDocketedComments[[#This Row],[Docketed Consumer Comments]])),
    ISNUMBER(SEARCH("inactive", tblDocketedComments[[#This Row],[Docketed Consumer Comments]]))
  ),
  0,
  1
)</f>
        <v>1</v>
      </c>
    </row>
    <row r="932" spans="1:22" ht="11.85" hidden="1" customHeight="1">
      <c r="A932" s="2">
        <v>45907</v>
      </c>
      <c r="B932" s="1" t="s">
        <v>2248</v>
      </c>
      <c r="C932" s="1" t="s">
        <v>1482</v>
      </c>
      <c r="D932" s="1" t="s">
        <v>125</v>
      </c>
      <c r="E932" s="1">
        <v>85260</v>
      </c>
      <c r="F932" s="1" t="s">
        <v>310</v>
      </c>
      <c r="G932" s="1" t="s">
        <v>2005</v>
      </c>
      <c r="H932" s="4" t="s">
        <v>6360</v>
      </c>
      <c r="I932" s="5" t="s">
        <v>196</v>
      </c>
      <c r="J932" s="5" t="s">
        <v>37</v>
      </c>
      <c r="K932" s="5" t="s">
        <v>37</v>
      </c>
      <c r="L932" s="5" t="s">
        <v>38</v>
      </c>
      <c r="M932" s="5" t="s">
        <v>37</v>
      </c>
      <c r="N932" s="5" t="s">
        <v>37</v>
      </c>
      <c r="O932" s="5" t="s">
        <v>38</v>
      </c>
      <c r="P932" s="2">
        <v>45938</v>
      </c>
      <c r="Q932" s="2">
        <v>45961</v>
      </c>
      <c r="R932" s="1" t="s">
        <v>2249</v>
      </c>
      <c r="V932" s="45">
        <f>IF(
  OR(
    ISNUMBER(SEARCH("unable to locate acct", tblDocketedComments[[#This Row],[Docketed Consumer Comments]])),
    ISNUMBER(SEARCH("unknown", tblDocketedComments[[#This Row],[Docketed Consumer Comments]])),
    ISNUMBER(SEARCH("inactive", tblDocketedComments[[#This Row],[Docketed Consumer Comments]]))
  ),
  0,
  1
)</f>
        <v>1</v>
      </c>
    </row>
    <row r="933" spans="1:22" ht="11.85" hidden="1" customHeight="1">
      <c r="A933" s="2">
        <v>45907</v>
      </c>
      <c r="B933" s="1" t="s">
        <v>535</v>
      </c>
      <c r="C933" s="1" t="s">
        <v>124</v>
      </c>
      <c r="D933" s="1" t="s">
        <v>501</v>
      </c>
      <c r="E933" s="1">
        <v>86001</v>
      </c>
      <c r="F933" s="1" t="s">
        <v>310</v>
      </c>
      <c r="G933" s="1" t="s">
        <v>2005</v>
      </c>
      <c r="H933" s="4" t="s">
        <v>6361</v>
      </c>
      <c r="I933" s="5" t="s">
        <v>73</v>
      </c>
      <c r="J933" s="5" t="s">
        <v>37</v>
      </c>
      <c r="K933" s="5" t="s">
        <v>37</v>
      </c>
      <c r="L933" s="5" t="s">
        <v>38</v>
      </c>
      <c r="M933" s="5" t="s">
        <v>37</v>
      </c>
      <c r="N933" s="5" t="s">
        <v>37</v>
      </c>
      <c r="O933" s="5" t="s">
        <v>38</v>
      </c>
      <c r="P933" s="5" t="s">
        <v>39</v>
      </c>
      <c r="Q933" s="2">
        <v>45961</v>
      </c>
      <c r="V933" s="45">
        <f>IF(
  OR(
    ISNUMBER(SEARCH("unable to locate acct", tblDocketedComments[[#This Row],[Docketed Consumer Comments]])),
    ISNUMBER(SEARCH("unknown", tblDocketedComments[[#This Row],[Docketed Consumer Comments]])),
    ISNUMBER(SEARCH("inactive", tblDocketedComments[[#This Row],[Docketed Consumer Comments]]))
  ),
  0,
  1
)</f>
        <v>1</v>
      </c>
    </row>
    <row r="934" spans="1:22" ht="11.85" hidden="1" customHeight="1">
      <c r="A934" s="2">
        <v>45907</v>
      </c>
      <c r="B934" s="1" t="s">
        <v>445</v>
      </c>
      <c r="C934" s="1" t="s">
        <v>135</v>
      </c>
      <c r="D934" s="1" t="s">
        <v>24</v>
      </c>
      <c r="E934" s="1">
        <v>85304</v>
      </c>
      <c r="F934" s="1" t="s">
        <v>2250</v>
      </c>
      <c r="G934" s="1" t="s">
        <v>2005</v>
      </c>
      <c r="H934" s="4" t="s">
        <v>209</v>
      </c>
      <c r="V934" s="45">
        <f>IF(
  OR(
    ISNUMBER(SEARCH("unable to locate acct", tblDocketedComments[[#This Row],[Docketed Consumer Comments]])),
    ISNUMBER(SEARCH("unknown", tblDocketedComments[[#This Row],[Docketed Consumer Comments]])),
    ISNUMBER(SEARCH("inactive", tblDocketedComments[[#This Row],[Docketed Consumer Comments]]))
  ),
  0,
  1
)</f>
        <v>1</v>
      </c>
    </row>
    <row r="935" spans="1:22" ht="11.85" hidden="1" customHeight="1">
      <c r="A935" s="2">
        <v>45907</v>
      </c>
      <c r="B935" s="1" t="s">
        <v>2251</v>
      </c>
      <c r="C935" s="1" t="s">
        <v>2252</v>
      </c>
      <c r="D935" s="1" t="s">
        <v>112</v>
      </c>
      <c r="E935" s="1">
        <v>85379</v>
      </c>
      <c r="F935" s="1" t="s">
        <v>2253</v>
      </c>
      <c r="G935" s="1" t="s">
        <v>2005</v>
      </c>
      <c r="H935" s="4" t="s">
        <v>6362</v>
      </c>
      <c r="I935" s="5" t="s">
        <v>126</v>
      </c>
      <c r="J935" s="5" t="s">
        <v>37</v>
      </c>
      <c r="K935" s="5" t="s">
        <v>37</v>
      </c>
      <c r="L935" s="5" t="s">
        <v>38</v>
      </c>
      <c r="M935" s="5" t="s">
        <v>37</v>
      </c>
      <c r="N935" s="5" t="s">
        <v>37</v>
      </c>
      <c r="O935" s="5" t="s">
        <v>38</v>
      </c>
      <c r="P935" s="5" t="s">
        <v>39</v>
      </c>
      <c r="Q935" s="2">
        <v>45961</v>
      </c>
      <c r="V935" s="45">
        <f>IF(
  OR(
    ISNUMBER(SEARCH("unable to locate acct", tblDocketedComments[[#This Row],[Docketed Consumer Comments]])),
    ISNUMBER(SEARCH("unknown", tblDocketedComments[[#This Row],[Docketed Consumer Comments]])),
    ISNUMBER(SEARCH("inactive", tblDocketedComments[[#This Row],[Docketed Consumer Comments]]))
  ),
  0,
  1
)</f>
        <v>1</v>
      </c>
    </row>
    <row r="936" spans="1:22" ht="11.85" hidden="1" customHeight="1">
      <c r="A936" s="2">
        <v>45907</v>
      </c>
      <c r="B936" s="1" t="s">
        <v>2254</v>
      </c>
      <c r="C936" s="1" t="s">
        <v>2255</v>
      </c>
      <c r="D936" s="1" t="s">
        <v>520</v>
      </c>
      <c r="E936" s="1">
        <v>85392</v>
      </c>
      <c r="F936" s="1" t="s">
        <v>1040</v>
      </c>
      <c r="G936" s="1" t="s">
        <v>2005</v>
      </c>
      <c r="H936" s="4" t="s">
        <v>6083</v>
      </c>
      <c r="I936" s="5" t="s">
        <v>1507</v>
      </c>
      <c r="J936" s="5" t="s">
        <v>37</v>
      </c>
      <c r="K936" s="5" t="s">
        <v>37</v>
      </c>
      <c r="L936" s="5" t="s">
        <v>399</v>
      </c>
      <c r="M936" s="5" t="s">
        <v>37</v>
      </c>
      <c r="N936" s="5" t="s">
        <v>37</v>
      </c>
      <c r="O936" s="5" t="s">
        <v>38</v>
      </c>
      <c r="P936" s="5" t="s">
        <v>39</v>
      </c>
      <c r="Q936" s="2">
        <v>45961</v>
      </c>
      <c r="R936" s="1" t="s">
        <v>2256</v>
      </c>
      <c r="V936" s="45">
        <f>IF(
  OR(
    ISNUMBER(SEARCH("unable to locate acct", tblDocketedComments[[#This Row],[Docketed Consumer Comments]])),
    ISNUMBER(SEARCH("unknown", tblDocketedComments[[#This Row],[Docketed Consumer Comments]])),
    ISNUMBER(SEARCH("inactive", tblDocketedComments[[#This Row],[Docketed Consumer Comments]]))
  ),
  0,
  1
)</f>
        <v>1</v>
      </c>
    </row>
    <row r="937" spans="1:22" ht="11.85" hidden="1" customHeight="1">
      <c r="A937" s="2">
        <v>45907</v>
      </c>
      <c r="B937" s="1" t="s">
        <v>1275</v>
      </c>
      <c r="C937" s="1" t="s">
        <v>2257</v>
      </c>
      <c r="D937" s="1" t="s">
        <v>202</v>
      </c>
      <c r="E937" s="1">
        <v>85382</v>
      </c>
      <c r="F937" s="1" t="s">
        <v>1936</v>
      </c>
      <c r="G937" s="1" t="s">
        <v>2005</v>
      </c>
      <c r="H937" s="4" t="s">
        <v>2258</v>
      </c>
      <c r="I937" s="5" t="s">
        <v>73</v>
      </c>
      <c r="J937" s="5" t="s">
        <v>37</v>
      </c>
      <c r="K937" s="5" t="s">
        <v>37</v>
      </c>
      <c r="L937" s="5" t="s">
        <v>38</v>
      </c>
      <c r="M937" s="5" t="s">
        <v>37</v>
      </c>
      <c r="N937" s="5" t="s">
        <v>37</v>
      </c>
      <c r="O937" s="5" t="s">
        <v>38</v>
      </c>
      <c r="P937" s="5" t="s">
        <v>39</v>
      </c>
      <c r="Q937" s="2">
        <v>45961</v>
      </c>
      <c r="V937" s="45">
        <f>IF(
  OR(
    ISNUMBER(SEARCH("unable to locate acct", tblDocketedComments[[#This Row],[Docketed Consumer Comments]])),
    ISNUMBER(SEARCH("unknown", tblDocketedComments[[#This Row],[Docketed Consumer Comments]])),
    ISNUMBER(SEARCH("inactive", tblDocketedComments[[#This Row],[Docketed Consumer Comments]]))
  ),
  0,
  1
)</f>
        <v>1</v>
      </c>
    </row>
    <row r="938" spans="1:22" ht="11.85" hidden="1" customHeight="1">
      <c r="A938" s="2">
        <v>45907</v>
      </c>
      <c r="B938" s="1" t="s">
        <v>2259</v>
      </c>
      <c r="C938" s="1" t="s">
        <v>1780</v>
      </c>
      <c r="D938" s="1" t="s">
        <v>2260</v>
      </c>
      <c r="E938" s="1">
        <v>86023</v>
      </c>
      <c r="F938" s="1" t="s">
        <v>310</v>
      </c>
      <c r="G938" s="1" t="s">
        <v>2005</v>
      </c>
      <c r="H938" s="4" t="s">
        <v>6363</v>
      </c>
      <c r="I938" s="5" t="s">
        <v>73</v>
      </c>
      <c r="J938" s="5" t="s">
        <v>37</v>
      </c>
      <c r="K938" s="5" t="s">
        <v>37</v>
      </c>
      <c r="L938" s="5" t="s">
        <v>38</v>
      </c>
      <c r="M938" s="5" t="s">
        <v>37</v>
      </c>
      <c r="N938" s="5" t="s">
        <v>37</v>
      </c>
      <c r="O938" s="5" t="s">
        <v>38</v>
      </c>
      <c r="P938" s="5" t="s">
        <v>39</v>
      </c>
      <c r="Q938" s="2">
        <v>45961</v>
      </c>
      <c r="V938" s="45">
        <f>IF(
  OR(
    ISNUMBER(SEARCH("unable to locate acct", tblDocketedComments[[#This Row],[Docketed Consumer Comments]])),
    ISNUMBER(SEARCH("unknown", tblDocketedComments[[#This Row],[Docketed Consumer Comments]])),
    ISNUMBER(SEARCH("inactive", tblDocketedComments[[#This Row],[Docketed Consumer Comments]]))
  ),
  0,
  1
)</f>
        <v>1</v>
      </c>
    </row>
    <row r="939" spans="1:22" ht="11.85" hidden="1" customHeight="1">
      <c r="A939" s="2">
        <v>45907</v>
      </c>
      <c r="B939" s="1" t="s">
        <v>2261</v>
      </c>
      <c r="C939" s="1" t="s">
        <v>469</v>
      </c>
      <c r="D939" s="1" t="s">
        <v>63</v>
      </c>
      <c r="E939" s="1">
        <v>85020</v>
      </c>
      <c r="F939" s="1" t="s">
        <v>310</v>
      </c>
      <c r="G939" s="1" t="s">
        <v>2005</v>
      </c>
      <c r="H939" s="4" t="s">
        <v>4607</v>
      </c>
      <c r="I939" s="5" t="s">
        <v>538</v>
      </c>
      <c r="J939" s="5" t="s">
        <v>37</v>
      </c>
      <c r="K939" s="5" t="s">
        <v>37</v>
      </c>
      <c r="L939" s="5" t="s">
        <v>387</v>
      </c>
      <c r="M939" s="5" t="s">
        <v>37</v>
      </c>
      <c r="N939" s="5" t="s">
        <v>37</v>
      </c>
      <c r="O939" s="5" t="s">
        <v>38</v>
      </c>
      <c r="P939" s="5" t="s">
        <v>39</v>
      </c>
      <c r="Q939" s="2">
        <v>45961</v>
      </c>
      <c r="V939" s="45">
        <f>IF(
  OR(
    ISNUMBER(SEARCH("unable to locate acct", tblDocketedComments[[#This Row],[Docketed Consumer Comments]])),
    ISNUMBER(SEARCH("unknown", tblDocketedComments[[#This Row],[Docketed Consumer Comments]])),
    ISNUMBER(SEARCH("inactive", tblDocketedComments[[#This Row],[Docketed Consumer Comments]]))
  ),
  0,
  1
)</f>
        <v>1</v>
      </c>
    </row>
    <row r="940" spans="1:22" ht="11.85" hidden="1" customHeight="1">
      <c r="A940" s="2">
        <v>45907</v>
      </c>
      <c r="B940" s="1" t="s">
        <v>2262</v>
      </c>
      <c r="C940" s="1" t="s">
        <v>2263</v>
      </c>
      <c r="D940" s="1" t="s">
        <v>63</v>
      </c>
      <c r="E940" s="1">
        <v>85006</v>
      </c>
      <c r="F940" s="1" t="s">
        <v>31</v>
      </c>
      <c r="G940" s="1" t="s">
        <v>2005</v>
      </c>
      <c r="H940" s="4" t="s">
        <v>90</v>
      </c>
      <c r="V940" s="45">
        <f>IF(
  OR(
    ISNUMBER(SEARCH("unable to locate acct", tblDocketedComments[[#This Row],[Docketed Consumer Comments]])),
    ISNUMBER(SEARCH("unknown", tblDocketedComments[[#This Row],[Docketed Consumer Comments]])),
    ISNUMBER(SEARCH("inactive", tblDocketedComments[[#This Row],[Docketed Consumer Comments]]))
  ),
  0,
  1
)</f>
        <v>1</v>
      </c>
    </row>
    <row r="941" spans="1:22" ht="11.85" hidden="1" customHeight="1">
      <c r="A941" s="2">
        <v>45907</v>
      </c>
      <c r="B941" s="1" t="s">
        <v>2264</v>
      </c>
      <c r="C941" s="1" t="s">
        <v>2265</v>
      </c>
      <c r="D941" s="1" t="s">
        <v>63</v>
      </c>
      <c r="E941" s="1">
        <v>85006</v>
      </c>
      <c r="F941" s="1" t="s">
        <v>2266</v>
      </c>
      <c r="G941" s="1" t="s">
        <v>2005</v>
      </c>
      <c r="H941" s="4" t="s">
        <v>27</v>
      </c>
      <c r="V941" s="45">
        <f>IF(
  OR(
    ISNUMBER(SEARCH("unable to locate acct", tblDocketedComments[[#This Row],[Docketed Consumer Comments]])),
    ISNUMBER(SEARCH("unknown", tblDocketedComments[[#This Row],[Docketed Consumer Comments]])),
    ISNUMBER(SEARCH("inactive", tblDocketedComments[[#This Row],[Docketed Consumer Comments]]))
  ),
  0,
  1
)</f>
        <v>1</v>
      </c>
    </row>
    <row r="942" spans="1:22" ht="11.85" hidden="1" customHeight="1">
      <c r="A942" s="2">
        <v>45907</v>
      </c>
      <c r="B942" s="1" t="s">
        <v>2267</v>
      </c>
      <c r="C942" s="1" t="s">
        <v>381</v>
      </c>
      <c r="D942" s="1" t="s">
        <v>112</v>
      </c>
      <c r="E942" s="1">
        <v>85374</v>
      </c>
      <c r="F942" s="1" t="s">
        <v>310</v>
      </c>
      <c r="G942" s="1" t="s">
        <v>2005</v>
      </c>
      <c r="H942" s="4" t="s">
        <v>6084</v>
      </c>
      <c r="I942" s="5" t="s">
        <v>196</v>
      </c>
      <c r="J942" s="5" t="s">
        <v>37</v>
      </c>
      <c r="K942" s="5" t="s">
        <v>37</v>
      </c>
      <c r="L942" s="5" t="s">
        <v>2268</v>
      </c>
      <c r="M942" s="5" t="s">
        <v>37</v>
      </c>
      <c r="N942" s="5" t="s">
        <v>37</v>
      </c>
      <c r="O942" s="5" t="s">
        <v>38</v>
      </c>
      <c r="P942" s="5" t="s">
        <v>39</v>
      </c>
      <c r="Q942" s="2">
        <v>45961</v>
      </c>
      <c r="V942" s="45">
        <f>IF(
  OR(
    ISNUMBER(SEARCH("unable to locate acct", tblDocketedComments[[#This Row],[Docketed Consumer Comments]])),
    ISNUMBER(SEARCH("unknown", tblDocketedComments[[#This Row],[Docketed Consumer Comments]])),
    ISNUMBER(SEARCH("inactive", tblDocketedComments[[#This Row],[Docketed Consumer Comments]]))
  ),
  0,
  1
)</f>
        <v>1</v>
      </c>
    </row>
    <row r="943" spans="1:22" ht="11.85" hidden="1" customHeight="1">
      <c r="A943" s="2">
        <v>45907</v>
      </c>
      <c r="B943" s="1" t="s">
        <v>429</v>
      </c>
      <c r="C943" s="1" t="s">
        <v>2269</v>
      </c>
      <c r="D943" s="1" t="s">
        <v>63</v>
      </c>
      <c r="E943" s="1">
        <v>85016</v>
      </c>
      <c r="F943" s="1" t="s">
        <v>310</v>
      </c>
      <c r="G943" s="1" t="s">
        <v>2005</v>
      </c>
      <c r="H943" s="4" t="s">
        <v>6364</v>
      </c>
      <c r="I943" s="5" t="s">
        <v>126</v>
      </c>
      <c r="J943" s="5" t="s">
        <v>37</v>
      </c>
      <c r="K943" s="5" t="s">
        <v>37</v>
      </c>
      <c r="L943" s="5" t="s">
        <v>38</v>
      </c>
      <c r="M943" s="5" t="s">
        <v>37</v>
      </c>
      <c r="N943" s="5" t="s">
        <v>37</v>
      </c>
      <c r="O943" s="5" t="s">
        <v>38</v>
      </c>
      <c r="P943" s="5" t="s">
        <v>39</v>
      </c>
      <c r="Q943" s="2">
        <v>45961</v>
      </c>
      <c r="V943" s="45">
        <f>IF(
  OR(
    ISNUMBER(SEARCH("unable to locate acct", tblDocketedComments[[#This Row],[Docketed Consumer Comments]])),
    ISNUMBER(SEARCH("unknown", tblDocketedComments[[#This Row],[Docketed Consumer Comments]])),
    ISNUMBER(SEARCH("inactive", tblDocketedComments[[#This Row],[Docketed Consumer Comments]]))
  ),
  0,
  1
)</f>
        <v>1</v>
      </c>
    </row>
    <row r="944" spans="1:22" ht="11.85" hidden="1" customHeight="1">
      <c r="A944" s="2">
        <v>45907</v>
      </c>
      <c r="B944" s="1" t="s">
        <v>2270</v>
      </c>
      <c r="C944" s="1" t="s">
        <v>608</v>
      </c>
      <c r="D944" s="1" t="s">
        <v>2052</v>
      </c>
      <c r="E944" s="1">
        <v>85132</v>
      </c>
      <c r="F944" s="1" t="s">
        <v>31</v>
      </c>
      <c r="G944" s="1" t="s">
        <v>2005</v>
      </c>
      <c r="H944" s="4" t="s">
        <v>27</v>
      </c>
      <c r="V944" s="45">
        <f>IF(
  OR(
    ISNUMBER(SEARCH("unable to locate acct", tblDocketedComments[[#This Row],[Docketed Consumer Comments]])),
    ISNUMBER(SEARCH("unknown", tblDocketedComments[[#This Row],[Docketed Consumer Comments]])),
    ISNUMBER(SEARCH("inactive", tblDocketedComments[[#This Row],[Docketed Consumer Comments]]))
  ),
  0,
  1
)</f>
        <v>1</v>
      </c>
    </row>
    <row r="945" spans="1:22" ht="11.85" hidden="1" customHeight="1">
      <c r="A945" s="2">
        <v>45907</v>
      </c>
      <c r="B945" s="1" t="s">
        <v>2271</v>
      </c>
      <c r="C945" s="1" t="s">
        <v>393</v>
      </c>
      <c r="D945" s="1" t="s">
        <v>63</v>
      </c>
      <c r="E945" s="1">
        <v>85012</v>
      </c>
      <c r="F945" s="1" t="s">
        <v>310</v>
      </c>
      <c r="G945" s="1" t="s">
        <v>2005</v>
      </c>
      <c r="H945" s="4" t="s">
        <v>6085</v>
      </c>
      <c r="I945" s="5" t="s">
        <v>126</v>
      </c>
      <c r="J945" s="5" t="s">
        <v>37</v>
      </c>
      <c r="K945" s="5" t="s">
        <v>37</v>
      </c>
      <c r="L945" s="5" t="s">
        <v>2272</v>
      </c>
      <c r="M945" s="5" t="s">
        <v>37</v>
      </c>
      <c r="N945" s="5" t="s">
        <v>37</v>
      </c>
      <c r="O945" s="5" t="s">
        <v>38</v>
      </c>
      <c r="P945" s="5" t="s">
        <v>39</v>
      </c>
      <c r="Q945" s="2">
        <v>45961</v>
      </c>
      <c r="V945" s="45">
        <f>IF(
  OR(
    ISNUMBER(SEARCH("unable to locate acct", tblDocketedComments[[#This Row],[Docketed Consumer Comments]])),
    ISNUMBER(SEARCH("unknown", tblDocketedComments[[#This Row],[Docketed Consumer Comments]])),
    ISNUMBER(SEARCH("inactive", tblDocketedComments[[#This Row],[Docketed Consumer Comments]]))
  ),
  0,
  1
)</f>
        <v>1</v>
      </c>
    </row>
    <row r="946" spans="1:22" ht="11.85" hidden="1" customHeight="1">
      <c r="A946" s="2">
        <v>45907</v>
      </c>
      <c r="B946" s="1" t="s">
        <v>1521</v>
      </c>
      <c r="C946" s="1" t="s">
        <v>2273</v>
      </c>
      <c r="D946" s="1" t="s">
        <v>63</v>
      </c>
      <c r="E946" s="1">
        <v>85032</v>
      </c>
      <c r="F946" s="1" t="s">
        <v>310</v>
      </c>
      <c r="G946" s="1" t="s">
        <v>2005</v>
      </c>
      <c r="H946" s="4" t="s">
        <v>209</v>
      </c>
      <c r="V946" s="45">
        <f>IF(
  OR(
    ISNUMBER(SEARCH("unable to locate acct", tblDocketedComments[[#This Row],[Docketed Consumer Comments]])),
    ISNUMBER(SEARCH("unknown", tblDocketedComments[[#This Row],[Docketed Consumer Comments]])),
    ISNUMBER(SEARCH("inactive", tblDocketedComments[[#This Row],[Docketed Consumer Comments]]))
  ),
  0,
  1
)</f>
        <v>1</v>
      </c>
    </row>
    <row r="947" spans="1:22" ht="11.85" hidden="1" customHeight="1">
      <c r="A947" s="2">
        <v>45907</v>
      </c>
      <c r="B947" s="1" t="s">
        <v>1757</v>
      </c>
      <c r="C947" s="1" t="s">
        <v>899</v>
      </c>
      <c r="D947" s="1" t="s">
        <v>63</v>
      </c>
      <c r="E947" s="1">
        <v>85012</v>
      </c>
      <c r="F947" s="1" t="s">
        <v>31</v>
      </c>
      <c r="G947" s="1" t="s">
        <v>2005</v>
      </c>
      <c r="H947" s="4" t="s">
        <v>6365</v>
      </c>
      <c r="I947" s="5" t="s">
        <v>126</v>
      </c>
      <c r="J947" s="5" t="s">
        <v>37</v>
      </c>
      <c r="K947" s="5" t="s">
        <v>37</v>
      </c>
      <c r="L947" s="5" t="s">
        <v>38</v>
      </c>
      <c r="M947" s="5" t="s">
        <v>37</v>
      </c>
      <c r="N947" s="5" t="s">
        <v>37</v>
      </c>
      <c r="O947" s="5" t="s">
        <v>38</v>
      </c>
      <c r="P947" s="5" t="s">
        <v>39</v>
      </c>
      <c r="Q947" s="2">
        <v>45961</v>
      </c>
      <c r="V947" s="45">
        <f>IF(
  OR(
    ISNUMBER(SEARCH("unable to locate acct", tblDocketedComments[[#This Row],[Docketed Consumer Comments]])),
    ISNUMBER(SEARCH("unknown", tblDocketedComments[[#This Row],[Docketed Consumer Comments]])),
    ISNUMBER(SEARCH("inactive", tblDocketedComments[[#This Row],[Docketed Consumer Comments]]))
  ),
  0,
  1
)</f>
        <v>1</v>
      </c>
    </row>
    <row r="948" spans="1:22" ht="11.85" hidden="1" customHeight="1">
      <c r="A948" s="2">
        <v>45907</v>
      </c>
      <c r="B948" s="1" t="s">
        <v>1521</v>
      </c>
      <c r="C948" s="1" t="s">
        <v>478</v>
      </c>
      <c r="D948" s="1" t="s">
        <v>63</v>
      </c>
      <c r="E948" s="1">
        <v>85032</v>
      </c>
      <c r="F948" s="1" t="s">
        <v>2274</v>
      </c>
      <c r="G948" s="1" t="s">
        <v>2005</v>
      </c>
      <c r="H948" s="4" t="s">
        <v>6086</v>
      </c>
      <c r="I948" s="5" t="s">
        <v>36</v>
      </c>
      <c r="J948" s="5" t="s">
        <v>37</v>
      </c>
      <c r="K948" s="5" t="s">
        <v>37</v>
      </c>
      <c r="L948" s="5" t="s">
        <v>36</v>
      </c>
      <c r="M948" s="5" t="s">
        <v>37</v>
      </c>
      <c r="N948" s="5" t="s">
        <v>37</v>
      </c>
      <c r="O948" s="5" t="s">
        <v>38</v>
      </c>
      <c r="P948" s="5" t="s">
        <v>39</v>
      </c>
      <c r="Q948" s="2">
        <v>45961</v>
      </c>
      <c r="V948" s="45">
        <f>IF(
  OR(
    ISNUMBER(SEARCH("unable to locate acct", tblDocketedComments[[#This Row],[Docketed Consumer Comments]])),
    ISNUMBER(SEARCH("unknown", tblDocketedComments[[#This Row],[Docketed Consumer Comments]])),
    ISNUMBER(SEARCH("inactive", tblDocketedComments[[#This Row],[Docketed Consumer Comments]]))
  ),
  0,
  1
)</f>
        <v>1</v>
      </c>
    </row>
    <row r="949" spans="1:22" ht="11.85" hidden="1" customHeight="1">
      <c r="A949" s="2">
        <v>45907</v>
      </c>
      <c r="B949" s="1" t="s">
        <v>447</v>
      </c>
      <c r="C949" s="1" t="s">
        <v>2275</v>
      </c>
      <c r="D949" s="1" t="s">
        <v>63</v>
      </c>
      <c r="E949" s="1">
        <v>85032</v>
      </c>
      <c r="F949" s="1" t="s">
        <v>310</v>
      </c>
      <c r="G949" s="1" t="s">
        <v>2005</v>
      </c>
      <c r="H949" s="4" t="s">
        <v>6087</v>
      </c>
      <c r="I949" s="5" t="s">
        <v>196</v>
      </c>
      <c r="J949" s="5" t="s">
        <v>37</v>
      </c>
      <c r="K949" s="5" t="s">
        <v>37</v>
      </c>
      <c r="L949" s="5" t="s">
        <v>2276</v>
      </c>
      <c r="M949" s="5" t="s">
        <v>37</v>
      </c>
      <c r="N949" s="5" t="s">
        <v>37</v>
      </c>
      <c r="O949" s="5" t="s">
        <v>38</v>
      </c>
      <c r="P949" s="5" t="s">
        <v>39</v>
      </c>
      <c r="Q949" s="2">
        <v>45961</v>
      </c>
      <c r="R949" s="1" t="s">
        <v>2277</v>
      </c>
      <c r="V949" s="45">
        <f>IF(
  OR(
    ISNUMBER(SEARCH("unable to locate acct", tblDocketedComments[[#This Row],[Docketed Consumer Comments]])),
    ISNUMBER(SEARCH("unknown", tblDocketedComments[[#This Row],[Docketed Consumer Comments]])),
    ISNUMBER(SEARCH("inactive", tblDocketedComments[[#This Row],[Docketed Consumer Comments]]))
  ),
  0,
  1
)</f>
        <v>1</v>
      </c>
    </row>
    <row r="950" spans="1:22" ht="11.85" hidden="1" customHeight="1">
      <c r="A950" s="2">
        <v>45907</v>
      </c>
      <c r="B950" s="1" t="s">
        <v>2278</v>
      </c>
      <c r="C950" s="1" t="s">
        <v>199</v>
      </c>
      <c r="D950" s="1" t="s">
        <v>501</v>
      </c>
      <c r="E950" s="1">
        <v>86001</v>
      </c>
      <c r="F950" s="1" t="s">
        <v>31</v>
      </c>
      <c r="G950" s="1" t="s">
        <v>2005</v>
      </c>
      <c r="H950" s="4" t="s">
        <v>90</v>
      </c>
      <c r="V950" s="45">
        <f>IF(
  OR(
    ISNUMBER(SEARCH("unable to locate acct", tblDocketedComments[[#This Row],[Docketed Consumer Comments]])),
    ISNUMBER(SEARCH("unknown", tblDocketedComments[[#This Row],[Docketed Consumer Comments]])),
    ISNUMBER(SEARCH("inactive", tblDocketedComments[[#This Row],[Docketed Consumer Comments]]))
  ),
  0,
  1
)</f>
        <v>1</v>
      </c>
    </row>
    <row r="951" spans="1:22" ht="11.85" hidden="1" customHeight="1">
      <c r="A951" s="2">
        <v>45907</v>
      </c>
      <c r="B951" s="1" t="s">
        <v>2279</v>
      </c>
      <c r="C951" s="1" t="s">
        <v>1614</v>
      </c>
      <c r="D951" s="1" t="s">
        <v>24</v>
      </c>
      <c r="E951" s="1">
        <v>85308</v>
      </c>
      <c r="F951" s="1" t="s">
        <v>310</v>
      </c>
      <c r="G951" s="1" t="s">
        <v>2005</v>
      </c>
      <c r="H951" s="4" t="s">
        <v>6088</v>
      </c>
      <c r="I951" s="5" t="s">
        <v>196</v>
      </c>
      <c r="J951" s="5" t="s">
        <v>37</v>
      </c>
      <c r="K951" s="5" t="s">
        <v>37</v>
      </c>
      <c r="L951" s="5" t="s">
        <v>2280</v>
      </c>
      <c r="M951" s="5" t="s">
        <v>37</v>
      </c>
      <c r="N951" s="5" t="s">
        <v>37</v>
      </c>
      <c r="O951" s="5" t="s">
        <v>38</v>
      </c>
      <c r="P951" s="5" t="s">
        <v>39</v>
      </c>
      <c r="Q951" s="2">
        <v>45961</v>
      </c>
      <c r="V951" s="45">
        <f>IF(
  OR(
    ISNUMBER(SEARCH("unable to locate acct", tblDocketedComments[[#This Row],[Docketed Consumer Comments]])),
    ISNUMBER(SEARCH("unknown", tblDocketedComments[[#This Row],[Docketed Consumer Comments]])),
    ISNUMBER(SEARCH("inactive", tblDocketedComments[[#This Row],[Docketed Consumer Comments]]))
  ),
  0,
  1
)</f>
        <v>1</v>
      </c>
    </row>
    <row r="952" spans="1:22" ht="11.85" hidden="1" customHeight="1">
      <c r="A952" s="2">
        <v>45907</v>
      </c>
      <c r="B952" s="1" t="s">
        <v>2281</v>
      </c>
      <c r="C952" s="1" t="s">
        <v>621</v>
      </c>
      <c r="D952" s="1" t="s">
        <v>24</v>
      </c>
      <c r="E952" s="1">
        <v>85310</v>
      </c>
      <c r="F952" s="1" t="s">
        <v>2282</v>
      </c>
      <c r="G952" s="1" t="s">
        <v>2005</v>
      </c>
      <c r="H952" s="4" t="s">
        <v>6089</v>
      </c>
      <c r="I952" s="5" t="s">
        <v>196</v>
      </c>
      <c r="J952" s="5" t="s">
        <v>37</v>
      </c>
      <c r="K952" s="5" t="s">
        <v>37</v>
      </c>
      <c r="L952" s="7" t="s">
        <v>2283</v>
      </c>
      <c r="M952" s="5" t="s">
        <v>37</v>
      </c>
      <c r="N952" s="5" t="s">
        <v>37</v>
      </c>
      <c r="O952" s="5" t="s">
        <v>38</v>
      </c>
      <c r="P952" s="2">
        <v>45938</v>
      </c>
      <c r="Q952" s="2">
        <v>45961</v>
      </c>
      <c r="R952" s="1" t="s">
        <v>2284</v>
      </c>
      <c r="V952" s="45">
        <f>IF(
  OR(
    ISNUMBER(SEARCH("unable to locate acct", tblDocketedComments[[#This Row],[Docketed Consumer Comments]])),
    ISNUMBER(SEARCH("unknown", tblDocketedComments[[#This Row],[Docketed Consumer Comments]])),
    ISNUMBER(SEARCH("inactive", tblDocketedComments[[#This Row],[Docketed Consumer Comments]]))
  ),
  0,
  1
)</f>
        <v>1</v>
      </c>
    </row>
    <row r="953" spans="1:22" ht="11.85" hidden="1" customHeight="1">
      <c r="A953" s="2">
        <v>45907</v>
      </c>
      <c r="B953" s="1" t="s">
        <v>2285</v>
      </c>
      <c r="C953" s="1" t="s">
        <v>2286</v>
      </c>
      <c r="D953" s="1" t="s">
        <v>30</v>
      </c>
      <c r="E953" s="1" t="s">
        <v>30</v>
      </c>
      <c r="F953" s="1" t="s">
        <v>2287</v>
      </c>
      <c r="G953" s="1" t="s">
        <v>2005</v>
      </c>
      <c r="H953" s="4" t="s">
        <v>6366</v>
      </c>
      <c r="I953" s="5" t="s">
        <v>36</v>
      </c>
      <c r="J953" s="5" t="s">
        <v>37</v>
      </c>
      <c r="K953" s="5" t="s">
        <v>37</v>
      </c>
      <c r="L953" s="5" t="s">
        <v>38</v>
      </c>
      <c r="M953" s="5" t="s">
        <v>37</v>
      </c>
      <c r="N953" s="5" t="s">
        <v>37</v>
      </c>
      <c r="O953" s="5" t="s">
        <v>38</v>
      </c>
      <c r="P953" s="5" t="s">
        <v>39</v>
      </c>
      <c r="Q953" s="2">
        <v>45961</v>
      </c>
      <c r="V953" s="45">
        <f>IF(
  OR(
    ISNUMBER(SEARCH("unable to locate acct", tblDocketedComments[[#This Row],[Docketed Consumer Comments]])),
    ISNUMBER(SEARCH("unknown", tblDocketedComments[[#This Row],[Docketed Consumer Comments]])),
    ISNUMBER(SEARCH("inactive", tblDocketedComments[[#This Row],[Docketed Consumer Comments]]))
  ),
  0,
  1
)</f>
        <v>1</v>
      </c>
    </row>
    <row r="954" spans="1:22" ht="11.85" hidden="1" customHeight="1">
      <c r="A954" s="2">
        <v>45907</v>
      </c>
      <c r="B954" s="1" t="s">
        <v>2288</v>
      </c>
      <c r="C954" s="1" t="s">
        <v>2289</v>
      </c>
      <c r="D954" s="1" t="s">
        <v>63</v>
      </c>
      <c r="E954" s="1">
        <v>85022</v>
      </c>
      <c r="F954" s="1" t="s">
        <v>31</v>
      </c>
      <c r="G954" s="1" t="s">
        <v>2005</v>
      </c>
      <c r="H954" s="4" t="s">
        <v>6367</v>
      </c>
      <c r="I954" s="5" t="s">
        <v>196</v>
      </c>
      <c r="J954" s="5" t="s">
        <v>37</v>
      </c>
      <c r="K954" s="5" t="s">
        <v>37</v>
      </c>
      <c r="L954" s="5" t="s">
        <v>38</v>
      </c>
      <c r="M954" s="5" t="s">
        <v>37</v>
      </c>
      <c r="N954" s="5" t="s">
        <v>37</v>
      </c>
      <c r="O954" s="5" t="s">
        <v>38</v>
      </c>
      <c r="P954" s="5" t="s">
        <v>39</v>
      </c>
      <c r="Q954" s="2">
        <v>45961</v>
      </c>
      <c r="V954" s="45">
        <f>IF(
  OR(
    ISNUMBER(SEARCH("unable to locate acct", tblDocketedComments[[#This Row],[Docketed Consumer Comments]])),
    ISNUMBER(SEARCH("unknown", tblDocketedComments[[#This Row],[Docketed Consumer Comments]])),
    ISNUMBER(SEARCH("inactive", tblDocketedComments[[#This Row],[Docketed Consumer Comments]]))
  ),
  0,
  1
)</f>
        <v>1</v>
      </c>
    </row>
    <row r="955" spans="1:22" ht="11.85" hidden="1" customHeight="1">
      <c r="A955" s="2">
        <v>45907</v>
      </c>
      <c r="B955" s="1" t="s">
        <v>2290</v>
      </c>
      <c r="C955" s="1" t="s">
        <v>2291</v>
      </c>
      <c r="D955" s="1" t="s">
        <v>30</v>
      </c>
      <c r="E955" s="1" t="s">
        <v>30</v>
      </c>
      <c r="F955" s="1" t="s">
        <v>2292</v>
      </c>
      <c r="G955" s="1" t="s">
        <v>2005</v>
      </c>
      <c r="H955" s="4" t="s">
        <v>6368</v>
      </c>
      <c r="I955" s="5" t="s">
        <v>416</v>
      </c>
      <c r="J955" s="5" t="s">
        <v>37</v>
      </c>
      <c r="K955" s="5" t="s">
        <v>37</v>
      </c>
      <c r="L955" s="5" t="s">
        <v>387</v>
      </c>
      <c r="M955" s="5" t="s">
        <v>37</v>
      </c>
      <c r="N955" s="5" t="s">
        <v>37</v>
      </c>
      <c r="O955" s="5" t="s">
        <v>38</v>
      </c>
      <c r="P955" s="5" t="s">
        <v>39</v>
      </c>
      <c r="Q955" s="2">
        <v>45961</v>
      </c>
      <c r="V955" s="45">
        <f>IF(
  OR(
    ISNUMBER(SEARCH("unable to locate acct", tblDocketedComments[[#This Row],[Docketed Consumer Comments]])),
    ISNUMBER(SEARCH("unknown", tblDocketedComments[[#This Row],[Docketed Consumer Comments]])),
    ISNUMBER(SEARCH("inactive", tblDocketedComments[[#This Row],[Docketed Consumer Comments]]))
  ),
  0,
  1
)</f>
        <v>1</v>
      </c>
    </row>
    <row r="956" spans="1:22" ht="11.85" hidden="1" customHeight="1">
      <c r="A956" s="2">
        <v>45907</v>
      </c>
      <c r="B956" s="1" t="s">
        <v>2293</v>
      </c>
      <c r="C956" s="1" t="s">
        <v>1935</v>
      </c>
      <c r="D956" s="1" t="s">
        <v>112</v>
      </c>
      <c r="E956" s="1">
        <v>85388</v>
      </c>
      <c r="F956" s="1" t="s">
        <v>31</v>
      </c>
      <c r="G956" s="1" t="s">
        <v>2005</v>
      </c>
      <c r="H956" s="21" t="s">
        <v>6728</v>
      </c>
      <c r="I956" s="5" t="s">
        <v>126</v>
      </c>
      <c r="J956" s="5" t="s">
        <v>37</v>
      </c>
      <c r="K956" s="5" t="s">
        <v>37</v>
      </c>
      <c r="M956" s="5" t="s">
        <v>37</v>
      </c>
      <c r="N956" s="5" t="s">
        <v>37</v>
      </c>
      <c r="O956" s="5" t="s">
        <v>38</v>
      </c>
      <c r="P956" s="5" t="s">
        <v>39</v>
      </c>
      <c r="Q956" s="2">
        <v>45961</v>
      </c>
      <c r="R956" s="1" t="s">
        <v>2294</v>
      </c>
      <c r="V956" s="45">
        <f>IF(
  OR(
    ISNUMBER(SEARCH("unable to locate acct", tblDocketedComments[[#This Row],[Docketed Consumer Comments]])),
    ISNUMBER(SEARCH("unknown", tblDocketedComments[[#This Row],[Docketed Consumer Comments]])),
    ISNUMBER(SEARCH("inactive", tblDocketedComments[[#This Row],[Docketed Consumer Comments]]))
  ),
  0,
  1
)</f>
        <v>1</v>
      </c>
    </row>
    <row r="957" spans="1:22" ht="11.85" hidden="1" customHeight="1">
      <c r="A957" s="2">
        <v>45907</v>
      </c>
      <c r="B957" s="1" t="s">
        <v>2295</v>
      </c>
      <c r="C957" s="1" t="s">
        <v>2296</v>
      </c>
      <c r="D957" s="1" t="s">
        <v>63</v>
      </c>
      <c r="E957" s="1">
        <v>85086</v>
      </c>
      <c r="F957" s="1" t="s">
        <v>31</v>
      </c>
      <c r="G957" s="1" t="s">
        <v>2005</v>
      </c>
      <c r="H957" s="4" t="s">
        <v>2297</v>
      </c>
      <c r="I957" s="5" t="s">
        <v>250</v>
      </c>
      <c r="J957" s="5" t="s">
        <v>37</v>
      </c>
      <c r="K957" s="5" t="s">
        <v>37</v>
      </c>
      <c r="L957" s="5" t="s">
        <v>1435</v>
      </c>
      <c r="M957" s="5" t="s">
        <v>37</v>
      </c>
      <c r="N957" s="5" t="s">
        <v>37</v>
      </c>
      <c r="O957" s="5" t="s">
        <v>38</v>
      </c>
      <c r="P957" s="5" t="s">
        <v>39</v>
      </c>
      <c r="Q957" s="2">
        <v>45961</v>
      </c>
      <c r="V957" s="45">
        <f>IF(
  OR(
    ISNUMBER(SEARCH("unable to locate acct", tblDocketedComments[[#This Row],[Docketed Consumer Comments]])),
    ISNUMBER(SEARCH("unknown", tblDocketedComments[[#This Row],[Docketed Consumer Comments]])),
    ISNUMBER(SEARCH("inactive", tblDocketedComments[[#This Row],[Docketed Consumer Comments]]))
  ),
  0,
  1
)</f>
        <v>1</v>
      </c>
    </row>
    <row r="958" spans="1:22" ht="11.85" hidden="1" customHeight="1">
      <c r="A958" s="2">
        <v>45907</v>
      </c>
      <c r="B958" s="1" t="s">
        <v>2298</v>
      </c>
      <c r="C958" s="1" t="s">
        <v>2028</v>
      </c>
      <c r="D958" s="1" t="s">
        <v>93</v>
      </c>
      <c r="E958" s="1">
        <v>85373</v>
      </c>
      <c r="F958" s="1" t="s">
        <v>31</v>
      </c>
      <c r="G958" s="1" t="s">
        <v>2005</v>
      </c>
      <c r="H958" s="4" t="s">
        <v>2299</v>
      </c>
      <c r="I958" s="5" t="s">
        <v>250</v>
      </c>
      <c r="J958" s="5" t="s">
        <v>37</v>
      </c>
      <c r="K958" s="5" t="s">
        <v>37</v>
      </c>
      <c r="L958" s="7" t="s">
        <v>2300</v>
      </c>
      <c r="M958" s="5" t="s">
        <v>37</v>
      </c>
      <c r="N958" s="5" t="s">
        <v>37</v>
      </c>
      <c r="O958" s="5" t="s">
        <v>38</v>
      </c>
      <c r="P958" s="2">
        <v>45938</v>
      </c>
      <c r="Q958" s="2">
        <v>45961</v>
      </c>
      <c r="R958" s="1" t="s">
        <v>2301</v>
      </c>
      <c r="V958" s="45">
        <f>IF(
  OR(
    ISNUMBER(SEARCH("unable to locate acct", tblDocketedComments[[#This Row],[Docketed Consumer Comments]])),
    ISNUMBER(SEARCH("unknown", tblDocketedComments[[#This Row],[Docketed Consumer Comments]])),
    ISNUMBER(SEARCH("inactive", tblDocketedComments[[#This Row],[Docketed Consumer Comments]]))
  ),
  0,
  1
)</f>
        <v>1</v>
      </c>
    </row>
    <row r="959" spans="1:22" ht="11.85" hidden="1" customHeight="1">
      <c r="A959" s="2">
        <v>45907</v>
      </c>
      <c r="B959" s="1" t="s">
        <v>2302</v>
      </c>
      <c r="C959" s="1" t="s">
        <v>2303</v>
      </c>
      <c r="D959" s="1" t="s">
        <v>63</v>
      </c>
      <c r="E959" s="1">
        <v>85086</v>
      </c>
      <c r="F959" s="1" t="s">
        <v>31</v>
      </c>
      <c r="G959" s="1" t="s">
        <v>2005</v>
      </c>
      <c r="H959" s="4" t="s">
        <v>2304</v>
      </c>
      <c r="I959" s="5" t="s">
        <v>36</v>
      </c>
      <c r="J959" s="5" t="s">
        <v>37</v>
      </c>
      <c r="K959" s="5" t="s">
        <v>37</v>
      </c>
      <c r="L959" s="5" t="s">
        <v>1435</v>
      </c>
      <c r="M959" s="5" t="s">
        <v>37</v>
      </c>
      <c r="N959" s="5" t="s">
        <v>37</v>
      </c>
      <c r="O959" s="5" t="s">
        <v>38</v>
      </c>
      <c r="P959" s="5" t="s">
        <v>39</v>
      </c>
      <c r="Q959" s="2">
        <v>45961</v>
      </c>
      <c r="V959" s="45">
        <f>IF(
  OR(
    ISNUMBER(SEARCH("unable to locate acct", tblDocketedComments[[#This Row],[Docketed Consumer Comments]])),
    ISNUMBER(SEARCH("unknown", tblDocketedComments[[#This Row],[Docketed Consumer Comments]])),
    ISNUMBER(SEARCH("inactive", tblDocketedComments[[#This Row],[Docketed Consumer Comments]]))
  ),
  0,
  1
)</f>
        <v>1</v>
      </c>
    </row>
    <row r="960" spans="1:22" ht="11.85" hidden="1" customHeight="1">
      <c r="A960" s="2">
        <v>45907</v>
      </c>
      <c r="B960" s="1" t="s">
        <v>2305</v>
      </c>
      <c r="C960" s="1" t="s">
        <v>2306</v>
      </c>
      <c r="D960" s="1" t="s">
        <v>125</v>
      </c>
      <c r="E960" s="1">
        <v>85260</v>
      </c>
      <c r="F960" s="1" t="s">
        <v>31</v>
      </c>
      <c r="G960" s="1" t="s">
        <v>2005</v>
      </c>
      <c r="H960" s="4" t="s">
        <v>2307</v>
      </c>
      <c r="I960" s="5" t="s">
        <v>36</v>
      </c>
      <c r="J960" s="5" t="s">
        <v>37</v>
      </c>
      <c r="K960" s="5" t="s">
        <v>37</v>
      </c>
      <c r="L960" s="5" t="s">
        <v>1435</v>
      </c>
      <c r="M960" s="5" t="s">
        <v>37</v>
      </c>
      <c r="N960" s="5" t="s">
        <v>37</v>
      </c>
      <c r="O960" s="5" t="s">
        <v>38</v>
      </c>
      <c r="P960" s="5" t="s">
        <v>39</v>
      </c>
      <c r="Q960" s="2">
        <v>45961</v>
      </c>
      <c r="V960" s="45">
        <f>IF(
  OR(
    ISNUMBER(SEARCH("unable to locate acct", tblDocketedComments[[#This Row],[Docketed Consumer Comments]])),
    ISNUMBER(SEARCH("unknown", tblDocketedComments[[#This Row],[Docketed Consumer Comments]])),
    ISNUMBER(SEARCH("inactive", tblDocketedComments[[#This Row],[Docketed Consumer Comments]]))
  ),
  0,
  1
)</f>
        <v>1</v>
      </c>
    </row>
    <row r="961" spans="1:22" ht="11.85" hidden="1" customHeight="1">
      <c r="A961" s="2">
        <v>45907</v>
      </c>
      <c r="B961" s="1" t="s">
        <v>2308</v>
      </c>
      <c r="C961" s="1" t="s">
        <v>2028</v>
      </c>
      <c r="D961" s="1" t="s">
        <v>30</v>
      </c>
      <c r="E961" s="1" t="s">
        <v>30</v>
      </c>
      <c r="F961" s="1" t="s">
        <v>31</v>
      </c>
      <c r="G961" s="1" t="s">
        <v>2005</v>
      </c>
      <c r="H961" s="4" t="s">
        <v>27</v>
      </c>
      <c r="V961" s="45">
        <f>IF(
  OR(
    ISNUMBER(SEARCH("unable to locate acct", tblDocketedComments[[#This Row],[Docketed Consumer Comments]])),
    ISNUMBER(SEARCH("unknown", tblDocketedComments[[#This Row],[Docketed Consumer Comments]])),
    ISNUMBER(SEARCH("inactive", tblDocketedComments[[#This Row],[Docketed Consumer Comments]]))
  ),
  0,
  1
)</f>
        <v>1</v>
      </c>
    </row>
    <row r="962" spans="1:22" ht="11.85" hidden="1" customHeight="1">
      <c r="A962" s="2">
        <v>45907</v>
      </c>
      <c r="B962" s="1" t="s">
        <v>2309</v>
      </c>
      <c r="C962" s="1" t="s">
        <v>2069</v>
      </c>
      <c r="D962" s="1" t="s">
        <v>30</v>
      </c>
      <c r="E962" s="1" t="s">
        <v>30</v>
      </c>
      <c r="F962" s="1" t="s">
        <v>310</v>
      </c>
      <c r="G962" s="1" t="s">
        <v>2005</v>
      </c>
      <c r="H962" s="4" t="s">
        <v>209</v>
      </c>
      <c r="I962" s="1"/>
      <c r="V962" s="45">
        <f>IF(
  OR(
    ISNUMBER(SEARCH("unable to locate acct", tblDocketedComments[[#This Row],[Docketed Consumer Comments]])),
    ISNUMBER(SEARCH("unknown", tblDocketedComments[[#This Row],[Docketed Consumer Comments]])),
    ISNUMBER(SEARCH("inactive", tblDocketedComments[[#This Row],[Docketed Consumer Comments]]))
  ),
  0,
  1
)</f>
        <v>1</v>
      </c>
    </row>
    <row r="963" spans="1:22" ht="11.85" hidden="1" customHeight="1">
      <c r="A963" s="2">
        <v>45907</v>
      </c>
      <c r="B963" s="1" t="s">
        <v>2310</v>
      </c>
      <c r="C963" s="1" t="s">
        <v>885</v>
      </c>
      <c r="D963" s="1" t="s">
        <v>30</v>
      </c>
      <c r="E963" s="1" t="s">
        <v>30</v>
      </c>
      <c r="F963" s="1" t="s">
        <v>310</v>
      </c>
      <c r="G963" s="1" t="s">
        <v>2005</v>
      </c>
      <c r="H963" s="4" t="s">
        <v>27</v>
      </c>
      <c r="V963" s="45">
        <f>IF(
  OR(
    ISNUMBER(SEARCH("unable to locate acct", tblDocketedComments[[#This Row],[Docketed Consumer Comments]])),
    ISNUMBER(SEARCH("unknown", tblDocketedComments[[#This Row],[Docketed Consumer Comments]])),
    ISNUMBER(SEARCH("inactive", tblDocketedComments[[#This Row],[Docketed Consumer Comments]]))
  ),
  0,
  1
)</f>
        <v>1</v>
      </c>
    </row>
    <row r="964" spans="1:22" ht="11.85" hidden="1" customHeight="1">
      <c r="A964" s="2">
        <v>45907</v>
      </c>
      <c r="B964" s="1" t="s">
        <v>2311</v>
      </c>
      <c r="C964" s="1" t="s">
        <v>1831</v>
      </c>
      <c r="D964" s="1" t="s">
        <v>30</v>
      </c>
      <c r="E964" s="1" t="s">
        <v>30</v>
      </c>
      <c r="F964" s="1" t="s">
        <v>310</v>
      </c>
      <c r="G964" s="1" t="s">
        <v>2005</v>
      </c>
      <c r="H964" s="4" t="s">
        <v>27</v>
      </c>
      <c r="V964" s="45">
        <f>IF(
  OR(
    ISNUMBER(SEARCH("unable to locate acct", tblDocketedComments[[#This Row],[Docketed Consumer Comments]])),
    ISNUMBER(SEARCH("unknown", tblDocketedComments[[#This Row],[Docketed Consumer Comments]])),
    ISNUMBER(SEARCH("inactive", tblDocketedComments[[#This Row],[Docketed Consumer Comments]]))
  ),
  0,
  1
)</f>
        <v>1</v>
      </c>
    </row>
    <row r="965" spans="1:22" ht="11.85" hidden="1" customHeight="1">
      <c r="A965" s="2">
        <v>45907</v>
      </c>
      <c r="B965" s="1" t="s">
        <v>2312</v>
      </c>
      <c r="C965" s="1" t="s">
        <v>2201</v>
      </c>
      <c r="D965" s="1" t="s">
        <v>63</v>
      </c>
      <c r="E965" s="1">
        <v>85086</v>
      </c>
      <c r="F965" s="1" t="s">
        <v>310</v>
      </c>
      <c r="G965" s="1" t="s">
        <v>2005</v>
      </c>
      <c r="H965" s="4" t="s">
        <v>2313</v>
      </c>
      <c r="I965" s="5" t="s">
        <v>196</v>
      </c>
      <c r="J965" s="5" t="s">
        <v>37</v>
      </c>
      <c r="K965" s="5" t="s">
        <v>37</v>
      </c>
      <c r="L965" s="5" t="s">
        <v>2314</v>
      </c>
      <c r="M965" s="5" t="s">
        <v>38</v>
      </c>
      <c r="N965" s="13">
        <v>508.72</v>
      </c>
      <c r="O965" s="5" t="s">
        <v>38</v>
      </c>
      <c r="P965" s="5" t="s">
        <v>39</v>
      </c>
      <c r="Q965" s="2">
        <v>45961</v>
      </c>
      <c r="V965" s="45">
        <f>IF(
  OR(
    ISNUMBER(SEARCH("unable to locate acct", tblDocketedComments[[#This Row],[Docketed Consumer Comments]])),
    ISNUMBER(SEARCH("unknown", tblDocketedComments[[#This Row],[Docketed Consumer Comments]])),
    ISNUMBER(SEARCH("inactive", tblDocketedComments[[#This Row],[Docketed Consumer Comments]]))
  ),
  0,
  1
)</f>
        <v>1</v>
      </c>
    </row>
    <row r="966" spans="1:22" ht="11.85" hidden="1" customHeight="1">
      <c r="A966" s="2">
        <v>45908</v>
      </c>
      <c r="B966" s="1" t="s">
        <v>2315</v>
      </c>
      <c r="C966" s="1" t="s">
        <v>2017</v>
      </c>
      <c r="D966" s="1" t="s">
        <v>89</v>
      </c>
      <c r="E966" s="1">
        <v>86341</v>
      </c>
      <c r="F966" s="1" t="s">
        <v>1732</v>
      </c>
      <c r="G966" s="1" t="s">
        <v>2316</v>
      </c>
      <c r="H966" s="4" t="s">
        <v>2317</v>
      </c>
      <c r="I966" s="5" t="s">
        <v>57</v>
      </c>
      <c r="J966" s="5" t="s">
        <v>37</v>
      </c>
      <c r="K966" s="5" t="s">
        <v>37</v>
      </c>
      <c r="L966" s="7" t="s">
        <v>2318</v>
      </c>
      <c r="M966" s="5" t="s">
        <v>37</v>
      </c>
      <c r="N966" s="5" t="s">
        <v>37</v>
      </c>
      <c r="O966" s="5" t="s">
        <v>38</v>
      </c>
      <c r="P966" s="2">
        <v>45938</v>
      </c>
      <c r="Q966" s="2">
        <v>45961</v>
      </c>
      <c r="R966" s="1" t="s">
        <v>2301</v>
      </c>
      <c r="V966" s="45">
        <f>IF(
  OR(
    ISNUMBER(SEARCH("unable to locate acct", tblDocketedComments[[#This Row],[Docketed Consumer Comments]])),
    ISNUMBER(SEARCH("unknown", tblDocketedComments[[#This Row],[Docketed Consumer Comments]])),
    ISNUMBER(SEARCH("inactive", tblDocketedComments[[#This Row],[Docketed Consumer Comments]]))
  ),
  0,
  1
)</f>
        <v>1</v>
      </c>
    </row>
    <row r="967" spans="1:22" ht="11.85" hidden="1" customHeight="1">
      <c r="A967" s="2">
        <v>45909</v>
      </c>
      <c r="B967" s="1" t="s">
        <v>2319</v>
      </c>
      <c r="C967" s="1" t="s">
        <v>2320</v>
      </c>
      <c r="D967" s="1" t="s">
        <v>63</v>
      </c>
      <c r="E967" s="1">
        <v>85012</v>
      </c>
      <c r="F967" s="1" t="s">
        <v>310</v>
      </c>
      <c r="G967" s="1" t="s">
        <v>2316</v>
      </c>
      <c r="H967" s="4" t="s">
        <v>2321</v>
      </c>
      <c r="I967" s="5" t="s">
        <v>126</v>
      </c>
      <c r="J967" s="5" t="s">
        <v>37</v>
      </c>
      <c r="K967" s="5" t="s">
        <v>37</v>
      </c>
      <c r="L967" s="5" t="s">
        <v>1435</v>
      </c>
      <c r="M967" s="5" t="s">
        <v>37</v>
      </c>
      <c r="N967" s="5" t="s">
        <v>37</v>
      </c>
      <c r="O967" s="5" t="s">
        <v>38</v>
      </c>
      <c r="P967" s="5" t="s">
        <v>39</v>
      </c>
      <c r="Q967" s="2">
        <v>45961</v>
      </c>
      <c r="V967" s="45">
        <f>IF(
  OR(
    ISNUMBER(SEARCH("unable to locate acct", tblDocketedComments[[#This Row],[Docketed Consumer Comments]])),
    ISNUMBER(SEARCH("unknown", tblDocketedComments[[#This Row],[Docketed Consumer Comments]])),
    ISNUMBER(SEARCH("inactive", tblDocketedComments[[#This Row],[Docketed Consumer Comments]]))
  ),
  0,
  1
)</f>
        <v>1</v>
      </c>
    </row>
    <row r="968" spans="1:22" ht="11.85" hidden="1" customHeight="1">
      <c r="A968" s="2">
        <v>45909</v>
      </c>
      <c r="B968" s="1" t="s">
        <v>2322</v>
      </c>
      <c r="C968" s="1" t="s">
        <v>2323</v>
      </c>
      <c r="D968" s="1" t="s">
        <v>202</v>
      </c>
      <c r="E968" s="1">
        <v>85383</v>
      </c>
      <c r="F968" s="1" t="s">
        <v>2324</v>
      </c>
      <c r="G968" s="1" t="s">
        <v>2316</v>
      </c>
      <c r="H968" s="4" t="s">
        <v>2325</v>
      </c>
      <c r="I968" s="5" t="s">
        <v>1352</v>
      </c>
      <c r="J968" s="5" t="s">
        <v>37</v>
      </c>
      <c r="K968" s="5" t="s">
        <v>37</v>
      </c>
      <c r="L968" s="5" t="s">
        <v>387</v>
      </c>
      <c r="M968" s="5" t="s">
        <v>37</v>
      </c>
      <c r="N968" s="5" t="s">
        <v>37</v>
      </c>
      <c r="O968" s="5" t="s">
        <v>38</v>
      </c>
      <c r="P968" s="5" t="s">
        <v>39</v>
      </c>
      <c r="Q968" s="2">
        <v>45961</v>
      </c>
      <c r="V968" s="45">
        <f>IF(
  OR(
    ISNUMBER(SEARCH("unable to locate acct", tblDocketedComments[[#This Row],[Docketed Consumer Comments]])),
    ISNUMBER(SEARCH("unknown", tblDocketedComments[[#This Row],[Docketed Consumer Comments]])),
    ISNUMBER(SEARCH("inactive", tblDocketedComments[[#This Row],[Docketed Consumer Comments]]))
  ),
  0,
  1
)</f>
        <v>1</v>
      </c>
    </row>
    <row r="969" spans="1:22" ht="11.85" hidden="1" customHeight="1">
      <c r="A969" s="2">
        <v>45909</v>
      </c>
      <c r="B969" s="1" t="s">
        <v>683</v>
      </c>
      <c r="C969" s="1" t="s">
        <v>1566</v>
      </c>
      <c r="D969" s="1" t="s">
        <v>112</v>
      </c>
      <c r="E969" s="1">
        <v>85374</v>
      </c>
      <c r="F969" s="1" t="s">
        <v>310</v>
      </c>
      <c r="G969" s="1" t="s">
        <v>2316</v>
      </c>
      <c r="H969" s="4" t="s">
        <v>2326</v>
      </c>
      <c r="I969" s="5" t="s">
        <v>36</v>
      </c>
      <c r="J969" s="5" t="s">
        <v>37</v>
      </c>
      <c r="K969" s="5" t="s">
        <v>37</v>
      </c>
      <c r="L969" s="5" t="s">
        <v>1435</v>
      </c>
      <c r="M969" s="5" t="s">
        <v>37</v>
      </c>
      <c r="N969" s="5" t="s">
        <v>37</v>
      </c>
      <c r="O969" s="5" t="s">
        <v>38</v>
      </c>
      <c r="P969" s="5" t="s">
        <v>39</v>
      </c>
      <c r="Q969" s="2">
        <v>45961</v>
      </c>
      <c r="V969" s="45">
        <f>IF(
  OR(
    ISNUMBER(SEARCH("unable to locate acct", tblDocketedComments[[#This Row],[Docketed Consumer Comments]])),
    ISNUMBER(SEARCH("unknown", tblDocketedComments[[#This Row],[Docketed Consumer Comments]])),
    ISNUMBER(SEARCH("inactive", tblDocketedComments[[#This Row],[Docketed Consumer Comments]]))
  ),
  0,
  1
)</f>
        <v>1</v>
      </c>
    </row>
    <row r="970" spans="1:22" ht="11.85" hidden="1" customHeight="1">
      <c r="A970" s="2">
        <v>45909</v>
      </c>
      <c r="B970" s="1" t="s">
        <v>1521</v>
      </c>
      <c r="C970" s="1" t="s">
        <v>2327</v>
      </c>
      <c r="D970" s="1" t="s">
        <v>63</v>
      </c>
      <c r="E970" s="1">
        <v>85032</v>
      </c>
      <c r="F970" s="1" t="s">
        <v>310</v>
      </c>
      <c r="G970" s="1" t="s">
        <v>2316</v>
      </c>
      <c r="H970" s="4" t="s">
        <v>27</v>
      </c>
      <c r="V970" s="45">
        <f>IF(
  OR(
    ISNUMBER(SEARCH("unable to locate acct", tblDocketedComments[[#This Row],[Docketed Consumer Comments]])),
    ISNUMBER(SEARCH("unknown", tblDocketedComments[[#This Row],[Docketed Consumer Comments]])),
    ISNUMBER(SEARCH("inactive", tblDocketedComments[[#This Row],[Docketed Consumer Comments]]))
  ),
  0,
  1
)</f>
        <v>1</v>
      </c>
    </row>
    <row r="971" spans="1:22" ht="11.85" hidden="1" customHeight="1">
      <c r="A971" s="2">
        <v>45909</v>
      </c>
      <c r="B971" s="1" t="s">
        <v>1220</v>
      </c>
      <c r="C971" s="1" t="s">
        <v>2328</v>
      </c>
      <c r="D971" s="1" t="s">
        <v>63</v>
      </c>
      <c r="E971" s="1">
        <v>85012</v>
      </c>
      <c r="F971" s="1" t="s">
        <v>310</v>
      </c>
      <c r="G971" s="1" t="s">
        <v>2316</v>
      </c>
      <c r="H971" s="4" t="s">
        <v>2329</v>
      </c>
      <c r="I971" s="5" t="s">
        <v>73</v>
      </c>
      <c r="J971" s="5" t="s">
        <v>38</v>
      </c>
      <c r="K971" s="5" t="s">
        <v>37</v>
      </c>
      <c r="L971" s="5" t="s">
        <v>1435</v>
      </c>
      <c r="M971" s="5" t="s">
        <v>37</v>
      </c>
      <c r="N971" s="5" t="s">
        <v>37</v>
      </c>
      <c r="O971" s="5" t="s">
        <v>38</v>
      </c>
      <c r="P971" s="5" t="s">
        <v>39</v>
      </c>
      <c r="Q971" s="2">
        <v>45961</v>
      </c>
      <c r="V971" s="45">
        <f>IF(
  OR(
    ISNUMBER(SEARCH("unable to locate acct", tblDocketedComments[[#This Row],[Docketed Consumer Comments]])),
    ISNUMBER(SEARCH("unknown", tblDocketedComments[[#This Row],[Docketed Consumer Comments]])),
    ISNUMBER(SEARCH("inactive", tblDocketedComments[[#This Row],[Docketed Consumer Comments]]))
  ),
  0,
  1
)</f>
        <v>1</v>
      </c>
    </row>
    <row r="972" spans="1:22" ht="11.85" hidden="1" customHeight="1">
      <c r="A972" s="2">
        <v>45909</v>
      </c>
      <c r="B972" s="1" t="s">
        <v>312</v>
      </c>
      <c r="C972" s="1" t="s">
        <v>550</v>
      </c>
      <c r="D972" s="1" t="s">
        <v>24</v>
      </c>
      <c r="E972" s="1">
        <v>85308</v>
      </c>
      <c r="F972" s="1" t="s">
        <v>1834</v>
      </c>
      <c r="G972" s="1" t="s">
        <v>2316</v>
      </c>
      <c r="H972" s="4" t="s">
        <v>27</v>
      </c>
      <c r="V972" s="45">
        <f>IF(
  OR(
    ISNUMBER(SEARCH("unable to locate acct", tblDocketedComments[[#This Row],[Docketed Consumer Comments]])),
    ISNUMBER(SEARCH("unknown", tblDocketedComments[[#This Row],[Docketed Consumer Comments]])),
    ISNUMBER(SEARCH("inactive", tblDocketedComments[[#This Row],[Docketed Consumer Comments]]))
  ),
  0,
  1
)</f>
        <v>1</v>
      </c>
    </row>
    <row r="973" spans="1:22" ht="11.85" hidden="1" customHeight="1">
      <c r="A973" s="2">
        <v>45909</v>
      </c>
      <c r="B973" s="1" t="s">
        <v>2330</v>
      </c>
      <c r="C973" s="1" t="s">
        <v>2331</v>
      </c>
      <c r="D973" s="1" t="s">
        <v>63</v>
      </c>
      <c r="E973" s="1">
        <v>85085</v>
      </c>
      <c r="F973" s="1" t="s">
        <v>310</v>
      </c>
      <c r="G973" s="1" t="s">
        <v>2316</v>
      </c>
      <c r="H973" s="4" t="s">
        <v>2332</v>
      </c>
      <c r="I973" s="5" t="s">
        <v>1507</v>
      </c>
      <c r="J973" s="5" t="s">
        <v>37</v>
      </c>
      <c r="K973" s="5" t="s">
        <v>37</v>
      </c>
      <c r="L973" s="5" t="s">
        <v>399</v>
      </c>
      <c r="M973" s="5" t="s">
        <v>37</v>
      </c>
      <c r="N973" s="5" t="s">
        <v>37</v>
      </c>
      <c r="O973" s="5" t="s">
        <v>38</v>
      </c>
      <c r="P973" s="5" t="s">
        <v>39</v>
      </c>
      <c r="Q973" s="2">
        <v>45961</v>
      </c>
      <c r="V973" s="45">
        <f>IF(
  OR(
    ISNUMBER(SEARCH("unable to locate acct", tblDocketedComments[[#This Row],[Docketed Consumer Comments]])),
    ISNUMBER(SEARCH("unknown", tblDocketedComments[[#This Row],[Docketed Consumer Comments]])),
    ISNUMBER(SEARCH("inactive", tblDocketedComments[[#This Row],[Docketed Consumer Comments]]))
  ),
  0,
  1
)</f>
        <v>1</v>
      </c>
    </row>
    <row r="974" spans="1:22" ht="11.85" hidden="1" customHeight="1">
      <c r="A974" s="2">
        <v>45909</v>
      </c>
      <c r="B974" s="1" t="s">
        <v>2333</v>
      </c>
      <c r="C974" s="1" t="s">
        <v>2334</v>
      </c>
      <c r="D974" s="1" t="s">
        <v>202</v>
      </c>
      <c r="E974" s="1">
        <v>85383</v>
      </c>
      <c r="F974" s="1" t="s">
        <v>310</v>
      </c>
      <c r="G974" s="1" t="s">
        <v>2316</v>
      </c>
      <c r="H974" s="4" t="s">
        <v>2335</v>
      </c>
      <c r="I974" s="5" t="s">
        <v>36</v>
      </c>
      <c r="J974" s="5" t="s">
        <v>37</v>
      </c>
      <c r="K974" s="5" t="s">
        <v>37</v>
      </c>
      <c r="L974" s="5" t="s">
        <v>1435</v>
      </c>
      <c r="M974" s="5" t="s">
        <v>37</v>
      </c>
      <c r="N974" s="5" t="s">
        <v>37</v>
      </c>
      <c r="O974" s="5" t="s">
        <v>38</v>
      </c>
      <c r="P974" s="5" t="s">
        <v>39</v>
      </c>
      <c r="Q974" s="2">
        <v>45961</v>
      </c>
      <c r="V974" s="45">
        <f>IF(
  OR(
    ISNUMBER(SEARCH("unable to locate acct", tblDocketedComments[[#This Row],[Docketed Consumer Comments]])),
    ISNUMBER(SEARCH("unknown", tblDocketedComments[[#This Row],[Docketed Consumer Comments]])),
    ISNUMBER(SEARCH("inactive", tblDocketedComments[[#This Row],[Docketed Consumer Comments]]))
  ),
  0,
  1
)</f>
        <v>1</v>
      </c>
    </row>
    <row r="975" spans="1:22" ht="11.85" hidden="1" customHeight="1">
      <c r="A975" s="2">
        <v>45909</v>
      </c>
      <c r="B975" s="1" t="s">
        <v>2336</v>
      </c>
      <c r="C975" s="1" t="s">
        <v>2337</v>
      </c>
      <c r="D975" s="1" t="s">
        <v>616</v>
      </c>
      <c r="E975" s="1">
        <v>85365</v>
      </c>
      <c r="F975" s="1" t="s">
        <v>2338</v>
      </c>
      <c r="G975" s="1" t="s">
        <v>2316</v>
      </c>
      <c r="H975" s="4" t="s">
        <v>6729</v>
      </c>
      <c r="I975" s="5" t="s">
        <v>196</v>
      </c>
      <c r="J975" s="5" t="s">
        <v>37</v>
      </c>
      <c r="K975" s="5" t="s">
        <v>37</v>
      </c>
      <c r="L975" s="7" t="s">
        <v>2339</v>
      </c>
      <c r="M975" s="5" t="s">
        <v>37</v>
      </c>
      <c r="N975" s="5" t="s">
        <v>37</v>
      </c>
      <c r="O975" s="5" t="s">
        <v>38</v>
      </c>
      <c r="P975" s="2">
        <v>45938</v>
      </c>
      <c r="Q975" s="2">
        <v>45961</v>
      </c>
      <c r="R975" s="1" t="s">
        <v>2301</v>
      </c>
      <c r="V975" s="45">
        <f>IF(
  OR(
    ISNUMBER(SEARCH("unable to locate acct", tblDocketedComments[[#This Row],[Docketed Consumer Comments]])),
    ISNUMBER(SEARCH("unknown", tblDocketedComments[[#This Row],[Docketed Consumer Comments]])),
    ISNUMBER(SEARCH("inactive", tblDocketedComments[[#This Row],[Docketed Consumer Comments]]))
  ),
  0,
  1
)</f>
        <v>1</v>
      </c>
    </row>
    <row r="976" spans="1:22" ht="11.85" hidden="1" customHeight="1">
      <c r="A976" s="2">
        <v>45909</v>
      </c>
      <c r="B976" s="1" t="s">
        <v>2340</v>
      </c>
      <c r="C976" s="1" t="s">
        <v>2341</v>
      </c>
      <c r="D976" s="1" t="s">
        <v>426</v>
      </c>
      <c r="E976" s="1">
        <v>85335</v>
      </c>
      <c r="F976" s="1" t="s">
        <v>2342</v>
      </c>
      <c r="G976" s="1" t="s">
        <v>2316</v>
      </c>
      <c r="H976" s="4" t="s">
        <v>2343</v>
      </c>
      <c r="I976" s="5" t="s">
        <v>1352</v>
      </c>
      <c r="J976" s="5" t="s">
        <v>37</v>
      </c>
      <c r="K976" s="5" t="s">
        <v>37</v>
      </c>
      <c r="L976" s="5" t="s">
        <v>387</v>
      </c>
      <c r="M976" s="5" t="s">
        <v>37</v>
      </c>
      <c r="N976" s="5" t="s">
        <v>37</v>
      </c>
      <c r="O976" s="5" t="s">
        <v>38</v>
      </c>
      <c r="P976" s="5" t="s">
        <v>39</v>
      </c>
      <c r="Q976" s="2">
        <v>45961</v>
      </c>
      <c r="V976" s="45">
        <f>IF(
  OR(
    ISNUMBER(SEARCH("unable to locate acct", tblDocketedComments[[#This Row],[Docketed Consumer Comments]])),
    ISNUMBER(SEARCH("unknown", tblDocketedComments[[#This Row],[Docketed Consumer Comments]])),
    ISNUMBER(SEARCH("inactive", tblDocketedComments[[#This Row],[Docketed Consumer Comments]]))
  ),
  0,
  1
)</f>
        <v>1</v>
      </c>
    </row>
    <row r="977" spans="1:22" ht="11.85" hidden="1" customHeight="1">
      <c r="A977" s="2">
        <v>45909</v>
      </c>
      <c r="B977" s="1" t="s">
        <v>2344</v>
      </c>
      <c r="C977" s="1" t="s">
        <v>1308</v>
      </c>
      <c r="D977" s="1" t="s">
        <v>369</v>
      </c>
      <c r="E977" s="1">
        <v>85225</v>
      </c>
      <c r="F977" s="1" t="s">
        <v>310</v>
      </c>
      <c r="G977" s="1" t="s">
        <v>2345</v>
      </c>
      <c r="H977" s="4" t="s">
        <v>2346</v>
      </c>
      <c r="I977" s="5" t="s">
        <v>46</v>
      </c>
      <c r="J977" s="5" t="s">
        <v>37</v>
      </c>
      <c r="K977" s="5" t="s">
        <v>37</v>
      </c>
      <c r="L977" s="5" t="s">
        <v>1435</v>
      </c>
      <c r="M977" s="5" t="s">
        <v>37</v>
      </c>
      <c r="N977" s="5" t="s">
        <v>37</v>
      </c>
      <c r="O977" s="5" t="s">
        <v>38</v>
      </c>
      <c r="P977" s="5" t="s">
        <v>39</v>
      </c>
      <c r="Q977" s="2">
        <v>45961</v>
      </c>
      <c r="V977" s="45">
        <f>IF(
  OR(
    ISNUMBER(SEARCH("unable to locate acct", tblDocketedComments[[#This Row],[Docketed Consumer Comments]])),
    ISNUMBER(SEARCH("unknown", tblDocketedComments[[#This Row],[Docketed Consumer Comments]])),
    ISNUMBER(SEARCH("inactive", tblDocketedComments[[#This Row],[Docketed Consumer Comments]]))
  ),
  0,
  1
)</f>
        <v>1</v>
      </c>
    </row>
    <row r="978" spans="1:22" ht="11.85" hidden="1" customHeight="1">
      <c r="A978" s="2">
        <v>45909</v>
      </c>
      <c r="B978" s="1" t="s">
        <v>555</v>
      </c>
      <c r="C978" s="1" t="s">
        <v>2347</v>
      </c>
      <c r="D978" s="1" t="s">
        <v>1537</v>
      </c>
      <c r="E978" s="1">
        <v>85615</v>
      </c>
      <c r="F978" s="1" t="s">
        <v>31</v>
      </c>
      <c r="G978" s="1" t="s">
        <v>2345</v>
      </c>
      <c r="H978" s="4" t="s">
        <v>2348</v>
      </c>
      <c r="I978" s="5" t="s">
        <v>196</v>
      </c>
      <c r="J978" s="5" t="s">
        <v>38</v>
      </c>
      <c r="K978" s="5" t="s">
        <v>37</v>
      </c>
      <c r="L978" s="7" t="s">
        <v>2349</v>
      </c>
      <c r="M978" s="5" t="s">
        <v>37</v>
      </c>
      <c r="N978" s="5" t="s">
        <v>37</v>
      </c>
      <c r="O978" s="5" t="s">
        <v>38</v>
      </c>
      <c r="P978" s="2">
        <v>45938</v>
      </c>
      <c r="Q978" s="2">
        <v>45961</v>
      </c>
      <c r="R978" s="1" t="s">
        <v>2301</v>
      </c>
      <c r="V978" s="45">
        <f>IF(
  OR(
    ISNUMBER(SEARCH("unable to locate acct", tblDocketedComments[[#This Row],[Docketed Consumer Comments]])),
    ISNUMBER(SEARCH("unknown", tblDocketedComments[[#This Row],[Docketed Consumer Comments]])),
    ISNUMBER(SEARCH("inactive", tblDocketedComments[[#This Row],[Docketed Consumer Comments]]))
  ),
  0,
  1
)</f>
        <v>1</v>
      </c>
    </row>
    <row r="979" spans="1:22" ht="11.85" hidden="1" customHeight="1">
      <c r="A979" s="2">
        <v>45909</v>
      </c>
      <c r="B979" s="1" t="s">
        <v>1041</v>
      </c>
      <c r="C979" s="1" t="s">
        <v>2350</v>
      </c>
      <c r="D979" s="1" t="s">
        <v>63</v>
      </c>
      <c r="E979" s="1">
        <v>85032</v>
      </c>
      <c r="F979" s="1" t="s">
        <v>310</v>
      </c>
      <c r="G979" s="1" t="s">
        <v>2345</v>
      </c>
      <c r="H979" s="4" t="s">
        <v>2351</v>
      </c>
      <c r="I979" s="5" t="s">
        <v>36</v>
      </c>
      <c r="J979" s="5" t="s">
        <v>37</v>
      </c>
      <c r="K979" s="5" t="s">
        <v>37</v>
      </c>
      <c r="L979" s="5" t="s">
        <v>1435</v>
      </c>
      <c r="M979" s="5" t="s">
        <v>37</v>
      </c>
      <c r="N979" s="5" t="s">
        <v>37</v>
      </c>
      <c r="O979" s="5" t="s">
        <v>38</v>
      </c>
      <c r="P979" s="5" t="s">
        <v>39</v>
      </c>
      <c r="Q979" s="2">
        <v>45961</v>
      </c>
      <c r="V979" s="45">
        <f>IF(
  OR(
    ISNUMBER(SEARCH("unable to locate acct", tblDocketedComments[[#This Row],[Docketed Consumer Comments]])),
    ISNUMBER(SEARCH("unknown", tblDocketedComments[[#This Row],[Docketed Consumer Comments]])),
    ISNUMBER(SEARCH("inactive", tblDocketedComments[[#This Row],[Docketed Consumer Comments]]))
  ),
  0,
  1
)</f>
        <v>1</v>
      </c>
    </row>
    <row r="980" spans="1:22" ht="11.85" hidden="1" customHeight="1">
      <c r="A980" s="2">
        <v>45909</v>
      </c>
      <c r="B980" s="1" t="s">
        <v>269</v>
      </c>
      <c r="C980" s="1" t="s">
        <v>418</v>
      </c>
      <c r="D980" s="1" t="s">
        <v>63</v>
      </c>
      <c r="E980" s="1">
        <v>85020</v>
      </c>
      <c r="F980" s="1" t="s">
        <v>310</v>
      </c>
      <c r="G980" s="1" t="s">
        <v>2345</v>
      </c>
      <c r="H980" s="4" t="s">
        <v>2352</v>
      </c>
      <c r="I980" s="5" t="s">
        <v>538</v>
      </c>
      <c r="J980" s="5" t="s">
        <v>37</v>
      </c>
      <c r="K980" s="5" t="s">
        <v>37</v>
      </c>
      <c r="L980" s="5" t="s">
        <v>387</v>
      </c>
      <c r="M980" s="5" t="s">
        <v>37</v>
      </c>
      <c r="N980" s="5" t="s">
        <v>37</v>
      </c>
      <c r="O980" s="5" t="s">
        <v>38</v>
      </c>
      <c r="P980" s="5" t="s">
        <v>39</v>
      </c>
      <c r="Q980" s="2">
        <v>45961</v>
      </c>
      <c r="V980" s="45">
        <f>IF(
  OR(
    ISNUMBER(SEARCH("unable to locate acct", tblDocketedComments[[#This Row],[Docketed Consumer Comments]])),
    ISNUMBER(SEARCH("unknown", tblDocketedComments[[#This Row],[Docketed Consumer Comments]])),
    ISNUMBER(SEARCH("inactive", tblDocketedComments[[#This Row],[Docketed Consumer Comments]]))
  ),
  0,
  1
)</f>
        <v>1</v>
      </c>
    </row>
    <row r="981" spans="1:22" ht="11.85" hidden="1" customHeight="1">
      <c r="A981" s="2">
        <v>45909</v>
      </c>
      <c r="B981" s="1" t="s">
        <v>2353</v>
      </c>
      <c r="C981" s="1" t="s">
        <v>177</v>
      </c>
      <c r="D981" s="1" t="s">
        <v>63</v>
      </c>
      <c r="E981" s="1">
        <v>85083</v>
      </c>
      <c r="F981" s="1" t="s">
        <v>31</v>
      </c>
      <c r="G981" s="1" t="s">
        <v>2345</v>
      </c>
      <c r="H981" s="4" t="s">
        <v>209</v>
      </c>
      <c r="V981" s="45">
        <f>IF(
  OR(
    ISNUMBER(SEARCH("unable to locate acct", tblDocketedComments[[#This Row],[Docketed Consumer Comments]])),
    ISNUMBER(SEARCH("unknown", tblDocketedComments[[#This Row],[Docketed Consumer Comments]])),
    ISNUMBER(SEARCH("inactive", tblDocketedComments[[#This Row],[Docketed Consumer Comments]]))
  ),
  0,
  1
)</f>
        <v>1</v>
      </c>
    </row>
    <row r="982" spans="1:22" ht="11.85" hidden="1" customHeight="1">
      <c r="A982" s="2">
        <v>45909</v>
      </c>
      <c r="B982" s="1" t="s">
        <v>2354</v>
      </c>
      <c r="C982" s="1" t="s">
        <v>1602</v>
      </c>
      <c r="D982" s="1" t="s">
        <v>63</v>
      </c>
      <c r="E982" s="1">
        <v>85083</v>
      </c>
      <c r="F982" s="1" t="s">
        <v>31</v>
      </c>
      <c r="G982" s="1" t="s">
        <v>2345</v>
      </c>
      <c r="H982" s="4" t="s">
        <v>2355</v>
      </c>
      <c r="I982" s="5" t="s">
        <v>126</v>
      </c>
      <c r="J982" s="5" t="s">
        <v>37</v>
      </c>
      <c r="K982" s="5" t="s">
        <v>37</v>
      </c>
      <c r="L982" s="5" t="s">
        <v>1435</v>
      </c>
      <c r="M982" s="5" t="s">
        <v>37</v>
      </c>
      <c r="N982" s="5" t="s">
        <v>37</v>
      </c>
      <c r="O982" s="5" t="s">
        <v>38</v>
      </c>
      <c r="P982" s="5" t="s">
        <v>39</v>
      </c>
      <c r="Q982" s="2">
        <v>45961</v>
      </c>
      <c r="V982" s="45">
        <f>IF(
  OR(
    ISNUMBER(SEARCH("unable to locate acct", tblDocketedComments[[#This Row],[Docketed Consumer Comments]])),
    ISNUMBER(SEARCH("unknown", tblDocketedComments[[#This Row],[Docketed Consumer Comments]])),
    ISNUMBER(SEARCH("inactive", tblDocketedComments[[#This Row],[Docketed Consumer Comments]]))
  ),
  0,
  1
)</f>
        <v>1</v>
      </c>
    </row>
    <row r="983" spans="1:22" ht="11.85" hidden="1" customHeight="1">
      <c r="A983" s="2">
        <v>45909</v>
      </c>
      <c r="B983" s="1" t="s">
        <v>820</v>
      </c>
      <c r="C983" s="1" t="s">
        <v>2356</v>
      </c>
      <c r="D983" s="1" t="s">
        <v>63</v>
      </c>
      <c r="E983" s="1">
        <v>85086</v>
      </c>
      <c r="F983" s="1" t="s">
        <v>31</v>
      </c>
      <c r="G983" s="1" t="s">
        <v>2345</v>
      </c>
      <c r="H983" s="4" t="s">
        <v>2357</v>
      </c>
      <c r="I983" s="5" t="s">
        <v>36</v>
      </c>
      <c r="J983" s="5" t="s">
        <v>38</v>
      </c>
      <c r="K983" s="5" t="s">
        <v>37</v>
      </c>
      <c r="L983" s="5" t="s">
        <v>1435</v>
      </c>
      <c r="M983" s="5" t="s">
        <v>37</v>
      </c>
      <c r="N983" s="5" t="s">
        <v>37</v>
      </c>
      <c r="O983" s="5" t="s">
        <v>38</v>
      </c>
      <c r="P983" s="5" t="s">
        <v>39</v>
      </c>
      <c r="Q983" s="2">
        <v>45961</v>
      </c>
      <c r="V983" s="45">
        <f>IF(
  OR(
    ISNUMBER(SEARCH("unable to locate acct", tblDocketedComments[[#This Row],[Docketed Consumer Comments]])),
    ISNUMBER(SEARCH("unknown", tblDocketedComments[[#This Row],[Docketed Consumer Comments]])),
    ISNUMBER(SEARCH("inactive", tblDocketedComments[[#This Row],[Docketed Consumer Comments]]))
  ),
  0,
  1
)</f>
        <v>1</v>
      </c>
    </row>
    <row r="984" spans="1:22" ht="11.85" hidden="1" customHeight="1">
      <c r="A984" s="2">
        <v>45909</v>
      </c>
      <c r="B984" s="1" t="s">
        <v>2358</v>
      </c>
      <c r="C984" s="1" t="s">
        <v>2166</v>
      </c>
      <c r="D984" s="1" t="s">
        <v>63</v>
      </c>
      <c r="E984" s="1">
        <v>85006</v>
      </c>
      <c r="F984" s="1" t="s">
        <v>31</v>
      </c>
      <c r="G984" s="1" t="s">
        <v>2345</v>
      </c>
      <c r="H984" s="4" t="s">
        <v>27</v>
      </c>
      <c r="V984" s="45">
        <f>IF(
  OR(
    ISNUMBER(SEARCH("unable to locate acct", tblDocketedComments[[#This Row],[Docketed Consumer Comments]])),
    ISNUMBER(SEARCH("unknown", tblDocketedComments[[#This Row],[Docketed Consumer Comments]])),
    ISNUMBER(SEARCH("inactive", tblDocketedComments[[#This Row],[Docketed Consumer Comments]]))
  ),
  0,
  1
)</f>
        <v>1</v>
      </c>
    </row>
    <row r="985" spans="1:22" ht="11.85" hidden="1" customHeight="1">
      <c r="A985" s="2">
        <v>45909</v>
      </c>
      <c r="B985" s="1" t="s">
        <v>2359</v>
      </c>
      <c r="C985" s="1" t="s">
        <v>102</v>
      </c>
      <c r="D985" s="1" t="s">
        <v>63</v>
      </c>
      <c r="E985" s="1">
        <v>85086</v>
      </c>
      <c r="F985" s="1" t="s">
        <v>2360</v>
      </c>
      <c r="G985" s="1" t="s">
        <v>2345</v>
      </c>
      <c r="H985" s="4" t="s">
        <v>2361</v>
      </c>
      <c r="I985" s="5" t="s">
        <v>46</v>
      </c>
      <c r="J985" s="5" t="s">
        <v>37</v>
      </c>
      <c r="K985" s="5" t="s">
        <v>37</v>
      </c>
      <c r="L985" s="5" t="s">
        <v>1435</v>
      </c>
      <c r="M985" s="5" t="s">
        <v>37</v>
      </c>
      <c r="N985" s="5" t="s">
        <v>37</v>
      </c>
      <c r="O985" s="5" t="s">
        <v>38</v>
      </c>
      <c r="P985" s="5" t="s">
        <v>39</v>
      </c>
      <c r="Q985" s="2">
        <v>45961</v>
      </c>
      <c r="V985" s="45">
        <f>IF(
  OR(
    ISNUMBER(SEARCH("unable to locate acct", tblDocketedComments[[#This Row],[Docketed Consumer Comments]])),
    ISNUMBER(SEARCH("unknown", tblDocketedComments[[#This Row],[Docketed Consumer Comments]])),
    ISNUMBER(SEARCH("inactive", tblDocketedComments[[#This Row],[Docketed Consumer Comments]]))
  ),
  0,
  1
)</f>
        <v>1</v>
      </c>
    </row>
    <row r="986" spans="1:22" ht="11.85" hidden="1" customHeight="1">
      <c r="A986" s="2">
        <v>45909</v>
      </c>
      <c r="B986" s="1" t="s">
        <v>2362</v>
      </c>
      <c r="C986" s="1" t="s">
        <v>2017</v>
      </c>
      <c r="D986" s="1" t="s">
        <v>63</v>
      </c>
      <c r="E986" s="1">
        <v>85086</v>
      </c>
      <c r="F986" s="1" t="s">
        <v>31</v>
      </c>
      <c r="G986" s="1" t="s">
        <v>2345</v>
      </c>
      <c r="H986" s="4" t="s">
        <v>2363</v>
      </c>
      <c r="I986" s="5" t="s">
        <v>46</v>
      </c>
      <c r="J986" s="5" t="s">
        <v>37</v>
      </c>
      <c r="K986" s="5" t="s">
        <v>37</v>
      </c>
      <c r="L986" s="5" t="s">
        <v>1435</v>
      </c>
      <c r="M986" s="5" t="s">
        <v>38</v>
      </c>
      <c r="N986" s="15">
        <v>1068.19</v>
      </c>
      <c r="O986" s="5" t="s">
        <v>38</v>
      </c>
      <c r="P986" s="7"/>
      <c r="Q986" s="2">
        <v>45961</v>
      </c>
      <c r="R986" s="1" t="s">
        <v>492</v>
      </c>
      <c r="V986" s="45">
        <f>IF(
  OR(
    ISNUMBER(SEARCH("unable to locate acct", tblDocketedComments[[#This Row],[Docketed Consumer Comments]])),
    ISNUMBER(SEARCH("unknown", tblDocketedComments[[#This Row],[Docketed Consumer Comments]])),
    ISNUMBER(SEARCH("inactive", tblDocketedComments[[#This Row],[Docketed Consumer Comments]]))
  ),
  0,
  1
)</f>
        <v>1</v>
      </c>
    </row>
    <row r="987" spans="1:22" ht="11.85" hidden="1" customHeight="1">
      <c r="A987" s="2">
        <v>45909</v>
      </c>
      <c r="B987" s="1" t="s">
        <v>2171</v>
      </c>
      <c r="C987" s="1" t="s">
        <v>206</v>
      </c>
      <c r="D987" s="1" t="s">
        <v>30</v>
      </c>
      <c r="E987" s="1" t="s">
        <v>30</v>
      </c>
      <c r="F987" s="1" t="s">
        <v>2364</v>
      </c>
      <c r="G987" s="1" t="s">
        <v>2345</v>
      </c>
      <c r="H987" s="4" t="s">
        <v>27</v>
      </c>
      <c r="V987" s="45">
        <f>IF(
  OR(
    ISNUMBER(SEARCH("unable to locate acct", tblDocketedComments[[#This Row],[Docketed Consumer Comments]])),
    ISNUMBER(SEARCH("unknown", tblDocketedComments[[#This Row],[Docketed Consumer Comments]])),
    ISNUMBER(SEARCH("inactive", tblDocketedComments[[#This Row],[Docketed Consumer Comments]]))
  ),
  0,
  1
)</f>
        <v>1</v>
      </c>
    </row>
    <row r="988" spans="1:22" ht="11.85" hidden="1" customHeight="1">
      <c r="A988" s="2">
        <v>45909</v>
      </c>
      <c r="B988" s="1" t="s">
        <v>2010</v>
      </c>
      <c r="C988" s="1" t="s">
        <v>2365</v>
      </c>
      <c r="D988" s="1" t="s">
        <v>30</v>
      </c>
      <c r="E988" s="1" t="s">
        <v>30</v>
      </c>
      <c r="F988" s="1" t="s">
        <v>310</v>
      </c>
      <c r="G988" s="1" t="s">
        <v>2345</v>
      </c>
      <c r="H988" s="4" t="s">
        <v>27</v>
      </c>
      <c r="V988" s="45">
        <f>IF(
  OR(
    ISNUMBER(SEARCH("unable to locate acct", tblDocketedComments[[#This Row],[Docketed Consumer Comments]])),
    ISNUMBER(SEARCH("unknown", tblDocketedComments[[#This Row],[Docketed Consumer Comments]])),
    ISNUMBER(SEARCH("inactive", tblDocketedComments[[#This Row],[Docketed Consumer Comments]]))
  ),
  0,
  1
)</f>
        <v>1</v>
      </c>
    </row>
    <row r="989" spans="1:22" ht="11.85" hidden="1" customHeight="1">
      <c r="A989" s="2">
        <v>45909</v>
      </c>
      <c r="B989" s="1" t="s">
        <v>1432</v>
      </c>
      <c r="C989" s="1" t="s">
        <v>284</v>
      </c>
      <c r="D989" s="1" t="s">
        <v>30</v>
      </c>
      <c r="E989" s="1" t="s">
        <v>30</v>
      </c>
      <c r="F989" s="1" t="s">
        <v>310</v>
      </c>
      <c r="G989" s="1" t="s">
        <v>2345</v>
      </c>
      <c r="H989" s="4" t="s">
        <v>209</v>
      </c>
      <c r="V989" s="45">
        <f>IF(
  OR(
    ISNUMBER(SEARCH("unable to locate acct", tblDocketedComments[[#This Row],[Docketed Consumer Comments]])),
    ISNUMBER(SEARCH("unknown", tblDocketedComments[[#This Row],[Docketed Consumer Comments]])),
    ISNUMBER(SEARCH("inactive", tblDocketedComments[[#This Row],[Docketed Consumer Comments]]))
  ),
  0,
  1
)</f>
        <v>1</v>
      </c>
    </row>
    <row r="990" spans="1:22" ht="11.85" hidden="1" customHeight="1">
      <c r="A990" s="2">
        <v>45909</v>
      </c>
      <c r="B990" s="1" t="s">
        <v>2295</v>
      </c>
      <c r="C990" s="1" t="s">
        <v>478</v>
      </c>
      <c r="D990" s="1" t="s">
        <v>63</v>
      </c>
      <c r="E990" s="1">
        <v>85086</v>
      </c>
      <c r="F990" s="1" t="s">
        <v>2360</v>
      </c>
      <c r="G990" s="1" t="s">
        <v>2345</v>
      </c>
      <c r="H990" s="4" t="s">
        <v>2297</v>
      </c>
      <c r="I990" s="5" t="s">
        <v>250</v>
      </c>
      <c r="J990" s="5" t="s">
        <v>37</v>
      </c>
      <c r="K990" s="5" t="s">
        <v>37</v>
      </c>
      <c r="L990" s="5" t="s">
        <v>1435</v>
      </c>
      <c r="M990" s="5" t="s">
        <v>37</v>
      </c>
      <c r="N990" s="5" t="s">
        <v>37</v>
      </c>
      <c r="O990" s="5" t="s">
        <v>38</v>
      </c>
      <c r="P990" s="5" t="s">
        <v>39</v>
      </c>
      <c r="Q990" s="2">
        <v>45961</v>
      </c>
      <c r="V990" s="45">
        <f>IF(
  OR(
    ISNUMBER(SEARCH("unable to locate acct", tblDocketedComments[[#This Row],[Docketed Consumer Comments]])),
    ISNUMBER(SEARCH("unknown", tblDocketedComments[[#This Row],[Docketed Consumer Comments]])),
    ISNUMBER(SEARCH("inactive", tblDocketedComments[[#This Row],[Docketed Consumer Comments]]))
  ),
  0,
  1
)</f>
        <v>1</v>
      </c>
    </row>
    <row r="991" spans="1:22" ht="11.85" hidden="1" customHeight="1">
      <c r="A991" s="2">
        <v>45909</v>
      </c>
      <c r="B991" s="1" t="s">
        <v>2366</v>
      </c>
      <c r="C991" s="1" t="s">
        <v>354</v>
      </c>
      <c r="D991" s="1" t="s">
        <v>125</v>
      </c>
      <c r="E991" s="1">
        <v>85255</v>
      </c>
      <c r="F991" s="1" t="s">
        <v>31</v>
      </c>
      <c r="G991" s="1" t="s">
        <v>2345</v>
      </c>
      <c r="H991" s="4" t="s">
        <v>209</v>
      </c>
      <c r="V991" s="45">
        <f>IF(
  OR(
    ISNUMBER(SEARCH("unable to locate acct", tblDocketedComments[[#This Row],[Docketed Consumer Comments]])),
    ISNUMBER(SEARCH("unknown", tblDocketedComments[[#This Row],[Docketed Consumer Comments]])),
    ISNUMBER(SEARCH("inactive", tblDocketedComments[[#This Row],[Docketed Consumer Comments]]))
  ),
  0,
  1
)</f>
        <v>1</v>
      </c>
    </row>
    <row r="992" spans="1:22" ht="11.85" hidden="1" customHeight="1">
      <c r="A992" s="2">
        <v>45909</v>
      </c>
      <c r="B992" s="1" t="s">
        <v>891</v>
      </c>
      <c r="C992" s="1" t="s">
        <v>1859</v>
      </c>
      <c r="D992" s="1" t="s">
        <v>853</v>
      </c>
      <c r="E992" s="1">
        <v>85086</v>
      </c>
      <c r="F992" s="1" t="s">
        <v>2367</v>
      </c>
      <c r="G992" s="1" t="s">
        <v>2345</v>
      </c>
      <c r="H992" s="4" t="s">
        <v>27</v>
      </c>
      <c r="V992" s="45">
        <f>IF(
  OR(
    ISNUMBER(SEARCH("unable to locate acct", tblDocketedComments[[#This Row],[Docketed Consumer Comments]])),
    ISNUMBER(SEARCH("unknown", tblDocketedComments[[#This Row],[Docketed Consumer Comments]])),
    ISNUMBER(SEARCH("inactive", tblDocketedComments[[#This Row],[Docketed Consumer Comments]]))
  ),
  0,
  1
)</f>
        <v>1</v>
      </c>
    </row>
    <row r="993" spans="1:22" ht="11.85" hidden="1" customHeight="1">
      <c r="A993" s="2">
        <v>45909</v>
      </c>
      <c r="B993" s="1" t="s">
        <v>949</v>
      </c>
      <c r="C993" s="1" t="s">
        <v>2368</v>
      </c>
      <c r="D993" s="1" t="s">
        <v>30</v>
      </c>
      <c r="E993" s="1" t="s">
        <v>30</v>
      </c>
      <c r="F993" s="1" t="s">
        <v>310</v>
      </c>
      <c r="G993" s="1" t="s">
        <v>2345</v>
      </c>
      <c r="H993" s="4" t="s">
        <v>27</v>
      </c>
      <c r="V993" s="45">
        <f>IF(
  OR(
    ISNUMBER(SEARCH("unable to locate acct", tblDocketedComments[[#This Row],[Docketed Consumer Comments]])),
    ISNUMBER(SEARCH("unknown", tblDocketedComments[[#This Row],[Docketed Consumer Comments]])),
    ISNUMBER(SEARCH("inactive", tblDocketedComments[[#This Row],[Docketed Consumer Comments]]))
  ),
  0,
  1
)</f>
        <v>1</v>
      </c>
    </row>
    <row r="994" spans="1:22" ht="11.85" hidden="1" customHeight="1">
      <c r="A994" s="2">
        <v>45909</v>
      </c>
      <c r="B994" s="1" t="s">
        <v>2369</v>
      </c>
      <c r="C994" s="1" t="s">
        <v>133</v>
      </c>
      <c r="D994" s="1" t="s">
        <v>30</v>
      </c>
      <c r="E994" s="1" t="s">
        <v>30</v>
      </c>
      <c r="F994" s="1" t="s">
        <v>310</v>
      </c>
      <c r="G994" s="1" t="s">
        <v>2345</v>
      </c>
      <c r="H994" s="4" t="s">
        <v>2370</v>
      </c>
      <c r="I994" s="5" t="s">
        <v>250</v>
      </c>
      <c r="J994" s="5" t="s">
        <v>37</v>
      </c>
      <c r="K994" s="5" t="s">
        <v>37</v>
      </c>
      <c r="L994" s="5" t="s">
        <v>1435</v>
      </c>
      <c r="M994" s="5" t="s">
        <v>37</v>
      </c>
      <c r="N994" s="5" t="s">
        <v>37</v>
      </c>
      <c r="O994" s="5" t="s">
        <v>38</v>
      </c>
      <c r="P994" s="5" t="s">
        <v>39</v>
      </c>
      <c r="Q994" s="2">
        <v>45961</v>
      </c>
      <c r="V994" s="45">
        <f>IF(
  OR(
    ISNUMBER(SEARCH("unable to locate acct", tblDocketedComments[[#This Row],[Docketed Consumer Comments]])),
    ISNUMBER(SEARCH("unknown", tblDocketedComments[[#This Row],[Docketed Consumer Comments]])),
    ISNUMBER(SEARCH("inactive", tblDocketedComments[[#This Row],[Docketed Consumer Comments]]))
  ),
  0,
  1
)</f>
        <v>1</v>
      </c>
    </row>
    <row r="995" spans="1:22" ht="11.85" hidden="1" customHeight="1">
      <c r="A995" s="2">
        <v>45909</v>
      </c>
      <c r="B995" s="1" t="s">
        <v>2371</v>
      </c>
      <c r="C995" s="1" t="s">
        <v>252</v>
      </c>
      <c r="D995" s="1" t="s">
        <v>30</v>
      </c>
      <c r="E995" s="1" t="s">
        <v>30</v>
      </c>
      <c r="F995" s="1" t="s">
        <v>310</v>
      </c>
      <c r="G995" s="1" t="s">
        <v>2345</v>
      </c>
      <c r="H995" s="4" t="s">
        <v>27</v>
      </c>
      <c r="V995" s="45">
        <f>IF(
  OR(
    ISNUMBER(SEARCH("unable to locate acct", tblDocketedComments[[#This Row],[Docketed Consumer Comments]])),
    ISNUMBER(SEARCH("unknown", tblDocketedComments[[#This Row],[Docketed Consumer Comments]])),
    ISNUMBER(SEARCH("inactive", tblDocketedComments[[#This Row],[Docketed Consumer Comments]]))
  ),
  0,
  1
)</f>
        <v>1</v>
      </c>
    </row>
    <row r="996" spans="1:22" ht="11.85" hidden="1" customHeight="1">
      <c r="A996" s="2">
        <v>45909</v>
      </c>
      <c r="B996" s="1" t="s">
        <v>2372</v>
      </c>
      <c r="C996" s="1" t="s">
        <v>320</v>
      </c>
      <c r="D996" s="1" t="s">
        <v>63</v>
      </c>
      <c r="E996" s="1">
        <v>85085</v>
      </c>
      <c r="F996" s="1" t="s">
        <v>310</v>
      </c>
      <c r="G996" s="1" t="s">
        <v>2345</v>
      </c>
      <c r="H996" s="4" t="s">
        <v>2373</v>
      </c>
      <c r="I996" s="5" t="s">
        <v>36</v>
      </c>
      <c r="J996" s="5" t="s">
        <v>37</v>
      </c>
      <c r="K996" s="5" t="s">
        <v>37</v>
      </c>
      <c r="L996" s="5" t="s">
        <v>1435</v>
      </c>
      <c r="M996" s="5" t="s">
        <v>37</v>
      </c>
      <c r="N996" s="5" t="s">
        <v>37</v>
      </c>
      <c r="O996" s="5" t="s">
        <v>38</v>
      </c>
      <c r="P996" s="5" t="s">
        <v>39</v>
      </c>
      <c r="Q996" s="2">
        <v>45961</v>
      </c>
      <c r="V996" s="45">
        <f>IF(
  OR(
    ISNUMBER(SEARCH("unable to locate acct", tblDocketedComments[[#This Row],[Docketed Consumer Comments]])),
    ISNUMBER(SEARCH("unknown", tblDocketedComments[[#This Row],[Docketed Consumer Comments]])),
    ISNUMBER(SEARCH("inactive", tblDocketedComments[[#This Row],[Docketed Consumer Comments]]))
  ),
  0,
  1
)</f>
        <v>1</v>
      </c>
    </row>
    <row r="997" spans="1:22" ht="11.85" hidden="1" customHeight="1">
      <c r="A997" s="2">
        <v>45909</v>
      </c>
      <c r="B997" s="1" t="s">
        <v>2374</v>
      </c>
      <c r="C997" s="1" t="s">
        <v>892</v>
      </c>
      <c r="D997" s="1" t="s">
        <v>853</v>
      </c>
      <c r="E997" s="1">
        <v>85086</v>
      </c>
      <c r="F997" s="1" t="s">
        <v>2375</v>
      </c>
      <c r="G997" s="1" t="s">
        <v>2345</v>
      </c>
      <c r="H997" s="4" t="s">
        <v>2376</v>
      </c>
      <c r="I997" s="5" t="s">
        <v>250</v>
      </c>
      <c r="J997" s="5" t="s">
        <v>37</v>
      </c>
      <c r="K997" s="5" t="s">
        <v>37</v>
      </c>
      <c r="L997" s="5" t="s">
        <v>1435</v>
      </c>
      <c r="M997" s="5" t="s">
        <v>37</v>
      </c>
      <c r="N997" s="5" t="s">
        <v>37</v>
      </c>
      <c r="O997" s="5" t="s">
        <v>38</v>
      </c>
      <c r="P997" s="5" t="s">
        <v>39</v>
      </c>
      <c r="Q997" s="2">
        <v>45961</v>
      </c>
      <c r="V997" s="45">
        <f>IF(
  OR(
    ISNUMBER(SEARCH("unable to locate acct", tblDocketedComments[[#This Row],[Docketed Consumer Comments]])),
    ISNUMBER(SEARCH("unknown", tblDocketedComments[[#This Row],[Docketed Consumer Comments]])),
    ISNUMBER(SEARCH("inactive", tblDocketedComments[[#This Row],[Docketed Consumer Comments]]))
  ),
  0,
  1
)</f>
        <v>1</v>
      </c>
    </row>
    <row r="998" spans="1:22" ht="11.85" hidden="1" customHeight="1">
      <c r="A998" s="2">
        <v>45909</v>
      </c>
      <c r="B998" s="1" t="s">
        <v>2377</v>
      </c>
      <c r="C998" s="1" t="s">
        <v>2378</v>
      </c>
      <c r="D998" s="1" t="s">
        <v>63</v>
      </c>
      <c r="E998" s="1">
        <v>85086</v>
      </c>
      <c r="F998" s="1" t="s">
        <v>2167</v>
      </c>
      <c r="G998" s="1" t="s">
        <v>2345</v>
      </c>
      <c r="H998" s="4" t="s">
        <v>2379</v>
      </c>
      <c r="I998" s="5" t="s">
        <v>250</v>
      </c>
      <c r="J998" s="5" t="s">
        <v>37</v>
      </c>
      <c r="K998" s="5" t="s">
        <v>37</v>
      </c>
      <c r="L998" s="5" t="s">
        <v>1435</v>
      </c>
      <c r="M998" s="5" t="s">
        <v>37</v>
      </c>
      <c r="N998" s="5" t="s">
        <v>37</v>
      </c>
      <c r="O998" s="5" t="s">
        <v>38</v>
      </c>
      <c r="P998" s="5" t="s">
        <v>39</v>
      </c>
      <c r="Q998" s="2">
        <v>45961</v>
      </c>
      <c r="V998" s="45">
        <f>IF(
  OR(
    ISNUMBER(SEARCH("unable to locate acct", tblDocketedComments[[#This Row],[Docketed Consumer Comments]])),
    ISNUMBER(SEARCH("unknown", tblDocketedComments[[#This Row],[Docketed Consumer Comments]])),
    ISNUMBER(SEARCH("inactive", tblDocketedComments[[#This Row],[Docketed Consumer Comments]]))
  ),
  0,
  1
)</f>
        <v>1</v>
      </c>
    </row>
    <row r="999" spans="1:22" ht="11.85" hidden="1" customHeight="1">
      <c r="A999" s="2">
        <v>45909</v>
      </c>
      <c r="B999" s="1" t="s">
        <v>2380</v>
      </c>
      <c r="C999" s="1" t="s">
        <v>184</v>
      </c>
      <c r="D999" s="1" t="s">
        <v>2207</v>
      </c>
      <c r="E999" s="1">
        <v>85087</v>
      </c>
      <c r="F999" s="1" t="s">
        <v>310</v>
      </c>
      <c r="G999" s="1" t="s">
        <v>2345</v>
      </c>
      <c r="H999" s="4" t="s">
        <v>2381</v>
      </c>
      <c r="I999" s="5" t="s">
        <v>250</v>
      </c>
      <c r="J999" s="5" t="s">
        <v>37</v>
      </c>
      <c r="K999" s="5" t="s">
        <v>37</v>
      </c>
      <c r="L999" s="5" t="s">
        <v>1435</v>
      </c>
      <c r="M999" s="5" t="s">
        <v>38</v>
      </c>
      <c r="N999" s="15">
        <v>548.12</v>
      </c>
      <c r="O999" s="5" t="s">
        <v>38</v>
      </c>
      <c r="P999" s="7"/>
      <c r="Q999" s="2">
        <v>45961</v>
      </c>
      <c r="R999" s="1" t="s">
        <v>492</v>
      </c>
      <c r="V9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0" spans="1:22" ht="11.85" hidden="1" customHeight="1">
      <c r="A1000" s="2">
        <v>45909</v>
      </c>
      <c r="B1000" s="1" t="s">
        <v>2382</v>
      </c>
      <c r="C1000" s="1" t="s">
        <v>2383</v>
      </c>
      <c r="D1000" s="1" t="s">
        <v>63</v>
      </c>
      <c r="E1000" s="1">
        <v>85086</v>
      </c>
      <c r="F1000" s="1" t="s">
        <v>2384</v>
      </c>
      <c r="G1000" s="1" t="s">
        <v>2345</v>
      </c>
      <c r="H1000" s="4" t="s">
        <v>2385</v>
      </c>
      <c r="I1000" s="5" t="s">
        <v>196</v>
      </c>
      <c r="J1000" s="5" t="s">
        <v>37</v>
      </c>
      <c r="K1000" s="5" t="s">
        <v>37</v>
      </c>
      <c r="L1000" s="5" t="s">
        <v>1435</v>
      </c>
      <c r="M1000" s="5" t="s">
        <v>37</v>
      </c>
      <c r="N1000" s="5" t="s">
        <v>37</v>
      </c>
      <c r="O1000" s="5" t="s">
        <v>38</v>
      </c>
      <c r="P1000" s="5" t="s">
        <v>39</v>
      </c>
      <c r="Q1000" s="2">
        <v>45961</v>
      </c>
      <c r="V10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1" spans="1:22" ht="11.85" hidden="1" customHeight="1">
      <c r="A1001" s="2">
        <v>45909</v>
      </c>
      <c r="B1001" s="1" t="s">
        <v>2386</v>
      </c>
      <c r="C1001" s="1" t="s">
        <v>1492</v>
      </c>
      <c r="D1001" s="1" t="s">
        <v>2207</v>
      </c>
      <c r="E1001" s="1">
        <v>85087</v>
      </c>
      <c r="F1001" s="1" t="s">
        <v>310</v>
      </c>
      <c r="G1001" s="1" t="s">
        <v>2345</v>
      </c>
      <c r="H1001" s="4" t="s">
        <v>2387</v>
      </c>
      <c r="I1001" s="5" t="s">
        <v>81</v>
      </c>
      <c r="J1001" s="5" t="s">
        <v>37</v>
      </c>
      <c r="K1001" s="5" t="s">
        <v>37</v>
      </c>
      <c r="L1001" s="5" t="s">
        <v>387</v>
      </c>
      <c r="M1001" s="5" t="s">
        <v>37</v>
      </c>
      <c r="N1001" s="5" t="s">
        <v>37</v>
      </c>
      <c r="O1001" s="5" t="s">
        <v>38</v>
      </c>
      <c r="P1001" s="5" t="s">
        <v>39</v>
      </c>
      <c r="Q1001" s="2">
        <v>45961</v>
      </c>
      <c r="V10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2" spans="1:22" ht="11.85" hidden="1" customHeight="1">
      <c r="A1002" s="2">
        <v>45909</v>
      </c>
      <c r="B1002" s="1" t="s">
        <v>2388</v>
      </c>
      <c r="C1002" s="1" t="s">
        <v>776</v>
      </c>
      <c r="D1002" s="1" t="s">
        <v>24</v>
      </c>
      <c r="E1002" s="1">
        <v>85306</v>
      </c>
      <c r="F1002" s="1" t="s">
        <v>2389</v>
      </c>
      <c r="G1002" s="1" t="s">
        <v>2345</v>
      </c>
      <c r="H1002" s="4" t="s">
        <v>27</v>
      </c>
      <c r="V10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3" spans="1:22" ht="11.85" hidden="1" customHeight="1">
      <c r="A1003" s="2">
        <v>45909</v>
      </c>
      <c r="B1003" s="1" t="s">
        <v>2390</v>
      </c>
      <c r="C1003" s="1" t="s">
        <v>2391</v>
      </c>
      <c r="D1003" s="1" t="s">
        <v>30</v>
      </c>
      <c r="E1003" s="1" t="s">
        <v>30</v>
      </c>
      <c r="F1003" s="1" t="s">
        <v>310</v>
      </c>
      <c r="G1003" s="1" t="s">
        <v>2345</v>
      </c>
      <c r="H1003" s="4" t="s">
        <v>2392</v>
      </c>
      <c r="I1003" s="5" t="s">
        <v>36</v>
      </c>
      <c r="J1003" s="5" t="s">
        <v>37</v>
      </c>
      <c r="K1003" s="5" t="s">
        <v>37</v>
      </c>
      <c r="L1003" s="5" t="s">
        <v>1435</v>
      </c>
      <c r="M1003" s="5" t="s">
        <v>37</v>
      </c>
      <c r="N1003" s="5" t="s">
        <v>37</v>
      </c>
      <c r="O1003" s="5" t="s">
        <v>38</v>
      </c>
      <c r="P1003" s="5" t="s">
        <v>39</v>
      </c>
      <c r="Q1003" s="2">
        <v>45961</v>
      </c>
      <c r="V10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4" spans="1:22" ht="11.85" hidden="1" customHeight="1">
      <c r="A1004" s="2">
        <v>45909</v>
      </c>
      <c r="B1004" s="1" t="s">
        <v>555</v>
      </c>
      <c r="C1004" s="1" t="s">
        <v>135</v>
      </c>
      <c r="D1004" s="1" t="s">
        <v>30</v>
      </c>
      <c r="E1004" s="1" t="s">
        <v>30</v>
      </c>
      <c r="F1004" s="1" t="s">
        <v>31</v>
      </c>
      <c r="G1004" s="1" t="s">
        <v>2345</v>
      </c>
      <c r="H1004" s="4" t="s">
        <v>27</v>
      </c>
      <c r="V10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5" spans="1:22" ht="11.85" hidden="1" customHeight="1">
      <c r="A1005" s="2">
        <v>45909</v>
      </c>
      <c r="B1005" s="1" t="s">
        <v>2393</v>
      </c>
      <c r="C1005" s="1" t="s">
        <v>2394</v>
      </c>
      <c r="D1005" s="1" t="s">
        <v>85</v>
      </c>
      <c r="E1005" s="1">
        <v>86323</v>
      </c>
      <c r="F1005" s="1" t="s">
        <v>31</v>
      </c>
      <c r="G1005" s="1" t="s">
        <v>2345</v>
      </c>
      <c r="H1005" s="4" t="s">
        <v>2395</v>
      </c>
      <c r="I1005" s="5" t="s">
        <v>196</v>
      </c>
      <c r="J1005" s="5" t="s">
        <v>37</v>
      </c>
      <c r="K1005" s="5" t="s">
        <v>37</v>
      </c>
      <c r="L1005" s="5" t="s">
        <v>2396</v>
      </c>
      <c r="M1005" s="5" t="s">
        <v>37</v>
      </c>
      <c r="N1005" s="5" t="s">
        <v>37</v>
      </c>
      <c r="O1005" s="5" t="s">
        <v>38</v>
      </c>
      <c r="P1005" s="5" t="s">
        <v>39</v>
      </c>
      <c r="Q1005" s="2">
        <v>45961</v>
      </c>
      <c r="V10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6" spans="1:22" ht="11.85" hidden="1" customHeight="1">
      <c r="A1006" s="2">
        <v>45909</v>
      </c>
      <c r="B1006" s="1" t="s">
        <v>2397</v>
      </c>
      <c r="C1006" s="1" t="s">
        <v>795</v>
      </c>
      <c r="D1006" s="1" t="s">
        <v>63</v>
      </c>
      <c r="E1006" s="1">
        <v>85083</v>
      </c>
      <c r="F1006" s="1" t="s">
        <v>2398</v>
      </c>
      <c r="G1006" s="1" t="s">
        <v>2345</v>
      </c>
      <c r="H1006" s="4" t="s">
        <v>2399</v>
      </c>
      <c r="I1006" s="5" t="s">
        <v>250</v>
      </c>
      <c r="J1006" s="5" t="s">
        <v>37</v>
      </c>
      <c r="K1006" s="5" t="s">
        <v>37</v>
      </c>
      <c r="L1006" s="5" t="s">
        <v>1435</v>
      </c>
      <c r="M1006" s="5" t="s">
        <v>37</v>
      </c>
      <c r="N1006" s="5" t="s">
        <v>37</v>
      </c>
      <c r="O1006" s="5" t="s">
        <v>38</v>
      </c>
      <c r="P1006" s="5" t="s">
        <v>39</v>
      </c>
      <c r="Q1006" s="2">
        <v>45961</v>
      </c>
      <c r="V10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7" spans="1:22" ht="11.85" hidden="1" customHeight="1">
      <c r="A1007" s="2">
        <v>45909</v>
      </c>
      <c r="B1007" s="1" t="s">
        <v>2400</v>
      </c>
      <c r="C1007" s="1" t="s">
        <v>2401</v>
      </c>
      <c r="D1007" s="1" t="s">
        <v>63</v>
      </c>
      <c r="E1007" s="1">
        <v>85022</v>
      </c>
      <c r="F1007" s="1" t="s">
        <v>31</v>
      </c>
      <c r="G1007" s="1" t="s">
        <v>2345</v>
      </c>
      <c r="H1007" s="4" t="s">
        <v>27</v>
      </c>
      <c r="V10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8" spans="1:22" ht="11.85" hidden="1" customHeight="1">
      <c r="A1008" s="2">
        <v>45909</v>
      </c>
      <c r="B1008" s="1" t="s">
        <v>2402</v>
      </c>
      <c r="C1008" s="1" t="s">
        <v>2017</v>
      </c>
      <c r="D1008" s="1" t="s">
        <v>30</v>
      </c>
      <c r="E1008" s="1" t="s">
        <v>30</v>
      </c>
      <c r="F1008" s="1" t="s">
        <v>31</v>
      </c>
      <c r="G1008" s="1" t="s">
        <v>2345</v>
      </c>
      <c r="H1008" s="4" t="s">
        <v>2403</v>
      </c>
      <c r="I1008" s="5" t="s">
        <v>73</v>
      </c>
      <c r="J1008" s="5" t="s">
        <v>37</v>
      </c>
      <c r="K1008" s="5" t="s">
        <v>37</v>
      </c>
      <c r="L1008" s="5" t="s">
        <v>1435</v>
      </c>
      <c r="M1008" s="5" t="s">
        <v>37</v>
      </c>
      <c r="N1008" s="5" t="s">
        <v>37</v>
      </c>
      <c r="O1008" s="5" t="s">
        <v>38</v>
      </c>
      <c r="P1008" s="5" t="s">
        <v>39</v>
      </c>
      <c r="Q1008" s="2">
        <v>45961</v>
      </c>
      <c r="V10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09" spans="1:22" ht="11.85" hidden="1" customHeight="1">
      <c r="A1009" s="2">
        <v>45909</v>
      </c>
      <c r="B1009" s="1" t="s">
        <v>1596</v>
      </c>
      <c r="C1009" s="1" t="s">
        <v>2404</v>
      </c>
      <c r="D1009" s="1" t="s">
        <v>63</v>
      </c>
      <c r="E1009" s="1">
        <v>85035</v>
      </c>
      <c r="F1009" s="1" t="s">
        <v>310</v>
      </c>
      <c r="G1009" s="1" t="s">
        <v>2345</v>
      </c>
      <c r="H1009" s="4" t="s">
        <v>2405</v>
      </c>
      <c r="I1009" s="5" t="s">
        <v>36</v>
      </c>
      <c r="J1009" s="5" t="s">
        <v>37</v>
      </c>
      <c r="K1009" s="5" t="s">
        <v>37</v>
      </c>
      <c r="L1009" s="5" t="s">
        <v>1435</v>
      </c>
      <c r="M1009" s="5" t="s">
        <v>37</v>
      </c>
      <c r="N1009" s="5" t="s">
        <v>37</v>
      </c>
      <c r="O1009" s="5" t="s">
        <v>38</v>
      </c>
      <c r="P1009" s="5" t="s">
        <v>39</v>
      </c>
      <c r="Q1009" s="2">
        <v>45961</v>
      </c>
      <c r="U1009" s="1" t="s">
        <v>2406</v>
      </c>
      <c r="V10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0" spans="1:22" ht="11.85" hidden="1" customHeight="1">
      <c r="A1010" s="2">
        <v>45909</v>
      </c>
      <c r="B1010" s="1" t="s">
        <v>2407</v>
      </c>
      <c r="C1010" s="1" t="s">
        <v>2408</v>
      </c>
      <c r="D1010" s="1" t="s">
        <v>63</v>
      </c>
      <c r="E1010" s="1">
        <v>85028</v>
      </c>
      <c r="F1010" s="1" t="s">
        <v>2409</v>
      </c>
      <c r="G1010" s="1" t="s">
        <v>2345</v>
      </c>
      <c r="H1010" s="4" t="s">
        <v>2410</v>
      </c>
      <c r="I1010" s="5" t="s">
        <v>36</v>
      </c>
      <c r="J1010" s="5" t="s">
        <v>37</v>
      </c>
      <c r="K1010" s="5" t="s">
        <v>37</v>
      </c>
      <c r="L1010" s="5" t="s">
        <v>1435</v>
      </c>
      <c r="M1010" s="5" t="s">
        <v>37</v>
      </c>
      <c r="N1010" s="5" t="s">
        <v>37</v>
      </c>
      <c r="O1010" s="5" t="s">
        <v>38</v>
      </c>
      <c r="P1010" s="5" t="s">
        <v>39</v>
      </c>
      <c r="Q1010" s="2">
        <v>45961</v>
      </c>
      <c r="V10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1" spans="1:22" ht="11.85" hidden="1" customHeight="1">
      <c r="A1011" s="2">
        <v>45909</v>
      </c>
      <c r="B1011" s="1" t="s">
        <v>1947</v>
      </c>
      <c r="C1011" s="1" t="s">
        <v>354</v>
      </c>
      <c r="D1011" s="1" t="s">
        <v>30</v>
      </c>
      <c r="E1011" s="1" t="s">
        <v>30</v>
      </c>
      <c r="F1011" s="1" t="s">
        <v>31</v>
      </c>
      <c r="G1011" s="1" t="s">
        <v>2345</v>
      </c>
      <c r="H1011" s="4" t="s">
        <v>209</v>
      </c>
      <c r="V10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2" spans="1:22" ht="11.85" hidden="1" customHeight="1">
      <c r="A1012" s="2">
        <v>45909</v>
      </c>
      <c r="B1012" s="1" t="s">
        <v>2411</v>
      </c>
      <c r="C1012" s="1" t="s">
        <v>1768</v>
      </c>
      <c r="D1012" s="1" t="s">
        <v>174</v>
      </c>
      <c r="E1012" s="1">
        <v>85396</v>
      </c>
      <c r="F1012" s="1" t="s">
        <v>310</v>
      </c>
      <c r="G1012" s="1" t="s">
        <v>2345</v>
      </c>
      <c r="H1012" s="4" t="s">
        <v>2412</v>
      </c>
      <c r="I1012" s="5" t="s">
        <v>250</v>
      </c>
      <c r="J1012" s="5" t="s">
        <v>37</v>
      </c>
      <c r="K1012" s="5" t="s">
        <v>37</v>
      </c>
      <c r="L1012" s="5" t="s">
        <v>1435</v>
      </c>
      <c r="M1012" s="5" t="s">
        <v>37</v>
      </c>
      <c r="N1012" s="5" t="s">
        <v>37</v>
      </c>
      <c r="O1012" s="5" t="s">
        <v>38</v>
      </c>
      <c r="P1012" s="5" t="s">
        <v>39</v>
      </c>
      <c r="Q1012" s="2">
        <v>45961</v>
      </c>
      <c r="V10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3" spans="1:22" ht="11.85" hidden="1" customHeight="1">
      <c r="A1013" s="2">
        <v>45909</v>
      </c>
      <c r="B1013" s="1" t="s">
        <v>2413</v>
      </c>
      <c r="C1013" s="1" t="s">
        <v>2414</v>
      </c>
      <c r="D1013" s="1" t="s">
        <v>112</v>
      </c>
      <c r="E1013" s="1">
        <v>85374</v>
      </c>
      <c r="F1013" s="1" t="s">
        <v>31</v>
      </c>
      <c r="G1013" s="1" t="s">
        <v>2345</v>
      </c>
      <c r="H1013" s="4" t="s">
        <v>2415</v>
      </c>
      <c r="I1013" s="5" t="s">
        <v>57</v>
      </c>
      <c r="J1013" s="5" t="s">
        <v>37</v>
      </c>
      <c r="K1013" s="5" t="s">
        <v>37</v>
      </c>
      <c r="L1013" s="7" t="s">
        <v>2416</v>
      </c>
      <c r="M1013" s="5" t="s">
        <v>37</v>
      </c>
      <c r="N1013" s="5" t="s">
        <v>37</v>
      </c>
      <c r="O1013" s="5" t="s">
        <v>38</v>
      </c>
      <c r="P1013" s="2">
        <v>45938</v>
      </c>
      <c r="Q1013" s="2">
        <v>45961</v>
      </c>
      <c r="R1013" s="1" t="s">
        <v>2301</v>
      </c>
      <c r="V10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4" spans="1:22" ht="11.85" hidden="1" customHeight="1">
      <c r="A1014" s="2">
        <v>45909</v>
      </c>
      <c r="B1014" s="1" t="s">
        <v>2417</v>
      </c>
      <c r="C1014" s="1" t="s">
        <v>177</v>
      </c>
      <c r="D1014" s="1" t="s">
        <v>30</v>
      </c>
      <c r="E1014" s="1" t="s">
        <v>30</v>
      </c>
      <c r="F1014" s="1" t="s">
        <v>2418</v>
      </c>
      <c r="G1014" s="1" t="s">
        <v>2345</v>
      </c>
      <c r="H1014" s="4" t="s">
        <v>209</v>
      </c>
      <c r="V10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5" spans="1:22" ht="11.85" hidden="1" customHeight="1">
      <c r="A1015" s="2">
        <v>45909</v>
      </c>
      <c r="B1015" s="1" t="s">
        <v>2419</v>
      </c>
      <c r="C1015" s="1" t="s">
        <v>135</v>
      </c>
      <c r="D1015" s="1" t="s">
        <v>24</v>
      </c>
      <c r="E1015" s="1">
        <v>85310</v>
      </c>
      <c r="F1015" s="1" t="s">
        <v>2420</v>
      </c>
      <c r="G1015" s="1" t="s">
        <v>2421</v>
      </c>
      <c r="H1015" s="4" t="s">
        <v>27</v>
      </c>
      <c r="V10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6" spans="1:22" ht="11.85" hidden="1" customHeight="1">
      <c r="A1016" s="2">
        <v>45909</v>
      </c>
      <c r="B1016" s="1" t="s">
        <v>208</v>
      </c>
      <c r="C1016" s="1" t="s">
        <v>230</v>
      </c>
      <c r="D1016" s="1" t="s">
        <v>89</v>
      </c>
      <c r="E1016" s="1">
        <v>86351</v>
      </c>
      <c r="F1016" s="1" t="s">
        <v>2422</v>
      </c>
      <c r="G1016" s="1" t="s">
        <v>2421</v>
      </c>
      <c r="H1016" s="4" t="s">
        <v>2423</v>
      </c>
      <c r="I1016" s="5" t="s">
        <v>46</v>
      </c>
      <c r="J1016" s="5" t="s">
        <v>37</v>
      </c>
      <c r="K1016" s="5" t="s">
        <v>37</v>
      </c>
      <c r="L1016" s="5" t="s">
        <v>1435</v>
      </c>
      <c r="M1016" s="5" t="s">
        <v>37</v>
      </c>
      <c r="N1016" s="5" t="s">
        <v>37</v>
      </c>
      <c r="O1016" s="5" t="s">
        <v>38</v>
      </c>
      <c r="P1016" s="5" t="s">
        <v>39</v>
      </c>
      <c r="Q1016" s="2">
        <v>45961</v>
      </c>
      <c r="V10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7" spans="1:22" ht="11.85" hidden="1" customHeight="1">
      <c r="A1017" s="2">
        <v>45909</v>
      </c>
      <c r="B1017" s="1" t="s">
        <v>898</v>
      </c>
      <c r="C1017" s="1" t="s">
        <v>1525</v>
      </c>
      <c r="D1017" s="1" t="s">
        <v>63</v>
      </c>
      <c r="E1017" s="1">
        <v>85085</v>
      </c>
      <c r="F1017" s="1" t="s">
        <v>2424</v>
      </c>
      <c r="G1017" s="1" t="s">
        <v>2421</v>
      </c>
      <c r="H1017" s="4" t="s">
        <v>209</v>
      </c>
      <c r="V10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8" spans="1:22" ht="11.85" hidden="1" customHeight="1">
      <c r="A1018" s="2">
        <v>45909</v>
      </c>
      <c r="B1018" s="1" t="s">
        <v>2425</v>
      </c>
      <c r="C1018" s="1" t="s">
        <v>469</v>
      </c>
      <c r="D1018" s="1" t="s">
        <v>63</v>
      </c>
      <c r="E1018" s="1">
        <v>85023</v>
      </c>
      <c r="F1018" s="1" t="s">
        <v>310</v>
      </c>
      <c r="G1018" s="1" t="s">
        <v>2421</v>
      </c>
      <c r="H1018" s="4" t="s">
        <v>2426</v>
      </c>
      <c r="I1018" s="5" t="s">
        <v>36</v>
      </c>
      <c r="J1018" s="5" t="s">
        <v>37</v>
      </c>
      <c r="K1018" s="5" t="s">
        <v>37</v>
      </c>
      <c r="L1018" s="5" t="s">
        <v>1435</v>
      </c>
      <c r="M1018" s="5" t="s">
        <v>37</v>
      </c>
      <c r="N1018" s="5" t="s">
        <v>37</v>
      </c>
      <c r="O1018" s="5" t="s">
        <v>38</v>
      </c>
      <c r="P1018" s="5" t="s">
        <v>39</v>
      </c>
      <c r="Q1018" s="2">
        <v>45961</v>
      </c>
      <c r="V10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19" spans="1:22" ht="11.85" hidden="1" customHeight="1">
      <c r="A1019" s="2">
        <v>45909</v>
      </c>
      <c r="B1019" s="1" t="s">
        <v>2427</v>
      </c>
      <c r="C1019" s="1" t="s">
        <v>1308</v>
      </c>
      <c r="D1019" s="1" t="s">
        <v>63</v>
      </c>
      <c r="E1019" s="1">
        <v>85053</v>
      </c>
      <c r="F1019" s="1" t="s">
        <v>310</v>
      </c>
      <c r="G1019" s="1" t="s">
        <v>2421</v>
      </c>
      <c r="H1019" s="4" t="s">
        <v>2428</v>
      </c>
      <c r="I1019" s="5" t="s">
        <v>126</v>
      </c>
      <c r="J1019" s="5" t="s">
        <v>37</v>
      </c>
      <c r="K1019" s="5" t="s">
        <v>37</v>
      </c>
      <c r="L1019" s="5" t="s">
        <v>1435</v>
      </c>
      <c r="M1019" s="5" t="s">
        <v>37</v>
      </c>
      <c r="N1019" s="5" t="s">
        <v>37</v>
      </c>
      <c r="O1019" s="5" t="s">
        <v>38</v>
      </c>
      <c r="P1019" s="5" t="s">
        <v>39</v>
      </c>
      <c r="Q1019" s="2">
        <v>45961</v>
      </c>
      <c r="V10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0" spans="1:22" hidden="1">
      <c r="A1020" s="2">
        <v>45909</v>
      </c>
      <c r="B1020" s="1" t="s">
        <v>2429</v>
      </c>
      <c r="C1020" s="1" t="s">
        <v>1239</v>
      </c>
      <c r="D1020" s="1" t="s">
        <v>616</v>
      </c>
      <c r="E1020" s="1">
        <v>85365</v>
      </c>
      <c r="F1020" s="1" t="s">
        <v>2430</v>
      </c>
      <c r="G1020" s="1" t="s">
        <v>2431</v>
      </c>
      <c r="H1020" s="4" t="s">
        <v>27</v>
      </c>
      <c r="V10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1" spans="1:22" ht="11.85" hidden="1" customHeight="1">
      <c r="A1021" s="2">
        <v>45910</v>
      </c>
      <c r="B1021" s="1" t="s">
        <v>2432</v>
      </c>
      <c r="C1021" s="1" t="s">
        <v>2303</v>
      </c>
      <c r="D1021" s="1" t="s">
        <v>30</v>
      </c>
      <c r="E1021" s="1" t="s">
        <v>30</v>
      </c>
      <c r="F1021" s="1" t="s">
        <v>2433</v>
      </c>
      <c r="G1021" s="1" t="s">
        <v>2434</v>
      </c>
      <c r="H1021" s="4" t="s">
        <v>27</v>
      </c>
      <c r="V10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2" spans="1:22" ht="11.85" hidden="1" customHeight="1">
      <c r="A1022" s="2">
        <v>45910</v>
      </c>
      <c r="B1022" s="1" t="s">
        <v>2435</v>
      </c>
      <c r="C1022" s="1" t="s">
        <v>2436</v>
      </c>
      <c r="D1022" s="1" t="s">
        <v>85</v>
      </c>
      <c r="E1022" s="1">
        <v>86323</v>
      </c>
      <c r="F1022" s="1" t="s">
        <v>2437</v>
      </c>
      <c r="G1022" s="1" t="s">
        <v>2434</v>
      </c>
      <c r="H1022" s="4" t="s">
        <v>2438</v>
      </c>
      <c r="I1022" s="5" t="s">
        <v>243</v>
      </c>
      <c r="J1022" s="5" t="s">
        <v>37</v>
      </c>
      <c r="K1022" s="5" t="s">
        <v>37</v>
      </c>
      <c r="L1022" s="5" t="s">
        <v>387</v>
      </c>
      <c r="M1022" s="5" t="s">
        <v>37</v>
      </c>
      <c r="N1022" s="5" t="s">
        <v>37</v>
      </c>
      <c r="O1022" s="5" t="s">
        <v>38</v>
      </c>
      <c r="P1022" s="5" t="s">
        <v>39</v>
      </c>
      <c r="Q1022" s="2">
        <v>45961</v>
      </c>
      <c r="V10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3" spans="1:22" ht="11.85" hidden="1" customHeight="1">
      <c r="A1023" s="2">
        <v>45910</v>
      </c>
      <c r="B1023" s="1" t="s">
        <v>2439</v>
      </c>
      <c r="C1023" s="1" t="s">
        <v>2440</v>
      </c>
      <c r="D1023" s="1" t="s">
        <v>24</v>
      </c>
      <c r="E1023" s="1">
        <v>85308</v>
      </c>
      <c r="F1023" s="1" t="s">
        <v>310</v>
      </c>
      <c r="G1023" s="1" t="s">
        <v>2434</v>
      </c>
      <c r="H1023" s="4" t="s">
        <v>2441</v>
      </c>
      <c r="I1023" s="5" t="s">
        <v>196</v>
      </c>
      <c r="J1023" s="5" t="s">
        <v>37</v>
      </c>
      <c r="K1023" s="5" t="s">
        <v>37</v>
      </c>
      <c r="L1023" s="5" t="s">
        <v>2442</v>
      </c>
      <c r="M1023" s="5" t="s">
        <v>37</v>
      </c>
      <c r="N1023" s="5" t="s">
        <v>37</v>
      </c>
      <c r="O1023" s="5" t="s">
        <v>38</v>
      </c>
      <c r="P1023" s="5" t="s">
        <v>39</v>
      </c>
      <c r="Q1023" s="2">
        <v>45961</v>
      </c>
      <c r="V10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4" spans="1:22" ht="11.85" hidden="1" customHeight="1">
      <c r="A1024" s="2">
        <v>45910</v>
      </c>
      <c r="B1024" s="1" t="s">
        <v>2443</v>
      </c>
      <c r="C1024" s="1" t="s">
        <v>2444</v>
      </c>
      <c r="D1024" s="1" t="s">
        <v>63</v>
      </c>
      <c r="E1024" s="1">
        <v>85083</v>
      </c>
      <c r="F1024" s="1" t="s">
        <v>31</v>
      </c>
      <c r="G1024" s="1" t="s">
        <v>2434</v>
      </c>
      <c r="H1024" s="4" t="s">
        <v>2445</v>
      </c>
      <c r="I1024" s="5" t="s">
        <v>243</v>
      </c>
      <c r="J1024" s="5" t="s">
        <v>37</v>
      </c>
      <c r="K1024" s="5" t="s">
        <v>37</v>
      </c>
      <c r="L1024" s="5" t="s">
        <v>387</v>
      </c>
      <c r="M1024" s="5" t="s">
        <v>37</v>
      </c>
      <c r="N1024" s="5" t="s">
        <v>37</v>
      </c>
      <c r="O1024" s="5" t="s">
        <v>38</v>
      </c>
      <c r="P1024" s="5" t="s">
        <v>39</v>
      </c>
      <c r="Q1024" s="2">
        <v>45961</v>
      </c>
      <c r="V10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5" spans="1:22" ht="11.85" hidden="1" customHeight="1">
      <c r="A1025" s="2">
        <v>45910</v>
      </c>
      <c r="B1025" s="1" t="s">
        <v>2446</v>
      </c>
      <c r="C1025" s="1" t="s">
        <v>135</v>
      </c>
      <c r="D1025" s="1" t="s">
        <v>68</v>
      </c>
      <c r="E1025" s="1">
        <v>85331</v>
      </c>
      <c r="F1025" s="1" t="s">
        <v>310</v>
      </c>
      <c r="G1025" s="1" t="s">
        <v>2434</v>
      </c>
      <c r="H1025" s="4" t="s">
        <v>27</v>
      </c>
      <c r="V10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6" spans="1:22" ht="11.85" hidden="1" customHeight="1">
      <c r="A1026" s="2">
        <v>45910</v>
      </c>
      <c r="B1026" s="1" t="s">
        <v>2447</v>
      </c>
      <c r="C1026" s="1" t="s">
        <v>133</v>
      </c>
      <c r="D1026" s="1" t="s">
        <v>616</v>
      </c>
      <c r="E1026" s="1">
        <v>85365</v>
      </c>
      <c r="F1026" s="1" t="s">
        <v>31</v>
      </c>
      <c r="G1026" s="1" t="s">
        <v>2434</v>
      </c>
      <c r="H1026" s="4" t="s">
        <v>2448</v>
      </c>
      <c r="I1026" s="5" t="s">
        <v>36</v>
      </c>
      <c r="J1026" s="5" t="s">
        <v>37</v>
      </c>
      <c r="K1026" s="5" t="s">
        <v>37</v>
      </c>
      <c r="L1026" s="5" t="s">
        <v>1435</v>
      </c>
      <c r="M1026" s="5" t="s">
        <v>37</v>
      </c>
      <c r="N1026" s="5" t="s">
        <v>37</v>
      </c>
      <c r="O1026" s="5" t="s">
        <v>38</v>
      </c>
      <c r="P1026" s="5" t="s">
        <v>39</v>
      </c>
      <c r="Q1026" s="2">
        <v>45961</v>
      </c>
      <c r="V10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7" spans="1:22" ht="11.85" hidden="1" customHeight="1">
      <c r="A1027" s="2">
        <v>45910</v>
      </c>
      <c r="B1027" s="1" t="s">
        <v>898</v>
      </c>
      <c r="C1027" s="1" t="s">
        <v>2449</v>
      </c>
      <c r="D1027" s="1" t="s">
        <v>63</v>
      </c>
      <c r="E1027" s="1">
        <v>85008</v>
      </c>
      <c r="F1027" s="1" t="s">
        <v>31</v>
      </c>
      <c r="G1027" s="1" t="s">
        <v>2434</v>
      </c>
      <c r="H1027" s="4" t="s">
        <v>2450</v>
      </c>
      <c r="I1027" s="5" t="s">
        <v>196</v>
      </c>
      <c r="J1027" s="5" t="s">
        <v>37</v>
      </c>
      <c r="K1027" s="5" t="s">
        <v>37</v>
      </c>
      <c r="L1027" s="5" t="s">
        <v>2451</v>
      </c>
      <c r="M1027" s="5" t="s">
        <v>37</v>
      </c>
      <c r="N1027" s="5" t="s">
        <v>37</v>
      </c>
      <c r="O1027" s="5" t="s">
        <v>38</v>
      </c>
      <c r="P1027" s="5" t="s">
        <v>39</v>
      </c>
      <c r="Q1027" s="2">
        <v>45961</v>
      </c>
      <c r="V102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8" spans="1:22" ht="11.85" hidden="1" customHeight="1">
      <c r="A1028" s="2">
        <v>45910</v>
      </c>
      <c r="B1028" s="1" t="s">
        <v>2452</v>
      </c>
      <c r="C1028" s="1" t="s">
        <v>1672</v>
      </c>
      <c r="D1028" s="1" t="s">
        <v>1514</v>
      </c>
      <c r="E1028" s="1">
        <v>85351</v>
      </c>
      <c r="F1028" s="1" t="s">
        <v>31</v>
      </c>
      <c r="G1028" s="1" t="s">
        <v>2453</v>
      </c>
      <c r="H1028" s="4" t="s">
        <v>2454</v>
      </c>
      <c r="I1028" s="5" t="s">
        <v>126</v>
      </c>
      <c r="J1028" s="5" t="s">
        <v>37</v>
      </c>
      <c r="K1028" s="5" t="s">
        <v>37</v>
      </c>
      <c r="L1028" s="7" t="s">
        <v>2455</v>
      </c>
      <c r="O1028" s="5" t="s">
        <v>38</v>
      </c>
      <c r="P1028" s="2">
        <v>45938</v>
      </c>
      <c r="Q1028" s="2">
        <v>45961</v>
      </c>
      <c r="R1028" s="22" t="s">
        <v>2456</v>
      </c>
      <c r="V102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29" spans="1:22" ht="11.85" hidden="1" customHeight="1">
      <c r="A1029" s="2">
        <v>45910</v>
      </c>
      <c r="B1029" s="1" t="s">
        <v>2457</v>
      </c>
      <c r="C1029" s="1" t="s">
        <v>2458</v>
      </c>
      <c r="D1029" s="1" t="s">
        <v>63</v>
      </c>
      <c r="E1029" s="1">
        <v>85021</v>
      </c>
      <c r="F1029" s="1" t="s">
        <v>31</v>
      </c>
      <c r="G1029" s="1" t="s">
        <v>2453</v>
      </c>
      <c r="H1029" s="4" t="s">
        <v>2459</v>
      </c>
      <c r="I1029" s="5" t="s">
        <v>36</v>
      </c>
      <c r="J1029" s="5" t="s">
        <v>37</v>
      </c>
      <c r="K1029" s="5" t="s">
        <v>37</v>
      </c>
      <c r="L1029" s="5" t="s">
        <v>1435</v>
      </c>
      <c r="M1029" s="5" t="s">
        <v>37</v>
      </c>
      <c r="N1029" s="5" t="s">
        <v>37</v>
      </c>
      <c r="O1029" s="5" t="s">
        <v>38</v>
      </c>
      <c r="P1029" s="5" t="s">
        <v>39</v>
      </c>
      <c r="Q1029" s="2">
        <v>45961</v>
      </c>
      <c r="V102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0" spans="1:22" ht="11.85" hidden="1" customHeight="1">
      <c r="A1030" s="2">
        <v>45910</v>
      </c>
      <c r="B1030" s="1" t="s">
        <v>2270</v>
      </c>
      <c r="C1030" s="1" t="s">
        <v>476</v>
      </c>
      <c r="D1030" s="1" t="s">
        <v>2460</v>
      </c>
      <c r="E1030" s="1">
        <v>85344</v>
      </c>
      <c r="F1030" s="1" t="s">
        <v>2461</v>
      </c>
      <c r="G1030" s="1" t="s">
        <v>2453</v>
      </c>
      <c r="H1030" s="4" t="s">
        <v>27</v>
      </c>
      <c r="V103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1" spans="1:22" ht="11.85" hidden="1" customHeight="1">
      <c r="A1031" s="2">
        <v>45910</v>
      </c>
      <c r="B1031" s="1" t="s">
        <v>2270</v>
      </c>
      <c r="C1031" s="1" t="s">
        <v>1697</v>
      </c>
      <c r="D1031" s="1" t="s">
        <v>2462</v>
      </c>
      <c r="E1031" s="1">
        <v>85356</v>
      </c>
      <c r="F1031" s="1" t="s">
        <v>31</v>
      </c>
      <c r="G1031" s="1" t="s">
        <v>2453</v>
      </c>
      <c r="H1031" s="4" t="s">
        <v>27</v>
      </c>
      <c r="V103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2" spans="1:22" hidden="1">
      <c r="A1032" s="2">
        <v>45910</v>
      </c>
      <c r="B1032" s="1" t="s">
        <v>2463</v>
      </c>
      <c r="C1032" s="1" t="s">
        <v>2464</v>
      </c>
      <c r="D1032" s="1" t="s">
        <v>616</v>
      </c>
      <c r="E1032" s="1" t="s">
        <v>30</v>
      </c>
      <c r="F1032" s="1" t="s">
        <v>2465</v>
      </c>
      <c r="G1032" s="1" t="s">
        <v>2466</v>
      </c>
      <c r="H1032" s="4" t="s">
        <v>716</v>
      </c>
      <c r="I1032" s="5" t="s">
        <v>73</v>
      </c>
      <c r="J1032" s="5" t="s">
        <v>37</v>
      </c>
      <c r="K1032" s="5" t="s">
        <v>37</v>
      </c>
      <c r="L1032" s="5" t="s">
        <v>1435</v>
      </c>
      <c r="M1032" s="5" t="s">
        <v>37</v>
      </c>
      <c r="N1032" s="5" t="s">
        <v>37</v>
      </c>
      <c r="O1032" s="5" t="s">
        <v>38</v>
      </c>
      <c r="P1032" s="5" t="s">
        <v>39</v>
      </c>
      <c r="Q1032" s="2">
        <v>45961</v>
      </c>
      <c r="V103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3" spans="1:22" hidden="1">
      <c r="A1033" s="2">
        <v>45910</v>
      </c>
      <c r="B1033" s="1" t="s">
        <v>2044</v>
      </c>
      <c r="C1033" s="1" t="s">
        <v>714</v>
      </c>
      <c r="D1033" s="1" t="s">
        <v>63</v>
      </c>
      <c r="E1033" s="1">
        <v>85028</v>
      </c>
      <c r="F1033" s="1" t="s">
        <v>31</v>
      </c>
      <c r="G1033" s="1" t="s">
        <v>2466</v>
      </c>
      <c r="H1033" s="4" t="s">
        <v>2467</v>
      </c>
      <c r="I1033" s="5" t="s">
        <v>126</v>
      </c>
      <c r="J1033" s="5" t="s">
        <v>37</v>
      </c>
      <c r="K1033" s="5" t="s">
        <v>37</v>
      </c>
      <c r="L1033" s="5" t="s">
        <v>2468</v>
      </c>
      <c r="M1033" s="5" t="s">
        <v>37</v>
      </c>
      <c r="N1033" s="5" t="s">
        <v>37</v>
      </c>
      <c r="O1033" s="5" t="s">
        <v>38</v>
      </c>
      <c r="P1033" s="5" t="s">
        <v>39</v>
      </c>
      <c r="Q1033" s="2">
        <v>45961</v>
      </c>
      <c r="V103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4" spans="1:22" hidden="1">
      <c r="A1034" s="2">
        <v>45910</v>
      </c>
      <c r="B1034" s="1" t="s">
        <v>2469</v>
      </c>
      <c r="C1034" s="1" t="s">
        <v>358</v>
      </c>
      <c r="D1034" s="1" t="s">
        <v>174</v>
      </c>
      <c r="E1034" s="1">
        <v>85326</v>
      </c>
      <c r="F1034" s="1" t="s">
        <v>31</v>
      </c>
      <c r="G1034" s="1" t="s">
        <v>2466</v>
      </c>
      <c r="H1034" s="4" t="s">
        <v>2470</v>
      </c>
      <c r="I1034" s="5" t="s">
        <v>46</v>
      </c>
      <c r="J1034" s="5" t="s">
        <v>37</v>
      </c>
      <c r="K1034" s="5" t="s">
        <v>37</v>
      </c>
      <c r="L1034" s="5" t="s">
        <v>1435</v>
      </c>
      <c r="M1034" s="5" t="s">
        <v>37</v>
      </c>
      <c r="N1034" s="5" t="s">
        <v>37</v>
      </c>
      <c r="O1034" s="5" t="s">
        <v>38</v>
      </c>
      <c r="P1034" s="5" t="s">
        <v>39</v>
      </c>
      <c r="Q1034" s="2">
        <v>45961</v>
      </c>
      <c r="V103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5" spans="1:22" hidden="1">
      <c r="A1035" s="2">
        <v>45910</v>
      </c>
      <c r="B1035" s="28" t="s">
        <v>2471</v>
      </c>
      <c r="C1035" s="28" t="s">
        <v>362</v>
      </c>
      <c r="D1035" s="28" t="s">
        <v>169</v>
      </c>
      <c r="E1035" s="28">
        <v>85395</v>
      </c>
      <c r="F1035" s="28" t="s">
        <v>31</v>
      </c>
      <c r="G1035" s="28" t="s">
        <v>2466</v>
      </c>
      <c r="H1035" s="4" t="s">
        <v>2472</v>
      </c>
      <c r="I1035" s="5" t="s">
        <v>1352</v>
      </c>
      <c r="J1035" s="5" t="s">
        <v>37</v>
      </c>
      <c r="K1035" s="5" t="s">
        <v>37</v>
      </c>
      <c r="L1035" s="5" t="s">
        <v>387</v>
      </c>
      <c r="M1035" s="5" t="s">
        <v>37</v>
      </c>
      <c r="N1035" s="5" t="s">
        <v>37</v>
      </c>
      <c r="O1035" s="5" t="s">
        <v>38</v>
      </c>
      <c r="P1035" s="5" t="s">
        <v>39</v>
      </c>
      <c r="Q1035" s="2">
        <v>45961</v>
      </c>
      <c r="R1035" s="1" t="s">
        <v>2473</v>
      </c>
      <c r="V103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6" spans="1:22" hidden="1">
      <c r="A1036" s="2">
        <v>45910</v>
      </c>
      <c r="B1036" s="1" t="s">
        <v>2474</v>
      </c>
      <c r="C1036" s="1" t="s">
        <v>2475</v>
      </c>
      <c r="D1036" s="1" t="s">
        <v>63</v>
      </c>
      <c r="E1036" s="1">
        <v>85004</v>
      </c>
      <c r="F1036" s="1" t="s">
        <v>31</v>
      </c>
      <c r="G1036" s="1" t="s">
        <v>2466</v>
      </c>
      <c r="H1036" s="4" t="s">
        <v>2476</v>
      </c>
      <c r="I1036" s="5" t="s">
        <v>196</v>
      </c>
      <c r="J1036" s="5" t="s">
        <v>37</v>
      </c>
      <c r="K1036" s="5" t="s">
        <v>37</v>
      </c>
      <c r="L1036" s="7" t="s">
        <v>2477</v>
      </c>
      <c r="M1036" s="5" t="s">
        <v>37</v>
      </c>
      <c r="N1036" s="5" t="s">
        <v>37</v>
      </c>
      <c r="O1036" s="5" t="s">
        <v>38</v>
      </c>
      <c r="P1036" s="5" t="s">
        <v>39</v>
      </c>
      <c r="Q1036" s="2">
        <v>45961</v>
      </c>
      <c r="R1036" s="1" t="s">
        <v>2478</v>
      </c>
      <c r="V103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7" spans="1:22" hidden="1">
      <c r="A1037" s="2">
        <v>45910</v>
      </c>
      <c r="B1037" s="1" t="s">
        <v>2393</v>
      </c>
      <c r="C1037" s="1" t="s">
        <v>2394</v>
      </c>
      <c r="D1037" s="1" t="s">
        <v>85</v>
      </c>
      <c r="E1037" s="1">
        <v>86323</v>
      </c>
      <c r="F1037" s="1" t="s">
        <v>31</v>
      </c>
      <c r="G1037" s="1" t="s">
        <v>2466</v>
      </c>
      <c r="H1037" s="4" t="s">
        <v>2395</v>
      </c>
      <c r="I1037" s="5" t="s">
        <v>196</v>
      </c>
      <c r="J1037" s="5" t="s">
        <v>37</v>
      </c>
      <c r="K1037" s="5" t="s">
        <v>37</v>
      </c>
      <c r="L1037" s="5" t="s">
        <v>2479</v>
      </c>
      <c r="M1037" s="5" t="s">
        <v>37</v>
      </c>
      <c r="N1037" s="5" t="s">
        <v>37</v>
      </c>
      <c r="O1037" s="5" t="s">
        <v>38</v>
      </c>
      <c r="P1037" s="5" t="s">
        <v>39</v>
      </c>
      <c r="Q1037" s="2">
        <v>45961</v>
      </c>
      <c r="V103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8" spans="1:22" hidden="1">
      <c r="A1038" s="2">
        <v>45910</v>
      </c>
      <c r="B1038" s="1" t="s">
        <v>262</v>
      </c>
      <c r="C1038" s="1" t="s">
        <v>215</v>
      </c>
      <c r="D1038" s="1" t="s">
        <v>202</v>
      </c>
      <c r="E1038" s="1">
        <v>85345</v>
      </c>
      <c r="F1038" s="1" t="s">
        <v>31</v>
      </c>
      <c r="G1038" s="1" t="s">
        <v>2466</v>
      </c>
      <c r="H1038" s="4" t="s">
        <v>2480</v>
      </c>
      <c r="I1038" s="5" t="s">
        <v>196</v>
      </c>
      <c r="J1038" s="5" t="s">
        <v>37</v>
      </c>
      <c r="K1038" s="5" t="s">
        <v>37</v>
      </c>
      <c r="L1038" s="5" t="s">
        <v>1435</v>
      </c>
      <c r="M1038" s="5" t="s">
        <v>37</v>
      </c>
      <c r="N1038" s="5" t="s">
        <v>37</v>
      </c>
      <c r="O1038" s="5" t="s">
        <v>38</v>
      </c>
      <c r="P1038" s="5" t="s">
        <v>39</v>
      </c>
      <c r="Q1038" s="2">
        <v>45961</v>
      </c>
      <c r="V103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39" spans="1:22" hidden="1">
      <c r="A1039" s="2">
        <v>45910</v>
      </c>
      <c r="B1039" s="1" t="s">
        <v>1875</v>
      </c>
      <c r="C1039" s="1" t="s">
        <v>1875</v>
      </c>
      <c r="D1039" s="1" t="s">
        <v>30</v>
      </c>
      <c r="E1039" s="1" t="s">
        <v>30</v>
      </c>
      <c r="F1039" s="1" t="s">
        <v>2481</v>
      </c>
      <c r="G1039" s="1" t="s">
        <v>2466</v>
      </c>
      <c r="H1039" s="4" t="s">
        <v>27</v>
      </c>
      <c r="V103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0" spans="1:22" hidden="1">
      <c r="A1040" s="2">
        <v>45910</v>
      </c>
      <c r="B1040" s="1" t="s">
        <v>2238</v>
      </c>
      <c r="C1040" s="1" t="s">
        <v>1753</v>
      </c>
      <c r="D1040" s="1" t="s">
        <v>112</v>
      </c>
      <c r="E1040" s="1">
        <v>85388</v>
      </c>
      <c r="F1040" s="1" t="s">
        <v>310</v>
      </c>
      <c r="G1040" s="1" t="s">
        <v>2482</v>
      </c>
      <c r="H1040" s="4" t="s">
        <v>2483</v>
      </c>
      <c r="I1040" s="5" t="s">
        <v>46</v>
      </c>
      <c r="J1040" s="5" t="s">
        <v>37</v>
      </c>
      <c r="K1040" s="5" t="s">
        <v>37</v>
      </c>
      <c r="L1040" s="5" t="s">
        <v>1435</v>
      </c>
      <c r="M1040" s="5" t="s">
        <v>37</v>
      </c>
      <c r="N1040" s="5" t="s">
        <v>37</v>
      </c>
      <c r="O1040" s="5" t="s">
        <v>38</v>
      </c>
      <c r="P1040" s="5" t="s">
        <v>39</v>
      </c>
      <c r="Q1040" s="2">
        <v>45961</v>
      </c>
      <c r="V104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1" spans="1:22" hidden="1">
      <c r="A1041" s="2">
        <v>45911</v>
      </c>
      <c r="B1041" s="1" t="s">
        <v>2484</v>
      </c>
      <c r="C1041" s="1" t="s">
        <v>2485</v>
      </c>
      <c r="D1041" s="1" t="s">
        <v>125</v>
      </c>
      <c r="E1041" s="1">
        <v>85259</v>
      </c>
      <c r="F1041" s="1" t="s">
        <v>2486</v>
      </c>
      <c r="G1041" s="1" t="s">
        <v>2482</v>
      </c>
      <c r="H1041" s="4" t="s">
        <v>2487</v>
      </c>
      <c r="I1041" s="5" t="s">
        <v>36</v>
      </c>
      <c r="J1041" s="5" t="s">
        <v>37</v>
      </c>
      <c r="K1041" s="5" t="s">
        <v>37</v>
      </c>
      <c r="L1041" s="5" t="s">
        <v>1435</v>
      </c>
      <c r="M1041" s="5" t="s">
        <v>37</v>
      </c>
      <c r="N1041" s="5" t="s">
        <v>37</v>
      </c>
      <c r="O1041" s="5" t="s">
        <v>38</v>
      </c>
      <c r="P1041" s="5" t="s">
        <v>39</v>
      </c>
      <c r="Q1041" s="2">
        <v>45961</v>
      </c>
      <c r="V104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2" spans="1:22" hidden="1">
      <c r="A1042" s="2">
        <v>45911</v>
      </c>
      <c r="B1042" s="1" t="s">
        <v>2488</v>
      </c>
      <c r="C1042" s="1" t="s">
        <v>2489</v>
      </c>
      <c r="D1042" s="1" t="s">
        <v>30</v>
      </c>
      <c r="E1042" s="1" t="s">
        <v>30</v>
      </c>
      <c r="F1042" s="1" t="s">
        <v>2490</v>
      </c>
      <c r="G1042" s="1" t="s">
        <v>2482</v>
      </c>
      <c r="H1042" s="4" t="s">
        <v>27</v>
      </c>
      <c r="V104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3" spans="1:22" hidden="1">
      <c r="A1043" s="2">
        <v>45911</v>
      </c>
      <c r="B1043" s="1" t="s">
        <v>2008</v>
      </c>
      <c r="C1043" s="1" t="s">
        <v>1838</v>
      </c>
      <c r="D1043" s="1" t="s">
        <v>202</v>
      </c>
      <c r="E1043" s="1">
        <v>85345</v>
      </c>
      <c r="F1043" s="1" t="s">
        <v>310</v>
      </c>
      <c r="G1043" s="1" t="s">
        <v>2482</v>
      </c>
      <c r="H1043" s="4" t="s">
        <v>2491</v>
      </c>
      <c r="I1043" s="5" t="s">
        <v>46</v>
      </c>
      <c r="J1043" s="5" t="s">
        <v>37</v>
      </c>
      <c r="K1043" s="5" t="s">
        <v>37</v>
      </c>
      <c r="L1043" s="5" t="s">
        <v>2492</v>
      </c>
      <c r="M1043" s="5" t="s">
        <v>37</v>
      </c>
      <c r="N1043" s="5" t="s">
        <v>37</v>
      </c>
      <c r="O1043" s="5" t="s">
        <v>38</v>
      </c>
      <c r="P1043" s="5" t="s">
        <v>39</v>
      </c>
      <c r="Q1043" s="2">
        <v>45961</v>
      </c>
      <c r="V104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4" spans="1:22" hidden="1">
      <c r="A1044" s="2">
        <v>45911</v>
      </c>
      <c r="B1044" s="1" t="s">
        <v>2493</v>
      </c>
      <c r="C1044" s="1" t="s">
        <v>2494</v>
      </c>
      <c r="D1044" s="1" t="s">
        <v>30</v>
      </c>
      <c r="E1044" s="1" t="s">
        <v>30</v>
      </c>
      <c r="F1044" s="1" t="s">
        <v>310</v>
      </c>
      <c r="G1044" s="1" t="s">
        <v>2482</v>
      </c>
      <c r="H1044" s="4" t="s">
        <v>27</v>
      </c>
      <c r="V104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5" spans="1:22" hidden="1">
      <c r="A1045" s="2">
        <v>45911</v>
      </c>
      <c r="B1045" s="1" t="s">
        <v>224</v>
      </c>
      <c r="C1045" s="1" t="s">
        <v>346</v>
      </c>
      <c r="D1045" s="1" t="s">
        <v>85</v>
      </c>
      <c r="E1045" s="1">
        <v>86323</v>
      </c>
      <c r="F1045" s="1" t="s">
        <v>31</v>
      </c>
      <c r="G1045" s="1" t="s">
        <v>2482</v>
      </c>
      <c r="H1045" s="4" t="s">
        <v>2395</v>
      </c>
      <c r="I1045" s="5" t="s">
        <v>196</v>
      </c>
      <c r="J1045" s="5" t="s">
        <v>37</v>
      </c>
      <c r="K1045" s="5" t="s">
        <v>37</v>
      </c>
      <c r="L1045" s="5" t="s">
        <v>2396</v>
      </c>
      <c r="M1045" s="5" t="s">
        <v>37</v>
      </c>
      <c r="N1045" s="5" t="s">
        <v>37</v>
      </c>
      <c r="O1045" s="5" t="s">
        <v>38</v>
      </c>
      <c r="P1045" s="5" t="s">
        <v>39</v>
      </c>
      <c r="Q1045" s="2">
        <v>45961</v>
      </c>
      <c r="V104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6" spans="1:22" hidden="1">
      <c r="A1046" s="2">
        <v>45912</v>
      </c>
      <c r="B1046" s="1" t="s">
        <v>2495</v>
      </c>
      <c r="C1046" s="1" t="s">
        <v>2496</v>
      </c>
      <c r="D1046" s="1" t="s">
        <v>169</v>
      </c>
      <c r="E1046" s="1">
        <v>85395</v>
      </c>
      <c r="F1046" s="1" t="s">
        <v>31</v>
      </c>
      <c r="G1046" s="1" t="s">
        <v>2497</v>
      </c>
      <c r="H1046" s="4" t="s">
        <v>2498</v>
      </c>
      <c r="I1046" s="5" t="s">
        <v>36</v>
      </c>
      <c r="J1046" s="5" t="s">
        <v>37</v>
      </c>
      <c r="K1046" s="5" t="s">
        <v>37</v>
      </c>
      <c r="L1046" s="5" t="s">
        <v>1435</v>
      </c>
      <c r="M1046" s="5" t="s">
        <v>37</v>
      </c>
      <c r="N1046" s="5" t="s">
        <v>37</v>
      </c>
      <c r="O1046" s="5" t="s">
        <v>38</v>
      </c>
      <c r="P1046" s="5" t="s">
        <v>39</v>
      </c>
      <c r="Q1046" s="2">
        <v>45961</v>
      </c>
      <c r="V104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7" spans="1:22" hidden="1">
      <c r="A1047" s="2">
        <v>45912</v>
      </c>
      <c r="B1047" s="1" t="s">
        <v>1208</v>
      </c>
      <c r="C1047" s="1" t="s">
        <v>1093</v>
      </c>
      <c r="D1047" s="1" t="s">
        <v>63</v>
      </c>
      <c r="E1047" s="1">
        <v>85053</v>
      </c>
      <c r="F1047" s="1" t="s">
        <v>310</v>
      </c>
      <c r="G1047" s="1" t="s">
        <v>2499</v>
      </c>
      <c r="H1047" s="4" t="s">
        <v>1211</v>
      </c>
      <c r="I1047" s="5" t="s">
        <v>36</v>
      </c>
      <c r="J1047" s="5" t="s">
        <v>37</v>
      </c>
      <c r="K1047" s="5" t="s">
        <v>37</v>
      </c>
      <c r="L1047" s="5" t="s">
        <v>1435</v>
      </c>
      <c r="M1047" s="5" t="s">
        <v>37</v>
      </c>
      <c r="N1047" s="5" t="s">
        <v>37</v>
      </c>
      <c r="O1047" s="5" t="s">
        <v>38</v>
      </c>
      <c r="P1047" s="5" t="s">
        <v>39</v>
      </c>
      <c r="Q1047" s="2">
        <v>45961</v>
      </c>
      <c r="V104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8" spans="1:22" hidden="1">
      <c r="A1048" s="2">
        <v>45912</v>
      </c>
      <c r="B1048" s="1" t="s">
        <v>2500</v>
      </c>
      <c r="C1048" s="1" t="s">
        <v>2501</v>
      </c>
      <c r="D1048" s="1" t="s">
        <v>30</v>
      </c>
      <c r="E1048" s="1" t="s">
        <v>30</v>
      </c>
      <c r="F1048" s="1" t="s">
        <v>31</v>
      </c>
      <c r="G1048" s="1" t="s">
        <v>2502</v>
      </c>
      <c r="H1048" s="4" t="s">
        <v>27</v>
      </c>
      <c r="V104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49" spans="1:22" hidden="1">
      <c r="A1049" s="2">
        <v>45912</v>
      </c>
      <c r="B1049" s="1" t="s">
        <v>2503</v>
      </c>
      <c r="C1049" s="1" t="s">
        <v>1045</v>
      </c>
      <c r="D1049" s="1" t="s">
        <v>63</v>
      </c>
      <c r="E1049" s="1">
        <v>85027</v>
      </c>
      <c r="F1049" s="1" t="s">
        <v>738</v>
      </c>
      <c r="G1049" s="1" t="s">
        <v>2502</v>
      </c>
      <c r="H1049" s="4" t="s">
        <v>2504</v>
      </c>
      <c r="I1049" s="5" t="s">
        <v>196</v>
      </c>
      <c r="J1049" s="5" t="s">
        <v>37</v>
      </c>
      <c r="K1049" s="5" t="s">
        <v>37</v>
      </c>
      <c r="L1049" s="5" t="s">
        <v>2505</v>
      </c>
      <c r="M1049" s="5" t="s">
        <v>37</v>
      </c>
      <c r="N1049" s="5" t="s">
        <v>37</v>
      </c>
      <c r="O1049" s="5" t="s">
        <v>38</v>
      </c>
      <c r="P1049" s="5" t="s">
        <v>39</v>
      </c>
      <c r="Q1049" s="2">
        <v>45961</v>
      </c>
      <c r="V104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0" spans="1:22" hidden="1">
      <c r="A1050" s="2">
        <v>45912</v>
      </c>
      <c r="B1050" s="1" t="s">
        <v>2506</v>
      </c>
      <c r="C1050" s="1" t="s">
        <v>2507</v>
      </c>
      <c r="D1050" s="1" t="s">
        <v>520</v>
      </c>
      <c r="E1050" s="1">
        <v>85392</v>
      </c>
      <c r="F1050" s="1" t="s">
        <v>310</v>
      </c>
      <c r="G1050" s="1" t="s">
        <v>2502</v>
      </c>
      <c r="H1050" s="4" t="s">
        <v>2508</v>
      </c>
      <c r="I1050" s="5" t="s">
        <v>196</v>
      </c>
      <c r="J1050" s="5" t="s">
        <v>37</v>
      </c>
      <c r="K1050" s="5" t="s">
        <v>37</v>
      </c>
      <c r="L1050" s="7" t="s">
        <v>2509</v>
      </c>
      <c r="M1050" s="5" t="s">
        <v>37</v>
      </c>
      <c r="N1050" s="5" t="s">
        <v>37</v>
      </c>
      <c r="O1050" s="5" t="s">
        <v>38</v>
      </c>
      <c r="P1050" s="2">
        <v>45938</v>
      </c>
      <c r="Q1050" s="2">
        <v>45961</v>
      </c>
      <c r="R1050" s="1" t="s">
        <v>2510</v>
      </c>
      <c r="V105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1" spans="1:22" hidden="1">
      <c r="A1051" s="2">
        <v>45912</v>
      </c>
      <c r="B1051" s="1" t="s">
        <v>2511</v>
      </c>
      <c r="C1051" s="1" t="s">
        <v>425</v>
      </c>
      <c r="D1051" s="1" t="s">
        <v>24</v>
      </c>
      <c r="E1051" s="1">
        <v>85308</v>
      </c>
      <c r="F1051" s="1" t="s">
        <v>310</v>
      </c>
      <c r="G1051" s="1" t="s">
        <v>2502</v>
      </c>
      <c r="H1051" s="4" t="s">
        <v>2512</v>
      </c>
      <c r="I1051" s="5" t="s">
        <v>243</v>
      </c>
      <c r="J1051" s="5" t="s">
        <v>37</v>
      </c>
      <c r="K1051" s="5" t="s">
        <v>37</v>
      </c>
      <c r="L1051" s="5" t="s">
        <v>387</v>
      </c>
      <c r="M1051" s="5" t="s">
        <v>37</v>
      </c>
      <c r="N1051" s="5" t="s">
        <v>37</v>
      </c>
      <c r="O1051" s="5" t="s">
        <v>38</v>
      </c>
      <c r="P1051" s="5" t="s">
        <v>39</v>
      </c>
      <c r="Q1051" s="2">
        <v>45961</v>
      </c>
      <c r="V105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2" spans="1:22" hidden="1">
      <c r="A1052" s="2">
        <v>45912</v>
      </c>
      <c r="B1052" s="1" t="s">
        <v>2513</v>
      </c>
      <c r="C1052" s="1" t="s">
        <v>822</v>
      </c>
      <c r="D1052" s="1" t="s">
        <v>125</v>
      </c>
      <c r="E1052" s="1">
        <v>85255</v>
      </c>
      <c r="F1052" s="1" t="s">
        <v>31</v>
      </c>
      <c r="G1052" s="1" t="s">
        <v>2502</v>
      </c>
      <c r="H1052" s="4" t="s">
        <v>2514</v>
      </c>
      <c r="I1052" s="5" t="s">
        <v>538</v>
      </c>
      <c r="J1052" s="5" t="s">
        <v>37</v>
      </c>
      <c r="K1052" s="5" t="s">
        <v>37</v>
      </c>
      <c r="L1052" s="5" t="s">
        <v>387</v>
      </c>
      <c r="M1052" s="5" t="s">
        <v>37</v>
      </c>
      <c r="N1052" s="5" t="s">
        <v>37</v>
      </c>
      <c r="O1052" s="5" t="s">
        <v>38</v>
      </c>
      <c r="P1052" s="5" t="s">
        <v>39</v>
      </c>
      <c r="Q1052" s="2">
        <v>45961</v>
      </c>
      <c r="V105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3" spans="1:22" hidden="1">
      <c r="A1053" s="2">
        <v>45912</v>
      </c>
      <c r="B1053" s="1" t="s">
        <v>2515</v>
      </c>
      <c r="C1053" s="1" t="s">
        <v>2516</v>
      </c>
      <c r="D1053" s="1" t="s">
        <v>63</v>
      </c>
      <c r="E1053" s="1">
        <v>85014</v>
      </c>
      <c r="F1053" s="1" t="s">
        <v>310</v>
      </c>
      <c r="G1053" s="1" t="s">
        <v>2517</v>
      </c>
      <c r="H1053" s="4" t="s">
        <v>27</v>
      </c>
      <c r="V105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4" spans="1:22" hidden="1">
      <c r="A1054" s="2">
        <v>45912</v>
      </c>
      <c r="B1054" s="1" t="s">
        <v>2518</v>
      </c>
      <c r="C1054" s="1" t="s">
        <v>145</v>
      </c>
      <c r="D1054" s="1" t="s">
        <v>807</v>
      </c>
      <c r="E1054" s="1">
        <v>86303</v>
      </c>
      <c r="F1054" s="1" t="s">
        <v>2519</v>
      </c>
      <c r="G1054" s="1" t="s">
        <v>2517</v>
      </c>
      <c r="H1054" s="4" t="s">
        <v>2520</v>
      </c>
      <c r="I1054" s="5" t="s">
        <v>73</v>
      </c>
      <c r="J1054" s="5" t="s">
        <v>37</v>
      </c>
      <c r="K1054" s="5" t="s">
        <v>37</v>
      </c>
      <c r="L1054" s="5" t="s">
        <v>1435</v>
      </c>
      <c r="M1054" s="5" t="s">
        <v>37</v>
      </c>
      <c r="N1054" s="5" t="s">
        <v>37</v>
      </c>
      <c r="O1054" s="5" t="s">
        <v>38</v>
      </c>
      <c r="P1054" s="5" t="s">
        <v>39</v>
      </c>
      <c r="Q1054" s="2">
        <v>45961</v>
      </c>
      <c r="V105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5" spans="1:22" hidden="1">
      <c r="A1055" s="2">
        <v>45912</v>
      </c>
      <c r="B1055" s="1" t="s">
        <v>2521</v>
      </c>
      <c r="C1055" s="1" t="s">
        <v>1608</v>
      </c>
      <c r="D1055" s="1" t="s">
        <v>63</v>
      </c>
      <c r="E1055" s="1">
        <v>85002</v>
      </c>
      <c r="F1055" s="1" t="s">
        <v>2522</v>
      </c>
      <c r="G1055" s="1" t="s">
        <v>2517</v>
      </c>
      <c r="H1055" s="4" t="s">
        <v>27</v>
      </c>
      <c r="V105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6" spans="1:22" hidden="1">
      <c r="A1056" s="2">
        <v>45912</v>
      </c>
      <c r="B1056" s="1" t="s">
        <v>2523</v>
      </c>
      <c r="C1056" s="1" t="s">
        <v>312</v>
      </c>
      <c r="D1056" s="1" t="s">
        <v>63</v>
      </c>
      <c r="E1056" s="1">
        <v>85013</v>
      </c>
      <c r="F1056" s="1" t="s">
        <v>31</v>
      </c>
      <c r="G1056" s="1" t="s">
        <v>2517</v>
      </c>
      <c r="H1056" s="4" t="s">
        <v>27</v>
      </c>
      <c r="V105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7" spans="1:22" hidden="1">
      <c r="A1057" s="2">
        <v>45912</v>
      </c>
      <c r="B1057" s="1" t="s">
        <v>2524</v>
      </c>
      <c r="C1057" s="1" t="s">
        <v>42</v>
      </c>
      <c r="D1057" s="1" t="s">
        <v>112</v>
      </c>
      <c r="E1057" s="1">
        <v>85378</v>
      </c>
      <c r="F1057" s="1" t="s">
        <v>657</v>
      </c>
      <c r="G1057" s="1" t="s">
        <v>2517</v>
      </c>
      <c r="H1057" s="4" t="s">
        <v>2525</v>
      </c>
      <c r="I1057" s="5" t="s">
        <v>46</v>
      </c>
      <c r="J1057" s="5" t="s">
        <v>37</v>
      </c>
      <c r="K1057" s="5" t="s">
        <v>37</v>
      </c>
      <c r="L1057" s="5" t="s">
        <v>2526</v>
      </c>
      <c r="M1057" s="5" t="s">
        <v>37</v>
      </c>
      <c r="N1057" s="5" t="s">
        <v>37</v>
      </c>
      <c r="O1057" s="5" t="s">
        <v>38</v>
      </c>
      <c r="P1057" s="5" t="s">
        <v>39</v>
      </c>
      <c r="Q1057" s="2">
        <v>45961</v>
      </c>
      <c r="V105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8" spans="1:22" hidden="1">
      <c r="A1058" s="2">
        <v>45912</v>
      </c>
      <c r="B1058" s="1" t="s">
        <v>2527</v>
      </c>
      <c r="C1058" s="1" t="s">
        <v>312</v>
      </c>
      <c r="D1058" s="1" t="s">
        <v>24</v>
      </c>
      <c r="E1058" s="1">
        <v>85308</v>
      </c>
      <c r="F1058" s="1" t="s">
        <v>2528</v>
      </c>
      <c r="G1058" s="1" t="s">
        <v>2517</v>
      </c>
      <c r="H1058" s="4" t="s">
        <v>2529</v>
      </c>
      <c r="I1058" s="5" t="s">
        <v>538</v>
      </c>
      <c r="J1058" s="5" t="s">
        <v>37</v>
      </c>
      <c r="K1058" s="5" t="s">
        <v>37</v>
      </c>
      <c r="L1058" s="5" t="s">
        <v>387</v>
      </c>
      <c r="M1058" s="5" t="s">
        <v>37</v>
      </c>
      <c r="N1058" s="5" t="s">
        <v>37</v>
      </c>
      <c r="O1058" s="5" t="s">
        <v>38</v>
      </c>
      <c r="P1058" s="5" t="s">
        <v>39</v>
      </c>
      <c r="Q1058" s="2">
        <v>45961</v>
      </c>
      <c r="V105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59" spans="1:22" hidden="1">
      <c r="A1059" s="2">
        <v>45912</v>
      </c>
      <c r="B1059" s="1" t="s">
        <v>2530</v>
      </c>
      <c r="C1059" s="1" t="s">
        <v>252</v>
      </c>
      <c r="D1059" s="1" t="s">
        <v>63</v>
      </c>
      <c r="E1059" s="1">
        <v>85028</v>
      </c>
      <c r="F1059" s="1" t="s">
        <v>31</v>
      </c>
      <c r="G1059" s="1" t="s">
        <v>2517</v>
      </c>
      <c r="H1059" s="4" t="s">
        <v>2531</v>
      </c>
      <c r="I1059" s="5" t="s">
        <v>126</v>
      </c>
      <c r="J1059" s="5" t="s">
        <v>37</v>
      </c>
      <c r="K1059" s="5" t="s">
        <v>37</v>
      </c>
      <c r="L1059" s="7" t="s">
        <v>2532</v>
      </c>
      <c r="M1059" s="5" t="s">
        <v>37</v>
      </c>
      <c r="N1059" s="5" t="s">
        <v>37</v>
      </c>
      <c r="O1059" s="5" t="s">
        <v>38</v>
      </c>
      <c r="P1059" s="2">
        <v>45938</v>
      </c>
      <c r="Q1059" s="2">
        <v>45961</v>
      </c>
      <c r="R1059" s="1" t="s">
        <v>2533</v>
      </c>
      <c r="V105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0" spans="1:22" hidden="1">
      <c r="A1060" s="2">
        <v>45912</v>
      </c>
      <c r="B1060" s="1" t="s">
        <v>2534</v>
      </c>
      <c r="C1060" s="1" t="s">
        <v>1395</v>
      </c>
      <c r="D1060" s="1" t="s">
        <v>695</v>
      </c>
      <c r="E1060" s="1">
        <v>85375</v>
      </c>
      <c r="F1060" s="1" t="s">
        <v>31</v>
      </c>
      <c r="G1060" s="1" t="s">
        <v>2517</v>
      </c>
      <c r="H1060" s="4" t="s">
        <v>2535</v>
      </c>
      <c r="I1060" s="5" t="s">
        <v>57</v>
      </c>
      <c r="J1060" s="5" t="s">
        <v>37</v>
      </c>
      <c r="K1060" s="5" t="s">
        <v>37</v>
      </c>
      <c r="L1060" s="7" t="s">
        <v>2536</v>
      </c>
      <c r="M1060" s="5" t="s">
        <v>37</v>
      </c>
      <c r="N1060" s="5" t="s">
        <v>37</v>
      </c>
      <c r="O1060" s="5" t="s">
        <v>38</v>
      </c>
      <c r="P1060" s="2">
        <v>45938</v>
      </c>
      <c r="Q1060" s="2">
        <v>45961</v>
      </c>
      <c r="R1060" s="1" t="s">
        <v>2510</v>
      </c>
      <c r="V106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1" spans="1:22" hidden="1">
      <c r="A1061" s="2">
        <v>45912</v>
      </c>
      <c r="B1061" s="1" t="s">
        <v>2537</v>
      </c>
      <c r="C1061" s="1" t="s">
        <v>2538</v>
      </c>
      <c r="D1061" s="1" t="s">
        <v>125</v>
      </c>
      <c r="E1061" s="1">
        <v>85255</v>
      </c>
      <c r="F1061" s="1" t="s">
        <v>310</v>
      </c>
      <c r="G1061" s="1" t="s">
        <v>2517</v>
      </c>
      <c r="H1061" s="4" t="s">
        <v>2539</v>
      </c>
      <c r="I1061" s="5" t="s">
        <v>57</v>
      </c>
      <c r="J1061" s="5" t="s">
        <v>37</v>
      </c>
      <c r="K1061" s="5" t="s">
        <v>37</v>
      </c>
      <c r="L1061" s="7" t="s">
        <v>2540</v>
      </c>
      <c r="M1061" s="5" t="s">
        <v>37</v>
      </c>
      <c r="N1061" s="5" t="s">
        <v>37</v>
      </c>
      <c r="O1061" s="5" t="s">
        <v>38</v>
      </c>
      <c r="P1061" s="2">
        <v>45938</v>
      </c>
      <c r="Q1061" s="2">
        <v>45961</v>
      </c>
      <c r="R1061" s="1" t="s">
        <v>2510</v>
      </c>
      <c r="V106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2" spans="1:22" hidden="1">
      <c r="A1062" s="2">
        <v>45912</v>
      </c>
      <c r="B1062" s="1" t="s">
        <v>2541</v>
      </c>
      <c r="C1062" s="1" t="s">
        <v>312</v>
      </c>
      <c r="D1062" s="1" t="s">
        <v>616</v>
      </c>
      <c r="E1062" s="1">
        <v>85365</v>
      </c>
      <c r="F1062" s="1" t="s">
        <v>2542</v>
      </c>
      <c r="G1062" s="1" t="s">
        <v>2517</v>
      </c>
      <c r="H1062" s="4" t="s">
        <v>2543</v>
      </c>
      <c r="I1062" s="5" t="s">
        <v>73</v>
      </c>
      <c r="J1062" s="5" t="s">
        <v>37</v>
      </c>
      <c r="K1062" s="5" t="s">
        <v>37</v>
      </c>
      <c r="L1062" s="5" t="s">
        <v>1435</v>
      </c>
      <c r="M1062" s="5" t="s">
        <v>37</v>
      </c>
      <c r="N1062" s="5" t="s">
        <v>37</v>
      </c>
      <c r="O1062" s="5" t="s">
        <v>38</v>
      </c>
      <c r="P1062" s="5" t="s">
        <v>39</v>
      </c>
      <c r="Q1062" s="2">
        <v>45961</v>
      </c>
      <c r="V106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3" spans="1:22" hidden="1">
      <c r="A1063" s="2">
        <v>45912</v>
      </c>
      <c r="B1063" s="1" t="s">
        <v>2544</v>
      </c>
      <c r="C1063" s="1" t="s">
        <v>476</v>
      </c>
      <c r="D1063" s="1" t="s">
        <v>24</v>
      </c>
      <c r="E1063" s="1">
        <v>85308</v>
      </c>
      <c r="F1063" s="1" t="s">
        <v>310</v>
      </c>
      <c r="G1063" s="1" t="s">
        <v>2517</v>
      </c>
      <c r="H1063" s="4" t="s">
        <v>2545</v>
      </c>
      <c r="I1063" s="5" t="s">
        <v>36</v>
      </c>
      <c r="J1063" s="5" t="s">
        <v>37</v>
      </c>
      <c r="K1063" s="5" t="s">
        <v>37</v>
      </c>
      <c r="L1063" s="5" t="s">
        <v>1435</v>
      </c>
      <c r="M1063" s="5" t="s">
        <v>37</v>
      </c>
      <c r="N1063" s="5" t="s">
        <v>37</v>
      </c>
      <c r="O1063" s="5" t="s">
        <v>38</v>
      </c>
      <c r="P1063" s="5" t="s">
        <v>39</v>
      </c>
      <c r="Q1063" s="2">
        <v>45961</v>
      </c>
      <c r="R1063" s="1" t="s">
        <v>2546</v>
      </c>
      <c r="V106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4" spans="1:22" hidden="1">
      <c r="A1064" s="2">
        <v>45912</v>
      </c>
      <c r="B1064" s="1" t="s">
        <v>1041</v>
      </c>
      <c r="C1064" s="1" t="s">
        <v>2547</v>
      </c>
      <c r="D1064" s="1" t="s">
        <v>63</v>
      </c>
      <c r="E1064" s="1">
        <v>85032</v>
      </c>
      <c r="F1064" s="1" t="s">
        <v>2548</v>
      </c>
      <c r="G1064" s="1" t="s">
        <v>2517</v>
      </c>
      <c r="H1064" s="4" t="s">
        <v>2549</v>
      </c>
      <c r="I1064" s="5" t="s">
        <v>57</v>
      </c>
      <c r="J1064" s="5" t="s">
        <v>37</v>
      </c>
      <c r="K1064" s="5" t="s">
        <v>37</v>
      </c>
      <c r="L1064" s="7" t="s">
        <v>2550</v>
      </c>
      <c r="M1064" s="5" t="s">
        <v>37</v>
      </c>
      <c r="N1064" s="5" t="s">
        <v>37</v>
      </c>
      <c r="O1064" s="5" t="s">
        <v>38</v>
      </c>
      <c r="Q1064" s="2">
        <v>45961</v>
      </c>
      <c r="R1064" s="1" t="s">
        <v>2551</v>
      </c>
      <c r="V106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5" spans="1:22" hidden="1">
      <c r="A1065" s="2">
        <v>45912</v>
      </c>
      <c r="B1065" s="1" t="s">
        <v>2552</v>
      </c>
      <c r="C1065" s="1" t="s">
        <v>2553</v>
      </c>
      <c r="D1065" s="1" t="s">
        <v>63</v>
      </c>
      <c r="E1065" s="1">
        <v>85034</v>
      </c>
      <c r="F1065" s="1" t="s">
        <v>310</v>
      </c>
      <c r="G1065" s="1" t="s">
        <v>2517</v>
      </c>
      <c r="H1065" s="4" t="s">
        <v>209</v>
      </c>
      <c r="V106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6" spans="1:22" hidden="1">
      <c r="A1066" s="2">
        <v>45913</v>
      </c>
      <c r="B1066" s="1" t="s">
        <v>2554</v>
      </c>
      <c r="C1066" s="1" t="s">
        <v>2555</v>
      </c>
      <c r="D1066" s="1" t="s">
        <v>520</v>
      </c>
      <c r="E1066" s="1">
        <v>85392</v>
      </c>
      <c r="F1066" s="1" t="s">
        <v>31</v>
      </c>
      <c r="G1066" s="1" t="s">
        <v>2517</v>
      </c>
      <c r="H1066" s="4" t="s">
        <v>2556</v>
      </c>
      <c r="I1066" s="5" t="s">
        <v>250</v>
      </c>
      <c r="J1066" s="5" t="s">
        <v>37</v>
      </c>
      <c r="K1066" s="5" t="s">
        <v>37</v>
      </c>
      <c r="L1066" s="5" t="s">
        <v>1435</v>
      </c>
      <c r="M1066" s="5" t="s">
        <v>37</v>
      </c>
      <c r="N1066" s="5" t="s">
        <v>37</v>
      </c>
      <c r="O1066" s="5" t="s">
        <v>38</v>
      </c>
      <c r="P1066" s="5" t="s">
        <v>39</v>
      </c>
      <c r="Q1066" s="2">
        <v>45961</v>
      </c>
      <c r="V106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7" spans="1:22" hidden="1">
      <c r="A1067" s="2">
        <v>45913</v>
      </c>
      <c r="B1067" s="1" t="s">
        <v>2557</v>
      </c>
      <c r="C1067" s="1" t="s">
        <v>1473</v>
      </c>
      <c r="D1067" s="1" t="s">
        <v>63</v>
      </c>
      <c r="E1067" s="1">
        <v>85032</v>
      </c>
      <c r="F1067" s="1" t="s">
        <v>31</v>
      </c>
      <c r="G1067" s="1" t="s">
        <v>2517</v>
      </c>
      <c r="H1067" s="4" t="s">
        <v>27</v>
      </c>
      <c r="V106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8" spans="1:22" hidden="1">
      <c r="A1068" s="2">
        <v>45913</v>
      </c>
      <c r="B1068" s="1" t="s">
        <v>2558</v>
      </c>
      <c r="C1068" s="1" t="s">
        <v>2538</v>
      </c>
      <c r="D1068" s="1" t="s">
        <v>63</v>
      </c>
      <c r="E1068" s="1">
        <v>85003</v>
      </c>
      <c r="F1068" s="1" t="s">
        <v>31</v>
      </c>
      <c r="G1068" s="1" t="s">
        <v>2517</v>
      </c>
      <c r="H1068" s="4" t="s">
        <v>27</v>
      </c>
      <c r="V106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69" spans="1:22" hidden="1">
      <c r="A1069" s="2">
        <v>45913</v>
      </c>
      <c r="B1069" s="1" t="s">
        <v>2559</v>
      </c>
      <c r="C1069" s="1" t="s">
        <v>2560</v>
      </c>
      <c r="D1069" s="1" t="s">
        <v>112</v>
      </c>
      <c r="E1069" s="1">
        <v>85374</v>
      </c>
      <c r="F1069" s="1" t="s">
        <v>31</v>
      </c>
      <c r="G1069" s="1" t="s">
        <v>2517</v>
      </c>
      <c r="H1069" s="4" t="s">
        <v>27</v>
      </c>
      <c r="V106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0" spans="1:22" hidden="1">
      <c r="A1070" s="2">
        <v>45913</v>
      </c>
      <c r="B1070" s="1" t="s">
        <v>1772</v>
      </c>
      <c r="C1070" s="1" t="s">
        <v>594</v>
      </c>
      <c r="D1070" s="1" t="s">
        <v>169</v>
      </c>
      <c r="E1070" s="1">
        <v>85338</v>
      </c>
      <c r="F1070" s="1" t="s">
        <v>31</v>
      </c>
      <c r="G1070" s="1" t="s">
        <v>2517</v>
      </c>
      <c r="H1070" s="4" t="s">
        <v>209</v>
      </c>
      <c r="V107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1" spans="1:22" hidden="1">
      <c r="A1071" s="2">
        <v>45913</v>
      </c>
      <c r="B1071" s="1" t="s">
        <v>2561</v>
      </c>
      <c r="C1071" s="1" t="s">
        <v>2562</v>
      </c>
      <c r="D1071" s="1" t="s">
        <v>63</v>
      </c>
      <c r="E1071" s="1">
        <v>85022</v>
      </c>
      <c r="F1071" s="1" t="s">
        <v>31</v>
      </c>
      <c r="G1071" s="1" t="s">
        <v>2517</v>
      </c>
      <c r="H1071" s="4" t="s">
        <v>2563</v>
      </c>
      <c r="I1071" s="5" t="s">
        <v>73</v>
      </c>
      <c r="J1071" s="5" t="s">
        <v>37</v>
      </c>
      <c r="K1071" s="5" t="s">
        <v>37</v>
      </c>
      <c r="L1071" s="5" t="s">
        <v>1435</v>
      </c>
      <c r="M1071" s="5" t="s">
        <v>37</v>
      </c>
      <c r="N1071" s="5" t="s">
        <v>37</v>
      </c>
      <c r="O1071" s="5" t="s">
        <v>38</v>
      </c>
      <c r="P1071" s="5" t="s">
        <v>39</v>
      </c>
      <c r="Q1071" s="2">
        <v>45961</v>
      </c>
      <c r="V107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2" spans="1:22" hidden="1">
      <c r="A1072" s="2">
        <v>45913</v>
      </c>
      <c r="B1072" s="1" t="s">
        <v>2527</v>
      </c>
      <c r="C1072" s="1" t="s">
        <v>312</v>
      </c>
      <c r="D1072" s="1" t="s">
        <v>24</v>
      </c>
      <c r="E1072" s="1">
        <v>85308</v>
      </c>
      <c r="F1072" s="1" t="s">
        <v>31</v>
      </c>
      <c r="G1072" s="1" t="s">
        <v>2517</v>
      </c>
      <c r="H1072" s="4" t="s">
        <v>2529</v>
      </c>
      <c r="I1072" s="5" t="s">
        <v>538</v>
      </c>
      <c r="J1072" s="5" t="s">
        <v>37</v>
      </c>
      <c r="K1072" s="5" t="s">
        <v>37</v>
      </c>
      <c r="L1072" s="5" t="s">
        <v>387</v>
      </c>
      <c r="M1072" s="5" t="s">
        <v>37</v>
      </c>
      <c r="N1072" s="5" t="s">
        <v>37</v>
      </c>
      <c r="O1072" s="5" t="s">
        <v>38</v>
      </c>
      <c r="P1072" s="5" t="s">
        <v>39</v>
      </c>
      <c r="Q1072" s="2">
        <v>45961</v>
      </c>
      <c r="V107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3" spans="1:22" hidden="1">
      <c r="A1073" s="2">
        <v>45914</v>
      </c>
      <c r="B1073" s="1" t="s">
        <v>2564</v>
      </c>
      <c r="C1073" s="1" t="s">
        <v>2565</v>
      </c>
      <c r="D1073" s="1" t="s">
        <v>369</v>
      </c>
      <c r="E1073" s="1">
        <v>85225</v>
      </c>
      <c r="F1073" s="1" t="s">
        <v>310</v>
      </c>
      <c r="G1073" s="1" t="s">
        <v>2517</v>
      </c>
      <c r="H1073" s="4" t="s">
        <v>2566</v>
      </c>
      <c r="I1073" s="5" t="s">
        <v>2567</v>
      </c>
      <c r="J1073" s="5" t="s">
        <v>37</v>
      </c>
      <c r="K1073" s="5" t="s">
        <v>37</v>
      </c>
      <c r="L1073" s="5" t="s">
        <v>2568</v>
      </c>
      <c r="M1073" s="5" t="s">
        <v>37</v>
      </c>
      <c r="N1073" s="5" t="s">
        <v>37</v>
      </c>
      <c r="O1073" s="5" t="s">
        <v>38</v>
      </c>
      <c r="P1073" s="5" t="s">
        <v>39</v>
      </c>
      <c r="Q1073" s="2">
        <v>45961</v>
      </c>
      <c r="V107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4" spans="1:22" hidden="1">
      <c r="A1074" s="2">
        <v>45914</v>
      </c>
      <c r="B1074" s="1" t="s">
        <v>2569</v>
      </c>
      <c r="C1074" s="1" t="s">
        <v>608</v>
      </c>
      <c r="D1074" s="1" t="s">
        <v>63</v>
      </c>
      <c r="E1074" s="1">
        <v>85020</v>
      </c>
      <c r="F1074" s="1" t="s">
        <v>31</v>
      </c>
      <c r="G1074" s="1" t="s">
        <v>2517</v>
      </c>
      <c r="H1074" s="4" t="s">
        <v>2570</v>
      </c>
      <c r="I1074" s="5" t="s">
        <v>416</v>
      </c>
      <c r="J1074" s="5" t="s">
        <v>37</v>
      </c>
      <c r="K1074" s="5" t="s">
        <v>37</v>
      </c>
      <c r="L1074" s="5" t="s">
        <v>387</v>
      </c>
      <c r="M1074" s="5" t="s">
        <v>37</v>
      </c>
      <c r="N1074" s="5" t="s">
        <v>37</v>
      </c>
      <c r="O1074" s="5" t="s">
        <v>38</v>
      </c>
      <c r="P1074" s="5" t="s">
        <v>39</v>
      </c>
      <c r="Q1074" s="2">
        <v>45961</v>
      </c>
      <c r="V107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5" spans="1:22" hidden="1">
      <c r="A1075" s="2">
        <v>45914</v>
      </c>
      <c r="B1075" s="1" t="s">
        <v>888</v>
      </c>
      <c r="C1075" s="1" t="s">
        <v>997</v>
      </c>
      <c r="D1075" s="1" t="s">
        <v>616</v>
      </c>
      <c r="E1075" s="1">
        <v>85365</v>
      </c>
      <c r="F1075" s="1" t="s">
        <v>2571</v>
      </c>
      <c r="G1075" s="1" t="s">
        <v>2517</v>
      </c>
      <c r="H1075" s="4" t="s">
        <v>209</v>
      </c>
      <c r="V107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6" spans="1:22" hidden="1">
      <c r="A1076" s="2">
        <v>45914</v>
      </c>
      <c r="B1076" s="1" t="s">
        <v>1656</v>
      </c>
      <c r="C1076" s="1" t="s">
        <v>2572</v>
      </c>
      <c r="D1076" s="1" t="s">
        <v>616</v>
      </c>
      <c r="E1076" s="1">
        <v>85364</v>
      </c>
      <c r="F1076" s="1" t="s">
        <v>2573</v>
      </c>
      <c r="G1076" s="1" t="s">
        <v>2517</v>
      </c>
      <c r="H1076" s="21" t="s">
        <v>2574</v>
      </c>
      <c r="I1076" s="5" t="s">
        <v>250</v>
      </c>
      <c r="J1076" s="5" t="s">
        <v>37</v>
      </c>
      <c r="K1076" s="5" t="s">
        <v>37</v>
      </c>
      <c r="L1076" s="7" t="s">
        <v>2575</v>
      </c>
      <c r="M1076" s="5" t="s">
        <v>38</v>
      </c>
      <c r="N1076" s="15">
        <v>722.34</v>
      </c>
      <c r="O1076" s="5" t="s">
        <v>38</v>
      </c>
      <c r="Q1076" s="2">
        <v>45961</v>
      </c>
      <c r="R1076" s="1" t="s">
        <v>2576</v>
      </c>
      <c r="U1076" s="1" t="s">
        <v>2577</v>
      </c>
      <c r="V107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7" spans="1:22" hidden="1">
      <c r="A1077" s="2">
        <v>45914</v>
      </c>
      <c r="B1077" s="1" t="s">
        <v>2578</v>
      </c>
      <c r="C1077" s="1" t="s">
        <v>333</v>
      </c>
      <c r="D1077" s="1" t="s">
        <v>63</v>
      </c>
      <c r="E1077" s="1">
        <v>85281</v>
      </c>
      <c r="F1077" s="1" t="s">
        <v>310</v>
      </c>
      <c r="G1077" s="1" t="s">
        <v>2517</v>
      </c>
      <c r="H1077" s="4" t="s">
        <v>2579</v>
      </c>
      <c r="I1077" s="5" t="s">
        <v>73</v>
      </c>
      <c r="J1077" s="5" t="s">
        <v>38</v>
      </c>
      <c r="K1077" s="5" t="s">
        <v>37</v>
      </c>
      <c r="L1077" s="5" t="s">
        <v>38</v>
      </c>
      <c r="M1077" s="5" t="s">
        <v>37</v>
      </c>
      <c r="N1077" s="5" t="s">
        <v>37</v>
      </c>
      <c r="O1077" s="5" t="s">
        <v>38</v>
      </c>
      <c r="P1077" s="5" t="s">
        <v>39</v>
      </c>
      <c r="Q1077" s="2">
        <v>45961</v>
      </c>
      <c r="V107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8" spans="1:22" hidden="1">
      <c r="A1078" s="2">
        <v>45914</v>
      </c>
      <c r="B1078" s="1" t="s">
        <v>2580</v>
      </c>
      <c r="C1078" s="1" t="s">
        <v>1336</v>
      </c>
      <c r="D1078" s="1" t="s">
        <v>202</v>
      </c>
      <c r="E1078" s="1">
        <v>85383</v>
      </c>
      <c r="F1078" s="1" t="s">
        <v>2581</v>
      </c>
      <c r="G1078" s="1" t="s">
        <v>2517</v>
      </c>
      <c r="H1078" s="4" t="s">
        <v>27</v>
      </c>
      <c r="V107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79" spans="1:22" hidden="1">
      <c r="A1079" s="2">
        <v>45914</v>
      </c>
      <c r="B1079" s="1" t="s">
        <v>2484</v>
      </c>
      <c r="C1079" s="1" t="s">
        <v>2538</v>
      </c>
      <c r="D1079" s="1" t="s">
        <v>125</v>
      </c>
      <c r="E1079" s="1">
        <v>85260</v>
      </c>
      <c r="F1079" s="1" t="s">
        <v>2582</v>
      </c>
      <c r="G1079" s="1" t="s">
        <v>2517</v>
      </c>
      <c r="H1079" s="4" t="s">
        <v>2583</v>
      </c>
      <c r="I1079" s="5" t="s">
        <v>196</v>
      </c>
      <c r="J1079" s="5" t="s">
        <v>37</v>
      </c>
      <c r="K1079" s="5" t="s">
        <v>37</v>
      </c>
      <c r="L1079" s="5" t="s">
        <v>2584</v>
      </c>
      <c r="M1079" s="5" t="s">
        <v>37</v>
      </c>
      <c r="N1079" s="5" t="s">
        <v>37</v>
      </c>
      <c r="O1079" s="5" t="s">
        <v>38</v>
      </c>
      <c r="P1079" s="5" t="s">
        <v>39</v>
      </c>
      <c r="Q1079" s="2">
        <v>45961</v>
      </c>
      <c r="V107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0" spans="1:22" hidden="1">
      <c r="A1080" s="2">
        <v>45917</v>
      </c>
      <c r="B1080" s="1" t="s">
        <v>2585</v>
      </c>
      <c r="C1080" s="1" t="s">
        <v>184</v>
      </c>
      <c r="D1080" s="1" t="s">
        <v>63</v>
      </c>
      <c r="E1080" s="1">
        <v>85023</v>
      </c>
      <c r="F1080" s="1" t="s">
        <v>2586</v>
      </c>
      <c r="G1080" s="1" t="s">
        <v>2587</v>
      </c>
      <c r="H1080" s="4" t="s">
        <v>6090</v>
      </c>
      <c r="I1080" s="5" t="s">
        <v>196</v>
      </c>
      <c r="J1080" s="5" t="s">
        <v>37</v>
      </c>
      <c r="K1080" s="5" t="s">
        <v>37</v>
      </c>
      <c r="L1080" s="7" t="s">
        <v>2588</v>
      </c>
      <c r="M1080" s="5" t="s">
        <v>37</v>
      </c>
      <c r="N1080" s="5" t="s">
        <v>37</v>
      </c>
      <c r="O1080" s="5" t="s">
        <v>38</v>
      </c>
      <c r="P1080" s="2">
        <v>45939</v>
      </c>
      <c r="Q1080" s="2">
        <v>45961</v>
      </c>
      <c r="R1080" s="1" t="s">
        <v>2083</v>
      </c>
      <c r="V108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1" spans="1:22" hidden="1">
      <c r="A1081" s="2">
        <v>45917</v>
      </c>
      <c r="B1081" s="1" t="s">
        <v>2589</v>
      </c>
      <c r="C1081" s="1" t="s">
        <v>225</v>
      </c>
      <c r="D1081" s="1" t="s">
        <v>734</v>
      </c>
      <c r="E1081" s="1">
        <v>86326</v>
      </c>
      <c r="F1081" s="1" t="s">
        <v>2590</v>
      </c>
      <c r="G1081" s="1" t="s">
        <v>2591</v>
      </c>
      <c r="H1081" s="4" t="s">
        <v>6369</v>
      </c>
      <c r="I1081" s="5" t="s">
        <v>36</v>
      </c>
      <c r="J1081" s="5" t="s">
        <v>37</v>
      </c>
      <c r="K1081" s="5" t="s">
        <v>37</v>
      </c>
      <c r="L1081" s="5" t="s">
        <v>38</v>
      </c>
      <c r="M1081" s="5" t="s">
        <v>37</v>
      </c>
      <c r="N1081" s="5" t="s">
        <v>37</v>
      </c>
      <c r="O1081" s="5" t="s">
        <v>38</v>
      </c>
      <c r="P1081" s="5" t="s">
        <v>39</v>
      </c>
      <c r="Q1081" s="2">
        <v>45961</v>
      </c>
      <c r="V108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2" spans="1:22" hidden="1">
      <c r="A1082" s="2">
        <v>45917</v>
      </c>
      <c r="B1082" s="1" t="s">
        <v>2592</v>
      </c>
      <c r="C1082" s="1" t="s">
        <v>852</v>
      </c>
      <c r="D1082" s="1" t="s">
        <v>734</v>
      </c>
      <c r="E1082" s="1">
        <v>86326</v>
      </c>
      <c r="F1082" s="1" t="s">
        <v>31</v>
      </c>
      <c r="G1082" s="1" t="s">
        <v>2591</v>
      </c>
      <c r="H1082" s="4" t="s">
        <v>4593</v>
      </c>
      <c r="I1082" s="5" t="s">
        <v>46</v>
      </c>
      <c r="J1082" s="5" t="s">
        <v>37</v>
      </c>
      <c r="K1082" s="5" t="s">
        <v>37</v>
      </c>
      <c r="L1082" s="5" t="s">
        <v>38</v>
      </c>
      <c r="M1082" s="5" t="s">
        <v>37</v>
      </c>
      <c r="N1082" s="5" t="s">
        <v>37</v>
      </c>
      <c r="O1082" s="5" t="s">
        <v>38</v>
      </c>
      <c r="P1082" s="5" t="s">
        <v>39</v>
      </c>
      <c r="Q1082" s="2">
        <v>45961</v>
      </c>
      <c r="V108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3" spans="1:22" hidden="1">
      <c r="A1083" s="2">
        <v>45917</v>
      </c>
      <c r="B1083" s="1" t="s">
        <v>2593</v>
      </c>
      <c r="C1083" s="1" t="s">
        <v>284</v>
      </c>
      <c r="D1083" s="1" t="s">
        <v>63</v>
      </c>
      <c r="E1083" s="1">
        <v>85050</v>
      </c>
      <c r="F1083" s="1" t="s">
        <v>2594</v>
      </c>
      <c r="G1083" s="1" t="s">
        <v>2591</v>
      </c>
      <c r="H1083" s="4" t="s">
        <v>6370</v>
      </c>
      <c r="I1083" s="5" t="s">
        <v>36</v>
      </c>
      <c r="J1083" s="5" t="s">
        <v>37</v>
      </c>
      <c r="K1083" s="5" t="s">
        <v>37</v>
      </c>
      <c r="L1083" s="5" t="s">
        <v>38</v>
      </c>
      <c r="M1083" s="5" t="s">
        <v>37</v>
      </c>
      <c r="N1083" s="5" t="s">
        <v>37</v>
      </c>
      <c r="O1083" s="5" t="s">
        <v>38</v>
      </c>
      <c r="P1083" s="5" t="s">
        <v>39</v>
      </c>
      <c r="Q1083" s="2">
        <v>45961</v>
      </c>
      <c r="V108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4" spans="1:22" hidden="1">
      <c r="A1084" s="2">
        <v>45917</v>
      </c>
      <c r="B1084" s="1" t="s">
        <v>1581</v>
      </c>
      <c r="C1084" s="1" t="s">
        <v>312</v>
      </c>
      <c r="D1084" s="1" t="s">
        <v>63</v>
      </c>
      <c r="E1084" s="1">
        <v>85023</v>
      </c>
      <c r="F1084" s="1" t="s">
        <v>310</v>
      </c>
      <c r="G1084" s="1" t="s">
        <v>2587</v>
      </c>
      <c r="H1084" s="4" t="s">
        <v>6371</v>
      </c>
      <c r="I1084" s="5" t="s">
        <v>250</v>
      </c>
      <c r="J1084" s="5" t="s">
        <v>37</v>
      </c>
      <c r="K1084" s="5" t="s">
        <v>37</v>
      </c>
      <c r="L1084" s="5" t="s">
        <v>38</v>
      </c>
      <c r="M1084" s="5" t="s">
        <v>37</v>
      </c>
      <c r="N1084" s="5" t="s">
        <v>37</v>
      </c>
      <c r="O1084" s="5" t="s">
        <v>38</v>
      </c>
      <c r="P1084" s="5" t="s">
        <v>39</v>
      </c>
      <c r="Q1084" s="2">
        <v>45961</v>
      </c>
      <c r="V108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5" spans="1:22" hidden="1">
      <c r="A1085" s="2">
        <v>45917</v>
      </c>
      <c r="B1085" s="1" t="s">
        <v>2595</v>
      </c>
      <c r="C1085" s="1" t="s">
        <v>2596</v>
      </c>
      <c r="D1085" s="1" t="s">
        <v>369</v>
      </c>
      <c r="E1085" s="1">
        <v>85225</v>
      </c>
      <c r="F1085" s="1" t="s">
        <v>2597</v>
      </c>
      <c r="G1085" s="1" t="s">
        <v>2598</v>
      </c>
      <c r="H1085" s="4" t="s">
        <v>6091</v>
      </c>
      <c r="I1085" s="5" t="s">
        <v>196</v>
      </c>
      <c r="J1085" s="5" t="s">
        <v>37</v>
      </c>
      <c r="K1085" s="5" t="s">
        <v>37</v>
      </c>
      <c r="L1085" s="7" t="s">
        <v>2599</v>
      </c>
      <c r="M1085" s="5" t="s">
        <v>37</v>
      </c>
      <c r="N1085" s="5" t="s">
        <v>37</v>
      </c>
      <c r="O1085" s="5" t="s">
        <v>38</v>
      </c>
      <c r="Q1085" s="2">
        <v>45961</v>
      </c>
      <c r="R1085" s="1" t="s">
        <v>2600</v>
      </c>
      <c r="V108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6" spans="1:22" hidden="1">
      <c r="A1086" s="2">
        <v>45917</v>
      </c>
      <c r="B1086" s="1" t="s">
        <v>2601</v>
      </c>
      <c r="C1086" s="1" t="s">
        <v>1608</v>
      </c>
      <c r="D1086" s="1" t="s">
        <v>125</v>
      </c>
      <c r="E1086" s="1">
        <v>85257</v>
      </c>
      <c r="F1086" s="1" t="s">
        <v>2602</v>
      </c>
      <c r="G1086" s="1" t="s">
        <v>2598</v>
      </c>
      <c r="H1086" s="4" t="s">
        <v>2603</v>
      </c>
      <c r="I1086" s="5" t="s">
        <v>36</v>
      </c>
      <c r="J1086" s="5" t="s">
        <v>37</v>
      </c>
      <c r="K1086" s="5" t="s">
        <v>37</v>
      </c>
      <c r="L1086" s="5" t="s">
        <v>38</v>
      </c>
      <c r="M1086" s="5" t="s">
        <v>37</v>
      </c>
      <c r="N1086" s="5" t="s">
        <v>37</v>
      </c>
      <c r="O1086" s="5" t="s">
        <v>38</v>
      </c>
      <c r="P1086" s="5" t="s">
        <v>39</v>
      </c>
      <c r="Q1086" s="2">
        <v>45961</v>
      </c>
      <c r="V108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7" spans="1:22" hidden="1">
      <c r="A1087" s="2">
        <v>45917</v>
      </c>
      <c r="B1087" s="1" t="s">
        <v>2604</v>
      </c>
      <c r="C1087" s="1" t="s">
        <v>1824</v>
      </c>
      <c r="D1087" s="1" t="s">
        <v>24</v>
      </c>
      <c r="E1087" s="1">
        <v>85310</v>
      </c>
      <c r="F1087" s="1" t="s">
        <v>2605</v>
      </c>
      <c r="G1087" s="1" t="s">
        <v>2598</v>
      </c>
      <c r="H1087" s="4" t="s">
        <v>6372</v>
      </c>
      <c r="I1087" s="5" t="s">
        <v>36</v>
      </c>
      <c r="J1087" s="5" t="s">
        <v>37</v>
      </c>
      <c r="K1087" s="5" t="s">
        <v>37</v>
      </c>
      <c r="L1087" s="5" t="s">
        <v>38</v>
      </c>
      <c r="M1087" s="5" t="s">
        <v>37</v>
      </c>
      <c r="N1087" s="5" t="s">
        <v>37</v>
      </c>
      <c r="O1087" s="5" t="s">
        <v>38</v>
      </c>
      <c r="P1087" s="5" t="s">
        <v>39</v>
      </c>
      <c r="Q1087" s="2">
        <v>45961</v>
      </c>
      <c r="V108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8" spans="1:22" hidden="1">
      <c r="A1088" s="2">
        <v>45918</v>
      </c>
      <c r="B1088" s="1" t="s">
        <v>2606</v>
      </c>
      <c r="C1088" s="1" t="s">
        <v>545</v>
      </c>
      <c r="D1088" s="1" t="s">
        <v>169</v>
      </c>
      <c r="E1088" s="1">
        <v>85338</v>
      </c>
      <c r="F1088" s="1" t="s">
        <v>2607</v>
      </c>
      <c r="G1088" s="1" t="s">
        <v>2608</v>
      </c>
      <c r="H1088" s="4" t="s">
        <v>6373</v>
      </c>
      <c r="I1088" s="5" t="s">
        <v>36</v>
      </c>
      <c r="J1088" s="5" t="s">
        <v>37</v>
      </c>
      <c r="K1088" s="5" t="s">
        <v>37</v>
      </c>
      <c r="L1088" s="5" t="s">
        <v>38</v>
      </c>
      <c r="M1088" s="5" t="s">
        <v>37</v>
      </c>
      <c r="N1088" s="5" t="s">
        <v>37</v>
      </c>
      <c r="O1088" s="5" t="s">
        <v>38</v>
      </c>
      <c r="P1088" s="5" t="s">
        <v>39</v>
      </c>
      <c r="Q1088" s="2">
        <v>45961</v>
      </c>
      <c r="V108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89" spans="1:22" hidden="1">
      <c r="A1089" s="2">
        <v>45918</v>
      </c>
      <c r="B1089" s="1" t="s">
        <v>2609</v>
      </c>
      <c r="C1089" s="1" t="s">
        <v>397</v>
      </c>
      <c r="D1089" s="1" t="s">
        <v>24</v>
      </c>
      <c r="E1089" s="1">
        <v>85310</v>
      </c>
      <c r="F1089" s="1" t="s">
        <v>2610</v>
      </c>
      <c r="G1089" s="1" t="s">
        <v>2608</v>
      </c>
      <c r="H1089" s="4" t="s">
        <v>27</v>
      </c>
      <c r="V1089"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0" spans="1:22" hidden="1">
      <c r="A1090" s="2">
        <v>45918</v>
      </c>
      <c r="B1090" s="1" t="s">
        <v>1052</v>
      </c>
      <c r="C1090" s="1" t="s">
        <v>810</v>
      </c>
      <c r="D1090" s="1" t="s">
        <v>169</v>
      </c>
      <c r="E1090" s="1">
        <v>85338</v>
      </c>
      <c r="F1090" s="1" t="s">
        <v>2611</v>
      </c>
      <c r="G1090" s="1" t="s">
        <v>2608</v>
      </c>
      <c r="H1090" s="4" t="s">
        <v>27</v>
      </c>
      <c r="V1090"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1" spans="1:22" hidden="1">
      <c r="A1091" s="2">
        <v>45918</v>
      </c>
      <c r="B1091" s="1" t="s">
        <v>1573</v>
      </c>
      <c r="C1091" s="1" t="s">
        <v>145</v>
      </c>
      <c r="D1091" s="1" t="s">
        <v>63</v>
      </c>
      <c r="E1091" s="1">
        <v>85032</v>
      </c>
      <c r="F1091" s="1" t="s">
        <v>2612</v>
      </c>
      <c r="G1091" s="1" t="s">
        <v>2608</v>
      </c>
      <c r="H1091" s="4" t="s">
        <v>6374</v>
      </c>
      <c r="I1091" s="5" t="s">
        <v>196</v>
      </c>
      <c r="J1091" s="5" t="s">
        <v>37</v>
      </c>
      <c r="K1091" s="5" t="s">
        <v>37</v>
      </c>
      <c r="L1091" s="5" t="s">
        <v>38</v>
      </c>
      <c r="M1091" s="5" t="s">
        <v>37</v>
      </c>
      <c r="N1091" s="5" t="s">
        <v>37</v>
      </c>
      <c r="O1091" s="5" t="s">
        <v>38</v>
      </c>
      <c r="P1091" s="5" t="s">
        <v>39</v>
      </c>
      <c r="Q1091" s="2">
        <v>45961</v>
      </c>
      <c r="V1091"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2" spans="1:22" hidden="1">
      <c r="A1092" s="2">
        <v>45918</v>
      </c>
      <c r="B1092" s="1" t="s">
        <v>2613</v>
      </c>
      <c r="C1092" s="1" t="s">
        <v>208</v>
      </c>
      <c r="D1092" s="1" t="s">
        <v>2614</v>
      </c>
      <c r="E1092" s="1">
        <v>86032</v>
      </c>
      <c r="F1092" s="1" t="s">
        <v>2615</v>
      </c>
      <c r="G1092" s="1" t="s">
        <v>2608</v>
      </c>
      <c r="H1092" s="4" t="s">
        <v>6155</v>
      </c>
      <c r="I1092" s="5" t="s">
        <v>46</v>
      </c>
      <c r="J1092" s="5" t="s">
        <v>37</v>
      </c>
      <c r="K1092" s="5" t="s">
        <v>37</v>
      </c>
      <c r="L1092" s="5" t="s">
        <v>38</v>
      </c>
      <c r="M1092" s="5" t="s">
        <v>38</v>
      </c>
      <c r="N1092" s="13">
        <v>361.43</v>
      </c>
      <c r="O1092" s="5" t="s">
        <v>38</v>
      </c>
      <c r="P1092" s="5" t="s">
        <v>39</v>
      </c>
      <c r="Q1092" s="2">
        <v>45961</v>
      </c>
      <c r="R1092" s="1" t="s">
        <v>2616</v>
      </c>
      <c r="V1092"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3" spans="1:22" hidden="1">
      <c r="A1093" s="2">
        <v>45918</v>
      </c>
      <c r="B1093" s="1" t="s">
        <v>2617</v>
      </c>
      <c r="C1093" s="1" t="s">
        <v>744</v>
      </c>
      <c r="D1093" s="1" t="s">
        <v>63</v>
      </c>
      <c r="E1093" s="1">
        <v>85024</v>
      </c>
      <c r="F1093" s="1" t="s">
        <v>2618</v>
      </c>
      <c r="G1093" s="1" t="s">
        <v>2608</v>
      </c>
      <c r="H1093" s="4" t="s">
        <v>27</v>
      </c>
      <c r="V1093"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4" spans="1:22" hidden="1">
      <c r="A1094" s="2">
        <v>45918</v>
      </c>
      <c r="B1094" s="1" t="s">
        <v>2619</v>
      </c>
      <c r="C1094" s="1" t="s">
        <v>2620</v>
      </c>
      <c r="D1094" s="1" t="s">
        <v>174</v>
      </c>
      <c r="E1094" s="1">
        <v>85396</v>
      </c>
      <c r="F1094" s="1" t="s">
        <v>2621</v>
      </c>
      <c r="G1094" s="1" t="s">
        <v>2608</v>
      </c>
      <c r="H1094" s="21" t="s">
        <v>6730</v>
      </c>
      <c r="I1094" s="5" t="s">
        <v>36</v>
      </c>
      <c r="J1094" s="5" t="s">
        <v>38</v>
      </c>
      <c r="K1094" s="5" t="s">
        <v>37</v>
      </c>
      <c r="L1094" s="5" t="s">
        <v>38</v>
      </c>
      <c r="M1094" s="5" t="s">
        <v>38</v>
      </c>
      <c r="N1094" s="15">
        <v>2904.39</v>
      </c>
      <c r="O1094" s="5" t="s">
        <v>38</v>
      </c>
      <c r="Q1094" s="2">
        <v>45961</v>
      </c>
      <c r="R1094" s="1" t="s">
        <v>2622</v>
      </c>
      <c r="V1094"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5" spans="1:22" hidden="1">
      <c r="A1095" s="2">
        <v>45918</v>
      </c>
      <c r="B1095" s="1" t="s">
        <v>2153</v>
      </c>
      <c r="C1095" s="1" t="s">
        <v>591</v>
      </c>
      <c r="D1095" s="1" t="s">
        <v>63</v>
      </c>
      <c r="E1095" s="1">
        <v>85014</v>
      </c>
      <c r="F1095" s="1" t="s">
        <v>2623</v>
      </c>
      <c r="G1095" s="1" t="s">
        <v>2608</v>
      </c>
      <c r="H1095" s="4" t="s">
        <v>6156</v>
      </c>
      <c r="I1095" s="5" t="s">
        <v>36</v>
      </c>
      <c r="J1095" s="5" t="s">
        <v>38</v>
      </c>
      <c r="L1095" s="5" t="s">
        <v>38</v>
      </c>
      <c r="O1095" s="5" t="s">
        <v>38</v>
      </c>
      <c r="P1095" s="5" t="s">
        <v>39</v>
      </c>
      <c r="V1095"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6" spans="1:22" hidden="1">
      <c r="A1096" s="2">
        <v>45918</v>
      </c>
      <c r="B1096" s="1" t="s">
        <v>2624</v>
      </c>
      <c r="C1096" s="1" t="s">
        <v>478</v>
      </c>
      <c r="D1096" s="1" t="s">
        <v>1093</v>
      </c>
      <c r="E1096" s="1">
        <v>85607</v>
      </c>
      <c r="F1096" s="1" t="s">
        <v>2625</v>
      </c>
      <c r="G1096" s="1" t="s">
        <v>2608</v>
      </c>
      <c r="H1096" s="4" t="s">
        <v>90</v>
      </c>
      <c r="V1096"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7" spans="1:22" hidden="1">
      <c r="A1097" s="2">
        <v>45918</v>
      </c>
      <c r="B1097" s="1" t="s">
        <v>2626</v>
      </c>
      <c r="C1097" s="1" t="s">
        <v>381</v>
      </c>
      <c r="D1097" s="1" t="s">
        <v>632</v>
      </c>
      <c r="E1097" s="1">
        <v>85281</v>
      </c>
      <c r="F1097" s="1" t="s">
        <v>2627</v>
      </c>
      <c r="G1097" s="1" t="s">
        <v>2608</v>
      </c>
      <c r="H1097" s="4" t="s">
        <v>6375</v>
      </c>
      <c r="I1097" s="5" t="s">
        <v>36</v>
      </c>
      <c r="J1097" s="5" t="s">
        <v>37</v>
      </c>
      <c r="K1097" s="5" t="s">
        <v>37</v>
      </c>
      <c r="L1097" s="5" t="s">
        <v>38</v>
      </c>
      <c r="M1097" s="5" t="s">
        <v>37</v>
      </c>
      <c r="N1097" s="5" t="s">
        <v>37</v>
      </c>
      <c r="O1097" s="5" t="s">
        <v>38</v>
      </c>
      <c r="P1097" s="5" t="s">
        <v>39</v>
      </c>
      <c r="Q1097" s="2">
        <v>45961</v>
      </c>
      <c r="R1097" s="1" t="s">
        <v>2628</v>
      </c>
      <c r="V1097"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8" spans="1:22" hidden="1">
      <c r="A1098" s="2">
        <v>45918</v>
      </c>
      <c r="B1098" s="1" t="s">
        <v>2629</v>
      </c>
      <c r="C1098" s="1" t="s">
        <v>1482</v>
      </c>
      <c r="D1098" s="1" t="s">
        <v>2630</v>
      </c>
      <c r="E1098" s="1">
        <v>85901</v>
      </c>
      <c r="F1098" s="1" t="s">
        <v>2631</v>
      </c>
      <c r="G1098" s="1" t="s">
        <v>2608</v>
      </c>
      <c r="H1098" s="4" t="s">
        <v>6376</v>
      </c>
      <c r="I1098" s="5" t="s">
        <v>73</v>
      </c>
      <c r="J1098" s="5" t="s">
        <v>37</v>
      </c>
      <c r="K1098" s="5" t="s">
        <v>37</v>
      </c>
      <c r="L1098" s="5" t="s">
        <v>38</v>
      </c>
      <c r="M1098" s="5" t="s">
        <v>37</v>
      </c>
      <c r="N1098" s="5" t="s">
        <v>37</v>
      </c>
      <c r="O1098" s="5" t="s">
        <v>38</v>
      </c>
      <c r="P1098" s="5" t="s">
        <v>39</v>
      </c>
      <c r="Q1098" s="2">
        <v>45961</v>
      </c>
      <c r="V1098" s="45">
        <f>IF(
  OR(
    ISNUMBER(SEARCH("unable to locate acct", tblDocketedComments[[#This Row],[Docketed Consumer Comments]])),
    ISNUMBER(SEARCH("unknown", tblDocketedComments[[#This Row],[Docketed Consumer Comments]])),
    ISNUMBER(SEARCH("inactive", tblDocketedComments[[#This Row],[Docketed Consumer Comments]]))
  ),
  0,
  1
)</f>
        <v>1</v>
      </c>
    </row>
    <row r="1099" spans="1:22" hidden="1">
      <c r="A1099" s="2">
        <v>45918</v>
      </c>
      <c r="B1099" s="1" t="s">
        <v>2632</v>
      </c>
      <c r="C1099" s="1" t="s">
        <v>2208</v>
      </c>
      <c r="D1099" s="1" t="s">
        <v>169</v>
      </c>
      <c r="E1099" s="1">
        <v>85338</v>
      </c>
      <c r="F1099" s="1" t="s">
        <v>2633</v>
      </c>
      <c r="G1099" s="1" t="s">
        <v>2608</v>
      </c>
      <c r="H1099" s="4" t="s">
        <v>6377</v>
      </c>
      <c r="I1099" s="5" t="s">
        <v>126</v>
      </c>
      <c r="J1099" s="5" t="s">
        <v>37</v>
      </c>
      <c r="K1099" s="5" t="s">
        <v>37</v>
      </c>
      <c r="L1099" s="5" t="s">
        <v>38</v>
      </c>
      <c r="M1099" s="5" t="s">
        <v>37</v>
      </c>
      <c r="N1099" s="5" t="s">
        <v>37</v>
      </c>
      <c r="O1099" s="5" t="s">
        <v>38</v>
      </c>
      <c r="P1099" s="5" t="s">
        <v>39</v>
      </c>
      <c r="Q1099" s="2">
        <v>45961</v>
      </c>
      <c r="V10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0" spans="1:22" hidden="1">
      <c r="A1100" s="2">
        <v>45918</v>
      </c>
      <c r="B1100" s="1" t="s">
        <v>2634</v>
      </c>
      <c r="C1100" s="1" t="s">
        <v>2635</v>
      </c>
      <c r="D1100" s="1" t="s">
        <v>240</v>
      </c>
      <c r="E1100" s="1">
        <v>85340</v>
      </c>
      <c r="F1100" s="1" t="s">
        <v>310</v>
      </c>
      <c r="G1100" s="1" t="s">
        <v>2608</v>
      </c>
      <c r="H1100" s="4" t="s">
        <v>6092</v>
      </c>
      <c r="I1100" s="5" t="s">
        <v>196</v>
      </c>
      <c r="J1100" s="5" t="s">
        <v>37</v>
      </c>
      <c r="K1100" s="5" t="s">
        <v>37</v>
      </c>
      <c r="L1100" s="5" t="s">
        <v>2636</v>
      </c>
      <c r="M1100" s="5" t="s">
        <v>37</v>
      </c>
      <c r="N1100" s="5" t="s">
        <v>37</v>
      </c>
      <c r="O1100" s="5" t="s">
        <v>38</v>
      </c>
      <c r="P1100" s="5" t="s">
        <v>39</v>
      </c>
      <c r="Q1100" s="2">
        <v>45961</v>
      </c>
      <c r="V11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1" spans="1:22" hidden="1">
      <c r="A1101" s="2">
        <v>45918</v>
      </c>
      <c r="B1101" s="1" t="s">
        <v>652</v>
      </c>
      <c r="C1101" s="1" t="s">
        <v>2637</v>
      </c>
      <c r="D1101" s="1" t="s">
        <v>202</v>
      </c>
      <c r="E1101" s="1">
        <v>85383</v>
      </c>
      <c r="F1101" s="1" t="s">
        <v>2638</v>
      </c>
      <c r="G1101" s="1" t="s">
        <v>2608</v>
      </c>
      <c r="H1101" s="4" t="s">
        <v>27</v>
      </c>
      <c r="V11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2" spans="1:22" hidden="1">
      <c r="A1102" s="2">
        <v>45918</v>
      </c>
      <c r="B1102" s="1" t="s">
        <v>2639</v>
      </c>
      <c r="C1102" s="1" t="s">
        <v>2640</v>
      </c>
      <c r="D1102" s="1" t="s">
        <v>125</v>
      </c>
      <c r="E1102" s="1">
        <v>85260</v>
      </c>
      <c r="F1102" s="1" t="s">
        <v>2641</v>
      </c>
      <c r="G1102" s="1" t="s">
        <v>2608</v>
      </c>
      <c r="H1102" s="4" t="s">
        <v>6378</v>
      </c>
      <c r="I1102" s="5" t="s">
        <v>126</v>
      </c>
      <c r="J1102" s="5" t="s">
        <v>37</v>
      </c>
      <c r="K1102" s="5" t="s">
        <v>37</v>
      </c>
      <c r="L1102" s="5" t="s">
        <v>38</v>
      </c>
      <c r="M1102" s="5" t="s">
        <v>37</v>
      </c>
      <c r="N1102" s="5" t="s">
        <v>37</v>
      </c>
      <c r="O1102" s="5" t="s">
        <v>38</v>
      </c>
      <c r="P1102" s="5" t="s">
        <v>39</v>
      </c>
      <c r="Q1102" s="2">
        <v>45960</v>
      </c>
      <c r="V11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3" spans="1:22" hidden="1">
      <c r="A1103" s="2">
        <v>45918</v>
      </c>
      <c r="B1103" s="1" t="s">
        <v>2642</v>
      </c>
      <c r="C1103" s="1" t="s">
        <v>2643</v>
      </c>
      <c r="D1103" s="1" t="s">
        <v>169</v>
      </c>
      <c r="E1103" s="1">
        <v>85338</v>
      </c>
      <c r="F1103" s="1" t="s">
        <v>2644</v>
      </c>
      <c r="G1103" s="1" t="s">
        <v>2608</v>
      </c>
      <c r="H1103" s="4" t="s">
        <v>6379</v>
      </c>
      <c r="I1103" s="5" t="s">
        <v>243</v>
      </c>
      <c r="J1103" s="5" t="s">
        <v>37</v>
      </c>
      <c r="K1103" s="5" t="s">
        <v>37</v>
      </c>
      <c r="L1103" s="5" t="s">
        <v>387</v>
      </c>
      <c r="M1103" s="5" t="s">
        <v>37</v>
      </c>
      <c r="N1103" s="5" t="s">
        <v>37</v>
      </c>
      <c r="O1103" s="5" t="s">
        <v>38</v>
      </c>
      <c r="P1103" s="5" t="s">
        <v>39</v>
      </c>
      <c r="Q1103" s="2">
        <v>45960</v>
      </c>
      <c r="V11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4" spans="1:22" hidden="1">
      <c r="A1104" s="2">
        <v>45918</v>
      </c>
      <c r="B1104" s="1" t="s">
        <v>2645</v>
      </c>
      <c r="C1104" s="1" t="s">
        <v>2646</v>
      </c>
      <c r="D1104" s="1" t="s">
        <v>63</v>
      </c>
      <c r="E1104" s="1">
        <v>85029</v>
      </c>
      <c r="F1104" s="1" t="s">
        <v>2647</v>
      </c>
      <c r="G1104" s="1" t="s">
        <v>2608</v>
      </c>
      <c r="H1104" s="4" t="s">
        <v>6380</v>
      </c>
      <c r="I1104" s="5" t="s">
        <v>46</v>
      </c>
      <c r="J1104" s="5" t="s">
        <v>37</v>
      </c>
      <c r="K1104" s="5" t="s">
        <v>37</v>
      </c>
      <c r="L1104" s="5" t="s">
        <v>38</v>
      </c>
      <c r="M1104" s="5" t="s">
        <v>37</v>
      </c>
      <c r="N1104" s="5" t="s">
        <v>37</v>
      </c>
      <c r="O1104" s="5" t="s">
        <v>38</v>
      </c>
      <c r="P1104" s="5" t="s">
        <v>39</v>
      </c>
      <c r="Q1104" s="2">
        <v>45960</v>
      </c>
      <c r="V11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5" spans="1:22" hidden="1">
      <c r="A1105" s="2">
        <v>45918</v>
      </c>
      <c r="B1105" s="1" t="s">
        <v>2648</v>
      </c>
      <c r="C1105" s="1" t="s">
        <v>545</v>
      </c>
      <c r="D1105" s="1" t="s">
        <v>63</v>
      </c>
      <c r="E1105" s="1">
        <v>85053</v>
      </c>
      <c r="F1105" s="1" t="s">
        <v>2649</v>
      </c>
      <c r="G1105" s="1" t="s">
        <v>2608</v>
      </c>
      <c r="H1105" s="4" t="s">
        <v>6381</v>
      </c>
      <c r="I1105" s="5" t="s">
        <v>36</v>
      </c>
      <c r="J1105" s="5" t="s">
        <v>37</v>
      </c>
      <c r="K1105" s="5" t="s">
        <v>37</v>
      </c>
      <c r="L1105" s="5" t="s">
        <v>38</v>
      </c>
      <c r="M1105" s="5" t="s">
        <v>37</v>
      </c>
      <c r="N1105" s="5" t="s">
        <v>37</v>
      </c>
      <c r="O1105" s="5" t="s">
        <v>38</v>
      </c>
      <c r="P1105" s="5" t="s">
        <v>39</v>
      </c>
      <c r="Q1105" s="2">
        <v>45960</v>
      </c>
      <c r="V11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6" spans="1:22" hidden="1">
      <c r="A1106" s="2">
        <v>45918</v>
      </c>
      <c r="B1106" s="1" t="s">
        <v>2650</v>
      </c>
      <c r="C1106" s="1" t="s">
        <v>478</v>
      </c>
      <c r="D1106" s="1" t="s">
        <v>169</v>
      </c>
      <c r="E1106" s="1">
        <v>85338</v>
      </c>
      <c r="F1106" s="1" t="s">
        <v>2651</v>
      </c>
      <c r="G1106" s="1" t="s">
        <v>2608</v>
      </c>
      <c r="H1106" s="4" t="s">
        <v>6379</v>
      </c>
      <c r="I1106" s="5" t="s">
        <v>243</v>
      </c>
      <c r="J1106" s="5" t="s">
        <v>37</v>
      </c>
      <c r="K1106" s="5" t="s">
        <v>37</v>
      </c>
      <c r="L1106" s="5" t="s">
        <v>387</v>
      </c>
      <c r="M1106" s="5" t="s">
        <v>37</v>
      </c>
      <c r="N1106" s="5" t="s">
        <v>37</v>
      </c>
      <c r="O1106" s="5" t="s">
        <v>38</v>
      </c>
      <c r="P1106" s="5" t="s">
        <v>39</v>
      </c>
      <c r="Q1106" s="2">
        <v>45960</v>
      </c>
      <c r="V11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7" spans="1:22" hidden="1">
      <c r="A1107" s="2">
        <v>45918</v>
      </c>
      <c r="B1107" s="1" t="s">
        <v>2652</v>
      </c>
      <c r="C1107" s="1" t="s">
        <v>555</v>
      </c>
      <c r="D1107" s="1" t="s">
        <v>63</v>
      </c>
      <c r="E1107" s="1">
        <v>85013</v>
      </c>
      <c r="F1107" s="1" t="s">
        <v>2653</v>
      </c>
      <c r="G1107" s="1" t="s">
        <v>2608</v>
      </c>
      <c r="H1107" s="4" t="s">
        <v>6003</v>
      </c>
      <c r="I1107" s="5" t="s">
        <v>196</v>
      </c>
      <c r="J1107" s="5" t="s">
        <v>37</v>
      </c>
      <c r="K1107" s="5" t="s">
        <v>37</v>
      </c>
      <c r="L1107" s="7" t="s">
        <v>2654</v>
      </c>
      <c r="M1107" s="5" t="s">
        <v>38</v>
      </c>
      <c r="N1107" s="15">
        <v>349.63</v>
      </c>
      <c r="O1107" s="5" t="s">
        <v>38</v>
      </c>
      <c r="P1107" s="7"/>
      <c r="Q1107" s="2">
        <v>45960</v>
      </c>
      <c r="R1107" s="1" t="s">
        <v>492</v>
      </c>
      <c r="V11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8" spans="1:22" hidden="1">
      <c r="A1108" s="2">
        <v>45918</v>
      </c>
      <c r="B1108" s="1" t="s">
        <v>2655</v>
      </c>
      <c r="C1108" s="1" t="s">
        <v>1093</v>
      </c>
      <c r="D1108" s="1" t="s">
        <v>125</v>
      </c>
      <c r="E1108" s="1">
        <v>85260</v>
      </c>
      <c r="F1108" s="1" t="s">
        <v>2656</v>
      </c>
      <c r="G1108" s="1" t="s">
        <v>2608</v>
      </c>
      <c r="H1108" s="21" t="s">
        <v>6731</v>
      </c>
      <c r="I1108" s="5" t="s">
        <v>73</v>
      </c>
      <c r="J1108" s="5" t="s">
        <v>37</v>
      </c>
      <c r="K1108" s="5" t="s">
        <v>37</v>
      </c>
      <c r="L1108" s="5" t="s">
        <v>38</v>
      </c>
      <c r="M1108" s="5" t="s">
        <v>37</v>
      </c>
      <c r="N1108" s="5" t="s">
        <v>37</v>
      </c>
      <c r="O1108" s="5" t="s">
        <v>38</v>
      </c>
      <c r="P1108" s="5" t="s">
        <v>39</v>
      </c>
      <c r="Q1108" s="2">
        <v>45960</v>
      </c>
      <c r="V11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09" spans="1:22" hidden="1">
      <c r="A1109" s="2">
        <v>45918</v>
      </c>
      <c r="B1109" s="1" t="s">
        <v>2657</v>
      </c>
      <c r="C1109" s="1" t="s">
        <v>2658</v>
      </c>
      <c r="D1109" s="1" t="s">
        <v>174</v>
      </c>
      <c r="E1109" s="1">
        <v>85396</v>
      </c>
      <c r="F1109" s="1" t="s">
        <v>2659</v>
      </c>
      <c r="G1109" s="1" t="s">
        <v>2608</v>
      </c>
      <c r="H1109" s="4" t="s">
        <v>6093</v>
      </c>
      <c r="I1109" s="5" t="s">
        <v>196</v>
      </c>
      <c r="J1109" s="5" t="s">
        <v>37</v>
      </c>
      <c r="K1109" s="5" t="s">
        <v>37</v>
      </c>
      <c r="L1109" s="7" t="s">
        <v>2660</v>
      </c>
      <c r="M1109" s="5" t="s">
        <v>37</v>
      </c>
      <c r="N1109" s="5" t="s">
        <v>37</v>
      </c>
      <c r="O1109" s="5" t="s">
        <v>38</v>
      </c>
      <c r="P1109" s="5" t="s">
        <v>39</v>
      </c>
      <c r="Q1109" s="2">
        <v>45960</v>
      </c>
      <c r="R1109" s="1" t="s">
        <v>2661</v>
      </c>
      <c r="V11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0" spans="1:22" hidden="1">
      <c r="A1110" s="2">
        <v>45918</v>
      </c>
      <c r="B1110" s="1" t="s">
        <v>2662</v>
      </c>
      <c r="C1110" s="1" t="s">
        <v>252</v>
      </c>
      <c r="D1110" s="1" t="s">
        <v>240</v>
      </c>
      <c r="E1110" s="1">
        <v>85340</v>
      </c>
      <c r="F1110" s="1" t="s">
        <v>2663</v>
      </c>
      <c r="G1110" s="1" t="s">
        <v>2664</v>
      </c>
      <c r="H1110" s="4" t="s">
        <v>2665</v>
      </c>
      <c r="I1110" s="5" t="s">
        <v>73</v>
      </c>
      <c r="J1110" s="5" t="s">
        <v>37</v>
      </c>
      <c r="K1110" s="5" t="s">
        <v>37</v>
      </c>
      <c r="L1110" s="5" t="s">
        <v>1435</v>
      </c>
      <c r="M1110" s="5" t="s">
        <v>37</v>
      </c>
      <c r="N1110" s="5" t="s">
        <v>37</v>
      </c>
      <c r="O1110" s="5" t="s">
        <v>38</v>
      </c>
      <c r="P1110" s="5" t="s">
        <v>39</v>
      </c>
      <c r="Q1110" s="2">
        <v>45960</v>
      </c>
      <c r="V11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1" spans="1:22" hidden="1">
      <c r="A1111" s="2">
        <v>45918</v>
      </c>
      <c r="B1111" s="1" t="s">
        <v>1643</v>
      </c>
      <c r="C1111" s="1" t="s">
        <v>1339</v>
      </c>
      <c r="D1111" s="1" t="s">
        <v>30</v>
      </c>
      <c r="E1111" s="1" t="s">
        <v>30</v>
      </c>
      <c r="F1111" s="1" t="s">
        <v>2666</v>
      </c>
      <c r="G1111" s="1" t="s">
        <v>2667</v>
      </c>
      <c r="H1111" s="4" t="s">
        <v>209</v>
      </c>
      <c r="V11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2" spans="1:22" hidden="1">
      <c r="A1112" s="2">
        <v>45918</v>
      </c>
      <c r="B1112" s="1" t="s">
        <v>2358</v>
      </c>
      <c r="C1112" s="1" t="s">
        <v>230</v>
      </c>
      <c r="D1112" s="1" t="s">
        <v>125</v>
      </c>
      <c r="E1112" s="1">
        <v>85262</v>
      </c>
      <c r="F1112" s="1" t="s">
        <v>2668</v>
      </c>
      <c r="G1112" s="1" t="s">
        <v>2664</v>
      </c>
      <c r="H1112" s="4" t="s">
        <v>2669</v>
      </c>
      <c r="I1112" s="5" t="s">
        <v>1352</v>
      </c>
      <c r="J1112" s="5" t="s">
        <v>37</v>
      </c>
      <c r="K1112" s="5" t="s">
        <v>37</v>
      </c>
      <c r="L1112" s="5" t="s">
        <v>387</v>
      </c>
      <c r="M1112" s="5" t="s">
        <v>37</v>
      </c>
      <c r="N1112" s="5" t="s">
        <v>37</v>
      </c>
      <c r="O1112" s="5" t="s">
        <v>38</v>
      </c>
      <c r="P1112" s="5" t="s">
        <v>39</v>
      </c>
      <c r="Q1112" s="2">
        <v>45960</v>
      </c>
      <c r="V11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3" spans="1:22" hidden="1">
      <c r="A1113" s="2">
        <v>45919</v>
      </c>
      <c r="B1113" s="1" t="s">
        <v>891</v>
      </c>
      <c r="C1113" s="1" t="s">
        <v>135</v>
      </c>
      <c r="D1113" s="1" t="s">
        <v>112</v>
      </c>
      <c r="E1113" s="1">
        <v>85379</v>
      </c>
      <c r="F1113" s="1" t="s">
        <v>2670</v>
      </c>
      <c r="G1113" s="1" t="s">
        <v>2664</v>
      </c>
      <c r="H1113" s="4" t="s">
        <v>27</v>
      </c>
      <c r="V11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4" spans="1:22" hidden="1">
      <c r="A1114" s="2">
        <v>45919</v>
      </c>
      <c r="B1114" s="1" t="s">
        <v>2671</v>
      </c>
      <c r="C1114" s="1" t="s">
        <v>1308</v>
      </c>
      <c r="D1114" s="1" t="s">
        <v>63</v>
      </c>
      <c r="E1114" s="1">
        <v>85032</v>
      </c>
      <c r="F1114" s="1" t="s">
        <v>2672</v>
      </c>
      <c r="G1114" s="1" t="s">
        <v>2664</v>
      </c>
      <c r="H1114" s="4" t="s">
        <v>2673</v>
      </c>
      <c r="I1114" s="5" t="s">
        <v>243</v>
      </c>
      <c r="J1114" s="5" t="s">
        <v>37</v>
      </c>
      <c r="K1114" s="5" t="s">
        <v>37</v>
      </c>
      <c r="L1114" s="5" t="s">
        <v>387</v>
      </c>
      <c r="M1114" s="5" t="s">
        <v>38</v>
      </c>
      <c r="N1114" s="13">
        <v>719.22</v>
      </c>
      <c r="O1114" s="5" t="s">
        <v>38</v>
      </c>
      <c r="Q1114" s="2">
        <v>45960</v>
      </c>
      <c r="R1114" s="1" t="s">
        <v>2674</v>
      </c>
      <c r="V11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5" spans="1:22" hidden="1">
      <c r="A1115" s="2">
        <v>45919</v>
      </c>
      <c r="B1115" s="1" t="s">
        <v>2675</v>
      </c>
      <c r="C1115" s="1" t="s">
        <v>478</v>
      </c>
      <c r="D1115" s="1" t="s">
        <v>136</v>
      </c>
      <c r="E1115" s="1">
        <v>85377</v>
      </c>
      <c r="F1115" s="1" t="s">
        <v>2676</v>
      </c>
      <c r="G1115" s="1" t="s">
        <v>2664</v>
      </c>
      <c r="H1115" s="4" t="s">
        <v>27</v>
      </c>
      <c r="V11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6" spans="1:22" hidden="1">
      <c r="A1116" s="2">
        <v>45919</v>
      </c>
      <c r="B1116" s="1" t="s">
        <v>2677</v>
      </c>
      <c r="C1116" s="1" t="s">
        <v>820</v>
      </c>
      <c r="D1116" s="1" t="s">
        <v>169</v>
      </c>
      <c r="E1116" s="1">
        <v>85339</v>
      </c>
      <c r="F1116" s="1" t="s">
        <v>2678</v>
      </c>
      <c r="G1116" s="1" t="s">
        <v>2664</v>
      </c>
      <c r="H1116" s="4" t="s">
        <v>27</v>
      </c>
      <c r="V11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7" spans="1:22" hidden="1">
      <c r="A1117" s="2">
        <v>45919</v>
      </c>
      <c r="B1117" s="1" t="s">
        <v>2679</v>
      </c>
      <c r="C1117" s="1" t="s">
        <v>2680</v>
      </c>
      <c r="D1117" s="1" t="s">
        <v>63</v>
      </c>
      <c r="E1117" s="1">
        <v>85032</v>
      </c>
      <c r="F1117" s="1" t="s">
        <v>2681</v>
      </c>
      <c r="G1117" s="1" t="s">
        <v>2664</v>
      </c>
      <c r="H1117" s="4" t="s">
        <v>27</v>
      </c>
      <c r="V11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8" spans="1:22" hidden="1">
      <c r="A1118" s="2">
        <v>45919</v>
      </c>
      <c r="B1118" s="1" t="s">
        <v>2682</v>
      </c>
      <c r="C1118" s="1" t="s">
        <v>2601</v>
      </c>
      <c r="D1118" s="1" t="s">
        <v>426</v>
      </c>
      <c r="E1118" s="1">
        <v>85335</v>
      </c>
      <c r="F1118" s="1" t="s">
        <v>2683</v>
      </c>
      <c r="G1118" s="1" t="s">
        <v>2664</v>
      </c>
      <c r="H1118" s="4" t="s">
        <v>2684</v>
      </c>
      <c r="I1118" s="5" t="s">
        <v>46</v>
      </c>
      <c r="J1118" s="5" t="s">
        <v>37</v>
      </c>
      <c r="K1118" s="5" t="s">
        <v>37</v>
      </c>
      <c r="L1118" s="5" t="s">
        <v>38</v>
      </c>
      <c r="M1118" s="5" t="s">
        <v>37</v>
      </c>
      <c r="N1118" s="5" t="s">
        <v>37</v>
      </c>
      <c r="O1118" s="5" t="s">
        <v>38</v>
      </c>
      <c r="P1118" s="5" t="s">
        <v>39</v>
      </c>
      <c r="Q1118" s="2">
        <v>45960</v>
      </c>
      <c r="V11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19" spans="1:22" hidden="1">
      <c r="A1119" s="2">
        <v>45919</v>
      </c>
      <c r="B1119" s="1" t="s">
        <v>2685</v>
      </c>
      <c r="C1119" s="1" t="s">
        <v>1339</v>
      </c>
      <c r="D1119" s="1" t="s">
        <v>24</v>
      </c>
      <c r="E1119" s="1">
        <v>85310</v>
      </c>
      <c r="F1119" s="1" t="s">
        <v>2686</v>
      </c>
      <c r="G1119" s="1" t="s">
        <v>2664</v>
      </c>
      <c r="H1119" s="4" t="s">
        <v>2687</v>
      </c>
      <c r="I1119" s="5" t="s">
        <v>46</v>
      </c>
      <c r="J1119" s="5" t="s">
        <v>37</v>
      </c>
      <c r="K1119" s="5" t="s">
        <v>37</v>
      </c>
      <c r="L1119" s="7" t="s">
        <v>2688</v>
      </c>
      <c r="M1119" s="5" t="s">
        <v>37</v>
      </c>
      <c r="N1119" s="5" t="s">
        <v>37</v>
      </c>
      <c r="O1119" s="5" t="s">
        <v>38</v>
      </c>
      <c r="P1119" s="2">
        <v>45940</v>
      </c>
      <c r="Q1119" s="2">
        <v>45960</v>
      </c>
      <c r="R1119" s="1" t="s">
        <v>2689</v>
      </c>
      <c r="V11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0" spans="1:22" hidden="1">
      <c r="A1120" s="2">
        <v>45919</v>
      </c>
      <c r="B1120" s="1" t="s">
        <v>2690</v>
      </c>
      <c r="C1120" s="1" t="s">
        <v>2691</v>
      </c>
      <c r="D1120" s="1" t="s">
        <v>2692</v>
      </c>
      <c r="E1120" s="1">
        <v>85306</v>
      </c>
      <c r="F1120" s="1" t="s">
        <v>2693</v>
      </c>
      <c r="G1120" s="1" t="s">
        <v>2664</v>
      </c>
      <c r="H1120" s="4" t="s">
        <v>2694</v>
      </c>
      <c r="I1120" s="5" t="s">
        <v>250</v>
      </c>
      <c r="J1120" s="5" t="s">
        <v>37</v>
      </c>
      <c r="K1120" s="5" t="s">
        <v>37</v>
      </c>
      <c r="L1120" s="5" t="s">
        <v>38</v>
      </c>
      <c r="M1120" s="5" t="s">
        <v>37</v>
      </c>
      <c r="N1120" s="5" t="s">
        <v>37</v>
      </c>
      <c r="O1120" s="5" t="s">
        <v>38</v>
      </c>
      <c r="P1120" s="5" t="s">
        <v>39</v>
      </c>
      <c r="Q1120" s="2">
        <v>45960</v>
      </c>
      <c r="V11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1" spans="1:22" hidden="1">
      <c r="A1121" s="2">
        <v>45919</v>
      </c>
      <c r="B1121" s="1" t="s">
        <v>2695</v>
      </c>
      <c r="C1121" s="1" t="s">
        <v>2696</v>
      </c>
      <c r="D1121" s="1" t="s">
        <v>202</v>
      </c>
      <c r="E1121" s="1">
        <v>85345</v>
      </c>
      <c r="F1121" s="1" t="s">
        <v>2697</v>
      </c>
      <c r="G1121" s="1" t="s">
        <v>2698</v>
      </c>
      <c r="H1121" s="4" t="s">
        <v>2699</v>
      </c>
      <c r="I1121" s="5" t="s">
        <v>126</v>
      </c>
      <c r="J1121" s="5" t="s">
        <v>37</v>
      </c>
      <c r="K1121" s="5" t="s">
        <v>37</v>
      </c>
      <c r="L1121" s="5" t="s">
        <v>38</v>
      </c>
      <c r="M1121" s="5" t="s">
        <v>37</v>
      </c>
      <c r="N1121" s="5" t="s">
        <v>37</v>
      </c>
      <c r="O1121" s="5" t="s">
        <v>38</v>
      </c>
      <c r="P1121" s="5" t="s">
        <v>39</v>
      </c>
      <c r="Q1121" s="2">
        <v>45960</v>
      </c>
      <c r="V11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2" spans="1:22" hidden="1">
      <c r="A1122" s="2">
        <v>45919</v>
      </c>
      <c r="B1122" s="1" t="s">
        <v>2700</v>
      </c>
      <c r="C1122" s="1" t="s">
        <v>2069</v>
      </c>
      <c r="D1122" s="1" t="s">
        <v>2701</v>
      </c>
      <c r="E1122" s="1">
        <v>85253</v>
      </c>
      <c r="F1122" s="1" t="s">
        <v>2702</v>
      </c>
      <c r="G1122" s="1" t="s">
        <v>2698</v>
      </c>
      <c r="H1122" s="4" t="s">
        <v>2703</v>
      </c>
      <c r="I1122" s="5" t="s">
        <v>36</v>
      </c>
      <c r="J1122" s="5" t="s">
        <v>37</v>
      </c>
      <c r="K1122" s="5" t="s">
        <v>37</v>
      </c>
      <c r="L1122" s="5" t="s">
        <v>38</v>
      </c>
      <c r="M1122" s="5" t="s">
        <v>37</v>
      </c>
      <c r="N1122" s="5" t="s">
        <v>37</v>
      </c>
      <c r="O1122" s="5" t="s">
        <v>38</v>
      </c>
      <c r="P1122" s="5" t="s">
        <v>39</v>
      </c>
      <c r="Q1122" s="2">
        <v>45960</v>
      </c>
      <c r="V11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3" spans="1:22" hidden="1">
      <c r="A1123" s="2">
        <v>45919</v>
      </c>
      <c r="B1123" s="1" t="s">
        <v>2704</v>
      </c>
      <c r="C1123" s="1" t="s">
        <v>312</v>
      </c>
      <c r="D1123" s="1" t="s">
        <v>446</v>
      </c>
      <c r="E1123" s="1">
        <v>85361</v>
      </c>
      <c r="F1123" s="1" t="s">
        <v>2705</v>
      </c>
      <c r="G1123" s="1" t="s">
        <v>2698</v>
      </c>
      <c r="H1123" s="4" t="s">
        <v>2706</v>
      </c>
      <c r="I1123" s="5" t="s">
        <v>73</v>
      </c>
      <c r="J1123" s="5" t="s">
        <v>37</v>
      </c>
      <c r="K1123" s="5" t="s">
        <v>37</v>
      </c>
      <c r="L1123" s="5" t="s">
        <v>38</v>
      </c>
      <c r="M1123" s="5" t="s">
        <v>37</v>
      </c>
      <c r="N1123" s="5" t="s">
        <v>37</v>
      </c>
      <c r="O1123" s="5" t="s">
        <v>38</v>
      </c>
      <c r="P1123" s="5" t="s">
        <v>39</v>
      </c>
      <c r="Q1123" s="2">
        <v>45960</v>
      </c>
      <c r="V11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4" spans="1:22" hidden="1">
      <c r="A1124" s="2">
        <v>45919</v>
      </c>
      <c r="B1124" s="1" t="s">
        <v>397</v>
      </c>
      <c r="C1124" s="1" t="s">
        <v>2707</v>
      </c>
      <c r="D1124" s="1" t="s">
        <v>2701</v>
      </c>
      <c r="E1124" s="1">
        <v>85253</v>
      </c>
      <c r="F1124" s="1" t="s">
        <v>2708</v>
      </c>
      <c r="G1124" s="1" t="s">
        <v>2698</v>
      </c>
      <c r="H1124" s="4" t="s">
        <v>27</v>
      </c>
      <c r="V11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5" spans="1:22" hidden="1">
      <c r="A1125" s="2">
        <v>45919</v>
      </c>
      <c r="B1125" s="1" t="s">
        <v>891</v>
      </c>
      <c r="C1125" s="1" t="s">
        <v>2709</v>
      </c>
      <c r="D1125" s="1" t="s">
        <v>112</v>
      </c>
      <c r="E1125" s="1">
        <v>85379</v>
      </c>
      <c r="F1125" s="1" t="s">
        <v>2710</v>
      </c>
      <c r="G1125" s="1" t="s">
        <v>2698</v>
      </c>
      <c r="H1125" s="4" t="s">
        <v>2711</v>
      </c>
      <c r="I1125" s="5" t="s">
        <v>416</v>
      </c>
      <c r="J1125" s="5" t="s">
        <v>37</v>
      </c>
      <c r="K1125" s="5" t="s">
        <v>37</v>
      </c>
      <c r="L1125" s="5" t="s">
        <v>387</v>
      </c>
      <c r="M1125" s="5" t="s">
        <v>37</v>
      </c>
      <c r="N1125" s="5" t="s">
        <v>37</v>
      </c>
      <c r="O1125" s="5" t="s">
        <v>38</v>
      </c>
      <c r="P1125" s="5" t="s">
        <v>39</v>
      </c>
      <c r="Q1125" s="2">
        <v>45960</v>
      </c>
      <c r="R1125" s="1" t="s">
        <v>2148</v>
      </c>
      <c r="V11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6" spans="1:22" hidden="1">
      <c r="A1126" s="2">
        <v>45919</v>
      </c>
      <c r="B1126" s="1" t="s">
        <v>2712</v>
      </c>
      <c r="C1126" s="1" t="s">
        <v>2713</v>
      </c>
      <c r="D1126" s="1" t="s">
        <v>2714</v>
      </c>
      <c r="E1126" s="1">
        <v>85335</v>
      </c>
      <c r="F1126" s="1" t="s">
        <v>2715</v>
      </c>
      <c r="G1126" s="1" t="s">
        <v>2698</v>
      </c>
      <c r="H1126" s="4" t="s">
        <v>27</v>
      </c>
      <c r="V11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7" spans="1:22" hidden="1">
      <c r="A1127" s="2">
        <v>45919</v>
      </c>
      <c r="B1127" s="1" t="s">
        <v>2716</v>
      </c>
      <c r="C1127" s="1" t="s">
        <v>2717</v>
      </c>
      <c r="D1127" s="1" t="s">
        <v>63</v>
      </c>
      <c r="E1127" s="1">
        <v>85027</v>
      </c>
      <c r="F1127" s="1" t="s">
        <v>2718</v>
      </c>
      <c r="G1127" s="1" t="s">
        <v>2698</v>
      </c>
      <c r="H1127" s="4" t="s">
        <v>2719</v>
      </c>
      <c r="I1127" s="5" t="s">
        <v>416</v>
      </c>
      <c r="J1127" s="5" t="s">
        <v>37</v>
      </c>
      <c r="K1127" s="5" t="s">
        <v>37</v>
      </c>
      <c r="L1127" s="5" t="s">
        <v>387</v>
      </c>
      <c r="M1127" s="5" t="s">
        <v>37</v>
      </c>
      <c r="N1127" s="5" t="s">
        <v>37</v>
      </c>
      <c r="O1127" s="5" t="s">
        <v>38</v>
      </c>
      <c r="P1127" s="5" t="s">
        <v>39</v>
      </c>
      <c r="Q1127" s="2">
        <v>45960</v>
      </c>
      <c r="V112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8" spans="1:22" hidden="1">
      <c r="A1128" s="2">
        <v>45919</v>
      </c>
      <c r="B1128" s="1" t="s">
        <v>2720</v>
      </c>
      <c r="C1128" s="1" t="s">
        <v>2721</v>
      </c>
      <c r="D1128" s="1" t="s">
        <v>202</v>
      </c>
      <c r="E1128" s="1">
        <v>85382</v>
      </c>
      <c r="F1128" s="1" t="s">
        <v>2722</v>
      </c>
      <c r="G1128" s="1" t="s">
        <v>2698</v>
      </c>
      <c r="H1128" s="4" t="s">
        <v>2723</v>
      </c>
      <c r="I1128" s="5" t="s">
        <v>250</v>
      </c>
      <c r="J1128" s="5" t="s">
        <v>37</v>
      </c>
      <c r="K1128" s="5" t="s">
        <v>37</v>
      </c>
      <c r="L1128" s="5" t="s">
        <v>38</v>
      </c>
      <c r="M1128" s="5" t="s">
        <v>37</v>
      </c>
      <c r="N1128" s="5" t="s">
        <v>37</v>
      </c>
      <c r="O1128" s="5" t="s">
        <v>38</v>
      </c>
      <c r="P1128" s="5" t="s">
        <v>39</v>
      </c>
      <c r="Q1128" s="2">
        <v>45960</v>
      </c>
      <c r="V112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29" spans="1:22" hidden="1">
      <c r="A1129" s="2">
        <v>45919</v>
      </c>
      <c r="B1129" s="1" t="s">
        <v>2724</v>
      </c>
      <c r="C1129" s="1" t="s">
        <v>714</v>
      </c>
      <c r="D1129" s="1" t="s">
        <v>125</v>
      </c>
      <c r="E1129" s="1">
        <v>85254</v>
      </c>
      <c r="F1129" s="1" t="s">
        <v>2725</v>
      </c>
      <c r="G1129" s="1" t="s">
        <v>2698</v>
      </c>
      <c r="H1129" s="4" t="s">
        <v>2726</v>
      </c>
      <c r="I1129" s="5" t="s">
        <v>36</v>
      </c>
      <c r="J1129" s="5" t="s">
        <v>37</v>
      </c>
      <c r="K1129" s="5" t="s">
        <v>37</v>
      </c>
      <c r="L1129" s="5" t="s">
        <v>38</v>
      </c>
      <c r="M1129" s="5" t="s">
        <v>37</v>
      </c>
      <c r="N1129" s="5" t="s">
        <v>37</v>
      </c>
      <c r="O1129" s="5" t="s">
        <v>38</v>
      </c>
      <c r="P1129" s="5" t="s">
        <v>39</v>
      </c>
      <c r="Q1129" s="2">
        <v>45960</v>
      </c>
      <c r="V112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0" spans="1:22" hidden="1">
      <c r="A1130" s="2">
        <v>45919</v>
      </c>
      <c r="B1130" s="1" t="s">
        <v>2727</v>
      </c>
      <c r="C1130" s="1" t="s">
        <v>2728</v>
      </c>
      <c r="D1130" s="1" t="s">
        <v>169</v>
      </c>
      <c r="E1130" s="1">
        <v>85338</v>
      </c>
      <c r="F1130" s="1" t="s">
        <v>2729</v>
      </c>
      <c r="G1130" s="1" t="s">
        <v>2698</v>
      </c>
      <c r="H1130" s="4" t="s">
        <v>2730</v>
      </c>
      <c r="I1130" s="5" t="s">
        <v>36</v>
      </c>
      <c r="J1130" s="5" t="s">
        <v>37</v>
      </c>
      <c r="K1130" s="5" t="s">
        <v>37</v>
      </c>
      <c r="L1130" s="5" t="s">
        <v>38</v>
      </c>
      <c r="M1130" s="5" t="s">
        <v>38</v>
      </c>
      <c r="N1130" s="15">
        <v>747.64</v>
      </c>
      <c r="O1130" s="5" t="s">
        <v>38</v>
      </c>
      <c r="P1130" s="7"/>
      <c r="Q1130" s="2">
        <v>45960</v>
      </c>
      <c r="R1130" s="1" t="s">
        <v>492</v>
      </c>
      <c r="V113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1" spans="1:22" hidden="1">
      <c r="A1131" s="2">
        <v>45919</v>
      </c>
      <c r="B1131" s="1" t="s">
        <v>2731</v>
      </c>
      <c r="C1131" s="1" t="s">
        <v>594</v>
      </c>
      <c r="D1131" s="1" t="s">
        <v>169</v>
      </c>
      <c r="E1131" s="1">
        <v>85338</v>
      </c>
      <c r="F1131" s="1" t="s">
        <v>2678</v>
      </c>
      <c r="G1131" s="1" t="s">
        <v>2698</v>
      </c>
      <c r="H1131" s="4" t="s">
        <v>2732</v>
      </c>
      <c r="I1131" s="5" t="s">
        <v>126</v>
      </c>
      <c r="J1131" s="5" t="s">
        <v>37</v>
      </c>
      <c r="K1131" s="5" t="s">
        <v>37</v>
      </c>
      <c r="L1131" s="7" t="s">
        <v>2733</v>
      </c>
      <c r="M1131" s="5" t="s">
        <v>37</v>
      </c>
      <c r="N1131" s="5" t="s">
        <v>37</v>
      </c>
      <c r="O1131" s="5" t="s">
        <v>38</v>
      </c>
      <c r="P1131" s="5" t="s">
        <v>39</v>
      </c>
      <c r="Q1131" s="2">
        <v>45960</v>
      </c>
      <c r="R1131" s="1" t="s">
        <v>2734</v>
      </c>
      <c r="V113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2" spans="1:22" hidden="1">
      <c r="A1132" s="2">
        <v>45919</v>
      </c>
      <c r="B1132" s="1" t="s">
        <v>2153</v>
      </c>
      <c r="C1132" s="1" t="s">
        <v>2735</v>
      </c>
      <c r="D1132" s="1" t="s">
        <v>30</v>
      </c>
      <c r="E1132" s="1" t="s">
        <v>30</v>
      </c>
      <c r="F1132" s="1" t="s">
        <v>2736</v>
      </c>
      <c r="G1132" s="1" t="s">
        <v>2698</v>
      </c>
      <c r="H1132" s="4" t="s">
        <v>27</v>
      </c>
      <c r="V113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3" spans="1:22" hidden="1">
      <c r="A1133" s="2">
        <v>45919</v>
      </c>
      <c r="B1133" s="1" t="s">
        <v>2737</v>
      </c>
      <c r="C1133" s="1" t="s">
        <v>334</v>
      </c>
      <c r="D1133" s="1" t="s">
        <v>30</v>
      </c>
      <c r="E1133" s="1" t="s">
        <v>30</v>
      </c>
      <c r="F1133" s="1" t="s">
        <v>2738</v>
      </c>
      <c r="G1133" s="1" t="s">
        <v>2698</v>
      </c>
      <c r="H1133" s="4" t="s">
        <v>2739</v>
      </c>
      <c r="I1133" s="5" t="s">
        <v>416</v>
      </c>
      <c r="J1133" s="5" t="s">
        <v>37</v>
      </c>
      <c r="K1133" s="5" t="s">
        <v>37</v>
      </c>
      <c r="L1133" s="5" t="s">
        <v>387</v>
      </c>
      <c r="M1133" s="5" t="s">
        <v>37</v>
      </c>
      <c r="N1133" s="5" t="s">
        <v>37</v>
      </c>
      <c r="O1133" s="5" t="s">
        <v>38</v>
      </c>
      <c r="P1133" s="5" t="s">
        <v>39</v>
      </c>
      <c r="Q1133" s="2">
        <v>45960</v>
      </c>
      <c r="V113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4" spans="1:22" hidden="1">
      <c r="A1134" s="2">
        <v>45919</v>
      </c>
      <c r="B1134" s="1" t="s">
        <v>2740</v>
      </c>
      <c r="C1134" s="1" t="s">
        <v>526</v>
      </c>
      <c r="D1134" s="1" t="s">
        <v>63</v>
      </c>
      <c r="E1134" s="1">
        <v>85032</v>
      </c>
      <c r="F1134" s="1" t="s">
        <v>31</v>
      </c>
      <c r="G1134" s="1" t="s">
        <v>2698</v>
      </c>
      <c r="H1134" s="4" t="s">
        <v>2741</v>
      </c>
      <c r="I1134" s="5" t="s">
        <v>416</v>
      </c>
      <c r="J1134" s="5" t="s">
        <v>37</v>
      </c>
      <c r="K1134" s="5" t="s">
        <v>37</v>
      </c>
      <c r="L1134" s="5" t="s">
        <v>387</v>
      </c>
      <c r="M1134" s="5" t="s">
        <v>37</v>
      </c>
      <c r="N1134" s="5" t="s">
        <v>37</v>
      </c>
      <c r="O1134" s="5" t="s">
        <v>38</v>
      </c>
      <c r="P1134" s="5" t="s">
        <v>39</v>
      </c>
      <c r="Q1134" s="2">
        <v>45960</v>
      </c>
      <c r="V113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5" spans="1:22" hidden="1">
      <c r="A1135" s="2">
        <v>45919</v>
      </c>
      <c r="B1135" s="1" t="s">
        <v>2742</v>
      </c>
      <c r="C1135" s="1" t="s">
        <v>608</v>
      </c>
      <c r="D1135" s="1" t="s">
        <v>63</v>
      </c>
      <c r="E1135" s="1">
        <v>85022</v>
      </c>
      <c r="F1135" s="1" t="s">
        <v>2743</v>
      </c>
      <c r="G1135" s="1" t="s">
        <v>2698</v>
      </c>
      <c r="H1135" s="4" t="s">
        <v>2744</v>
      </c>
      <c r="I1135" s="5" t="s">
        <v>36</v>
      </c>
      <c r="J1135" s="5" t="s">
        <v>37</v>
      </c>
      <c r="K1135" s="5" t="s">
        <v>37</v>
      </c>
      <c r="L1135" s="5" t="s">
        <v>38</v>
      </c>
      <c r="M1135" s="5" t="s">
        <v>37</v>
      </c>
      <c r="N1135" s="5" t="s">
        <v>37</v>
      </c>
      <c r="O1135" s="5" t="s">
        <v>38</v>
      </c>
      <c r="P1135" s="5" t="s">
        <v>39</v>
      </c>
      <c r="Q1135" s="2">
        <v>45960</v>
      </c>
      <c r="V113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6" spans="1:22" hidden="1">
      <c r="A1136" s="2">
        <v>45919</v>
      </c>
      <c r="B1136" s="1" t="s">
        <v>2745</v>
      </c>
      <c r="C1136" s="1" t="s">
        <v>2746</v>
      </c>
      <c r="D1136" s="1" t="s">
        <v>807</v>
      </c>
      <c r="E1136" s="1">
        <v>86303</v>
      </c>
      <c r="F1136" s="1" t="s">
        <v>2747</v>
      </c>
      <c r="G1136" s="1" t="s">
        <v>2698</v>
      </c>
      <c r="H1136" s="4" t="s">
        <v>2748</v>
      </c>
      <c r="I1136" s="5" t="s">
        <v>126</v>
      </c>
      <c r="J1136" s="5" t="s">
        <v>37</v>
      </c>
      <c r="K1136" s="5" t="s">
        <v>37</v>
      </c>
      <c r="L1136" s="5" t="s">
        <v>38</v>
      </c>
      <c r="M1136" s="5" t="s">
        <v>37</v>
      </c>
      <c r="N1136" s="5" t="s">
        <v>37</v>
      </c>
      <c r="O1136" s="5" t="s">
        <v>38</v>
      </c>
      <c r="P1136" s="5" t="s">
        <v>39</v>
      </c>
      <c r="Q1136" s="2">
        <v>45960</v>
      </c>
      <c r="V113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7" spans="1:22" hidden="1">
      <c r="A1137" s="5" t="s">
        <v>2749</v>
      </c>
      <c r="B1137" s="1" t="s">
        <v>160</v>
      </c>
      <c r="C1137" s="1" t="s">
        <v>776</v>
      </c>
      <c r="D1137" s="1" t="s">
        <v>63</v>
      </c>
      <c r="E1137" s="1">
        <v>85015</v>
      </c>
      <c r="F1137" s="1" t="s">
        <v>310</v>
      </c>
      <c r="G1137" s="1" t="s">
        <v>2146</v>
      </c>
      <c r="H1137" s="4" t="s">
        <v>27</v>
      </c>
      <c r="V113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8" spans="1:22" hidden="1">
      <c r="A1138" s="2">
        <v>45919</v>
      </c>
      <c r="B1138" s="1" t="s">
        <v>2750</v>
      </c>
      <c r="C1138" s="1" t="s">
        <v>1287</v>
      </c>
      <c r="D1138" s="1" t="s">
        <v>125</v>
      </c>
      <c r="E1138" s="1">
        <v>85260</v>
      </c>
      <c r="F1138" s="1" t="s">
        <v>2751</v>
      </c>
      <c r="G1138" s="1" t="s">
        <v>2146</v>
      </c>
      <c r="H1138" s="4" t="s">
        <v>2752</v>
      </c>
      <c r="I1138" s="5" t="s">
        <v>36</v>
      </c>
      <c r="J1138" s="5" t="s">
        <v>37</v>
      </c>
      <c r="K1138" s="5" t="s">
        <v>37</v>
      </c>
      <c r="L1138" s="5" t="s">
        <v>1435</v>
      </c>
      <c r="M1138" s="5" t="s">
        <v>37</v>
      </c>
      <c r="N1138" s="5" t="s">
        <v>37</v>
      </c>
      <c r="O1138" s="5" t="s">
        <v>38</v>
      </c>
      <c r="P1138" s="5" t="s">
        <v>39</v>
      </c>
      <c r="Q1138" s="2">
        <v>45960</v>
      </c>
      <c r="V113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39" spans="1:22" hidden="1">
      <c r="A1139" s="2">
        <v>45919</v>
      </c>
      <c r="B1139" s="1" t="s">
        <v>2753</v>
      </c>
      <c r="C1139" s="1" t="s">
        <v>2754</v>
      </c>
      <c r="D1139" s="1" t="s">
        <v>63</v>
      </c>
      <c r="E1139" s="1">
        <v>85013</v>
      </c>
      <c r="F1139" s="1" t="s">
        <v>2755</v>
      </c>
      <c r="G1139" s="1" t="s">
        <v>2146</v>
      </c>
      <c r="H1139" s="4" t="s">
        <v>2756</v>
      </c>
      <c r="I1139" s="5" t="s">
        <v>36</v>
      </c>
      <c r="J1139" s="5" t="s">
        <v>37</v>
      </c>
      <c r="K1139" s="5" t="s">
        <v>37</v>
      </c>
      <c r="L1139" s="5" t="s">
        <v>1435</v>
      </c>
      <c r="M1139" s="5" t="s">
        <v>37</v>
      </c>
      <c r="N1139" s="5" t="s">
        <v>37</v>
      </c>
      <c r="O1139" s="5" t="s">
        <v>38</v>
      </c>
      <c r="P1139" s="5" t="s">
        <v>39</v>
      </c>
      <c r="Q1139" s="2">
        <v>45960</v>
      </c>
      <c r="R1139" s="1" t="s">
        <v>2757</v>
      </c>
      <c r="V113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0" spans="1:22" hidden="1">
      <c r="A1140" s="2">
        <v>45919</v>
      </c>
      <c r="B1140" s="1" t="s">
        <v>2144</v>
      </c>
      <c r="C1140" s="1" t="s">
        <v>2145</v>
      </c>
      <c r="D1140" s="1" t="s">
        <v>112</v>
      </c>
      <c r="E1140" s="1">
        <v>85388</v>
      </c>
      <c r="F1140" s="1" t="s">
        <v>310</v>
      </c>
      <c r="G1140" s="1" t="s">
        <v>2146</v>
      </c>
      <c r="H1140" s="4" t="s">
        <v>2147</v>
      </c>
      <c r="I1140" s="5" t="s">
        <v>46</v>
      </c>
      <c r="J1140" s="5" t="s">
        <v>37</v>
      </c>
      <c r="K1140" s="5" t="s">
        <v>37</v>
      </c>
      <c r="L1140" s="5" t="s">
        <v>1435</v>
      </c>
      <c r="M1140" s="5" t="s">
        <v>37</v>
      </c>
      <c r="N1140" s="5" t="s">
        <v>37</v>
      </c>
      <c r="O1140" s="5" t="s">
        <v>38</v>
      </c>
      <c r="P1140" s="5" t="s">
        <v>39</v>
      </c>
      <c r="Q1140" s="2">
        <v>45960</v>
      </c>
      <c r="V114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1" spans="1:22" hidden="1">
      <c r="A1141" s="2">
        <v>45919</v>
      </c>
      <c r="B1141" s="1" t="s">
        <v>2758</v>
      </c>
      <c r="C1141" s="1" t="s">
        <v>2759</v>
      </c>
      <c r="D1141" s="1" t="s">
        <v>63</v>
      </c>
      <c r="E1141" s="1">
        <v>85021</v>
      </c>
      <c r="F1141" s="1" t="s">
        <v>2760</v>
      </c>
      <c r="G1141" s="1" t="s">
        <v>2146</v>
      </c>
      <c r="H1141" s="4" t="s">
        <v>27</v>
      </c>
      <c r="V114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2" spans="1:22" hidden="1">
      <c r="A1142" s="2">
        <v>45919</v>
      </c>
      <c r="B1142" s="1" t="s">
        <v>2761</v>
      </c>
      <c r="C1142" s="1" t="s">
        <v>1218</v>
      </c>
      <c r="D1142" s="1" t="s">
        <v>112</v>
      </c>
      <c r="E1142" s="1">
        <v>85374</v>
      </c>
      <c r="F1142" s="1" t="s">
        <v>2762</v>
      </c>
      <c r="G1142" s="1" t="s">
        <v>2146</v>
      </c>
      <c r="H1142" s="4" t="s">
        <v>2763</v>
      </c>
      <c r="I1142" s="5" t="s">
        <v>36</v>
      </c>
      <c r="J1142" s="5" t="s">
        <v>37</v>
      </c>
      <c r="K1142" s="5" t="s">
        <v>37</v>
      </c>
      <c r="L1142" s="5" t="s">
        <v>1435</v>
      </c>
      <c r="M1142" s="5" t="s">
        <v>37</v>
      </c>
      <c r="N1142" s="5" t="s">
        <v>37</v>
      </c>
      <c r="O1142" s="5" t="s">
        <v>38</v>
      </c>
      <c r="P1142" s="5" t="s">
        <v>39</v>
      </c>
      <c r="Q1142" s="2">
        <v>45960</v>
      </c>
      <c r="V114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3" spans="1:22" hidden="1">
      <c r="A1143" s="2">
        <v>45922</v>
      </c>
      <c r="B1143" s="1" t="s">
        <v>2764</v>
      </c>
      <c r="C1143" s="1" t="s">
        <v>117</v>
      </c>
      <c r="D1143" s="1" t="s">
        <v>2765</v>
      </c>
      <c r="E1143" s="1">
        <v>85120</v>
      </c>
      <c r="F1143" s="1" t="s">
        <v>2766</v>
      </c>
      <c r="G1143" s="1" t="s">
        <v>2146</v>
      </c>
      <c r="H1143" s="4" t="s">
        <v>27</v>
      </c>
      <c r="V114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4" spans="1:22" hidden="1">
      <c r="A1144" s="2">
        <v>45921</v>
      </c>
      <c r="B1144" s="1" t="s">
        <v>2767</v>
      </c>
      <c r="C1144" s="1" t="s">
        <v>194</v>
      </c>
      <c r="D1144" s="1" t="s">
        <v>632</v>
      </c>
      <c r="E1144" s="1">
        <v>85281</v>
      </c>
      <c r="F1144" s="1" t="s">
        <v>2768</v>
      </c>
      <c r="G1144" s="1" t="s">
        <v>2146</v>
      </c>
      <c r="H1144" s="4" t="s">
        <v>2769</v>
      </c>
      <c r="I1144" s="5" t="s">
        <v>36</v>
      </c>
      <c r="J1144" s="5" t="s">
        <v>37</v>
      </c>
      <c r="K1144" s="5" t="s">
        <v>37</v>
      </c>
      <c r="L1144" s="5" t="s">
        <v>399</v>
      </c>
      <c r="M1144" s="5" t="s">
        <v>37</v>
      </c>
      <c r="N1144" s="5" t="s">
        <v>37</v>
      </c>
      <c r="O1144" s="5" t="s">
        <v>38</v>
      </c>
      <c r="P1144" s="5" t="s">
        <v>39</v>
      </c>
      <c r="Q1144" s="2">
        <v>45960</v>
      </c>
      <c r="V114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5" spans="1:22" hidden="1">
      <c r="A1145" s="2">
        <v>45921</v>
      </c>
      <c r="B1145" s="1" t="s">
        <v>2770</v>
      </c>
      <c r="C1145" s="1" t="s">
        <v>435</v>
      </c>
      <c r="D1145" s="1" t="s">
        <v>112</v>
      </c>
      <c r="E1145" s="1">
        <v>85379</v>
      </c>
      <c r="F1145" s="1" t="s">
        <v>2771</v>
      </c>
      <c r="G1145" s="1" t="s">
        <v>2146</v>
      </c>
      <c r="H1145" s="4" t="s">
        <v>90</v>
      </c>
      <c r="V114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6" spans="1:22" hidden="1">
      <c r="A1146" s="2">
        <v>45921</v>
      </c>
      <c r="B1146" s="1" t="s">
        <v>2772</v>
      </c>
      <c r="C1146" s="1" t="s">
        <v>302</v>
      </c>
      <c r="D1146" s="1" t="s">
        <v>63</v>
      </c>
      <c r="E1146" s="1">
        <v>85087</v>
      </c>
      <c r="F1146" s="1" t="s">
        <v>2773</v>
      </c>
      <c r="G1146" s="1" t="s">
        <v>2146</v>
      </c>
      <c r="H1146" s="4" t="s">
        <v>27</v>
      </c>
      <c r="V114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7" spans="1:22" hidden="1">
      <c r="A1147" s="2">
        <v>45922</v>
      </c>
      <c r="B1147" s="1" t="s">
        <v>2774</v>
      </c>
      <c r="C1147" s="1" t="s">
        <v>545</v>
      </c>
      <c r="D1147" s="1" t="s">
        <v>129</v>
      </c>
      <c r="E1147" s="1">
        <v>85296</v>
      </c>
      <c r="F1147" s="1" t="s">
        <v>2775</v>
      </c>
      <c r="G1147" s="1" t="s">
        <v>2146</v>
      </c>
      <c r="H1147" s="4" t="s">
        <v>2776</v>
      </c>
      <c r="I1147" s="5" t="s">
        <v>36</v>
      </c>
      <c r="J1147" s="5" t="s">
        <v>37</v>
      </c>
      <c r="K1147" s="5" t="s">
        <v>37</v>
      </c>
      <c r="L1147" s="5" t="s">
        <v>1435</v>
      </c>
      <c r="M1147" s="5" t="s">
        <v>38</v>
      </c>
      <c r="N1147" s="15">
        <v>507.13</v>
      </c>
      <c r="O1147" s="5" t="s">
        <v>38</v>
      </c>
      <c r="P1147" s="7"/>
      <c r="Q1147" s="2">
        <v>45960</v>
      </c>
      <c r="R1147" s="1" t="s">
        <v>492</v>
      </c>
      <c r="V114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8" spans="1:22" hidden="1">
      <c r="A1148" s="2">
        <v>45922</v>
      </c>
      <c r="B1148" s="1" t="s">
        <v>2777</v>
      </c>
      <c r="C1148" s="1" t="s">
        <v>608</v>
      </c>
      <c r="D1148" s="1" t="s">
        <v>63</v>
      </c>
      <c r="E1148" s="1">
        <v>85023</v>
      </c>
      <c r="F1148" s="1" t="s">
        <v>2778</v>
      </c>
      <c r="G1148" s="1" t="s">
        <v>2146</v>
      </c>
      <c r="H1148" s="4" t="s">
        <v>2779</v>
      </c>
      <c r="I1148" s="5" t="s">
        <v>36</v>
      </c>
      <c r="J1148" s="5" t="s">
        <v>38</v>
      </c>
      <c r="K1148" s="5" t="s">
        <v>37</v>
      </c>
      <c r="L1148" s="5" t="s">
        <v>399</v>
      </c>
      <c r="M1148" s="5" t="s">
        <v>37</v>
      </c>
      <c r="N1148" s="5" t="s">
        <v>37</v>
      </c>
      <c r="O1148" s="5" t="s">
        <v>38</v>
      </c>
      <c r="P1148" s="5" t="s">
        <v>39</v>
      </c>
      <c r="Q1148" s="2">
        <v>45960</v>
      </c>
      <c r="V114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49" spans="1:22" hidden="1">
      <c r="A1149" s="2">
        <v>45922</v>
      </c>
      <c r="B1149" s="1" t="s">
        <v>1989</v>
      </c>
      <c r="C1149" s="1" t="s">
        <v>2780</v>
      </c>
      <c r="D1149" s="1" t="s">
        <v>30</v>
      </c>
      <c r="E1149" s="1" t="s">
        <v>30</v>
      </c>
      <c r="F1149" s="1" t="s">
        <v>31</v>
      </c>
      <c r="G1149" s="1" t="s">
        <v>2146</v>
      </c>
      <c r="H1149" s="4" t="s">
        <v>209</v>
      </c>
      <c r="V114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0" spans="1:22" hidden="1">
      <c r="A1150" s="2">
        <v>45922</v>
      </c>
      <c r="B1150" s="1" t="s">
        <v>2781</v>
      </c>
      <c r="C1150" s="1" t="s">
        <v>2782</v>
      </c>
      <c r="D1150" s="1" t="s">
        <v>30</v>
      </c>
      <c r="E1150" s="1" t="s">
        <v>30</v>
      </c>
      <c r="F1150" s="1" t="s">
        <v>2783</v>
      </c>
      <c r="G1150" s="1" t="s">
        <v>2146</v>
      </c>
      <c r="H1150" s="4" t="s">
        <v>2784</v>
      </c>
      <c r="I1150" s="5" t="s">
        <v>36</v>
      </c>
      <c r="J1150" s="5" t="s">
        <v>37</v>
      </c>
      <c r="K1150" s="5" t="s">
        <v>37</v>
      </c>
      <c r="L1150" s="5" t="s">
        <v>1435</v>
      </c>
      <c r="M1150" s="5" t="s">
        <v>37</v>
      </c>
      <c r="N1150" s="5" t="s">
        <v>37</v>
      </c>
      <c r="O1150" s="5" t="s">
        <v>38</v>
      </c>
      <c r="P1150" s="5" t="s">
        <v>39</v>
      </c>
      <c r="Q1150" s="2">
        <v>45960</v>
      </c>
      <c r="V115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1" spans="1:22" hidden="1">
      <c r="A1151" s="2">
        <v>45919</v>
      </c>
      <c r="B1151" s="1" t="s">
        <v>2785</v>
      </c>
      <c r="C1151" s="1" t="s">
        <v>822</v>
      </c>
      <c r="D1151" s="1" t="s">
        <v>85</v>
      </c>
      <c r="E1151" s="1">
        <v>86323</v>
      </c>
      <c r="F1151" s="1" t="s">
        <v>2786</v>
      </c>
      <c r="G1151" s="1" t="s">
        <v>2146</v>
      </c>
      <c r="H1151" s="4" t="s">
        <v>2787</v>
      </c>
      <c r="I1151" s="5" t="s">
        <v>73</v>
      </c>
      <c r="J1151" s="5" t="s">
        <v>37</v>
      </c>
      <c r="K1151" s="5" t="s">
        <v>37</v>
      </c>
      <c r="L1151" s="5" t="s">
        <v>1435</v>
      </c>
      <c r="M1151" s="5" t="s">
        <v>37</v>
      </c>
      <c r="N1151" s="5" t="s">
        <v>37</v>
      </c>
      <c r="O1151" s="5" t="s">
        <v>38</v>
      </c>
      <c r="P1151" s="5" t="s">
        <v>39</v>
      </c>
      <c r="Q1151" s="2">
        <v>45960</v>
      </c>
      <c r="V115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2" spans="1:22" hidden="1">
      <c r="A1152" s="2">
        <v>45922</v>
      </c>
      <c r="B1152" s="1" t="s">
        <v>2064</v>
      </c>
      <c r="C1152" s="1" t="s">
        <v>2788</v>
      </c>
      <c r="D1152" s="1" t="s">
        <v>63</v>
      </c>
      <c r="E1152" s="1">
        <v>85012</v>
      </c>
      <c r="F1152" s="1" t="s">
        <v>2789</v>
      </c>
      <c r="G1152" s="1" t="s">
        <v>2790</v>
      </c>
      <c r="H1152" s="4" t="s">
        <v>6094</v>
      </c>
      <c r="I1152" s="5" t="s">
        <v>36</v>
      </c>
      <c r="J1152" s="5" t="s">
        <v>37</v>
      </c>
      <c r="K1152" s="5" t="s">
        <v>37</v>
      </c>
      <c r="L1152" s="7" t="s">
        <v>2791</v>
      </c>
      <c r="M1152" s="5" t="s">
        <v>37</v>
      </c>
      <c r="N1152" s="5" t="s">
        <v>37</v>
      </c>
      <c r="O1152" s="5" t="s">
        <v>38</v>
      </c>
      <c r="P1152" s="2">
        <v>45940</v>
      </c>
      <c r="Q1152" s="2">
        <v>45960</v>
      </c>
      <c r="R1152" s="1" t="s">
        <v>2792</v>
      </c>
      <c r="V115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3" spans="1:22" hidden="1">
      <c r="A1153" s="2">
        <v>45922</v>
      </c>
      <c r="B1153" s="1" t="s">
        <v>2793</v>
      </c>
      <c r="C1153" s="1" t="s">
        <v>184</v>
      </c>
      <c r="D1153" s="1" t="s">
        <v>30</v>
      </c>
      <c r="E1153" s="1" t="s">
        <v>30</v>
      </c>
      <c r="F1153" s="1" t="s">
        <v>2794</v>
      </c>
      <c r="G1153" s="1" t="s">
        <v>2790</v>
      </c>
      <c r="H1153" s="4" t="s">
        <v>27</v>
      </c>
      <c r="V115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4" spans="1:22" ht="11.45" hidden="1" customHeight="1">
      <c r="A1154" s="2">
        <v>45922</v>
      </c>
      <c r="B1154" s="1" t="s">
        <v>2795</v>
      </c>
      <c r="C1154" s="1" t="s">
        <v>252</v>
      </c>
      <c r="D1154" s="1" t="s">
        <v>112</v>
      </c>
      <c r="E1154" s="1">
        <v>85378</v>
      </c>
      <c r="F1154" s="1" t="s">
        <v>2796</v>
      </c>
      <c r="G1154" s="1" t="s">
        <v>2790</v>
      </c>
      <c r="H1154" s="4" t="s">
        <v>27</v>
      </c>
      <c r="V115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5" spans="1:22" ht="11.45" hidden="1" customHeight="1">
      <c r="A1155" s="2">
        <v>45922</v>
      </c>
      <c r="B1155" s="1" t="s">
        <v>2797</v>
      </c>
      <c r="C1155" s="1" t="s">
        <v>199</v>
      </c>
      <c r="D1155" s="1" t="s">
        <v>174</v>
      </c>
      <c r="E1155" s="1">
        <v>85326</v>
      </c>
      <c r="F1155" s="1" t="s">
        <v>310</v>
      </c>
      <c r="G1155" s="1" t="s">
        <v>2790</v>
      </c>
      <c r="H1155" s="4" t="s">
        <v>2798</v>
      </c>
      <c r="I1155" s="5" t="s">
        <v>36</v>
      </c>
      <c r="J1155" s="5" t="s">
        <v>37</v>
      </c>
      <c r="K1155" s="5" t="s">
        <v>37</v>
      </c>
      <c r="L1155" s="5" t="s">
        <v>1435</v>
      </c>
      <c r="M1155" s="5" t="s">
        <v>37</v>
      </c>
      <c r="N1155" s="5" t="s">
        <v>37</v>
      </c>
      <c r="O1155" s="5" t="s">
        <v>38</v>
      </c>
      <c r="P1155" s="5" t="s">
        <v>39</v>
      </c>
      <c r="Q1155" s="2">
        <v>45960</v>
      </c>
      <c r="V115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6" spans="1:22" ht="11.45" hidden="1" customHeight="1">
      <c r="A1156" s="2">
        <v>45922</v>
      </c>
      <c r="B1156" s="1" t="s">
        <v>2799</v>
      </c>
      <c r="C1156" s="1" t="s">
        <v>2800</v>
      </c>
      <c r="D1156" s="1" t="s">
        <v>240</v>
      </c>
      <c r="E1156" s="1">
        <v>85340</v>
      </c>
      <c r="F1156" s="1" t="s">
        <v>2801</v>
      </c>
      <c r="G1156" s="1" t="s">
        <v>2790</v>
      </c>
      <c r="H1156" s="4" t="s">
        <v>2802</v>
      </c>
      <c r="I1156" s="5" t="s">
        <v>36</v>
      </c>
      <c r="J1156" s="5" t="s">
        <v>37</v>
      </c>
      <c r="K1156" s="5" t="s">
        <v>37</v>
      </c>
      <c r="L1156" s="5" t="s">
        <v>1435</v>
      </c>
      <c r="M1156" s="5" t="s">
        <v>37</v>
      </c>
      <c r="N1156" s="5" t="s">
        <v>37</v>
      </c>
      <c r="O1156" s="5" t="s">
        <v>38</v>
      </c>
      <c r="P1156" s="5" t="s">
        <v>39</v>
      </c>
      <c r="Q1156" s="2">
        <v>45960</v>
      </c>
      <c r="V115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7" spans="1:22" ht="11.45" hidden="1" customHeight="1">
      <c r="A1157" s="2">
        <v>45922</v>
      </c>
      <c r="B1157" s="1" t="s">
        <v>269</v>
      </c>
      <c r="C1157" s="1" t="s">
        <v>2440</v>
      </c>
      <c r="D1157" s="1" t="s">
        <v>202</v>
      </c>
      <c r="E1157" s="1">
        <v>85383</v>
      </c>
      <c r="F1157" s="1" t="s">
        <v>2803</v>
      </c>
      <c r="G1157" s="1" t="s">
        <v>2790</v>
      </c>
      <c r="H1157" s="4" t="s">
        <v>2804</v>
      </c>
      <c r="I1157" s="5" t="s">
        <v>196</v>
      </c>
      <c r="J1157" s="5" t="s">
        <v>37</v>
      </c>
      <c r="K1157" s="5" t="s">
        <v>37</v>
      </c>
      <c r="L1157" s="5" t="s">
        <v>2805</v>
      </c>
      <c r="M1157" s="5" t="s">
        <v>37</v>
      </c>
      <c r="N1157" s="5" t="s">
        <v>37</v>
      </c>
      <c r="O1157" s="5" t="s">
        <v>38</v>
      </c>
      <c r="P1157" s="5" t="s">
        <v>39</v>
      </c>
      <c r="Q1157" s="2">
        <v>45960</v>
      </c>
      <c r="V115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8" spans="1:22" ht="11.45" hidden="1" customHeight="1">
      <c r="A1158" s="2">
        <v>45922</v>
      </c>
      <c r="B1158" s="1" t="s">
        <v>2806</v>
      </c>
      <c r="C1158" s="1" t="s">
        <v>2782</v>
      </c>
      <c r="D1158" s="1" t="s">
        <v>125</v>
      </c>
      <c r="E1158" s="1">
        <v>85254</v>
      </c>
      <c r="F1158" s="1" t="s">
        <v>310</v>
      </c>
      <c r="G1158" s="1" t="s">
        <v>2790</v>
      </c>
      <c r="H1158" s="4" t="s">
        <v>2807</v>
      </c>
      <c r="I1158" s="5" t="s">
        <v>196</v>
      </c>
      <c r="J1158" s="5" t="s">
        <v>37</v>
      </c>
      <c r="K1158" s="5" t="s">
        <v>37</v>
      </c>
      <c r="L1158" s="5" t="s">
        <v>2808</v>
      </c>
      <c r="M1158" s="5" t="s">
        <v>37</v>
      </c>
      <c r="N1158" s="5" t="s">
        <v>37</v>
      </c>
      <c r="O1158" s="5" t="s">
        <v>38</v>
      </c>
      <c r="P1158" s="5" t="s">
        <v>39</v>
      </c>
      <c r="Q1158" s="2">
        <v>45960</v>
      </c>
      <c r="V115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59" spans="1:22" ht="11.45" hidden="1" customHeight="1">
      <c r="A1159" s="2">
        <v>45922</v>
      </c>
      <c r="B1159" s="1" t="s">
        <v>2809</v>
      </c>
      <c r="C1159" s="1" t="s">
        <v>1846</v>
      </c>
      <c r="D1159" s="1" t="s">
        <v>174</v>
      </c>
      <c r="E1159" s="1">
        <v>85326</v>
      </c>
      <c r="F1159" s="1" t="s">
        <v>2810</v>
      </c>
      <c r="G1159" s="1" t="s">
        <v>2790</v>
      </c>
      <c r="H1159" s="4" t="s">
        <v>2811</v>
      </c>
      <c r="I1159" s="5" t="s">
        <v>46</v>
      </c>
      <c r="J1159" s="5" t="s">
        <v>37</v>
      </c>
      <c r="K1159" s="5" t="s">
        <v>37</v>
      </c>
      <c r="L1159" s="7" t="s">
        <v>2812</v>
      </c>
      <c r="M1159" s="5" t="s">
        <v>38</v>
      </c>
      <c r="N1159" s="15">
        <v>333.26</v>
      </c>
      <c r="O1159" s="5" t="s">
        <v>38</v>
      </c>
      <c r="P1159" s="29">
        <v>45940</v>
      </c>
      <c r="Q1159" s="2">
        <v>45960</v>
      </c>
      <c r="R1159" s="1" t="s">
        <v>2661</v>
      </c>
      <c r="V115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0" spans="1:22" ht="11.45" hidden="1" customHeight="1">
      <c r="A1160" s="2">
        <v>45922</v>
      </c>
      <c r="B1160" s="1" t="s">
        <v>2813</v>
      </c>
      <c r="C1160" s="1" t="s">
        <v>1147</v>
      </c>
      <c r="D1160" s="1" t="s">
        <v>1819</v>
      </c>
      <c r="E1160" s="1">
        <v>86327</v>
      </c>
      <c r="F1160" s="1" t="s">
        <v>2814</v>
      </c>
      <c r="G1160" s="1" t="s">
        <v>2790</v>
      </c>
      <c r="H1160" s="4" t="s">
        <v>2815</v>
      </c>
      <c r="I1160" s="5" t="s">
        <v>46</v>
      </c>
      <c r="J1160" s="5" t="s">
        <v>37</v>
      </c>
      <c r="K1160" s="5" t="s">
        <v>37</v>
      </c>
      <c r="L1160" s="5" t="s">
        <v>1435</v>
      </c>
      <c r="M1160" s="5" t="s">
        <v>37</v>
      </c>
      <c r="N1160" s="5" t="s">
        <v>37</v>
      </c>
      <c r="O1160" s="5" t="s">
        <v>38</v>
      </c>
      <c r="P1160" s="5" t="s">
        <v>39</v>
      </c>
      <c r="Q1160" s="2">
        <v>45960</v>
      </c>
      <c r="V116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1" spans="1:22" ht="11.45" hidden="1" customHeight="1">
      <c r="A1161" s="2">
        <v>45922</v>
      </c>
      <c r="B1161" s="1" t="s">
        <v>2816</v>
      </c>
      <c r="C1161" s="1" t="s">
        <v>774</v>
      </c>
      <c r="D1161" s="1" t="s">
        <v>426</v>
      </c>
      <c r="E1161" s="1">
        <v>85335</v>
      </c>
      <c r="F1161" s="1" t="s">
        <v>2817</v>
      </c>
      <c r="G1161" s="1" t="s">
        <v>2790</v>
      </c>
      <c r="H1161" s="4" t="s">
        <v>90</v>
      </c>
      <c r="V116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2" spans="1:22" ht="11.45" hidden="1" customHeight="1">
      <c r="A1162" s="2">
        <v>45922</v>
      </c>
      <c r="B1162" s="1" t="s">
        <v>2818</v>
      </c>
      <c r="C1162" s="1" t="s">
        <v>2819</v>
      </c>
      <c r="D1162" s="1" t="s">
        <v>112</v>
      </c>
      <c r="E1162" s="1">
        <v>85379</v>
      </c>
      <c r="F1162" s="1" t="s">
        <v>2820</v>
      </c>
      <c r="G1162" s="1" t="s">
        <v>2790</v>
      </c>
      <c r="H1162" s="4" t="s">
        <v>6157</v>
      </c>
      <c r="I1162" s="5" t="s">
        <v>250</v>
      </c>
      <c r="J1162" s="5" t="s">
        <v>37</v>
      </c>
      <c r="K1162" s="5" t="s">
        <v>37</v>
      </c>
      <c r="L1162" s="5" t="s">
        <v>38</v>
      </c>
      <c r="M1162" s="5" t="s">
        <v>38</v>
      </c>
      <c r="N1162" s="13">
        <v>309.36</v>
      </c>
      <c r="O1162" s="5" t="s">
        <v>38</v>
      </c>
      <c r="P1162" s="5" t="s">
        <v>39</v>
      </c>
      <c r="Q1162" s="2">
        <v>45960</v>
      </c>
      <c r="V116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3" spans="1:22" ht="11.45" hidden="1" customHeight="1">
      <c r="A1163" s="2">
        <v>45922</v>
      </c>
      <c r="B1163" s="1" t="s">
        <v>2195</v>
      </c>
      <c r="C1163" s="1" t="s">
        <v>117</v>
      </c>
      <c r="D1163" s="1" t="s">
        <v>807</v>
      </c>
      <c r="E1163" s="1">
        <v>86303</v>
      </c>
      <c r="F1163" s="1" t="s">
        <v>2821</v>
      </c>
      <c r="G1163" s="1" t="s">
        <v>2790</v>
      </c>
      <c r="H1163" s="4" t="s">
        <v>6382</v>
      </c>
      <c r="I1163" s="5" t="s">
        <v>73</v>
      </c>
      <c r="J1163" s="5" t="s">
        <v>37</v>
      </c>
      <c r="K1163" s="5" t="s">
        <v>37</v>
      </c>
      <c r="L1163" s="5" t="s">
        <v>38</v>
      </c>
      <c r="M1163" s="5" t="s">
        <v>37</v>
      </c>
      <c r="N1163" s="5" t="s">
        <v>37</v>
      </c>
      <c r="O1163" s="5" t="s">
        <v>38</v>
      </c>
      <c r="P1163" s="5" t="s">
        <v>39</v>
      </c>
      <c r="Q1163" s="2">
        <v>45960</v>
      </c>
      <c r="V116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4" spans="1:22" ht="11.45" hidden="1" customHeight="1">
      <c r="A1164" s="2">
        <v>45922</v>
      </c>
      <c r="B1164" s="1" t="s">
        <v>2822</v>
      </c>
      <c r="C1164" s="1" t="s">
        <v>1176</v>
      </c>
      <c r="D1164" s="1" t="s">
        <v>174</v>
      </c>
      <c r="E1164" s="1">
        <v>85326</v>
      </c>
      <c r="F1164" s="1" t="s">
        <v>2823</v>
      </c>
      <c r="G1164" s="1" t="s">
        <v>2790</v>
      </c>
      <c r="H1164" s="4" t="s">
        <v>6158</v>
      </c>
      <c r="I1164" s="5" t="s">
        <v>36</v>
      </c>
      <c r="J1164" s="5" t="s">
        <v>37</v>
      </c>
      <c r="K1164" s="5" t="s">
        <v>37</v>
      </c>
      <c r="L1164" s="5" t="s">
        <v>38</v>
      </c>
      <c r="M1164" s="5" t="s">
        <v>38</v>
      </c>
      <c r="N1164" s="15">
        <v>1027.99</v>
      </c>
      <c r="O1164" s="5" t="s">
        <v>38</v>
      </c>
      <c r="P1164" s="7"/>
      <c r="Q1164" s="2">
        <v>45960</v>
      </c>
      <c r="R1164" s="1" t="s">
        <v>492</v>
      </c>
      <c r="V116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5" spans="1:22" ht="11.45" hidden="1" customHeight="1">
      <c r="A1165" s="2">
        <v>45922</v>
      </c>
      <c r="B1165" s="1" t="s">
        <v>364</v>
      </c>
      <c r="C1165" s="1" t="s">
        <v>256</v>
      </c>
      <c r="D1165" s="1" t="s">
        <v>174</v>
      </c>
      <c r="E1165" s="1">
        <v>85326</v>
      </c>
      <c r="F1165" s="1" t="s">
        <v>2824</v>
      </c>
      <c r="G1165" s="1" t="s">
        <v>2790</v>
      </c>
      <c r="H1165" s="4" t="s">
        <v>27</v>
      </c>
      <c r="V116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6" spans="1:22" ht="11.45" hidden="1" customHeight="1">
      <c r="A1166" s="2">
        <v>45922</v>
      </c>
      <c r="B1166" s="1" t="s">
        <v>2825</v>
      </c>
      <c r="C1166" s="1" t="s">
        <v>621</v>
      </c>
      <c r="D1166" s="1" t="s">
        <v>174</v>
      </c>
      <c r="E1166" s="1">
        <v>85326</v>
      </c>
      <c r="F1166" s="1" t="s">
        <v>2826</v>
      </c>
      <c r="G1166" s="1" t="s">
        <v>2790</v>
      </c>
      <c r="H1166" s="4" t="s">
        <v>27</v>
      </c>
      <c r="V116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7" spans="1:22" ht="11.45" hidden="1" customHeight="1">
      <c r="A1167" s="2">
        <v>45922</v>
      </c>
      <c r="B1167" s="1" t="s">
        <v>2827</v>
      </c>
      <c r="C1167" s="1" t="s">
        <v>2828</v>
      </c>
      <c r="D1167" s="1" t="s">
        <v>112</v>
      </c>
      <c r="E1167" s="1">
        <v>85387</v>
      </c>
      <c r="F1167" s="1" t="s">
        <v>2829</v>
      </c>
      <c r="G1167" s="1" t="s">
        <v>2790</v>
      </c>
      <c r="H1167" s="4" t="s">
        <v>6383</v>
      </c>
      <c r="I1167" s="5" t="s">
        <v>36</v>
      </c>
      <c r="J1167" s="5" t="s">
        <v>37</v>
      </c>
      <c r="K1167" s="5" t="s">
        <v>37</v>
      </c>
      <c r="L1167" s="5" t="s">
        <v>38</v>
      </c>
      <c r="M1167" s="5" t="s">
        <v>37</v>
      </c>
      <c r="N1167" s="5" t="s">
        <v>37</v>
      </c>
      <c r="O1167" s="5" t="s">
        <v>38</v>
      </c>
      <c r="P1167" s="5" t="s">
        <v>39</v>
      </c>
      <c r="Q1167" s="2">
        <v>45960</v>
      </c>
      <c r="V116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8" spans="1:22" ht="11.45" hidden="1" customHeight="1">
      <c r="A1168" s="2">
        <v>45922</v>
      </c>
      <c r="B1168" s="1" t="s">
        <v>2830</v>
      </c>
      <c r="C1168" s="1" t="s">
        <v>1824</v>
      </c>
      <c r="D1168" s="1" t="s">
        <v>695</v>
      </c>
      <c r="E1168" s="1">
        <v>85375</v>
      </c>
      <c r="F1168" s="1" t="s">
        <v>2831</v>
      </c>
      <c r="G1168" s="1" t="s">
        <v>2832</v>
      </c>
      <c r="H1168" s="4" t="s">
        <v>27</v>
      </c>
      <c r="V116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69" spans="1:22" ht="11.45" hidden="1" customHeight="1">
      <c r="A1169" s="2">
        <v>45922</v>
      </c>
      <c r="B1169" s="1" t="s">
        <v>2833</v>
      </c>
      <c r="C1169" s="1" t="s">
        <v>2834</v>
      </c>
      <c r="D1169" s="1" t="s">
        <v>174</v>
      </c>
      <c r="E1169" s="1">
        <v>85326</v>
      </c>
      <c r="F1169" s="1" t="s">
        <v>2829</v>
      </c>
      <c r="G1169" s="1" t="s">
        <v>2832</v>
      </c>
      <c r="H1169" s="4" t="s">
        <v>6159</v>
      </c>
      <c r="I1169" s="5" t="s">
        <v>36</v>
      </c>
      <c r="J1169" s="5" t="s">
        <v>38</v>
      </c>
      <c r="K1169" s="5" t="s">
        <v>37</v>
      </c>
      <c r="L1169" s="5" t="s">
        <v>38</v>
      </c>
      <c r="M1169" s="5" t="s">
        <v>38</v>
      </c>
      <c r="N1169" s="15">
        <v>771.64</v>
      </c>
      <c r="O1169" s="5" t="s">
        <v>38</v>
      </c>
      <c r="P1169" s="7"/>
      <c r="Q1169" s="2">
        <v>45960</v>
      </c>
      <c r="R1169" s="1" t="s">
        <v>492</v>
      </c>
      <c r="V116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0" spans="1:22" ht="11.45" hidden="1" customHeight="1">
      <c r="A1170" s="2">
        <v>45922</v>
      </c>
      <c r="B1170" s="1" t="s">
        <v>2835</v>
      </c>
      <c r="C1170" s="1" t="s">
        <v>2836</v>
      </c>
      <c r="D1170" s="1" t="s">
        <v>63</v>
      </c>
      <c r="E1170" s="1">
        <v>85022</v>
      </c>
      <c r="F1170" s="1" t="s">
        <v>2837</v>
      </c>
      <c r="G1170" s="1" t="s">
        <v>2838</v>
      </c>
      <c r="H1170" s="4" t="s">
        <v>6384</v>
      </c>
      <c r="I1170" s="5" t="s">
        <v>126</v>
      </c>
      <c r="J1170" s="5" t="s">
        <v>38</v>
      </c>
      <c r="K1170" s="5" t="s">
        <v>37</v>
      </c>
      <c r="L1170" s="5" t="s">
        <v>38</v>
      </c>
      <c r="M1170" s="5" t="s">
        <v>37</v>
      </c>
      <c r="N1170" s="5" t="s">
        <v>37</v>
      </c>
      <c r="O1170" s="5" t="s">
        <v>38</v>
      </c>
      <c r="P1170" s="5" t="s">
        <v>39</v>
      </c>
      <c r="Q1170" s="2">
        <v>45960</v>
      </c>
      <c r="V117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1" spans="1:22" ht="11.45" hidden="1" customHeight="1">
      <c r="A1171" s="2">
        <v>45923</v>
      </c>
      <c r="B1171" s="1" t="s">
        <v>2839</v>
      </c>
      <c r="C1171" s="1" t="s">
        <v>2840</v>
      </c>
      <c r="D1171" s="1" t="s">
        <v>174</v>
      </c>
      <c r="E1171" s="1">
        <v>85326</v>
      </c>
      <c r="F1171" s="1" t="s">
        <v>2841</v>
      </c>
      <c r="G1171" s="1" t="s">
        <v>2832</v>
      </c>
      <c r="H1171" s="4" t="s">
        <v>6095</v>
      </c>
      <c r="I1171" s="5" t="s">
        <v>196</v>
      </c>
      <c r="J1171" s="5" t="s">
        <v>37</v>
      </c>
      <c r="K1171" s="5" t="s">
        <v>37</v>
      </c>
      <c r="L1171" s="7" t="s">
        <v>2842</v>
      </c>
      <c r="M1171" s="5" t="s">
        <v>37</v>
      </c>
      <c r="N1171" s="5" t="s">
        <v>37</v>
      </c>
      <c r="O1171" s="5" t="s">
        <v>38</v>
      </c>
      <c r="P1171" s="2">
        <v>45940</v>
      </c>
      <c r="Q1171" s="2">
        <v>45960</v>
      </c>
      <c r="R1171" s="1" t="s">
        <v>2843</v>
      </c>
      <c r="V117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2" spans="1:22" ht="11.45" hidden="1" customHeight="1">
      <c r="A1172" s="2">
        <v>45923</v>
      </c>
      <c r="B1172" s="1" t="s">
        <v>2844</v>
      </c>
      <c r="C1172" s="1" t="s">
        <v>284</v>
      </c>
      <c r="D1172" s="1" t="s">
        <v>174</v>
      </c>
      <c r="E1172" s="1">
        <v>85326</v>
      </c>
      <c r="F1172" s="1" t="s">
        <v>2845</v>
      </c>
      <c r="G1172" s="1" t="s">
        <v>2832</v>
      </c>
      <c r="H1172" s="4" t="s">
        <v>6385</v>
      </c>
      <c r="I1172" s="5" t="s">
        <v>46</v>
      </c>
      <c r="J1172" s="5" t="s">
        <v>37</v>
      </c>
      <c r="K1172" s="5" t="s">
        <v>37</v>
      </c>
      <c r="L1172" s="5" t="s">
        <v>38</v>
      </c>
      <c r="M1172" s="5" t="s">
        <v>37</v>
      </c>
      <c r="N1172" s="5" t="s">
        <v>37</v>
      </c>
      <c r="O1172" s="5" t="s">
        <v>38</v>
      </c>
      <c r="P1172" s="5" t="s">
        <v>39</v>
      </c>
      <c r="Q1172" s="2">
        <v>45960</v>
      </c>
      <c r="V117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3" spans="1:22" ht="11.45" hidden="1" customHeight="1">
      <c r="A1173" s="2">
        <v>45923</v>
      </c>
      <c r="B1173" s="1" t="s">
        <v>2846</v>
      </c>
      <c r="C1173" s="1" t="s">
        <v>1473</v>
      </c>
      <c r="D1173" s="1" t="s">
        <v>169</v>
      </c>
      <c r="E1173" s="1">
        <v>85338</v>
      </c>
      <c r="F1173" s="1" t="s">
        <v>2847</v>
      </c>
      <c r="G1173" s="1" t="s">
        <v>2832</v>
      </c>
      <c r="H1173" s="4" t="s">
        <v>27</v>
      </c>
      <c r="V117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4" spans="1:22" ht="11.45" hidden="1" customHeight="1">
      <c r="A1174" s="2">
        <v>45923</v>
      </c>
      <c r="B1174" s="1" t="s">
        <v>2848</v>
      </c>
      <c r="C1174" s="1" t="s">
        <v>2849</v>
      </c>
      <c r="D1174" s="1" t="s">
        <v>63</v>
      </c>
      <c r="E1174" s="1">
        <v>85022</v>
      </c>
      <c r="F1174" s="1" t="s">
        <v>2850</v>
      </c>
      <c r="G1174" s="1" t="s">
        <v>2832</v>
      </c>
      <c r="H1174" s="21" t="s">
        <v>6732</v>
      </c>
      <c r="I1174" s="5" t="s">
        <v>36</v>
      </c>
      <c r="J1174" s="5" t="s">
        <v>37</v>
      </c>
      <c r="K1174" s="5" t="s">
        <v>37</v>
      </c>
      <c r="L1174" s="5" t="s">
        <v>38</v>
      </c>
      <c r="M1174" s="5" t="s">
        <v>38</v>
      </c>
      <c r="N1174" s="15">
        <v>1080.4000000000001</v>
      </c>
      <c r="O1174" s="5" t="s">
        <v>38</v>
      </c>
      <c r="Q1174" s="2">
        <v>45960</v>
      </c>
      <c r="R1174" s="1" t="s">
        <v>492</v>
      </c>
      <c r="V117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5" spans="1:22" ht="11.45" hidden="1" customHeight="1">
      <c r="A1175" s="2">
        <v>45923</v>
      </c>
      <c r="B1175" s="1" t="s">
        <v>2851</v>
      </c>
      <c r="C1175" s="1" t="s">
        <v>2852</v>
      </c>
      <c r="D1175" s="1" t="s">
        <v>426</v>
      </c>
      <c r="E1175" s="1">
        <v>85335</v>
      </c>
      <c r="F1175" s="1" t="s">
        <v>2853</v>
      </c>
      <c r="G1175" s="1" t="s">
        <v>2854</v>
      </c>
      <c r="H1175" s="4" t="s">
        <v>27</v>
      </c>
      <c r="V117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6" spans="1:22" ht="11.45" hidden="1" customHeight="1">
      <c r="A1176" s="2">
        <v>45923</v>
      </c>
      <c r="B1176" s="1" t="s">
        <v>891</v>
      </c>
      <c r="C1176" s="1" t="s">
        <v>263</v>
      </c>
      <c r="D1176" s="1" t="s">
        <v>240</v>
      </c>
      <c r="E1176" s="1">
        <v>85340</v>
      </c>
      <c r="F1176" s="1" t="s">
        <v>2855</v>
      </c>
      <c r="G1176" s="1" t="s">
        <v>2832</v>
      </c>
      <c r="H1176" s="4" t="s">
        <v>6386</v>
      </c>
      <c r="I1176" s="5" t="s">
        <v>36</v>
      </c>
      <c r="J1176" s="5" t="s">
        <v>37</v>
      </c>
      <c r="K1176" s="5" t="s">
        <v>37</v>
      </c>
      <c r="L1176" s="5" t="s">
        <v>38</v>
      </c>
      <c r="M1176" s="5" t="s">
        <v>37</v>
      </c>
      <c r="N1176" s="5" t="s">
        <v>37</v>
      </c>
      <c r="O1176" s="5" t="s">
        <v>38</v>
      </c>
      <c r="P1176" s="5" t="s">
        <v>39</v>
      </c>
      <c r="Q1176" s="2">
        <v>45960</v>
      </c>
      <c r="V117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7" spans="1:22" ht="11.45" hidden="1" customHeight="1">
      <c r="A1177" s="2">
        <v>45924</v>
      </c>
      <c r="B1177" s="1" t="s">
        <v>2753</v>
      </c>
      <c r="C1177" s="1" t="s">
        <v>2754</v>
      </c>
      <c r="D1177" s="1" t="s">
        <v>63</v>
      </c>
      <c r="E1177" s="1">
        <v>85013</v>
      </c>
      <c r="F1177" s="1" t="s">
        <v>2856</v>
      </c>
      <c r="G1177" s="1" t="s">
        <v>2857</v>
      </c>
      <c r="H1177" s="4" t="s">
        <v>2756</v>
      </c>
      <c r="I1177" s="5" t="s">
        <v>36</v>
      </c>
      <c r="J1177" s="5" t="s">
        <v>37</v>
      </c>
      <c r="K1177" s="5" t="s">
        <v>37</v>
      </c>
      <c r="L1177" s="5" t="s">
        <v>38</v>
      </c>
      <c r="M1177" s="5" t="s">
        <v>37</v>
      </c>
      <c r="N1177" s="5" t="s">
        <v>37</v>
      </c>
      <c r="O1177" s="5" t="s">
        <v>38</v>
      </c>
      <c r="P1177" s="5" t="s">
        <v>39</v>
      </c>
      <c r="Q1177" s="2">
        <v>45960</v>
      </c>
      <c r="R1177" s="1" t="s">
        <v>2148</v>
      </c>
      <c r="V117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8" spans="1:22" ht="11.45" hidden="1" customHeight="1">
      <c r="A1178" s="2">
        <v>44098</v>
      </c>
      <c r="B1178" s="1" t="s">
        <v>2858</v>
      </c>
      <c r="C1178" s="1" t="s">
        <v>2859</v>
      </c>
      <c r="D1178" s="1" t="s">
        <v>2860</v>
      </c>
      <c r="E1178" s="1">
        <v>86322</v>
      </c>
      <c r="F1178" s="1" t="s">
        <v>2861</v>
      </c>
      <c r="G1178" s="1" t="s">
        <v>2857</v>
      </c>
      <c r="H1178" s="21" t="s">
        <v>6733</v>
      </c>
      <c r="I1178" s="5" t="s">
        <v>57</v>
      </c>
      <c r="J1178" s="5" t="s">
        <v>37</v>
      </c>
      <c r="K1178" s="5" t="s">
        <v>37</v>
      </c>
      <c r="L1178" s="7" t="s">
        <v>2862</v>
      </c>
      <c r="M1178" s="5" t="s">
        <v>37</v>
      </c>
      <c r="N1178" s="5" t="s">
        <v>37</v>
      </c>
      <c r="O1178" s="5" t="s">
        <v>38</v>
      </c>
      <c r="P1178" s="2">
        <v>45940</v>
      </c>
      <c r="Q1178" s="2">
        <v>45960</v>
      </c>
      <c r="R1178" s="1" t="s">
        <v>2661</v>
      </c>
      <c r="V117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79" spans="1:22" ht="11.45" hidden="1" customHeight="1">
      <c r="A1179" s="2">
        <v>45924</v>
      </c>
      <c r="B1179" s="1" t="s">
        <v>2863</v>
      </c>
      <c r="C1179" s="1" t="s">
        <v>2555</v>
      </c>
      <c r="D1179" s="1" t="s">
        <v>112</v>
      </c>
      <c r="E1179" s="1">
        <v>85387</v>
      </c>
      <c r="F1179" s="1" t="s">
        <v>2864</v>
      </c>
      <c r="G1179" s="1" t="s">
        <v>2857</v>
      </c>
      <c r="H1179" s="4" t="s">
        <v>209</v>
      </c>
      <c r="V117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0" spans="1:22" ht="11.45" hidden="1" customHeight="1">
      <c r="A1180" s="2">
        <v>45925</v>
      </c>
      <c r="B1180" s="1" t="s">
        <v>2865</v>
      </c>
      <c r="C1180" s="1" t="s">
        <v>135</v>
      </c>
      <c r="D1180" s="1" t="s">
        <v>264</v>
      </c>
      <c r="E1180" s="1">
        <v>85541</v>
      </c>
      <c r="F1180" s="1" t="s">
        <v>2866</v>
      </c>
      <c r="G1180" s="1" t="s">
        <v>2857</v>
      </c>
      <c r="H1180" s="4" t="s">
        <v>6387</v>
      </c>
      <c r="I1180" s="5" t="s">
        <v>73</v>
      </c>
      <c r="J1180" s="5" t="s">
        <v>37</v>
      </c>
      <c r="K1180" s="5" t="s">
        <v>37</v>
      </c>
      <c r="L1180" s="5" t="s">
        <v>38</v>
      </c>
      <c r="M1180" s="5" t="s">
        <v>37</v>
      </c>
      <c r="N1180" s="5" t="s">
        <v>37</v>
      </c>
      <c r="O1180" s="5" t="s">
        <v>38</v>
      </c>
      <c r="P1180" s="5" t="s">
        <v>39</v>
      </c>
      <c r="Q1180" s="2">
        <v>45960</v>
      </c>
      <c r="V118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1" spans="1:22" ht="11.45" hidden="1" customHeight="1">
      <c r="A1181" s="2">
        <v>45925</v>
      </c>
      <c r="B1181" s="1" t="s">
        <v>2867</v>
      </c>
      <c r="C1181" s="1" t="s">
        <v>145</v>
      </c>
      <c r="D1181" s="1" t="s">
        <v>63</v>
      </c>
      <c r="E1181" s="1">
        <v>85032</v>
      </c>
      <c r="F1181" s="1" t="s">
        <v>2868</v>
      </c>
      <c r="G1181" s="1" t="s">
        <v>2857</v>
      </c>
      <c r="H1181" s="4" t="s">
        <v>6388</v>
      </c>
      <c r="I1181" s="5" t="s">
        <v>1507</v>
      </c>
      <c r="J1181" s="5" t="s">
        <v>37</v>
      </c>
      <c r="K1181" s="5" t="s">
        <v>37</v>
      </c>
      <c r="L1181" s="5" t="s">
        <v>38</v>
      </c>
      <c r="M1181" s="5" t="s">
        <v>37</v>
      </c>
      <c r="N1181" s="5" t="s">
        <v>37</v>
      </c>
      <c r="O1181" s="5" t="s">
        <v>38</v>
      </c>
      <c r="P1181" s="5" t="s">
        <v>39</v>
      </c>
      <c r="Q1181" s="2">
        <v>45960</v>
      </c>
      <c r="R1181" s="30" t="s">
        <v>2869</v>
      </c>
      <c r="V118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2" spans="1:22" ht="11.45" hidden="1" customHeight="1">
      <c r="A1182" s="2">
        <v>45925</v>
      </c>
      <c r="B1182" s="1" t="s">
        <v>2870</v>
      </c>
      <c r="C1182" s="1" t="s">
        <v>594</v>
      </c>
      <c r="D1182" s="1" t="s">
        <v>807</v>
      </c>
      <c r="E1182" s="1">
        <v>86301</v>
      </c>
      <c r="F1182" s="1" t="s">
        <v>2871</v>
      </c>
      <c r="G1182" s="1" t="s">
        <v>2857</v>
      </c>
      <c r="H1182" s="21" t="s">
        <v>6734</v>
      </c>
      <c r="I1182" s="5" t="s">
        <v>46</v>
      </c>
      <c r="J1182" s="5" t="s">
        <v>37</v>
      </c>
      <c r="K1182" s="5" t="s">
        <v>37</v>
      </c>
      <c r="L1182" s="5" t="s">
        <v>38</v>
      </c>
      <c r="M1182" s="5" t="s">
        <v>37</v>
      </c>
      <c r="N1182" s="5" t="s">
        <v>37</v>
      </c>
      <c r="O1182" s="5" t="s">
        <v>38</v>
      </c>
      <c r="P1182" s="5" t="s">
        <v>39</v>
      </c>
      <c r="Q1182" s="2">
        <v>45960</v>
      </c>
      <c r="V118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3" spans="1:22" ht="11.45" hidden="1" customHeight="1">
      <c r="A1183" s="2">
        <v>45926</v>
      </c>
      <c r="B1183" s="1" t="s">
        <v>2872</v>
      </c>
      <c r="C1183" s="1" t="s">
        <v>435</v>
      </c>
      <c r="D1183" s="1" t="s">
        <v>85</v>
      </c>
      <c r="E1183" s="1">
        <v>86323</v>
      </c>
      <c r="F1183" s="1" t="s">
        <v>2873</v>
      </c>
      <c r="G1183" s="1" t="s">
        <v>2874</v>
      </c>
      <c r="H1183" s="21" t="s">
        <v>6389</v>
      </c>
      <c r="I1183" s="5" t="s">
        <v>126</v>
      </c>
      <c r="J1183" s="5" t="s">
        <v>37</v>
      </c>
      <c r="K1183" s="5" t="s">
        <v>37</v>
      </c>
      <c r="L1183" s="5" t="s">
        <v>38</v>
      </c>
      <c r="M1183" s="5" t="s">
        <v>37</v>
      </c>
      <c r="N1183" s="5" t="s">
        <v>37</v>
      </c>
      <c r="O1183" s="5" t="s">
        <v>38</v>
      </c>
      <c r="P1183" s="5" t="s">
        <v>39</v>
      </c>
      <c r="Q1183" s="2">
        <v>45960</v>
      </c>
      <c r="V118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4" spans="1:22" ht="11.45" hidden="1" customHeight="1">
      <c r="A1184" s="2">
        <v>45926</v>
      </c>
      <c r="B1184" s="1" t="s">
        <v>246</v>
      </c>
      <c r="C1184" s="1" t="s">
        <v>2875</v>
      </c>
      <c r="D1184" s="1" t="s">
        <v>93</v>
      </c>
      <c r="E1184" s="1">
        <v>85351</v>
      </c>
      <c r="F1184" s="1" t="s">
        <v>2876</v>
      </c>
      <c r="G1184" s="1" t="s">
        <v>2877</v>
      </c>
      <c r="H1184" s="4" t="s">
        <v>27</v>
      </c>
      <c r="V118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5" spans="1:22" ht="11.45" hidden="1" customHeight="1">
      <c r="A1185" s="2">
        <v>45926</v>
      </c>
      <c r="B1185" s="1" t="s">
        <v>2878</v>
      </c>
      <c r="C1185" s="1" t="s">
        <v>1566</v>
      </c>
      <c r="D1185" s="1" t="s">
        <v>240</v>
      </c>
      <c r="E1185" s="1">
        <v>85340</v>
      </c>
      <c r="F1185" s="1" t="s">
        <v>2879</v>
      </c>
      <c r="G1185" s="1" t="s">
        <v>2874</v>
      </c>
      <c r="H1185" s="4" t="s">
        <v>6390</v>
      </c>
      <c r="I1185" s="5" t="s">
        <v>36</v>
      </c>
      <c r="J1185" s="5" t="s">
        <v>37</v>
      </c>
      <c r="K1185" s="5" t="s">
        <v>37</v>
      </c>
      <c r="L1185" s="5" t="s">
        <v>38</v>
      </c>
      <c r="M1185" s="5" t="s">
        <v>37</v>
      </c>
      <c r="N1185" s="5" t="s">
        <v>37</v>
      </c>
      <c r="O1185" s="5" t="s">
        <v>38</v>
      </c>
      <c r="P1185" s="5" t="s">
        <v>39</v>
      </c>
      <c r="Q1185" s="2">
        <v>45960</v>
      </c>
      <c r="V118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6" spans="1:22" ht="11.45" hidden="1" customHeight="1">
      <c r="A1186" s="2">
        <v>45927</v>
      </c>
      <c r="B1186" s="1" t="s">
        <v>2035</v>
      </c>
      <c r="C1186" s="1" t="s">
        <v>2538</v>
      </c>
      <c r="D1186" s="1" t="s">
        <v>24</v>
      </c>
      <c r="E1186" s="1">
        <v>85308</v>
      </c>
      <c r="F1186" s="1" t="s">
        <v>2880</v>
      </c>
      <c r="G1186" s="1" t="s">
        <v>2881</v>
      </c>
      <c r="H1186" s="4" t="s">
        <v>209</v>
      </c>
      <c r="V118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7" spans="1:22" ht="11.45" hidden="1" customHeight="1">
      <c r="A1187" s="2">
        <v>45928</v>
      </c>
      <c r="B1187" s="1" t="s">
        <v>2882</v>
      </c>
      <c r="C1187" s="1" t="s">
        <v>553</v>
      </c>
      <c r="D1187" s="1" t="s">
        <v>616</v>
      </c>
      <c r="E1187" s="1">
        <v>85367</v>
      </c>
      <c r="F1187" s="1" t="s">
        <v>2883</v>
      </c>
      <c r="G1187" s="1" t="s">
        <v>2881</v>
      </c>
      <c r="H1187" s="4" t="s">
        <v>6391</v>
      </c>
      <c r="I1187" s="5" t="s">
        <v>36</v>
      </c>
      <c r="J1187" s="5" t="s">
        <v>37</v>
      </c>
      <c r="K1187" s="5" t="s">
        <v>37</v>
      </c>
      <c r="L1187" s="5" t="s">
        <v>38</v>
      </c>
      <c r="M1187" s="5" t="s">
        <v>37</v>
      </c>
      <c r="N1187" s="5" t="s">
        <v>37</v>
      </c>
      <c r="O1187" s="5" t="s">
        <v>38</v>
      </c>
      <c r="P1187" s="5" t="s">
        <v>39</v>
      </c>
      <c r="Q1187" s="2">
        <v>45960</v>
      </c>
      <c r="V118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8" spans="1:22" ht="11.45" hidden="1" customHeight="1">
      <c r="A1188" s="2">
        <v>45928</v>
      </c>
      <c r="B1188" s="1" t="s">
        <v>2884</v>
      </c>
      <c r="C1188" s="1" t="s">
        <v>2885</v>
      </c>
      <c r="D1188" s="1" t="s">
        <v>24</v>
      </c>
      <c r="E1188" s="1">
        <v>85310</v>
      </c>
      <c r="F1188" s="1" t="s">
        <v>2886</v>
      </c>
      <c r="G1188" s="1" t="s">
        <v>2881</v>
      </c>
      <c r="H1188" s="4" t="s">
        <v>6160</v>
      </c>
      <c r="I1188" s="5" t="s">
        <v>538</v>
      </c>
      <c r="J1188" s="5" t="s">
        <v>37</v>
      </c>
      <c r="K1188" s="5" t="s">
        <v>37</v>
      </c>
      <c r="L1188" s="5" t="s">
        <v>387</v>
      </c>
      <c r="M1188" s="5" t="s">
        <v>38</v>
      </c>
      <c r="N1188" s="13">
        <v>368.4</v>
      </c>
      <c r="O1188" s="5" t="s">
        <v>38</v>
      </c>
      <c r="P1188" s="5" t="s">
        <v>39</v>
      </c>
      <c r="Q1188" s="2">
        <v>45960</v>
      </c>
      <c r="V118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89" spans="1:22" ht="11.45" hidden="1" customHeight="1">
      <c r="A1189" s="2">
        <v>45929</v>
      </c>
      <c r="B1189" s="1" t="s">
        <v>2887</v>
      </c>
      <c r="C1189" s="1" t="s">
        <v>1287</v>
      </c>
      <c r="D1189" s="1" t="s">
        <v>63</v>
      </c>
      <c r="E1189" s="1">
        <v>85086</v>
      </c>
      <c r="F1189" s="1" t="s">
        <v>2888</v>
      </c>
      <c r="G1189" s="1" t="s">
        <v>2881</v>
      </c>
      <c r="H1189" s="4" t="s">
        <v>27</v>
      </c>
      <c r="V1189"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0" spans="1:22" ht="11.45" hidden="1" customHeight="1">
      <c r="A1190" s="2">
        <v>45929</v>
      </c>
      <c r="B1190" s="1" t="s">
        <v>2889</v>
      </c>
      <c r="C1190" s="1" t="s">
        <v>2890</v>
      </c>
      <c r="D1190" s="1" t="s">
        <v>63</v>
      </c>
      <c r="E1190" s="1">
        <v>85050</v>
      </c>
      <c r="F1190" s="1" t="s">
        <v>2891</v>
      </c>
      <c r="G1190" s="1" t="s">
        <v>2881</v>
      </c>
      <c r="H1190" s="21" t="s">
        <v>6735</v>
      </c>
      <c r="I1190" s="5" t="s">
        <v>36</v>
      </c>
      <c r="J1190" s="5" t="s">
        <v>37</v>
      </c>
      <c r="K1190" s="5" t="s">
        <v>37</v>
      </c>
      <c r="L1190" s="5" t="s">
        <v>38</v>
      </c>
      <c r="M1190" s="5" t="s">
        <v>37</v>
      </c>
      <c r="N1190" s="5" t="s">
        <v>37</v>
      </c>
      <c r="O1190" s="5" t="s">
        <v>38</v>
      </c>
      <c r="P1190" s="5" t="s">
        <v>39</v>
      </c>
      <c r="Q1190" s="2">
        <v>45960</v>
      </c>
      <c r="V1190"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1" spans="1:22" ht="11.45" hidden="1" customHeight="1">
      <c r="A1191" s="2">
        <v>45930</v>
      </c>
      <c r="B1191" s="1" t="s">
        <v>2892</v>
      </c>
      <c r="C1191" s="1" t="s">
        <v>2893</v>
      </c>
      <c r="D1191" s="1" t="s">
        <v>112</v>
      </c>
      <c r="E1191" s="1">
        <v>85379</v>
      </c>
      <c r="F1191" s="1" t="s">
        <v>2894</v>
      </c>
      <c r="G1191" s="1" t="s">
        <v>2895</v>
      </c>
      <c r="H1191" s="4" t="s">
        <v>716</v>
      </c>
      <c r="I1191" s="5" t="s">
        <v>243</v>
      </c>
      <c r="J1191" s="5" t="s">
        <v>37</v>
      </c>
      <c r="K1191" s="5" t="s">
        <v>37</v>
      </c>
      <c r="L1191" s="5" t="s">
        <v>387</v>
      </c>
      <c r="M1191" s="5" t="s">
        <v>37</v>
      </c>
      <c r="N1191" s="5" t="s">
        <v>37</v>
      </c>
      <c r="O1191" s="5" t="s">
        <v>38</v>
      </c>
      <c r="P1191" s="5" t="s">
        <v>39</v>
      </c>
      <c r="Q1191" s="2">
        <v>45960</v>
      </c>
      <c r="V1191"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2" spans="1:22" ht="11.45" hidden="1" customHeight="1">
      <c r="A1192" s="2">
        <v>45930</v>
      </c>
      <c r="B1192" s="1" t="s">
        <v>2896</v>
      </c>
      <c r="C1192" s="1" t="s">
        <v>1007</v>
      </c>
      <c r="D1192" s="1" t="s">
        <v>125</v>
      </c>
      <c r="E1192" s="1">
        <v>85266</v>
      </c>
      <c r="F1192" s="1" t="s">
        <v>2897</v>
      </c>
      <c r="G1192" s="1" t="s">
        <v>2895</v>
      </c>
      <c r="H1192" s="4" t="s">
        <v>6392</v>
      </c>
      <c r="I1192" s="5" t="s">
        <v>36</v>
      </c>
      <c r="J1192" s="5" t="s">
        <v>37</v>
      </c>
      <c r="K1192" s="5" t="s">
        <v>37</v>
      </c>
      <c r="L1192" s="5" t="s">
        <v>38</v>
      </c>
      <c r="M1192" s="5" t="s">
        <v>37</v>
      </c>
      <c r="N1192" s="5" t="s">
        <v>37</v>
      </c>
      <c r="O1192" s="5" t="s">
        <v>38</v>
      </c>
      <c r="P1192" s="5" t="s">
        <v>39</v>
      </c>
      <c r="Q1192" s="2">
        <v>45960</v>
      </c>
      <c r="V1192"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3" spans="1:22" ht="11.45" hidden="1" customHeight="1">
      <c r="A1193" s="2">
        <v>45930</v>
      </c>
      <c r="B1193" s="1" t="s">
        <v>1149</v>
      </c>
      <c r="C1193" s="1" t="s">
        <v>124</v>
      </c>
      <c r="D1193" s="1" t="s">
        <v>93</v>
      </c>
      <c r="E1193" s="1">
        <v>85351</v>
      </c>
      <c r="F1193" s="1" t="s">
        <v>2898</v>
      </c>
      <c r="G1193" s="1" t="s">
        <v>2895</v>
      </c>
      <c r="H1193" s="4" t="s">
        <v>6393</v>
      </c>
      <c r="I1193" s="5" t="s">
        <v>250</v>
      </c>
      <c r="J1193" s="5" t="s">
        <v>37</v>
      </c>
      <c r="K1193" s="5" t="s">
        <v>37</v>
      </c>
      <c r="L1193" s="5" t="s">
        <v>38</v>
      </c>
      <c r="M1193" s="5" t="s">
        <v>37</v>
      </c>
      <c r="N1193" s="5" t="s">
        <v>37</v>
      </c>
      <c r="O1193" s="5" t="s">
        <v>38</v>
      </c>
      <c r="P1193" s="5" t="s">
        <v>39</v>
      </c>
      <c r="Q1193" s="2">
        <v>45960</v>
      </c>
      <c r="R1193" s="1" t="s">
        <v>2899</v>
      </c>
      <c r="V1193"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4" spans="1:22" ht="11.45" hidden="1" customHeight="1">
      <c r="A1194" s="2">
        <v>45930</v>
      </c>
      <c r="B1194" s="1" t="s">
        <v>2900</v>
      </c>
      <c r="C1194" s="1" t="s">
        <v>284</v>
      </c>
      <c r="D1194" s="1" t="s">
        <v>1819</v>
      </c>
      <c r="E1194" s="1">
        <v>86327</v>
      </c>
      <c r="F1194" s="1" t="s">
        <v>2901</v>
      </c>
      <c r="G1194" s="1" t="s">
        <v>2895</v>
      </c>
      <c r="H1194" s="4" t="s">
        <v>6096</v>
      </c>
      <c r="I1194" s="5" t="s">
        <v>73</v>
      </c>
      <c r="J1194" s="5" t="s">
        <v>37</v>
      </c>
      <c r="K1194" s="5" t="s">
        <v>37</v>
      </c>
      <c r="L1194" s="5" t="s">
        <v>2902</v>
      </c>
      <c r="M1194" s="5" t="s">
        <v>37</v>
      </c>
      <c r="N1194" s="5" t="s">
        <v>37</v>
      </c>
      <c r="O1194" s="5" t="s">
        <v>38</v>
      </c>
      <c r="P1194" s="5" t="s">
        <v>39</v>
      </c>
      <c r="Q1194" s="2">
        <v>45960</v>
      </c>
      <c r="R1194" s="1" t="s">
        <v>2903</v>
      </c>
      <c r="V1194"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5" spans="1:22" ht="11.25" hidden="1" customHeight="1">
      <c r="A1195" s="2">
        <v>45930</v>
      </c>
      <c r="B1195" s="1" t="s">
        <v>2904</v>
      </c>
      <c r="C1195" s="1" t="s">
        <v>2905</v>
      </c>
      <c r="D1195" s="1" t="s">
        <v>202</v>
      </c>
      <c r="E1195" s="1">
        <v>85345</v>
      </c>
      <c r="F1195" s="1" t="s">
        <v>310</v>
      </c>
      <c r="G1195" s="1" t="s">
        <v>2895</v>
      </c>
      <c r="H1195" s="4" t="s">
        <v>6097</v>
      </c>
      <c r="I1195" s="5" t="s">
        <v>196</v>
      </c>
      <c r="J1195" s="5" t="s">
        <v>37</v>
      </c>
      <c r="K1195" s="5" t="s">
        <v>37</v>
      </c>
      <c r="L1195" s="7" t="s">
        <v>2906</v>
      </c>
      <c r="M1195" s="5" t="s">
        <v>37</v>
      </c>
      <c r="N1195" s="5" t="s">
        <v>37</v>
      </c>
      <c r="O1195" s="5" t="s">
        <v>38</v>
      </c>
      <c r="P1195" s="2">
        <v>45940</v>
      </c>
      <c r="Q1195" s="2">
        <v>45960</v>
      </c>
      <c r="R1195" s="1" t="s">
        <v>2907</v>
      </c>
      <c r="V1195"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6" spans="1:22" ht="13.5" hidden="1" customHeight="1">
      <c r="A1196" s="2">
        <v>45930</v>
      </c>
      <c r="B1196" s="1" t="s">
        <v>2908</v>
      </c>
      <c r="C1196" s="1" t="s">
        <v>1935</v>
      </c>
      <c r="D1196" s="1" t="s">
        <v>169</v>
      </c>
      <c r="E1196" s="1">
        <v>85395</v>
      </c>
      <c r="F1196" s="1" t="s">
        <v>2909</v>
      </c>
      <c r="G1196" s="1" t="s">
        <v>2895</v>
      </c>
      <c r="H1196" s="4" t="s">
        <v>6098</v>
      </c>
      <c r="I1196" s="5" t="s">
        <v>46</v>
      </c>
      <c r="J1196" s="5" t="s">
        <v>37</v>
      </c>
      <c r="K1196" s="5" t="s">
        <v>37</v>
      </c>
      <c r="L1196" s="5" t="s">
        <v>2910</v>
      </c>
      <c r="M1196" s="5" t="s">
        <v>37</v>
      </c>
      <c r="N1196" s="5" t="s">
        <v>37</v>
      </c>
      <c r="O1196" s="5" t="s">
        <v>38</v>
      </c>
      <c r="P1196" s="5" t="s">
        <v>39</v>
      </c>
      <c r="Q1196" s="2">
        <v>45960</v>
      </c>
      <c r="V1196"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7" spans="1:22" ht="11.45" hidden="1" customHeight="1">
      <c r="A1197" s="2">
        <v>45930</v>
      </c>
      <c r="B1197" s="1" t="s">
        <v>2911</v>
      </c>
      <c r="C1197" s="1" t="s">
        <v>2912</v>
      </c>
      <c r="D1197" s="1" t="s">
        <v>174</v>
      </c>
      <c r="E1197" s="1">
        <v>85396</v>
      </c>
      <c r="F1197" s="1" t="s">
        <v>2913</v>
      </c>
      <c r="G1197" s="1" t="s">
        <v>2914</v>
      </c>
      <c r="H1197" s="4" t="s">
        <v>6099</v>
      </c>
      <c r="I1197" s="5" t="s">
        <v>968</v>
      </c>
      <c r="J1197" s="5" t="s">
        <v>37</v>
      </c>
      <c r="K1197" s="5" t="s">
        <v>37</v>
      </c>
      <c r="L1197" s="5" t="s">
        <v>2915</v>
      </c>
      <c r="M1197" s="5" t="s">
        <v>37</v>
      </c>
      <c r="N1197" s="5" t="s">
        <v>37</v>
      </c>
      <c r="O1197" s="5" t="s">
        <v>38</v>
      </c>
      <c r="P1197" s="5" t="s">
        <v>39</v>
      </c>
      <c r="Q1197" s="2">
        <v>45960</v>
      </c>
      <c r="V1197"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8" spans="1:22" ht="13.5" hidden="1" customHeight="1">
      <c r="A1198" s="2">
        <v>45931</v>
      </c>
      <c r="B1198" s="1" t="s">
        <v>2916</v>
      </c>
      <c r="C1198" s="1" t="s">
        <v>2917</v>
      </c>
      <c r="D1198" s="1" t="s">
        <v>63</v>
      </c>
      <c r="E1198" s="1">
        <v>85032</v>
      </c>
      <c r="F1198" s="1" t="s">
        <v>2918</v>
      </c>
      <c r="G1198" s="1" t="s">
        <v>2919</v>
      </c>
      <c r="H1198" s="4" t="s">
        <v>90</v>
      </c>
      <c r="V1198" s="45">
        <f>IF(
  OR(
    ISNUMBER(SEARCH("unable to locate acct", tblDocketedComments[[#This Row],[Docketed Consumer Comments]])),
    ISNUMBER(SEARCH("unknown", tblDocketedComments[[#This Row],[Docketed Consumer Comments]])),
    ISNUMBER(SEARCH("inactive", tblDocketedComments[[#This Row],[Docketed Consumer Comments]]))
  ),
  0,
  1
)</f>
        <v>1</v>
      </c>
    </row>
    <row r="1199" spans="1:22" hidden="1">
      <c r="A1199" s="2">
        <v>45932</v>
      </c>
      <c r="B1199" s="1" t="s">
        <v>2920</v>
      </c>
      <c r="C1199" s="1" t="s">
        <v>2921</v>
      </c>
      <c r="D1199" s="1" t="s">
        <v>30</v>
      </c>
      <c r="E1199" s="1" t="s">
        <v>30</v>
      </c>
      <c r="F1199" s="1" t="s">
        <v>2922</v>
      </c>
      <c r="G1199" s="1" t="s">
        <v>2923</v>
      </c>
      <c r="H1199" s="4" t="s">
        <v>6161</v>
      </c>
      <c r="I1199" s="5" t="s">
        <v>538</v>
      </c>
      <c r="J1199" s="5" t="s">
        <v>37</v>
      </c>
      <c r="K1199" s="5" t="s">
        <v>37</v>
      </c>
      <c r="L1199" s="5" t="s">
        <v>387</v>
      </c>
      <c r="M1199" s="5" t="s">
        <v>38</v>
      </c>
      <c r="N1199" s="13">
        <v>170.45</v>
      </c>
      <c r="O1199" s="5" t="s">
        <v>38</v>
      </c>
      <c r="P1199" s="5" t="s">
        <v>39</v>
      </c>
      <c r="Q1199" s="2">
        <v>45960</v>
      </c>
      <c r="V11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0" spans="1:22" hidden="1">
      <c r="A1200" s="2">
        <v>45932</v>
      </c>
      <c r="B1200" s="1" t="s">
        <v>2924</v>
      </c>
      <c r="C1200" s="1" t="s">
        <v>2925</v>
      </c>
      <c r="D1200" s="1" t="s">
        <v>129</v>
      </c>
      <c r="E1200" s="1">
        <v>85233</v>
      </c>
      <c r="F1200" s="1" t="s">
        <v>310</v>
      </c>
      <c r="G1200" s="1" t="s">
        <v>2926</v>
      </c>
      <c r="H1200" s="4" t="s">
        <v>6394</v>
      </c>
      <c r="I1200" s="5" t="s">
        <v>243</v>
      </c>
      <c r="J1200" s="5" t="s">
        <v>37</v>
      </c>
      <c r="K1200" s="5" t="s">
        <v>37</v>
      </c>
      <c r="L1200" s="5" t="s">
        <v>387</v>
      </c>
      <c r="M1200" s="5" t="s">
        <v>37</v>
      </c>
      <c r="N1200" s="5" t="s">
        <v>37</v>
      </c>
      <c r="O1200" s="5" t="s">
        <v>38</v>
      </c>
      <c r="P1200" s="5" t="s">
        <v>39</v>
      </c>
      <c r="Q1200" s="2">
        <v>45960</v>
      </c>
      <c r="V12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1" spans="1:22" hidden="1">
      <c r="A1201" s="2">
        <v>45932</v>
      </c>
      <c r="B1201" s="1" t="s">
        <v>525</v>
      </c>
      <c r="C1201" s="1" t="s">
        <v>2887</v>
      </c>
      <c r="D1201" s="1" t="s">
        <v>63</v>
      </c>
      <c r="E1201" s="1">
        <v>85085</v>
      </c>
      <c r="F1201" s="1" t="s">
        <v>2927</v>
      </c>
      <c r="G1201" s="1" t="s">
        <v>2926</v>
      </c>
      <c r="H1201" s="4" t="s">
        <v>6100</v>
      </c>
      <c r="I1201" s="5" t="s">
        <v>968</v>
      </c>
      <c r="J1201" s="5" t="s">
        <v>37</v>
      </c>
      <c r="K1201" s="5" t="s">
        <v>37</v>
      </c>
      <c r="L1201" s="5" t="s">
        <v>399</v>
      </c>
      <c r="M1201" s="5" t="s">
        <v>37</v>
      </c>
      <c r="N1201" s="5" t="s">
        <v>37</v>
      </c>
      <c r="O1201" s="5" t="s">
        <v>38</v>
      </c>
      <c r="P1201" s="5" t="s">
        <v>39</v>
      </c>
      <c r="Q1201" s="2">
        <v>45960</v>
      </c>
      <c r="R1201" s="1" t="s">
        <v>2928</v>
      </c>
      <c r="V12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2" spans="1:22" hidden="1">
      <c r="A1202" s="2">
        <v>45933</v>
      </c>
      <c r="B1202" s="1" t="s">
        <v>794</v>
      </c>
      <c r="C1202" s="1" t="s">
        <v>795</v>
      </c>
      <c r="D1202" s="1" t="s">
        <v>30</v>
      </c>
      <c r="E1202" s="1" t="s">
        <v>30</v>
      </c>
      <c r="F1202" s="1" t="s">
        <v>2929</v>
      </c>
      <c r="G1202" s="1" t="s">
        <v>2930</v>
      </c>
      <c r="H1202" s="4" t="s">
        <v>6395</v>
      </c>
      <c r="I1202" s="5" t="s">
        <v>73</v>
      </c>
      <c r="J1202" s="5" t="s">
        <v>37</v>
      </c>
      <c r="K1202" s="5" t="s">
        <v>37</v>
      </c>
      <c r="L1202" s="5" t="s">
        <v>38</v>
      </c>
      <c r="M1202" s="5" t="s">
        <v>37</v>
      </c>
      <c r="N1202" s="5" t="s">
        <v>37</v>
      </c>
      <c r="O1202" s="5" t="s">
        <v>38</v>
      </c>
      <c r="P1202" s="5" t="s">
        <v>39</v>
      </c>
      <c r="Q1202" s="2">
        <v>45960</v>
      </c>
      <c r="V12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3" spans="1:22" hidden="1">
      <c r="A1203" s="2">
        <v>45933</v>
      </c>
      <c r="B1203" s="1" t="s">
        <v>134</v>
      </c>
      <c r="C1203" s="1" t="s">
        <v>362</v>
      </c>
      <c r="D1203" s="1" t="s">
        <v>30</v>
      </c>
      <c r="E1203" s="1" t="s">
        <v>30</v>
      </c>
      <c r="F1203" s="1" t="s">
        <v>31</v>
      </c>
      <c r="G1203" s="1" t="s">
        <v>2930</v>
      </c>
      <c r="H1203" s="4" t="s">
        <v>209</v>
      </c>
      <c r="V12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4" spans="1:22" hidden="1">
      <c r="A1204" s="2">
        <v>45933</v>
      </c>
      <c r="B1204" s="1" t="s">
        <v>2931</v>
      </c>
      <c r="C1204" s="1" t="s">
        <v>88</v>
      </c>
      <c r="D1204" s="1" t="s">
        <v>68</v>
      </c>
      <c r="E1204" s="1">
        <v>85331</v>
      </c>
      <c r="F1204" s="1" t="s">
        <v>2932</v>
      </c>
      <c r="G1204" s="1" t="s">
        <v>2933</v>
      </c>
      <c r="H1204" s="4" t="s">
        <v>6396</v>
      </c>
      <c r="I1204" s="5" t="s">
        <v>36</v>
      </c>
      <c r="J1204" s="5" t="s">
        <v>37</v>
      </c>
      <c r="K1204" s="5" t="s">
        <v>37</v>
      </c>
      <c r="L1204" s="5" t="s">
        <v>38</v>
      </c>
      <c r="M1204" s="5" t="s">
        <v>37</v>
      </c>
      <c r="N1204" s="5" t="s">
        <v>37</v>
      </c>
      <c r="O1204" s="5" t="s">
        <v>38</v>
      </c>
      <c r="P1204" s="5" t="s">
        <v>39</v>
      </c>
      <c r="Q1204" s="2">
        <v>45960</v>
      </c>
      <c r="V12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5" spans="1:22" hidden="1">
      <c r="A1205" s="2">
        <v>45934</v>
      </c>
      <c r="B1205" s="1" t="s">
        <v>2934</v>
      </c>
      <c r="C1205" s="1" t="s">
        <v>1218</v>
      </c>
      <c r="D1205" s="1" t="s">
        <v>369</v>
      </c>
      <c r="E1205" s="1">
        <v>85225</v>
      </c>
      <c r="F1205" s="1" t="s">
        <v>2935</v>
      </c>
      <c r="G1205" s="1" t="s">
        <v>2936</v>
      </c>
      <c r="H1205" s="4" t="s">
        <v>716</v>
      </c>
      <c r="I1205" s="5" t="s">
        <v>2937</v>
      </c>
      <c r="J1205" s="5" t="s">
        <v>37</v>
      </c>
      <c r="K1205" s="5" t="s">
        <v>37</v>
      </c>
      <c r="L1205" s="5" t="s">
        <v>2938</v>
      </c>
      <c r="M1205" s="5" t="s">
        <v>37</v>
      </c>
      <c r="N1205" s="5" t="s">
        <v>37</v>
      </c>
      <c r="O1205" s="5" t="s">
        <v>38</v>
      </c>
      <c r="P1205" s="5" t="s">
        <v>39</v>
      </c>
      <c r="Q1205" s="2">
        <v>45954</v>
      </c>
      <c r="V12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6" spans="1:22" hidden="1">
      <c r="A1206" s="2">
        <v>45934</v>
      </c>
      <c r="B1206" s="1" t="s">
        <v>2939</v>
      </c>
      <c r="C1206" s="1" t="s">
        <v>320</v>
      </c>
      <c r="D1206" s="1" t="s">
        <v>63</v>
      </c>
      <c r="E1206" s="1">
        <v>85032</v>
      </c>
      <c r="F1206" s="1" t="s">
        <v>2940</v>
      </c>
      <c r="G1206" s="1" t="s">
        <v>2936</v>
      </c>
      <c r="H1206" s="4" t="s">
        <v>6397</v>
      </c>
      <c r="I1206" s="5" t="s">
        <v>36</v>
      </c>
      <c r="J1206" s="5" t="s">
        <v>38</v>
      </c>
      <c r="K1206" s="5" t="s">
        <v>37</v>
      </c>
      <c r="L1206" s="5" t="s">
        <v>38</v>
      </c>
      <c r="M1206" s="5" t="s">
        <v>37</v>
      </c>
      <c r="N1206" s="5" t="s">
        <v>37</v>
      </c>
      <c r="O1206" s="5" t="s">
        <v>38</v>
      </c>
      <c r="P1206" s="5" t="s">
        <v>39</v>
      </c>
      <c r="Q1206" s="2">
        <v>45954</v>
      </c>
      <c r="V12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7" spans="1:22" hidden="1">
      <c r="A1207" s="2">
        <v>45934</v>
      </c>
      <c r="B1207" s="1" t="s">
        <v>34</v>
      </c>
      <c r="C1207" s="1" t="s">
        <v>1935</v>
      </c>
      <c r="D1207" s="1" t="s">
        <v>261</v>
      </c>
      <c r="E1207" s="1">
        <v>86314</v>
      </c>
      <c r="F1207" s="1" t="s">
        <v>2941</v>
      </c>
      <c r="G1207" s="1" t="s">
        <v>2936</v>
      </c>
      <c r="H1207" s="4" t="s">
        <v>6101</v>
      </c>
      <c r="I1207" s="5" t="s">
        <v>196</v>
      </c>
      <c r="J1207" s="5" t="s">
        <v>37</v>
      </c>
      <c r="K1207" s="5" t="s">
        <v>37</v>
      </c>
      <c r="L1207" s="5" t="s">
        <v>2942</v>
      </c>
      <c r="M1207" s="5" t="s">
        <v>37</v>
      </c>
      <c r="N1207" s="5" t="s">
        <v>37</v>
      </c>
      <c r="O1207" s="5" t="s">
        <v>38</v>
      </c>
      <c r="P1207" s="5" t="s">
        <v>39</v>
      </c>
      <c r="Q1207" s="2">
        <v>45954</v>
      </c>
      <c r="V12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8" spans="1:22" hidden="1">
      <c r="A1208" s="2">
        <v>45935</v>
      </c>
      <c r="B1208" s="1" t="s">
        <v>1102</v>
      </c>
      <c r="C1208" s="1" t="s">
        <v>2943</v>
      </c>
      <c r="D1208" s="1" t="s">
        <v>734</v>
      </c>
      <c r="E1208" s="1">
        <v>86326</v>
      </c>
      <c r="F1208" s="1" t="s">
        <v>2944</v>
      </c>
      <c r="G1208" s="1" t="s">
        <v>2936</v>
      </c>
      <c r="H1208" s="4" t="s">
        <v>6398</v>
      </c>
      <c r="I1208" s="5" t="s">
        <v>243</v>
      </c>
      <c r="J1208" s="5" t="s">
        <v>37</v>
      </c>
      <c r="K1208" s="5" t="s">
        <v>37</v>
      </c>
      <c r="L1208" s="5" t="s">
        <v>387</v>
      </c>
      <c r="M1208" s="5" t="s">
        <v>37</v>
      </c>
      <c r="N1208" s="5" t="s">
        <v>37</v>
      </c>
      <c r="O1208" s="5" t="s">
        <v>38</v>
      </c>
      <c r="P1208" s="5" t="s">
        <v>39</v>
      </c>
      <c r="Q1208" s="2">
        <v>45954</v>
      </c>
      <c r="V12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09" spans="1:22" hidden="1">
      <c r="A1209" s="2">
        <v>45935</v>
      </c>
      <c r="B1209" s="1" t="s">
        <v>2945</v>
      </c>
      <c r="C1209" s="1" t="s">
        <v>2464</v>
      </c>
      <c r="D1209" s="1" t="s">
        <v>63</v>
      </c>
      <c r="E1209" s="1">
        <v>85014</v>
      </c>
      <c r="F1209" s="1" t="s">
        <v>310</v>
      </c>
      <c r="G1209" s="1" t="s">
        <v>2936</v>
      </c>
      <c r="H1209" s="4" t="s">
        <v>27</v>
      </c>
      <c r="V12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0" spans="1:22" hidden="1">
      <c r="A1210" s="2">
        <v>45935</v>
      </c>
      <c r="B1210" s="1" t="s">
        <v>2946</v>
      </c>
      <c r="C1210" s="1" t="s">
        <v>1004</v>
      </c>
      <c r="D1210" s="1" t="s">
        <v>2947</v>
      </c>
      <c r="E1210" s="1">
        <v>86324</v>
      </c>
      <c r="F1210" s="1" t="s">
        <v>31</v>
      </c>
      <c r="G1210" s="1" t="s">
        <v>2936</v>
      </c>
      <c r="H1210" s="4" t="s">
        <v>6399</v>
      </c>
      <c r="I1210" s="5" t="s">
        <v>73</v>
      </c>
      <c r="J1210" s="5" t="s">
        <v>37</v>
      </c>
      <c r="K1210" s="5" t="s">
        <v>37</v>
      </c>
      <c r="L1210" s="5" t="s">
        <v>38</v>
      </c>
      <c r="M1210" s="5" t="s">
        <v>37</v>
      </c>
      <c r="N1210" s="5" t="s">
        <v>37</v>
      </c>
      <c r="O1210" s="5" t="s">
        <v>38</v>
      </c>
      <c r="P1210" s="5" t="s">
        <v>39</v>
      </c>
      <c r="Q1210" s="2">
        <v>45954</v>
      </c>
      <c r="R1210" s="1" t="s">
        <v>2903</v>
      </c>
      <c r="V12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1" spans="1:22" hidden="1">
      <c r="A1211" s="2">
        <v>45936</v>
      </c>
      <c r="B1211" s="1" t="s">
        <v>2948</v>
      </c>
      <c r="C1211" s="1" t="s">
        <v>2949</v>
      </c>
      <c r="D1211" s="1" t="s">
        <v>63</v>
      </c>
      <c r="E1211" s="1">
        <v>85024</v>
      </c>
      <c r="F1211" s="1" t="s">
        <v>2950</v>
      </c>
      <c r="G1211" s="1" t="s">
        <v>2936</v>
      </c>
      <c r="H1211" s="4" t="s">
        <v>27</v>
      </c>
      <c r="V12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2" spans="1:22" hidden="1">
      <c r="A1212" s="2">
        <v>45936</v>
      </c>
      <c r="B1212" s="1" t="s">
        <v>2951</v>
      </c>
      <c r="C1212" s="1" t="s">
        <v>1525</v>
      </c>
      <c r="D1212" s="1" t="s">
        <v>24</v>
      </c>
      <c r="E1212" s="1">
        <v>85308</v>
      </c>
      <c r="F1212" s="1" t="s">
        <v>2952</v>
      </c>
      <c r="G1212" s="1" t="s">
        <v>2936</v>
      </c>
      <c r="H1212" s="4" t="s">
        <v>27</v>
      </c>
      <c r="V12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3" spans="1:22" hidden="1">
      <c r="A1213" s="2">
        <v>45937</v>
      </c>
      <c r="B1213" s="1" t="s">
        <v>2953</v>
      </c>
      <c r="C1213" s="1" t="s">
        <v>2954</v>
      </c>
      <c r="D1213" s="1" t="s">
        <v>169</v>
      </c>
      <c r="E1213" s="1">
        <v>85338</v>
      </c>
      <c r="F1213" s="1" t="s">
        <v>2955</v>
      </c>
      <c r="G1213" s="1" t="s">
        <v>2936</v>
      </c>
      <c r="H1213" s="4" t="s">
        <v>6400</v>
      </c>
      <c r="I1213" s="5" t="s">
        <v>538</v>
      </c>
      <c r="J1213" s="5" t="s">
        <v>38</v>
      </c>
      <c r="K1213" s="5" t="s">
        <v>37</v>
      </c>
      <c r="L1213" s="5" t="s">
        <v>387</v>
      </c>
      <c r="M1213" s="5" t="s">
        <v>37</v>
      </c>
      <c r="N1213" s="5" t="s">
        <v>37</v>
      </c>
      <c r="O1213" s="5" t="s">
        <v>38</v>
      </c>
      <c r="P1213" s="5" t="s">
        <v>39</v>
      </c>
      <c r="Q1213" s="2">
        <v>45954</v>
      </c>
      <c r="V12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4" spans="1:22" hidden="1">
      <c r="A1214" s="2">
        <v>45938</v>
      </c>
      <c r="B1214" s="1" t="s">
        <v>2956</v>
      </c>
      <c r="C1214" s="1" t="s">
        <v>2957</v>
      </c>
      <c r="D1214" s="1" t="s">
        <v>112</v>
      </c>
      <c r="E1214" s="1">
        <v>85379</v>
      </c>
      <c r="F1214" s="1" t="s">
        <v>310</v>
      </c>
      <c r="G1214" s="1" t="s">
        <v>2667</v>
      </c>
      <c r="H1214" s="4" t="s">
        <v>90</v>
      </c>
      <c r="V12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5" spans="1:22" hidden="1">
      <c r="A1215" s="2">
        <v>45938</v>
      </c>
      <c r="B1215" s="1" t="s">
        <v>2958</v>
      </c>
      <c r="C1215" s="1" t="s">
        <v>2959</v>
      </c>
      <c r="D1215" s="1" t="s">
        <v>125</v>
      </c>
      <c r="E1215" s="1">
        <v>85258</v>
      </c>
      <c r="F1215" s="1" t="s">
        <v>2960</v>
      </c>
      <c r="G1215" s="1" t="s">
        <v>2667</v>
      </c>
      <c r="H1215" s="4" t="s">
        <v>6401</v>
      </c>
      <c r="I1215" s="5" t="s">
        <v>36</v>
      </c>
      <c r="J1215" s="5" t="s">
        <v>37</v>
      </c>
      <c r="K1215" s="5" t="s">
        <v>37</v>
      </c>
      <c r="L1215" s="5" t="s">
        <v>38</v>
      </c>
      <c r="M1215" s="5" t="s">
        <v>37</v>
      </c>
      <c r="N1215" s="5" t="s">
        <v>37</v>
      </c>
      <c r="O1215" s="5" t="s">
        <v>38</v>
      </c>
      <c r="P1215" s="5" t="s">
        <v>39</v>
      </c>
      <c r="Q1215" s="2">
        <v>45954</v>
      </c>
      <c r="V12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6" spans="1:22" hidden="1">
      <c r="A1216" s="2">
        <v>45938</v>
      </c>
      <c r="B1216" s="1" t="s">
        <v>2961</v>
      </c>
      <c r="C1216" s="1" t="s">
        <v>1768</v>
      </c>
      <c r="D1216" s="1" t="s">
        <v>30</v>
      </c>
      <c r="E1216" s="1" t="s">
        <v>30</v>
      </c>
      <c r="F1216" s="1" t="s">
        <v>2962</v>
      </c>
      <c r="G1216" s="1" t="s">
        <v>2667</v>
      </c>
      <c r="H1216" s="4" t="s">
        <v>6102</v>
      </c>
      <c r="I1216" s="5" t="s">
        <v>57</v>
      </c>
      <c r="J1216" s="5" t="s">
        <v>37</v>
      </c>
      <c r="K1216" s="5" t="s">
        <v>37</v>
      </c>
      <c r="L1216" s="5" t="s">
        <v>2963</v>
      </c>
      <c r="M1216" s="5" t="s">
        <v>37</v>
      </c>
      <c r="N1216" s="5" t="s">
        <v>37</v>
      </c>
      <c r="O1216" s="5" t="s">
        <v>38</v>
      </c>
      <c r="P1216" s="5" t="s">
        <v>39</v>
      </c>
      <c r="Q1216" s="2">
        <v>45954</v>
      </c>
      <c r="V12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7" spans="1:22" hidden="1">
      <c r="A1217" s="2">
        <v>45938</v>
      </c>
      <c r="B1217" s="1" t="s">
        <v>2964</v>
      </c>
      <c r="C1217" s="1" t="s">
        <v>2965</v>
      </c>
      <c r="D1217" s="1" t="s">
        <v>125</v>
      </c>
      <c r="E1217" s="1">
        <v>85258</v>
      </c>
      <c r="F1217" s="1" t="s">
        <v>2966</v>
      </c>
      <c r="G1217" s="1" t="s">
        <v>2967</v>
      </c>
      <c r="H1217" s="4" t="s">
        <v>2968</v>
      </c>
      <c r="I1217" s="5" t="s">
        <v>36</v>
      </c>
      <c r="J1217" s="5" t="s">
        <v>37</v>
      </c>
      <c r="K1217" s="5" t="s">
        <v>37</v>
      </c>
      <c r="L1217" s="5" t="s">
        <v>38</v>
      </c>
      <c r="M1217" s="5" t="s">
        <v>37</v>
      </c>
      <c r="N1217" s="5" t="s">
        <v>37</v>
      </c>
      <c r="O1217" s="5" t="s">
        <v>38</v>
      </c>
      <c r="P1217" s="5" t="s">
        <v>39</v>
      </c>
      <c r="Q1217" s="2">
        <v>45954</v>
      </c>
      <c r="V12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8" spans="1:22" hidden="1">
      <c r="A1218" s="2">
        <v>45938</v>
      </c>
      <c r="B1218" s="1" t="s">
        <v>2969</v>
      </c>
      <c r="C1218" s="1" t="s">
        <v>2970</v>
      </c>
      <c r="D1218" s="1" t="s">
        <v>2971</v>
      </c>
      <c r="E1218" s="1" t="s">
        <v>30</v>
      </c>
      <c r="F1218" s="1" t="s">
        <v>310</v>
      </c>
      <c r="G1218" s="1" t="s">
        <v>2967</v>
      </c>
      <c r="H1218" s="4" t="s">
        <v>27</v>
      </c>
      <c r="R1218" s="1" t="s">
        <v>2972</v>
      </c>
      <c r="V12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19" spans="1:22" hidden="1">
      <c r="A1219" s="2">
        <v>45938</v>
      </c>
      <c r="B1219" s="1" t="s">
        <v>2973</v>
      </c>
      <c r="C1219" s="1" t="s">
        <v>2970</v>
      </c>
      <c r="D1219" s="1" t="s">
        <v>2971</v>
      </c>
      <c r="E1219" s="1" t="s">
        <v>30</v>
      </c>
      <c r="F1219" s="1" t="s">
        <v>310</v>
      </c>
      <c r="G1219" s="1" t="s">
        <v>2967</v>
      </c>
      <c r="H1219" s="4" t="s">
        <v>27</v>
      </c>
      <c r="R1219" s="1" t="s">
        <v>2972</v>
      </c>
      <c r="V12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0" spans="1:22" hidden="1">
      <c r="A1220" s="2">
        <v>45938</v>
      </c>
      <c r="B1220" s="1" t="s">
        <v>445</v>
      </c>
      <c r="C1220" s="1" t="s">
        <v>1112</v>
      </c>
      <c r="D1220" s="1" t="s">
        <v>2974</v>
      </c>
      <c r="E1220" s="1">
        <v>85541</v>
      </c>
      <c r="F1220" s="1" t="s">
        <v>2975</v>
      </c>
      <c r="G1220" s="1" t="s">
        <v>2967</v>
      </c>
      <c r="H1220" s="4" t="s">
        <v>6402</v>
      </c>
      <c r="I1220" s="5" t="s">
        <v>73</v>
      </c>
      <c r="J1220" s="5" t="s">
        <v>37</v>
      </c>
      <c r="K1220" s="5" t="s">
        <v>37</v>
      </c>
      <c r="L1220" s="5" t="s">
        <v>38</v>
      </c>
      <c r="M1220" s="5" t="s">
        <v>37</v>
      </c>
      <c r="N1220" s="5" t="s">
        <v>37</v>
      </c>
      <c r="O1220" s="5" t="s">
        <v>38</v>
      </c>
      <c r="P1220" s="5" t="s">
        <v>39</v>
      </c>
      <c r="Q1220" s="2">
        <v>45954</v>
      </c>
      <c r="V12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1" spans="1:22" hidden="1">
      <c r="A1221" s="2">
        <v>45938</v>
      </c>
      <c r="B1221" s="1" t="s">
        <v>2970</v>
      </c>
      <c r="C1221" s="1" t="s">
        <v>2973</v>
      </c>
      <c r="D1221" s="1" t="s">
        <v>2971</v>
      </c>
      <c r="E1221" s="1" t="s">
        <v>30</v>
      </c>
      <c r="F1221" s="1" t="s">
        <v>310</v>
      </c>
      <c r="G1221" s="1" t="s">
        <v>2967</v>
      </c>
      <c r="H1221" s="4" t="s">
        <v>27</v>
      </c>
      <c r="R1221" s="1" t="s">
        <v>2972</v>
      </c>
      <c r="V12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2" spans="1:22" hidden="1">
      <c r="A1222" s="2">
        <v>45938</v>
      </c>
      <c r="B1222" s="1" t="s">
        <v>2970</v>
      </c>
      <c r="C1222" s="1" t="s">
        <v>2973</v>
      </c>
      <c r="D1222" s="1" t="s">
        <v>2971</v>
      </c>
      <c r="E1222" s="1" t="s">
        <v>30</v>
      </c>
      <c r="F1222" s="1" t="s">
        <v>310</v>
      </c>
      <c r="G1222" s="1" t="s">
        <v>2967</v>
      </c>
      <c r="H1222" s="4" t="s">
        <v>27</v>
      </c>
      <c r="R1222" s="1" t="s">
        <v>2972</v>
      </c>
      <c r="V12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3" spans="1:22" hidden="1">
      <c r="A1223" s="2">
        <v>45938</v>
      </c>
      <c r="B1223" s="1" t="s">
        <v>2970</v>
      </c>
      <c r="C1223" s="1" t="s">
        <v>2976</v>
      </c>
      <c r="D1223" s="1" t="s">
        <v>2971</v>
      </c>
      <c r="E1223" s="1" t="s">
        <v>30</v>
      </c>
      <c r="F1223" s="1" t="s">
        <v>310</v>
      </c>
      <c r="G1223" s="1" t="s">
        <v>2967</v>
      </c>
      <c r="H1223" s="4" t="s">
        <v>27</v>
      </c>
      <c r="R1223" s="1" t="s">
        <v>2972</v>
      </c>
      <c r="V12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4" spans="1:22" hidden="1">
      <c r="A1224" s="2">
        <v>45939</v>
      </c>
      <c r="B1224" s="1" t="s">
        <v>2977</v>
      </c>
      <c r="C1224" s="1" t="s">
        <v>2978</v>
      </c>
      <c r="D1224" s="1" t="s">
        <v>202</v>
      </c>
      <c r="E1224" s="1">
        <v>85382</v>
      </c>
      <c r="F1224" s="1" t="s">
        <v>2979</v>
      </c>
      <c r="G1224" s="1" t="s">
        <v>2967</v>
      </c>
      <c r="H1224" s="4" t="s">
        <v>6403</v>
      </c>
      <c r="I1224" s="5" t="s">
        <v>36</v>
      </c>
      <c r="J1224" s="5" t="s">
        <v>37</v>
      </c>
      <c r="K1224" s="5" t="s">
        <v>37</v>
      </c>
      <c r="L1224" s="5" t="s">
        <v>38</v>
      </c>
      <c r="M1224" s="5" t="s">
        <v>37</v>
      </c>
      <c r="N1224" s="5" t="s">
        <v>37</v>
      </c>
      <c r="O1224" s="5" t="s">
        <v>38</v>
      </c>
      <c r="P1224" s="5" t="s">
        <v>39</v>
      </c>
      <c r="Q1224" s="2">
        <v>45954</v>
      </c>
      <c r="V12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5" spans="1:22" hidden="1">
      <c r="A1225" s="2">
        <v>45939</v>
      </c>
      <c r="B1225" s="1" t="s">
        <v>2980</v>
      </c>
      <c r="C1225" s="1" t="s">
        <v>795</v>
      </c>
      <c r="D1225" s="1" t="s">
        <v>63</v>
      </c>
      <c r="E1225" s="1">
        <v>85050</v>
      </c>
      <c r="F1225" s="1" t="s">
        <v>2981</v>
      </c>
      <c r="G1225" s="1" t="s">
        <v>2967</v>
      </c>
      <c r="H1225" s="4" t="s">
        <v>90</v>
      </c>
      <c r="V12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6" spans="1:22" hidden="1">
      <c r="A1226" s="2">
        <v>45940</v>
      </c>
      <c r="B1226" s="1" t="s">
        <v>2982</v>
      </c>
      <c r="C1226" s="1" t="s">
        <v>135</v>
      </c>
      <c r="D1226" s="1" t="s">
        <v>169</v>
      </c>
      <c r="E1226" s="1">
        <v>85338</v>
      </c>
      <c r="F1226" s="1" t="s">
        <v>1918</v>
      </c>
      <c r="G1226" s="8" t="s">
        <v>2983</v>
      </c>
      <c r="H1226" s="4" t="s">
        <v>27</v>
      </c>
      <c r="V12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7" spans="1:22" hidden="1">
      <c r="A1227" s="2">
        <v>45940</v>
      </c>
      <c r="B1227" s="1" t="s">
        <v>91</v>
      </c>
      <c r="C1227" s="1" t="s">
        <v>2984</v>
      </c>
      <c r="D1227" s="1" t="s">
        <v>93</v>
      </c>
      <c r="E1227" s="1">
        <v>85351</v>
      </c>
      <c r="F1227" s="1" t="s">
        <v>2985</v>
      </c>
      <c r="G1227" s="8" t="s">
        <v>2983</v>
      </c>
      <c r="H1227" s="4" t="s">
        <v>2986</v>
      </c>
      <c r="I1227" s="5" t="s">
        <v>73</v>
      </c>
      <c r="J1227" s="5" t="s">
        <v>37</v>
      </c>
      <c r="K1227" s="5" t="s">
        <v>37</v>
      </c>
      <c r="L1227" s="5" t="s">
        <v>38</v>
      </c>
      <c r="M1227" s="5" t="s">
        <v>37</v>
      </c>
      <c r="N1227" s="5" t="s">
        <v>37</v>
      </c>
      <c r="O1227" s="5" t="s">
        <v>38</v>
      </c>
      <c r="P1227" s="5" t="s">
        <v>39</v>
      </c>
      <c r="Q1227" s="2">
        <v>45954</v>
      </c>
      <c r="R1227" s="1" t="s">
        <v>2987</v>
      </c>
      <c r="V122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8" spans="1:22" hidden="1">
      <c r="A1228" s="2">
        <v>45940</v>
      </c>
      <c r="B1228" s="1" t="s">
        <v>2988</v>
      </c>
      <c r="C1228" s="1" t="s">
        <v>1546</v>
      </c>
      <c r="D1228" s="1" t="s">
        <v>2052</v>
      </c>
      <c r="E1228" s="1">
        <v>85132</v>
      </c>
      <c r="F1228" s="1" t="s">
        <v>2989</v>
      </c>
      <c r="G1228" s="8" t="s">
        <v>2983</v>
      </c>
      <c r="H1228" s="4" t="s">
        <v>2990</v>
      </c>
      <c r="I1228" s="5" t="s">
        <v>250</v>
      </c>
      <c r="J1228" s="5" t="s">
        <v>37</v>
      </c>
      <c r="K1228" s="5" t="s">
        <v>37</v>
      </c>
      <c r="L1228" s="5" t="s">
        <v>38</v>
      </c>
      <c r="M1228" s="5" t="s">
        <v>37</v>
      </c>
      <c r="N1228" s="5" t="s">
        <v>37</v>
      </c>
      <c r="O1228" s="5" t="s">
        <v>38</v>
      </c>
      <c r="P1228" s="5" t="s">
        <v>39</v>
      </c>
      <c r="Q1228" s="2">
        <v>45954</v>
      </c>
      <c r="V122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29" spans="1:22" hidden="1">
      <c r="A1229" s="2">
        <v>45940</v>
      </c>
      <c r="B1229" s="1" t="s">
        <v>2991</v>
      </c>
      <c r="C1229" s="1" t="s">
        <v>418</v>
      </c>
      <c r="D1229" s="1" t="s">
        <v>536</v>
      </c>
      <c r="E1229" s="1">
        <v>85122</v>
      </c>
      <c r="F1229" s="1" t="s">
        <v>2992</v>
      </c>
      <c r="G1229" s="8" t="s">
        <v>2983</v>
      </c>
      <c r="H1229" s="4" t="s">
        <v>2993</v>
      </c>
      <c r="I1229" s="5" t="s">
        <v>36</v>
      </c>
      <c r="J1229" s="5" t="s">
        <v>37</v>
      </c>
      <c r="K1229" s="5" t="s">
        <v>37</v>
      </c>
      <c r="L1229" s="5" t="s">
        <v>38</v>
      </c>
      <c r="M1229" s="5" t="s">
        <v>37</v>
      </c>
      <c r="N1229" s="5" t="s">
        <v>37</v>
      </c>
      <c r="O1229" s="5" t="s">
        <v>38</v>
      </c>
      <c r="P1229" s="5" t="s">
        <v>39</v>
      </c>
      <c r="Q1229" s="2">
        <v>45954</v>
      </c>
      <c r="R1229" s="1" t="s">
        <v>2994</v>
      </c>
      <c r="V122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0" spans="1:22" hidden="1">
      <c r="A1230" s="2">
        <v>45940</v>
      </c>
      <c r="B1230" s="1" t="s">
        <v>2991</v>
      </c>
      <c r="C1230" s="1" t="s">
        <v>594</v>
      </c>
      <c r="D1230" s="1" t="s">
        <v>536</v>
      </c>
      <c r="E1230" s="1">
        <v>85122</v>
      </c>
      <c r="F1230" s="1" t="s">
        <v>2995</v>
      </c>
      <c r="G1230" s="8" t="s">
        <v>2983</v>
      </c>
      <c r="H1230" s="4" t="s">
        <v>2993</v>
      </c>
      <c r="I1230" s="5" t="s">
        <v>36</v>
      </c>
      <c r="J1230" s="5" t="s">
        <v>37</v>
      </c>
      <c r="K1230" s="5" t="s">
        <v>37</v>
      </c>
      <c r="L1230" s="5" t="s">
        <v>38</v>
      </c>
      <c r="M1230" s="5" t="s">
        <v>37</v>
      </c>
      <c r="N1230" s="5" t="s">
        <v>37</v>
      </c>
      <c r="O1230" s="5" t="s">
        <v>38</v>
      </c>
      <c r="P1230" s="5" t="s">
        <v>39</v>
      </c>
      <c r="Q1230" s="2">
        <v>45954</v>
      </c>
      <c r="R1230" s="1" t="s">
        <v>2994</v>
      </c>
      <c r="V123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1" spans="1:22" hidden="1">
      <c r="A1231" s="2">
        <v>45940</v>
      </c>
      <c r="B1231" s="1" t="s">
        <v>1039</v>
      </c>
      <c r="C1231" s="1" t="s">
        <v>312</v>
      </c>
      <c r="D1231" s="1" t="s">
        <v>24</v>
      </c>
      <c r="E1231" s="1">
        <v>85308</v>
      </c>
      <c r="F1231" s="1" t="s">
        <v>2996</v>
      </c>
      <c r="G1231" s="8" t="s">
        <v>2983</v>
      </c>
      <c r="H1231" s="4" t="s">
        <v>27</v>
      </c>
      <c r="V123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2" spans="1:22">
      <c r="A1232" s="22">
        <v>45942</v>
      </c>
      <c r="B1232" s="1" t="s">
        <v>2997</v>
      </c>
      <c r="C1232" s="1" t="s">
        <v>145</v>
      </c>
      <c r="D1232" s="1" t="s">
        <v>536</v>
      </c>
      <c r="E1232" s="1">
        <v>85122</v>
      </c>
      <c r="F1232" s="1" t="s">
        <v>2998</v>
      </c>
      <c r="G1232" s="8" t="s">
        <v>2983</v>
      </c>
      <c r="H1232" s="4" t="s">
        <v>2999</v>
      </c>
      <c r="I1232" s="5" t="s">
        <v>36</v>
      </c>
      <c r="J1232" s="5" t="s">
        <v>37</v>
      </c>
      <c r="K1232" s="5" t="s">
        <v>37</v>
      </c>
      <c r="L1232" s="5" t="s">
        <v>38</v>
      </c>
      <c r="M1232" s="5" t="s">
        <v>37</v>
      </c>
      <c r="N1232" s="5" t="s">
        <v>37</v>
      </c>
      <c r="O1232" s="5" t="s">
        <v>38</v>
      </c>
      <c r="P1232" s="5" t="s">
        <v>39</v>
      </c>
      <c r="Q1232" s="2">
        <v>45954</v>
      </c>
      <c r="V123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3" spans="1:22" hidden="1">
      <c r="A1233" s="2">
        <v>45939</v>
      </c>
      <c r="B1233" s="1" t="s">
        <v>3000</v>
      </c>
      <c r="C1233" s="1" t="s">
        <v>3001</v>
      </c>
      <c r="D1233" s="1" t="s">
        <v>63</v>
      </c>
      <c r="E1233" s="1">
        <v>85050</v>
      </c>
      <c r="F1233" s="1" t="s">
        <v>3002</v>
      </c>
      <c r="G1233" s="31" t="s">
        <v>2983</v>
      </c>
      <c r="H1233" s="4" t="s">
        <v>3003</v>
      </c>
      <c r="I1233" s="5" t="s">
        <v>3004</v>
      </c>
      <c r="J1233" s="5" t="s">
        <v>37</v>
      </c>
      <c r="K1233" s="5" t="s">
        <v>37</v>
      </c>
      <c r="L1233" s="5" t="s">
        <v>387</v>
      </c>
      <c r="M1233" s="5" t="s">
        <v>37</v>
      </c>
      <c r="N1233" s="5" t="s">
        <v>37</v>
      </c>
      <c r="O1233" s="5" t="s">
        <v>38</v>
      </c>
      <c r="P1233" s="5" t="s">
        <v>39</v>
      </c>
      <c r="Q1233" s="2">
        <v>45954</v>
      </c>
      <c r="V123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4" spans="1:22" hidden="1">
      <c r="A1234" s="2">
        <v>45940</v>
      </c>
      <c r="B1234" s="1" t="s">
        <v>3005</v>
      </c>
      <c r="C1234" s="1" t="s">
        <v>2306</v>
      </c>
      <c r="D1234" s="1" t="s">
        <v>2131</v>
      </c>
      <c r="E1234" s="1">
        <v>86325</v>
      </c>
      <c r="F1234" s="1" t="s">
        <v>3006</v>
      </c>
      <c r="G1234" s="8" t="s">
        <v>2983</v>
      </c>
      <c r="H1234" s="4" t="s">
        <v>3007</v>
      </c>
      <c r="I1234" s="5" t="s">
        <v>73</v>
      </c>
      <c r="J1234" s="5" t="s">
        <v>38</v>
      </c>
      <c r="K1234" s="5" t="s">
        <v>37</v>
      </c>
      <c r="L1234" s="5" t="s">
        <v>1284</v>
      </c>
      <c r="M1234" s="5" t="s">
        <v>37</v>
      </c>
      <c r="N1234" s="5" t="s">
        <v>37</v>
      </c>
      <c r="O1234" s="5" t="s">
        <v>38</v>
      </c>
      <c r="P1234" s="5" t="s">
        <v>39</v>
      </c>
      <c r="Q1234" s="2">
        <v>45954</v>
      </c>
      <c r="R1234" s="1" t="s">
        <v>3008</v>
      </c>
      <c r="V123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5" spans="1:22" hidden="1">
      <c r="A1235" s="2">
        <v>45940</v>
      </c>
      <c r="B1235" s="1" t="s">
        <v>1864</v>
      </c>
      <c r="C1235" s="1" t="s">
        <v>1608</v>
      </c>
      <c r="D1235" s="1" t="s">
        <v>3009</v>
      </c>
      <c r="E1235" s="1">
        <v>85741</v>
      </c>
      <c r="F1235" s="1" t="s">
        <v>3002</v>
      </c>
      <c r="G1235" s="8" t="s">
        <v>2983</v>
      </c>
      <c r="H1235" s="4" t="s">
        <v>27</v>
      </c>
      <c r="V123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6" spans="1:22" hidden="1">
      <c r="A1236" s="2">
        <v>45940</v>
      </c>
      <c r="B1236" s="1" t="s">
        <v>3010</v>
      </c>
      <c r="C1236" s="1" t="s">
        <v>3011</v>
      </c>
      <c r="D1236" s="1" t="s">
        <v>3009</v>
      </c>
      <c r="E1236" s="1">
        <v>85712</v>
      </c>
      <c r="F1236" s="1" t="s">
        <v>3002</v>
      </c>
      <c r="G1236" s="8" t="s">
        <v>2983</v>
      </c>
      <c r="H1236" s="4" t="s">
        <v>27</v>
      </c>
      <c r="V123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7" spans="1:22" hidden="1">
      <c r="A1237" s="2">
        <v>45940</v>
      </c>
      <c r="B1237" s="1" t="s">
        <v>3012</v>
      </c>
      <c r="C1237" s="1" t="s">
        <v>3013</v>
      </c>
      <c r="D1237" s="1" t="s">
        <v>63</v>
      </c>
      <c r="E1237" s="1">
        <v>85029</v>
      </c>
      <c r="F1237" s="1" t="s">
        <v>3002</v>
      </c>
      <c r="G1237" s="8" t="s">
        <v>2983</v>
      </c>
      <c r="H1237" s="4" t="s">
        <v>3014</v>
      </c>
      <c r="I1237" s="5" t="s">
        <v>416</v>
      </c>
      <c r="J1237" s="5" t="s">
        <v>37</v>
      </c>
      <c r="K1237" s="5" t="s">
        <v>37</v>
      </c>
      <c r="L1237" s="5" t="s">
        <v>387</v>
      </c>
      <c r="M1237" s="13" t="s">
        <v>38</v>
      </c>
      <c r="N1237" s="13">
        <v>288.29000000000002</v>
      </c>
      <c r="O1237" s="5" t="s">
        <v>38</v>
      </c>
      <c r="P1237" s="5" t="s">
        <v>39</v>
      </c>
      <c r="Q1237" s="2">
        <v>45954</v>
      </c>
      <c r="V123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8" spans="1:22" hidden="1">
      <c r="A1238" s="2">
        <v>45940</v>
      </c>
      <c r="B1238" s="1" t="s">
        <v>3015</v>
      </c>
      <c r="C1238" s="1" t="s">
        <v>2555</v>
      </c>
      <c r="D1238" s="1" t="s">
        <v>93</v>
      </c>
      <c r="E1238" s="1">
        <v>85373</v>
      </c>
      <c r="F1238" s="1" t="s">
        <v>3002</v>
      </c>
      <c r="G1238" s="8" t="s">
        <v>2983</v>
      </c>
      <c r="H1238" s="4" t="s">
        <v>3016</v>
      </c>
      <c r="I1238" s="5" t="s">
        <v>57</v>
      </c>
      <c r="J1238" s="5" t="s">
        <v>38</v>
      </c>
      <c r="K1238" s="5" t="s">
        <v>37</v>
      </c>
      <c r="L1238" s="7" t="s">
        <v>3017</v>
      </c>
      <c r="M1238" s="5" t="s">
        <v>37</v>
      </c>
      <c r="N1238" s="5" t="s">
        <v>37</v>
      </c>
      <c r="O1238" s="5" t="s">
        <v>38</v>
      </c>
      <c r="P1238" s="2">
        <v>45945</v>
      </c>
      <c r="Q1238" s="2">
        <v>45954</v>
      </c>
      <c r="R1238" s="1" t="s">
        <v>2059</v>
      </c>
      <c r="V123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39" spans="1:22" hidden="1">
      <c r="A1239" s="2">
        <v>45940</v>
      </c>
      <c r="B1239" s="1" t="s">
        <v>3018</v>
      </c>
      <c r="C1239" s="1" t="s">
        <v>3019</v>
      </c>
      <c r="D1239" s="1" t="s">
        <v>68</v>
      </c>
      <c r="E1239" s="1">
        <v>85331</v>
      </c>
      <c r="F1239" s="1" t="s">
        <v>3002</v>
      </c>
      <c r="G1239" s="8" t="s">
        <v>2983</v>
      </c>
      <c r="H1239" s="4" t="s">
        <v>3020</v>
      </c>
      <c r="I1239" s="5" t="s">
        <v>46</v>
      </c>
      <c r="J1239" s="5" t="s">
        <v>37</v>
      </c>
      <c r="K1239" s="5" t="s">
        <v>37</v>
      </c>
      <c r="L1239" s="5" t="s">
        <v>399</v>
      </c>
      <c r="M1239" s="5" t="s">
        <v>37</v>
      </c>
      <c r="N1239" s="5" t="s">
        <v>37</v>
      </c>
      <c r="O1239" s="5" t="s">
        <v>38</v>
      </c>
      <c r="P1239" s="5" t="s">
        <v>39</v>
      </c>
      <c r="Q1239" s="2">
        <v>45954</v>
      </c>
      <c r="R1239" s="1" t="s">
        <v>3021</v>
      </c>
      <c r="V123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0" spans="1:22" hidden="1">
      <c r="A1240" s="2">
        <v>45940</v>
      </c>
      <c r="B1240" s="1" t="s">
        <v>3022</v>
      </c>
      <c r="C1240" s="1" t="s">
        <v>307</v>
      </c>
      <c r="D1240" s="1" t="s">
        <v>63</v>
      </c>
      <c r="E1240" s="1">
        <v>85050</v>
      </c>
      <c r="F1240" s="1" t="s">
        <v>3002</v>
      </c>
      <c r="G1240" s="8" t="s">
        <v>2983</v>
      </c>
      <c r="H1240" s="4" t="s">
        <v>3023</v>
      </c>
      <c r="I1240" s="5" t="s">
        <v>538</v>
      </c>
      <c r="J1240" s="5" t="s">
        <v>37</v>
      </c>
      <c r="K1240" s="5" t="s">
        <v>37</v>
      </c>
      <c r="L1240" s="5" t="s">
        <v>387</v>
      </c>
      <c r="M1240" s="5" t="s">
        <v>37</v>
      </c>
      <c r="N1240" s="5" t="s">
        <v>37</v>
      </c>
      <c r="O1240" s="5" t="s">
        <v>38</v>
      </c>
      <c r="P1240" s="5" t="s">
        <v>39</v>
      </c>
      <c r="Q1240" s="2">
        <v>45954</v>
      </c>
      <c r="V124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1" spans="1:22" hidden="1">
      <c r="A1241" s="2">
        <v>45940</v>
      </c>
      <c r="B1241" s="1" t="s">
        <v>3024</v>
      </c>
      <c r="C1241" s="1" t="s">
        <v>3025</v>
      </c>
      <c r="D1241" s="1" t="s">
        <v>125</v>
      </c>
      <c r="E1241" s="1">
        <v>85254</v>
      </c>
      <c r="F1241" s="1" t="s">
        <v>3002</v>
      </c>
      <c r="G1241" s="8" t="s">
        <v>2983</v>
      </c>
      <c r="H1241" s="4" t="s">
        <v>3026</v>
      </c>
      <c r="I1241" s="5" t="s">
        <v>196</v>
      </c>
      <c r="J1241" s="5" t="s">
        <v>37</v>
      </c>
      <c r="K1241" s="5" t="s">
        <v>37</v>
      </c>
      <c r="L1241" s="7" t="s">
        <v>3027</v>
      </c>
      <c r="M1241" s="5" t="s">
        <v>38</v>
      </c>
      <c r="N1241" s="13">
        <v>2463.12</v>
      </c>
      <c r="O1241" s="5" t="s">
        <v>38</v>
      </c>
      <c r="P1241" s="2">
        <v>45945</v>
      </c>
      <c r="Q1241" s="2">
        <v>45954</v>
      </c>
      <c r="R1241" s="1" t="s">
        <v>3028</v>
      </c>
      <c r="V124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2" spans="1:22" hidden="1">
      <c r="A1242" s="2">
        <v>45940</v>
      </c>
      <c r="B1242" s="1" t="s">
        <v>3029</v>
      </c>
      <c r="C1242" s="1" t="s">
        <v>3030</v>
      </c>
      <c r="D1242" s="1" t="s">
        <v>30</v>
      </c>
      <c r="E1242" s="1" t="s">
        <v>30</v>
      </c>
      <c r="F1242" s="1" t="s">
        <v>3031</v>
      </c>
      <c r="G1242" s="8" t="s">
        <v>2983</v>
      </c>
      <c r="H1242" s="4" t="s">
        <v>27</v>
      </c>
      <c r="V124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3" spans="1:22" hidden="1">
      <c r="A1243" s="2">
        <v>45944</v>
      </c>
      <c r="B1243" s="1" t="s">
        <v>3032</v>
      </c>
      <c r="C1243" s="1" t="s">
        <v>478</v>
      </c>
      <c r="D1243" s="1" t="s">
        <v>30</v>
      </c>
      <c r="E1243" s="1" t="s">
        <v>30</v>
      </c>
      <c r="F1243" s="1" t="s">
        <v>3033</v>
      </c>
      <c r="G1243" s="1" t="s">
        <v>3034</v>
      </c>
      <c r="H1243" s="4" t="s">
        <v>209</v>
      </c>
      <c r="V124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4" spans="1:22" hidden="1">
      <c r="A1244" s="2">
        <v>45944</v>
      </c>
      <c r="B1244" s="1" t="s">
        <v>3035</v>
      </c>
      <c r="C1244" s="1" t="s">
        <v>3036</v>
      </c>
      <c r="D1244" s="1" t="s">
        <v>63</v>
      </c>
      <c r="E1244" s="1">
        <v>85032</v>
      </c>
      <c r="F1244" s="1" t="s">
        <v>3002</v>
      </c>
      <c r="G1244" s="1" t="s">
        <v>3034</v>
      </c>
      <c r="H1244" s="4" t="s">
        <v>3037</v>
      </c>
      <c r="I1244" s="5" t="s">
        <v>36</v>
      </c>
      <c r="J1244" s="5" t="s">
        <v>37</v>
      </c>
      <c r="K1244" s="5" t="s">
        <v>37</v>
      </c>
      <c r="L1244" s="5" t="s">
        <v>1435</v>
      </c>
      <c r="M1244" s="5" t="s">
        <v>37</v>
      </c>
      <c r="N1244" s="5" t="s">
        <v>37</v>
      </c>
      <c r="O1244" s="5" t="s">
        <v>38</v>
      </c>
      <c r="P1244" s="5" t="s">
        <v>39</v>
      </c>
      <c r="Q1244" s="2">
        <v>45954</v>
      </c>
      <c r="V124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5" spans="1:22" hidden="1">
      <c r="A1245" s="2">
        <v>45944</v>
      </c>
      <c r="B1245" s="1" t="s">
        <v>3038</v>
      </c>
      <c r="C1245" s="1" t="s">
        <v>3039</v>
      </c>
      <c r="D1245" s="1" t="s">
        <v>93</v>
      </c>
      <c r="E1245" s="1">
        <v>85351</v>
      </c>
      <c r="F1245" s="1" t="s">
        <v>3040</v>
      </c>
      <c r="G1245" s="1" t="s">
        <v>3034</v>
      </c>
      <c r="H1245" s="4" t="s">
        <v>3041</v>
      </c>
      <c r="I1245" s="5" t="s">
        <v>36</v>
      </c>
      <c r="J1245" s="5" t="s">
        <v>37</v>
      </c>
      <c r="K1245" s="5" t="s">
        <v>37</v>
      </c>
      <c r="L1245" s="5" t="s">
        <v>1435</v>
      </c>
      <c r="M1245" s="5" t="s">
        <v>37</v>
      </c>
      <c r="N1245" s="5" t="s">
        <v>37</v>
      </c>
      <c r="O1245" s="5" t="s">
        <v>38</v>
      </c>
      <c r="P1245" s="5" t="s">
        <v>39</v>
      </c>
      <c r="Q1245" s="2">
        <v>45954</v>
      </c>
      <c r="V124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6" spans="1:22" hidden="1">
      <c r="A1246" s="2">
        <v>45944</v>
      </c>
      <c r="B1246" s="1" t="s">
        <v>3042</v>
      </c>
      <c r="C1246" s="1" t="s">
        <v>3011</v>
      </c>
      <c r="D1246" s="1" t="s">
        <v>93</v>
      </c>
      <c r="E1246" s="1">
        <v>85351</v>
      </c>
      <c r="F1246" s="1" t="s">
        <v>3040</v>
      </c>
      <c r="G1246" s="1" t="s">
        <v>3034</v>
      </c>
      <c r="H1246" s="4" t="s">
        <v>3041</v>
      </c>
      <c r="I1246" s="5" t="s">
        <v>36</v>
      </c>
      <c r="J1246" s="5" t="s">
        <v>37</v>
      </c>
      <c r="K1246" s="5" t="s">
        <v>37</v>
      </c>
      <c r="L1246" s="5" t="s">
        <v>1435</v>
      </c>
      <c r="M1246" s="5" t="s">
        <v>37</v>
      </c>
      <c r="N1246" s="5" t="s">
        <v>37</v>
      </c>
      <c r="O1246" s="5" t="s">
        <v>38</v>
      </c>
      <c r="P1246" s="5" t="s">
        <v>39</v>
      </c>
      <c r="Q1246" s="2">
        <v>45954</v>
      </c>
      <c r="V124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7" spans="1:22" hidden="1">
      <c r="A1247" s="2">
        <v>45944</v>
      </c>
      <c r="B1247" s="1" t="s">
        <v>3005</v>
      </c>
      <c r="C1247" s="1" t="s">
        <v>2306</v>
      </c>
      <c r="D1247" s="1" t="s">
        <v>2131</v>
      </c>
      <c r="E1247" s="1">
        <v>86325</v>
      </c>
      <c r="F1247" s="1" t="s">
        <v>3043</v>
      </c>
      <c r="G1247" s="1" t="s">
        <v>3034</v>
      </c>
      <c r="H1247" s="4" t="s">
        <v>3007</v>
      </c>
      <c r="I1247" s="5" t="s">
        <v>73</v>
      </c>
      <c r="J1247" s="5" t="s">
        <v>38</v>
      </c>
      <c r="K1247" s="5" t="s">
        <v>37</v>
      </c>
      <c r="L1247" s="5" t="s">
        <v>1284</v>
      </c>
      <c r="M1247" s="5" t="s">
        <v>37</v>
      </c>
      <c r="N1247" s="5" t="s">
        <v>37</v>
      </c>
      <c r="O1247" s="5" t="s">
        <v>38</v>
      </c>
      <c r="P1247" s="5" t="s">
        <v>39</v>
      </c>
      <c r="Q1247" s="2">
        <v>45954</v>
      </c>
      <c r="R1247" s="1" t="s">
        <v>3008</v>
      </c>
      <c r="V124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8" spans="1:22" hidden="1">
      <c r="A1248" s="2">
        <v>45944</v>
      </c>
      <c r="B1248" s="1" t="s">
        <v>2171</v>
      </c>
      <c r="C1248" s="1" t="s">
        <v>2572</v>
      </c>
      <c r="D1248" s="1" t="s">
        <v>63</v>
      </c>
      <c r="E1248" s="1">
        <v>85041</v>
      </c>
      <c r="F1248" s="1" t="s">
        <v>3002</v>
      </c>
      <c r="G1248" s="1" t="s">
        <v>3034</v>
      </c>
      <c r="H1248" s="4" t="s">
        <v>27</v>
      </c>
      <c r="V124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49" spans="1:22" hidden="1">
      <c r="A1249" s="2">
        <v>45945</v>
      </c>
      <c r="B1249" s="1" t="s">
        <v>3044</v>
      </c>
      <c r="C1249" s="1" t="s">
        <v>184</v>
      </c>
      <c r="D1249" s="1" t="s">
        <v>1929</v>
      </c>
      <c r="E1249" s="1">
        <v>85603</v>
      </c>
      <c r="F1249" s="1" t="s">
        <v>3045</v>
      </c>
      <c r="G1249" s="1" t="s">
        <v>3046</v>
      </c>
      <c r="H1249" s="4" t="s">
        <v>3047</v>
      </c>
      <c r="I1249" s="5" t="s">
        <v>196</v>
      </c>
      <c r="J1249" s="5" t="s">
        <v>37</v>
      </c>
      <c r="K1249" s="5" t="s">
        <v>37</v>
      </c>
      <c r="L1249" s="7" t="s">
        <v>3048</v>
      </c>
      <c r="M1249" s="5" t="s">
        <v>37</v>
      </c>
      <c r="N1249" s="5" t="s">
        <v>37</v>
      </c>
      <c r="O1249" s="5" t="s">
        <v>38</v>
      </c>
      <c r="P1249" s="2">
        <v>45947</v>
      </c>
      <c r="Q1249" s="2">
        <v>45954</v>
      </c>
      <c r="R1249" s="1" t="s">
        <v>3049</v>
      </c>
      <c r="V124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0" spans="1:22" hidden="1">
      <c r="A1250" s="2">
        <v>45944</v>
      </c>
      <c r="B1250" s="1" t="s">
        <v>3050</v>
      </c>
      <c r="C1250" s="1" t="s">
        <v>744</v>
      </c>
      <c r="D1250" s="1" t="s">
        <v>63</v>
      </c>
      <c r="E1250" s="1">
        <v>85032</v>
      </c>
      <c r="F1250" s="1" t="s">
        <v>3002</v>
      </c>
      <c r="G1250" s="1" t="s">
        <v>3051</v>
      </c>
      <c r="H1250" s="4" t="s">
        <v>3052</v>
      </c>
      <c r="I1250" s="5" t="s">
        <v>196</v>
      </c>
      <c r="J1250" s="5" t="s">
        <v>37</v>
      </c>
      <c r="L1250" s="5" t="s">
        <v>3053</v>
      </c>
      <c r="O1250" s="5" t="s">
        <v>38</v>
      </c>
      <c r="P1250" s="5" t="s">
        <v>39</v>
      </c>
      <c r="R1250" s="1" t="s">
        <v>3054</v>
      </c>
      <c r="V125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1" spans="1:22" hidden="1">
      <c r="A1251" s="2">
        <v>45944</v>
      </c>
      <c r="B1251" s="1" t="s">
        <v>3055</v>
      </c>
      <c r="C1251" s="1" t="s">
        <v>682</v>
      </c>
      <c r="D1251" s="1" t="s">
        <v>63</v>
      </c>
      <c r="E1251" s="1">
        <v>85015</v>
      </c>
      <c r="F1251" s="1" t="s">
        <v>3002</v>
      </c>
      <c r="G1251" s="1" t="s">
        <v>3051</v>
      </c>
      <c r="H1251" s="4" t="s">
        <v>3056</v>
      </c>
      <c r="I1251" s="5" t="s">
        <v>57</v>
      </c>
      <c r="J1251" s="5" t="s">
        <v>37</v>
      </c>
      <c r="K1251" s="5" t="s">
        <v>37</v>
      </c>
      <c r="L1251" s="7" t="s">
        <v>3057</v>
      </c>
      <c r="M1251" s="5" t="s">
        <v>37</v>
      </c>
      <c r="N1251" s="5" t="s">
        <v>37</v>
      </c>
      <c r="O1251" s="5" t="s">
        <v>38</v>
      </c>
      <c r="P1251" s="2">
        <v>45947</v>
      </c>
      <c r="Q1251" s="2">
        <v>45954</v>
      </c>
      <c r="R1251" s="1" t="s">
        <v>3058</v>
      </c>
      <c r="V125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2" spans="1:22" hidden="1">
      <c r="A1252" s="2">
        <v>45944</v>
      </c>
      <c r="B1252" s="1" t="s">
        <v>3059</v>
      </c>
      <c r="C1252" s="1" t="s">
        <v>545</v>
      </c>
      <c r="D1252" s="1" t="s">
        <v>3060</v>
      </c>
      <c r="E1252" s="1">
        <v>85602</v>
      </c>
      <c r="F1252" s="1" t="s">
        <v>3002</v>
      </c>
      <c r="G1252" s="1" t="s">
        <v>3051</v>
      </c>
      <c r="H1252" s="4" t="s">
        <v>27</v>
      </c>
      <c r="R1252" s="1" t="s">
        <v>3054</v>
      </c>
      <c r="V125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3" spans="1:22" hidden="1">
      <c r="A1253" s="2">
        <v>45944</v>
      </c>
      <c r="B1253" s="1" t="s">
        <v>3061</v>
      </c>
      <c r="C1253" s="1" t="s">
        <v>3062</v>
      </c>
      <c r="D1253" s="1" t="s">
        <v>3009</v>
      </c>
      <c r="E1253" s="1">
        <v>85747</v>
      </c>
      <c r="F1253" s="1" t="s">
        <v>3002</v>
      </c>
      <c r="G1253" s="1" t="s">
        <v>3051</v>
      </c>
      <c r="H1253" s="4" t="s">
        <v>27</v>
      </c>
      <c r="R1253" s="1" t="s">
        <v>3054</v>
      </c>
      <c r="V125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4" spans="1:22" hidden="1">
      <c r="A1254" s="2">
        <v>45944</v>
      </c>
      <c r="B1254" s="1" t="s">
        <v>3063</v>
      </c>
      <c r="C1254" s="1" t="s">
        <v>256</v>
      </c>
      <c r="D1254" s="1" t="s">
        <v>63</v>
      </c>
      <c r="E1254" s="1">
        <v>85032</v>
      </c>
      <c r="F1254" s="1" t="s">
        <v>3002</v>
      </c>
      <c r="G1254" s="1" t="s">
        <v>3051</v>
      </c>
      <c r="H1254" s="4" t="s">
        <v>27</v>
      </c>
      <c r="R1254" s="1" t="s">
        <v>3054</v>
      </c>
      <c r="V125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5" spans="1:22" hidden="1">
      <c r="A1255" s="2">
        <v>45944</v>
      </c>
      <c r="B1255" s="1" t="s">
        <v>3064</v>
      </c>
      <c r="C1255" s="1" t="s">
        <v>225</v>
      </c>
      <c r="D1255" s="1" t="s">
        <v>63</v>
      </c>
      <c r="E1255" s="1">
        <v>85032</v>
      </c>
      <c r="F1255" s="1" t="s">
        <v>3002</v>
      </c>
      <c r="G1255" s="1" t="s">
        <v>3051</v>
      </c>
      <c r="H1255" s="4" t="s">
        <v>3065</v>
      </c>
      <c r="I1255" s="5" t="s">
        <v>46</v>
      </c>
      <c r="J1255" s="5" t="s">
        <v>37</v>
      </c>
      <c r="K1255" s="5" t="s">
        <v>37</v>
      </c>
      <c r="L1255" s="5" t="s">
        <v>1435</v>
      </c>
      <c r="M1255" s="5" t="s">
        <v>37</v>
      </c>
      <c r="N1255" s="5" t="s">
        <v>37</v>
      </c>
      <c r="O1255" s="5" t="s">
        <v>38</v>
      </c>
      <c r="P1255" s="5" t="s">
        <v>39</v>
      </c>
      <c r="Q1255" s="2">
        <v>45954</v>
      </c>
      <c r="R1255" s="1" t="s">
        <v>3066</v>
      </c>
      <c r="V125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6" spans="1:22" hidden="1">
      <c r="A1256" s="2">
        <v>45944</v>
      </c>
      <c r="B1256" s="1" t="s">
        <v>167</v>
      </c>
      <c r="C1256" s="1" t="s">
        <v>3067</v>
      </c>
      <c r="D1256" s="1" t="s">
        <v>63</v>
      </c>
      <c r="E1256" s="1">
        <v>85007</v>
      </c>
      <c r="F1256" s="1" t="s">
        <v>3002</v>
      </c>
      <c r="G1256" s="1" t="s">
        <v>3051</v>
      </c>
      <c r="H1256" s="4" t="s">
        <v>3068</v>
      </c>
      <c r="I1256" s="5" t="s">
        <v>36</v>
      </c>
      <c r="J1256" s="5" t="s">
        <v>37</v>
      </c>
      <c r="K1256" s="5" t="s">
        <v>37</v>
      </c>
      <c r="L1256" s="5" t="s">
        <v>1435</v>
      </c>
      <c r="M1256" s="5" t="s">
        <v>37</v>
      </c>
      <c r="N1256" s="5" t="s">
        <v>37</v>
      </c>
      <c r="O1256" s="5" t="s">
        <v>38</v>
      </c>
      <c r="P1256" s="5" t="s">
        <v>39</v>
      </c>
      <c r="Q1256" s="2">
        <v>45954</v>
      </c>
      <c r="R1256" s="1" t="s">
        <v>3054</v>
      </c>
      <c r="V125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7" spans="1:22" hidden="1">
      <c r="A1257" s="2">
        <v>45944</v>
      </c>
      <c r="B1257" s="1" t="s">
        <v>1864</v>
      </c>
      <c r="C1257" s="1" t="s">
        <v>1608</v>
      </c>
      <c r="D1257" s="1" t="s">
        <v>3009</v>
      </c>
      <c r="E1257" s="1" t="s">
        <v>30</v>
      </c>
      <c r="F1257" s="1" t="s">
        <v>3002</v>
      </c>
      <c r="G1257" s="1" t="s">
        <v>3069</v>
      </c>
      <c r="H1257" s="4" t="s">
        <v>27</v>
      </c>
      <c r="V125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8" spans="1:22" hidden="1">
      <c r="A1258" s="2">
        <v>45944</v>
      </c>
      <c r="B1258" s="1" t="s">
        <v>3070</v>
      </c>
      <c r="C1258" s="1" t="s">
        <v>228</v>
      </c>
      <c r="D1258" s="1" t="s">
        <v>3009</v>
      </c>
      <c r="E1258" s="1" t="s">
        <v>30</v>
      </c>
      <c r="F1258" s="1" t="s">
        <v>3002</v>
      </c>
      <c r="G1258" s="1" t="s">
        <v>3069</v>
      </c>
      <c r="H1258" s="4" t="s">
        <v>27</v>
      </c>
      <c r="V125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59" spans="1:22" hidden="1">
      <c r="A1259" s="2">
        <v>45944</v>
      </c>
      <c r="B1259" s="1" t="s">
        <v>1026</v>
      </c>
      <c r="C1259" s="1" t="s">
        <v>3071</v>
      </c>
      <c r="D1259" s="1" t="s">
        <v>3009</v>
      </c>
      <c r="E1259" s="1" t="s">
        <v>30</v>
      </c>
      <c r="F1259" s="1" t="s">
        <v>3002</v>
      </c>
      <c r="G1259" s="1" t="s">
        <v>3069</v>
      </c>
      <c r="H1259" s="4" t="s">
        <v>27</v>
      </c>
      <c r="V125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0" spans="1:22" hidden="1">
      <c r="A1260" s="2">
        <v>45945</v>
      </c>
      <c r="B1260" s="1" t="s">
        <v>3072</v>
      </c>
      <c r="C1260" s="1" t="s">
        <v>438</v>
      </c>
      <c r="D1260" s="1" t="s">
        <v>3073</v>
      </c>
      <c r="E1260" s="1">
        <v>86337</v>
      </c>
      <c r="F1260" s="1" t="s">
        <v>3074</v>
      </c>
      <c r="G1260" s="1" t="s">
        <v>3075</v>
      </c>
      <c r="H1260" s="4" t="s">
        <v>3076</v>
      </c>
      <c r="I1260" s="5" t="s">
        <v>416</v>
      </c>
      <c r="J1260" s="5" t="s">
        <v>37</v>
      </c>
      <c r="K1260" s="5" t="s">
        <v>37</v>
      </c>
      <c r="L1260" s="5" t="s">
        <v>387</v>
      </c>
      <c r="M1260" s="5" t="s">
        <v>37</v>
      </c>
      <c r="N1260" s="5" t="s">
        <v>37</v>
      </c>
      <c r="O1260" s="5" t="s">
        <v>38</v>
      </c>
      <c r="P1260" s="5" t="s">
        <v>39</v>
      </c>
      <c r="Q1260" s="2">
        <v>45954</v>
      </c>
      <c r="V126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1" spans="1:22" hidden="1">
      <c r="A1261" s="2">
        <v>45945</v>
      </c>
      <c r="B1261" s="1" t="s">
        <v>3077</v>
      </c>
      <c r="C1261" s="1" t="s">
        <v>2782</v>
      </c>
      <c r="D1261" s="1" t="s">
        <v>3078</v>
      </c>
      <c r="E1261" s="1">
        <v>85650</v>
      </c>
      <c r="F1261" s="1" t="s">
        <v>3079</v>
      </c>
      <c r="G1261" s="1" t="s">
        <v>3075</v>
      </c>
      <c r="H1261" s="4" t="s">
        <v>3080</v>
      </c>
      <c r="I1261" s="5" t="s">
        <v>36</v>
      </c>
      <c r="J1261" s="5" t="s">
        <v>37</v>
      </c>
      <c r="K1261" s="5" t="s">
        <v>37</v>
      </c>
      <c r="L1261" s="5" t="s">
        <v>1435</v>
      </c>
      <c r="M1261" s="5" t="s">
        <v>37</v>
      </c>
      <c r="N1261" s="5" t="s">
        <v>37</v>
      </c>
      <c r="O1261" s="5" t="s">
        <v>38</v>
      </c>
      <c r="P1261" s="5" t="s">
        <v>39</v>
      </c>
      <c r="Q1261" s="2">
        <v>45954</v>
      </c>
      <c r="V126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2" spans="1:22" hidden="1">
      <c r="A1262" s="2">
        <v>45945</v>
      </c>
      <c r="B1262" s="1" t="s">
        <v>2171</v>
      </c>
      <c r="C1262" s="1" t="s">
        <v>2572</v>
      </c>
      <c r="D1262" s="1" t="s">
        <v>63</v>
      </c>
      <c r="E1262" s="1">
        <v>85041</v>
      </c>
      <c r="F1262" s="1" t="s">
        <v>3002</v>
      </c>
      <c r="G1262" s="1" t="s">
        <v>3075</v>
      </c>
      <c r="H1262" s="4" t="s">
        <v>27</v>
      </c>
      <c r="V126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3" spans="1:22" hidden="1">
      <c r="A1263" s="2">
        <v>45945</v>
      </c>
      <c r="B1263" s="1" t="s">
        <v>281</v>
      </c>
      <c r="C1263" s="1" t="s">
        <v>153</v>
      </c>
      <c r="D1263" s="1" t="s">
        <v>24</v>
      </c>
      <c r="E1263" s="1" t="s">
        <v>30</v>
      </c>
      <c r="F1263" s="1" t="s">
        <v>3081</v>
      </c>
      <c r="G1263" s="1" t="s">
        <v>3082</v>
      </c>
      <c r="H1263" s="4" t="s">
        <v>27</v>
      </c>
      <c r="V126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4" spans="1:22" hidden="1">
      <c r="A1264" s="2">
        <v>45946</v>
      </c>
      <c r="B1264" s="1" t="s">
        <v>3083</v>
      </c>
      <c r="C1264" s="1" t="s">
        <v>744</v>
      </c>
      <c r="D1264" s="1" t="s">
        <v>3084</v>
      </c>
      <c r="E1264" s="1">
        <v>85553</v>
      </c>
      <c r="F1264" s="1" t="s">
        <v>3085</v>
      </c>
      <c r="G1264" s="1" t="s">
        <v>3086</v>
      </c>
      <c r="H1264" s="4" t="s">
        <v>3087</v>
      </c>
      <c r="I1264" s="5" t="s">
        <v>538</v>
      </c>
      <c r="J1264" s="5" t="s">
        <v>37</v>
      </c>
      <c r="K1264" s="5" t="s">
        <v>37</v>
      </c>
      <c r="L1264" s="5" t="s">
        <v>387</v>
      </c>
      <c r="M1264" s="5" t="s">
        <v>37</v>
      </c>
      <c r="N1264" s="5" t="s">
        <v>37</v>
      </c>
      <c r="O1264" s="5" t="s">
        <v>38</v>
      </c>
      <c r="P1264" s="5" t="s">
        <v>39</v>
      </c>
      <c r="Q1264" s="2">
        <v>45954</v>
      </c>
      <c r="V126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5" spans="1:22" hidden="1">
      <c r="A1265" s="2">
        <v>45946</v>
      </c>
      <c r="B1265" s="1" t="s">
        <v>932</v>
      </c>
      <c r="C1265" s="1" t="s">
        <v>3088</v>
      </c>
      <c r="D1265" s="1" t="s">
        <v>63</v>
      </c>
      <c r="E1265" s="1">
        <v>85024</v>
      </c>
      <c r="F1265" s="1" t="s">
        <v>3089</v>
      </c>
      <c r="G1265" s="1" t="s">
        <v>3090</v>
      </c>
      <c r="H1265" s="4" t="s">
        <v>3091</v>
      </c>
      <c r="I1265" s="5" t="s">
        <v>36</v>
      </c>
      <c r="J1265" s="5" t="s">
        <v>37</v>
      </c>
      <c r="K1265" s="5" t="s">
        <v>37</v>
      </c>
      <c r="L1265" s="5" t="s">
        <v>1435</v>
      </c>
      <c r="M1265" s="5" t="s">
        <v>37</v>
      </c>
      <c r="N1265" s="5" t="s">
        <v>37</v>
      </c>
      <c r="O1265" s="5" t="s">
        <v>38</v>
      </c>
      <c r="P1265" s="5" t="s">
        <v>39</v>
      </c>
      <c r="Q1265" s="2">
        <v>45954</v>
      </c>
      <c r="V126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6" spans="1:22" hidden="1">
      <c r="A1266" s="2">
        <v>45946</v>
      </c>
      <c r="B1266" s="1" t="s">
        <v>2916</v>
      </c>
      <c r="C1266" s="1" t="s">
        <v>3092</v>
      </c>
      <c r="D1266" s="1" t="s">
        <v>807</v>
      </c>
      <c r="E1266" s="1">
        <v>86301</v>
      </c>
      <c r="F1266" s="1" t="s">
        <v>3093</v>
      </c>
      <c r="G1266" s="1" t="s">
        <v>3094</v>
      </c>
      <c r="H1266" s="4" t="s">
        <v>3095</v>
      </c>
      <c r="I1266" s="5" t="s">
        <v>36</v>
      </c>
      <c r="J1266" s="5" t="s">
        <v>37</v>
      </c>
      <c r="K1266" s="5" t="s">
        <v>37</v>
      </c>
      <c r="L1266" s="5" t="s">
        <v>1435</v>
      </c>
      <c r="M1266" s="5" t="s">
        <v>37</v>
      </c>
      <c r="N1266" s="5" t="s">
        <v>37</v>
      </c>
      <c r="O1266" s="5" t="s">
        <v>38</v>
      </c>
      <c r="P1266" s="5" t="s">
        <v>39</v>
      </c>
      <c r="Q1266" s="2">
        <v>45954</v>
      </c>
      <c r="V126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7" spans="1:22" hidden="1">
      <c r="A1267" s="2">
        <v>45946</v>
      </c>
      <c r="B1267" s="1" t="s">
        <v>3096</v>
      </c>
      <c r="C1267" s="1" t="s">
        <v>381</v>
      </c>
      <c r="D1267" s="1" t="s">
        <v>616</v>
      </c>
      <c r="E1267" s="1">
        <v>85364</v>
      </c>
      <c r="F1267" s="1" t="s">
        <v>3097</v>
      </c>
      <c r="G1267" s="1" t="s">
        <v>3094</v>
      </c>
      <c r="H1267" s="4" t="s">
        <v>3098</v>
      </c>
      <c r="I1267" s="5" t="s">
        <v>46</v>
      </c>
      <c r="J1267" s="5" t="s">
        <v>37</v>
      </c>
      <c r="K1267" s="5" t="s">
        <v>37</v>
      </c>
      <c r="L1267" s="5" t="s">
        <v>3099</v>
      </c>
      <c r="M1267" s="5" t="s">
        <v>37</v>
      </c>
      <c r="N1267" s="5" t="s">
        <v>37</v>
      </c>
      <c r="O1267" s="5" t="s">
        <v>38</v>
      </c>
      <c r="P1267" s="5" t="s">
        <v>39</v>
      </c>
      <c r="Q1267" s="2">
        <v>45954</v>
      </c>
      <c r="R1267" s="1" t="s">
        <v>3100</v>
      </c>
      <c r="V126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8" spans="1:22" hidden="1">
      <c r="A1268" s="2">
        <v>45946</v>
      </c>
      <c r="B1268" s="1" t="s">
        <v>3101</v>
      </c>
      <c r="C1268" s="1" t="s">
        <v>3102</v>
      </c>
      <c r="D1268" s="1" t="s">
        <v>632</v>
      </c>
      <c r="E1268" s="1">
        <v>85281</v>
      </c>
      <c r="F1268" s="1" t="s">
        <v>310</v>
      </c>
      <c r="G1268" s="1" t="s">
        <v>3094</v>
      </c>
      <c r="H1268" s="4" t="s">
        <v>90</v>
      </c>
      <c r="V126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69" spans="1:22" hidden="1">
      <c r="A1269" s="2">
        <v>45946</v>
      </c>
      <c r="B1269" s="1" t="s">
        <v>1039</v>
      </c>
      <c r="C1269" s="1" t="s">
        <v>933</v>
      </c>
      <c r="D1269" s="1" t="s">
        <v>63</v>
      </c>
      <c r="E1269" s="1">
        <v>85006</v>
      </c>
      <c r="F1269" s="1" t="s">
        <v>3103</v>
      </c>
      <c r="G1269" s="1" t="s">
        <v>3094</v>
      </c>
      <c r="H1269" s="4" t="s">
        <v>3104</v>
      </c>
      <c r="I1269" s="5" t="s">
        <v>538</v>
      </c>
      <c r="J1269" s="5" t="s">
        <v>37</v>
      </c>
      <c r="K1269" s="5" t="s">
        <v>37</v>
      </c>
      <c r="L1269" s="5" t="s">
        <v>387</v>
      </c>
      <c r="M1269" s="5" t="s">
        <v>37</v>
      </c>
      <c r="N1269" s="5" t="s">
        <v>37</v>
      </c>
      <c r="O1269" s="5" t="s">
        <v>38</v>
      </c>
      <c r="P1269" s="5" t="s">
        <v>39</v>
      </c>
      <c r="Q1269" s="2">
        <v>45954</v>
      </c>
      <c r="V126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0" spans="1:22" hidden="1">
      <c r="A1270" s="2">
        <v>45946</v>
      </c>
      <c r="B1270" s="1" t="s">
        <v>3105</v>
      </c>
      <c r="C1270" s="1" t="s">
        <v>3106</v>
      </c>
      <c r="D1270" s="1" t="s">
        <v>501</v>
      </c>
      <c r="E1270" s="1">
        <v>86005</v>
      </c>
      <c r="F1270" s="1" t="s">
        <v>3107</v>
      </c>
      <c r="G1270" s="1" t="s">
        <v>3094</v>
      </c>
      <c r="H1270" s="4" t="s">
        <v>3108</v>
      </c>
      <c r="I1270" s="5" t="s">
        <v>126</v>
      </c>
      <c r="J1270" s="5" t="s">
        <v>37</v>
      </c>
      <c r="K1270" s="5" t="s">
        <v>37</v>
      </c>
      <c r="L1270" s="5" t="s">
        <v>3109</v>
      </c>
      <c r="M1270" s="5" t="s">
        <v>37</v>
      </c>
      <c r="N1270" s="5" t="s">
        <v>37</v>
      </c>
      <c r="O1270" s="5" t="s">
        <v>38</v>
      </c>
      <c r="P1270" s="5" t="s">
        <v>39</v>
      </c>
      <c r="Q1270" s="2">
        <v>45954</v>
      </c>
      <c r="V127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1" spans="1:22" hidden="1">
      <c r="A1271" s="2">
        <v>45946</v>
      </c>
      <c r="B1271" s="1" t="s">
        <v>417</v>
      </c>
      <c r="C1271" s="1" t="s">
        <v>3110</v>
      </c>
      <c r="D1271" s="1" t="s">
        <v>63</v>
      </c>
      <c r="E1271" s="1">
        <v>85029</v>
      </c>
      <c r="F1271" s="1" t="s">
        <v>3111</v>
      </c>
      <c r="G1271" s="1" t="s">
        <v>3094</v>
      </c>
      <c r="H1271" s="4" t="s">
        <v>3112</v>
      </c>
      <c r="I1271" s="5" t="s">
        <v>126</v>
      </c>
      <c r="J1271" s="5" t="s">
        <v>37</v>
      </c>
      <c r="K1271" s="5" t="s">
        <v>37</v>
      </c>
      <c r="L1271" s="5" t="s">
        <v>1435</v>
      </c>
      <c r="M1271" s="5" t="s">
        <v>37</v>
      </c>
      <c r="N1271" s="5" t="s">
        <v>37</v>
      </c>
      <c r="O1271" s="5" t="s">
        <v>38</v>
      </c>
      <c r="P1271" s="5" t="s">
        <v>39</v>
      </c>
      <c r="Q1271" s="2">
        <v>45954</v>
      </c>
      <c r="V127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2" spans="1:22" hidden="1">
      <c r="A1272" s="2">
        <v>45947</v>
      </c>
      <c r="B1272" s="1" t="s">
        <v>78</v>
      </c>
      <c r="C1272" s="1" t="s">
        <v>79</v>
      </c>
      <c r="D1272" s="1" t="s">
        <v>125</v>
      </c>
      <c r="E1272" s="1">
        <v>85254</v>
      </c>
      <c r="F1272" s="1" t="s">
        <v>3113</v>
      </c>
      <c r="G1272" s="1" t="s">
        <v>3114</v>
      </c>
      <c r="H1272" s="4" t="s">
        <v>80</v>
      </c>
      <c r="I1272" s="5" t="s">
        <v>81</v>
      </c>
      <c r="J1272" s="5" t="s">
        <v>37</v>
      </c>
      <c r="K1272" s="5" t="s">
        <v>37</v>
      </c>
      <c r="L1272" s="5" t="s">
        <v>387</v>
      </c>
      <c r="M1272" s="5" t="s">
        <v>37</v>
      </c>
      <c r="N1272" s="5" t="s">
        <v>37</v>
      </c>
      <c r="O1272" s="5" t="s">
        <v>38</v>
      </c>
      <c r="P1272" s="5" t="s">
        <v>39</v>
      </c>
      <c r="Q1272" s="2">
        <v>45954</v>
      </c>
      <c r="R1272" s="1" t="s">
        <v>2406</v>
      </c>
      <c r="V127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3" spans="1:22" hidden="1">
      <c r="A1273" s="2">
        <v>45947</v>
      </c>
      <c r="B1273" s="1" t="s">
        <v>3115</v>
      </c>
      <c r="C1273" s="1" t="s">
        <v>704</v>
      </c>
      <c r="D1273" s="1" t="s">
        <v>30</v>
      </c>
      <c r="E1273" s="1" t="s">
        <v>30</v>
      </c>
      <c r="F1273" s="1" t="s">
        <v>3116</v>
      </c>
      <c r="G1273" s="1" t="s">
        <v>3114</v>
      </c>
      <c r="H1273" s="4" t="s">
        <v>90</v>
      </c>
      <c r="V127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4" spans="1:22" hidden="1">
      <c r="A1274" s="2">
        <v>45947</v>
      </c>
      <c r="B1274" s="1" t="s">
        <v>3117</v>
      </c>
      <c r="C1274" s="1" t="s">
        <v>1532</v>
      </c>
      <c r="D1274" s="1" t="s">
        <v>125</v>
      </c>
      <c r="E1274" s="1">
        <v>85254</v>
      </c>
      <c r="F1274" s="1" t="s">
        <v>3118</v>
      </c>
      <c r="G1274" s="1" t="s">
        <v>3114</v>
      </c>
      <c r="H1274" s="4" t="s">
        <v>3119</v>
      </c>
      <c r="I1274" s="5" t="s">
        <v>73</v>
      </c>
      <c r="J1274" s="5" t="s">
        <v>37</v>
      </c>
      <c r="K1274" s="5" t="s">
        <v>37</v>
      </c>
      <c r="L1274" s="5" t="s">
        <v>1435</v>
      </c>
      <c r="M1274" s="5" t="s">
        <v>37</v>
      </c>
      <c r="N1274" s="5" t="s">
        <v>37</v>
      </c>
      <c r="O1274" s="5" t="s">
        <v>38</v>
      </c>
      <c r="P1274" s="5" t="s">
        <v>39</v>
      </c>
      <c r="Q1274" s="2">
        <v>45954</v>
      </c>
      <c r="V127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5" spans="1:22" hidden="1">
      <c r="A1275" s="2">
        <v>45947</v>
      </c>
      <c r="B1275" s="1" t="s">
        <v>3120</v>
      </c>
      <c r="C1275" s="1" t="s">
        <v>572</v>
      </c>
      <c r="D1275" s="1" t="s">
        <v>3121</v>
      </c>
      <c r="F1275" s="1" t="s">
        <v>3122</v>
      </c>
      <c r="G1275" s="1" t="s">
        <v>3123</v>
      </c>
      <c r="H1275" s="4" t="s">
        <v>27</v>
      </c>
      <c r="V127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6" spans="1:22" hidden="1">
      <c r="A1276" s="2">
        <v>45947</v>
      </c>
      <c r="B1276" s="1" t="s">
        <v>3124</v>
      </c>
      <c r="C1276" s="1" t="s">
        <v>1339</v>
      </c>
      <c r="D1276" s="1" t="s">
        <v>30</v>
      </c>
      <c r="E1276" s="1" t="s">
        <v>30</v>
      </c>
      <c r="F1276" s="1" t="s">
        <v>3122</v>
      </c>
      <c r="G1276" s="1" t="s">
        <v>3123</v>
      </c>
      <c r="H1276" s="4" t="s">
        <v>27</v>
      </c>
      <c r="V127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7" spans="1:22" hidden="1">
      <c r="A1277" s="2">
        <v>45951</v>
      </c>
      <c r="B1277" s="1" t="s">
        <v>3125</v>
      </c>
      <c r="C1277" s="1" t="s">
        <v>88</v>
      </c>
      <c r="D1277" s="1" t="s">
        <v>2460</v>
      </c>
      <c r="E1277" s="1">
        <v>85344</v>
      </c>
      <c r="F1277" s="1" t="s">
        <v>3126</v>
      </c>
      <c r="G1277" s="1" t="s">
        <v>3127</v>
      </c>
      <c r="H1277" s="4" t="s">
        <v>3128</v>
      </c>
      <c r="I1277" s="5" t="s">
        <v>126</v>
      </c>
      <c r="J1277" s="5" t="s">
        <v>37</v>
      </c>
      <c r="K1277" s="5" t="s">
        <v>37</v>
      </c>
      <c r="M1277" s="5" t="s">
        <v>37</v>
      </c>
      <c r="N1277" s="5" t="s">
        <v>37</v>
      </c>
      <c r="O1277" s="5" t="s">
        <v>38</v>
      </c>
      <c r="P1277" s="5" t="s">
        <v>39</v>
      </c>
      <c r="Q1277" s="2">
        <v>45954</v>
      </c>
      <c r="R1277" s="1" t="s">
        <v>3129</v>
      </c>
      <c r="V127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8" spans="1:22" hidden="1">
      <c r="A1278" s="2">
        <v>45951</v>
      </c>
      <c r="B1278" s="1" t="s">
        <v>3130</v>
      </c>
      <c r="C1278" s="1" t="s">
        <v>526</v>
      </c>
      <c r="D1278" s="1" t="s">
        <v>202</v>
      </c>
      <c r="E1278" s="1">
        <v>85383</v>
      </c>
      <c r="F1278" s="1" t="s">
        <v>3131</v>
      </c>
      <c r="G1278" s="1" t="s">
        <v>3132</v>
      </c>
      <c r="H1278" s="4" t="s">
        <v>3133</v>
      </c>
      <c r="I1278" s="5" t="s">
        <v>36</v>
      </c>
      <c r="J1278" s="5" t="s">
        <v>37</v>
      </c>
      <c r="K1278" s="5" t="s">
        <v>37</v>
      </c>
      <c r="L1278" s="5" t="s">
        <v>1435</v>
      </c>
      <c r="M1278" s="5" t="s">
        <v>37</v>
      </c>
      <c r="N1278" s="5" t="s">
        <v>37</v>
      </c>
      <c r="O1278" s="5" t="s">
        <v>38</v>
      </c>
      <c r="P1278" s="5" t="s">
        <v>39</v>
      </c>
      <c r="Q1278" s="2">
        <v>45954</v>
      </c>
      <c r="V127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79" spans="1:22" hidden="1">
      <c r="A1279" s="2">
        <v>45951</v>
      </c>
      <c r="B1279" s="1" t="s">
        <v>3134</v>
      </c>
      <c r="C1279" s="1" t="s">
        <v>594</v>
      </c>
      <c r="D1279" s="1" t="s">
        <v>169</v>
      </c>
      <c r="E1279" s="1">
        <v>85338</v>
      </c>
      <c r="F1279" s="1" t="s">
        <v>3135</v>
      </c>
      <c r="G1279" s="1" t="s">
        <v>3132</v>
      </c>
      <c r="H1279" s="4" t="s">
        <v>3136</v>
      </c>
      <c r="I1279" s="5" t="s">
        <v>416</v>
      </c>
      <c r="J1279" s="5" t="s">
        <v>37</v>
      </c>
      <c r="K1279" s="5" t="s">
        <v>37</v>
      </c>
      <c r="L1279" s="5" t="s">
        <v>387</v>
      </c>
      <c r="M1279" s="5" t="s">
        <v>37</v>
      </c>
      <c r="N1279" s="5" t="s">
        <v>37</v>
      </c>
      <c r="O1279" s="5" t="s">
        <v>38</v>
      </c>
      <c r="P1279" s="5" t="s">
        <v>39</v>
      </c>
      <c r="Q1279" s="2">
        <v>45954</v>
      </c>
      <c r="V127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0" spans="1:22" hidden="1">
      <c r="A1280" s="2">
        <v>45951</v>
      </c>
      <c r="B1280" s="1" t="s">
        <v>3137</v>
      </c>
      <c r="C1280" s="1" t="s">
        <v>677</v>
      </c>
      <c r="D1280" s="1" t="s">
        <v>63</v>
      </c>
      <c r="E1280" s="1">
        <v>85014</v>
      </c>
      <c r="F1280" s="1" t="s">
        <v>3138</v>
      </c>
      <c r="G1280" s="1" t="s">
        <v>3139</v>
      </c>
      <c r="H1280" s="4" t="s">
        <v>90</v>
      </c>
      <c r="V128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1" spans="1:22" hidden="1">
      <c r="A1281" s="2">
        <v>45952</v>
      </c>
      <c r="B1281" s="1" t="s">
        <v>2149</v>
      </c>
      <c r="C1281" s="1" t="s">
        <v>1672</v>
      </c>
      <c r="D1281" s="1" t="s">
        <v>632</v>
      </c>
      <c r="E1281" s="1">
        <v>85282</v>
      </c>
      <c r="F1281" s="1" t="s">
        <v>3140</v>
      </c>
      <c r="G1281" s="1" t="s">
        <v>3139</v>
      </c>
      <c r="H1281" s="4" t="s">
        <v>27</v>
      </c>
      <c r="V128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2" spans="1:22" hidden="1">
      <c r="A1282" s="2">
        <v>45952</v>
      </c>
      <c r="B1282" s="1" t="s">
        <v>3141</v>
      </c>
      <c r="C1282" s="1" t="s">
        <v>3142</v>
      </c>
      <c r="D1282" s="1" t="s">
        <v>63</v>
      </c>
      <c r="E1282" s="1">
        <v>85012</v>
      </c>
      <c r="F1282" s="1" t="s">
        <v>3143</v>
      </c>
      <c r="G1282" s="1" t="s">
        <v>3139</v>
      </c>
      <c r="H1282" s="4" t="s">
        <v>3144</v>
      </c>
      <c r="I1282" s="5" t="s">
        <v>73</v>
      </c>
      <c r="J1282" s="5" t="s">
        <v>37</v>
      </c>
      <c r="K1282" s="5" t="s">
        <v>37</v>
      </c>
      <c r="L1282" s="5" t="s">
        <v>3145</v>
      </c>
      <c r="M1282" s="5" t="s">
        <v>37</v>
      </c>
      <c r="N1282" s="5" t="s">
        <v>37</v>
      </c>
      <c r="O1282" s="5" t="s">
        <v>38</v>
      </c>
      <c r="P1282" s="5" t="s">
        <v>39</v>
      </c>
      <c r="Q1282" s="2">
        <v>45954</v>
      </c>
      <c r="V128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3" spans="1:22" hidden="1">
      <c r="A1283" s="2">
        <v>45952</v>
      </c>
      <c r="B1283" s="1" t="s">
        <v>3146</v>
      </c>
      <c r="C1283" s="1" t="s">
        <v>228</v>
      </c>
      <c r="D1283" s="1" t="s">
        <v>174</v>
      </c>
      <c r="E1283" s="1">
        <v>85326</v>
      </c>
      <c r="F1283" s="1" t="s">
        <v>3147</v>
      </c>
      <c r="G1283" s="1" t="s">
        <v>3148</v>
      </c>
      <c r="H1283" s="4" t="s">
        <v>27</v>
      </c>
      <c r="Q1283" s="2"/>
      <c r="V128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4" spans="1:22" hidden="1">
      <c r="A1284" s="2">
        <v>45953</v>
      </c>
      <c r="B1284" s="1" t="s">
        <v>2177</v>
      </c>
      <c r="C1284" s="1" t="s">
        <v>1614</v>
      </c>
      <c r="D1284" s="1" t="s">
        <v>63</v>
      </c>
      <c r="E1284" s="1">
        <v>85019</v>
      </c>
      <c r="F1284" s="1" t="s">
        <v>3002</v>
      </c>
      <c r="G1284" s="1" t="s">
        <v>3148</v>
      </c>
      <c r="H1284" s="4" t="s">
        <v>90</v>
      </c>
      <c r="V128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5" spans="1:22" hidden="1">
      <c r="A1285" s="2">
        <v>45952</v>
      </c>
      <c r="B1285" s="1" t="s">
        <v>3149</v>
      </c>
      <c r="C1285" s="1" t="s">
        <v>3150</v>
      </c>
      <c r="D1285" s="1" t="s">
        <v>63</v>
      </c>
      <c r="E1285" s="1">
        <v>85023</v>
      </c>
      <c r="F1285" s="1" t="s">
        <v>3151</v>
      </c>
      <c r="G1285" s="1" t="s">
        <v>3152</v>
      </c>
      <c r="H1285" s="4" t="s">
        <v>3153</v>
      </c>
      <c r="I1285" s="5" t="s">
        <v>36</v>
      </c>
      <c r="J1285" s="5" t="s">
        <v>37</v>
      </c>
      <c r="K1285" s="5" t="s">
        <v>38</v>
      </c>
      <c r="L1285" s="5" t="s">
        <v>1435</v>
      </c>
      <c r="M1285" s="5" t="s">
        <v>37</v>
      </c>
      <c r="N1285" s="5" t="s">
        <v>37</v>
      </c>
      <c r="O1285" s="5" t="s">
        <v>38</v>
      </c>
      <c r="P1285" s="5" t="s">
        <v>39</v>
      </c>
      <c r="Q1285" s="2">
        <v>45954</v>
      </c>
      <c r="V128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6" spans="1:22" hidden="1">
      <c r="A1286" s="2">
        <v>45952</v>
      </c>
      <c r="B1286" s="1" t="s">
        <v>3154</v>
      </c>
      <c r="C1286" s="1" t="s">
        <v>2069</v>
      </c>
      <c r="D1286" s="1" t="s">
        <v>174</v>
      </c>
      <c r="E1286" s="1">
        <v>85396</v>
      </c>
      <c r="F1286" s="1" t="s">
        <v>3155</v>
      </c>
      <c r="G1286" s="1" t="s">
        <v>3156</v>
      </c>
      <c r="H1286" s="4" t="s">
        <v>6736</v>
      </c>
      <c r="I1286" s="5" t="s">
        <v>81</v>
      </c>
      <c r="J1286" s="5" t="s">
        <v>37</v>
      </c>
      <c r="K1286" s="5" t="s">
        <v>37</v>
      </c>
      <c r="L1286" s="5" t="s">
        <v>387</v>
      </c>
      <c r="M1286" s="5" t="s">
        <v>37</v>
      </c>
      <c r="N1286" s="5" t="s">
        <v>37</v>
      </c>
      <c r="O1286" s="5" t="s">
        <v>38</v>
      </c>
      <c r="P1286" s="5" t="s">
        <v>39</v>
      </c>
      <c r="Q1286" s="2">
        <v>45954</v>
      </c>
      <c r="V128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7" spans="1:22" hidden="1">
      <c r="A1287" s="2">
        <v>45952</v>
      </c>
      <c r="B1287" s="1" t="s">
        <v>614</v>
      </c>
      <c r="C1287" s="1" t="s">
        <v>3157</v>
      </c>
      <c r="D1287" s="1" t="s">
        <v>174</v>
      </c>
      <c r="E1287" s="1">
        <v>85326</v>
      </c>
      <c r="F1287" s="1" t="s">
        <v>3158</v>
      </c>
      <c r="G1287" s="1" t="s">
        <v>3156</v>
      </c>
      <c r="H1287" s="4" t="s">
        <v>209</v>
      </c>
      <c r="V128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8" spans="1:22" hidden="1">
      <c r="A1288" s="2">
        <v>45953</v>
      </c>
      <c r="B1288" s="1" t="s">
        <v>3159</v>
      </c>
      <c r="C1288" s="1" t="s">
        <v>852</v>
      </c>
      <c r="D1288" s="1" t="s">
        <v>30</v>
      </c>
      <c r="E1288" s="1" t="s">
        <v>30</v>
      </c>
      <c r="F1288" s="1" t="s">
        <v>3160</v>
      </c>
      <c r="H1288" s="4" t="s">
        <v>27</v>
      </c>
      <c r="V128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89" spans="1:22" hidden="1">
      <c r="A1289" s="2">
        <v>45953</v>
      </c>
      <c r="B1289" s="1" t="s">
        <v>3161</v>
      </c>
      <c r="C1289" s="1" t="s">
        <v>320</v>
      </c>
      <c r="D1289" s="1" t="s">
        <v>30</v>
      </c>
      <c r="E1289" s="1" t="s">
        <v>30</v>
      </c>
      <c r="F1289" s="1" t="s">
        <v>3162</v>
      </c>
      <c r="G1289" s="1" t="s">
        <v>3163</v>
      </c>
      <c r="H1289" s="4" t="s">
        <v>27</v>
      </c>
      <c r="V1289"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0" spans="1:22" hidden="1">
      <c r="A1290" s="2">
        <v>45954</v>
      </c>
      <c r="B1290" s="1" t="s">
        <v>3164</v>
      </c>
      <c r="C1290" s="1" t="s">
        <v>3165</v>
      </c>
      <c r="D1290" s="1" t="s">
        <v>174</v>
      </c>
      <c r="E1290" s="1">
        <v>85326</v>
      </c>
      <c r="F1290" s="1" t="s">
        <v>3166</v>
      </c>
      <c r="G1290" s="1" t="s">
        <v>3167</v>
      </c>
      <c r="H1290" s="4" t="s">
        <v>3168</v>
      </c>
      <c r="I1290" s="5" t="s">
        <v>46</v>
      </c>
      <c r="J1290" s="5" t="s">
        <v>37</v>
      </c>
      <c r="K1290" s="5" t="s">
        <v>37</v>
      </c>
      <c r="L1290" s="5" t="s">
        <v>1435</v>
      </c>
      <c r="M1290" s="5" t="s">
        <v>38</v>
      </c>
      <c r="N1290" s="13">
        <v>384.67</v>
      </c>
      <c r="O1290" s="5" t="s">
        <v>38</v>
      </c>
      <c r="P1290" s="5" t="s">
        <v>39</v>
      </c>
      <c r="Q1290" s="2">
        <v>45960</v>
      </c>
      <c r="V1290"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1" spans="1:22" hidden="1">
      <c r="A1291" s="2">
        <v>45954</v>
      </c>
      <c r="B1291" s="1" t="s">
        <v>3169</v>
      </c>
      <c r="C1291" s="1" t="s">
        <v>547</v>
      </c>
      <c r="D1291" s="1" t="s">
        <v>202</v>
      </c>
      <c r="E1291" s="1">
        <v>85383</v>
      </c>
      <c r="F1291" s="1" t="s">
        <v>3170</v>
      </c>
      <c r="G1291" s="1" t="s">
        <v>3167</v>
      </c>
      <c r="H1291" s="4" t="s">
        <v>3171</v>
      </c>
      <c r="I1291" s="5" t="s">
        <v>36</v>
      </c>
      <c r="J1291" s="5" t="s">
        <v>37</v>
      </c>
      <c r="K1291" s="5" t="s">
        <v>37</v>
      </c>
      <c r="L1291" s="5" t="s">
        <v>1435</v>
      </c>
      <c r="M1291" s="5" t="s">
        <v>37</v>
      </c>
      <c r="N1291" s="5" t="s">
        <v>37</v>
      </c>
      <c r="O1291" s="5" t="s">
        <v>38</v>
      </c>
      <c r="P1291" s="5" t="s">
        <v>39</v>
      </c>
      <c r="Q1291" s="2">
        <v>45960</v>
      </c>
      <c r="V1291"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2" spans="1:22" hidden="1">
      <c r="A1292" s="2">
        <v>45954</v>
      </c>
      <c r="B1292" s="1" t="s">
        <v>3172</v>
      </c>
      <c r="C1292" s="1" t="s">
        <v>478</v>
      </c>
      <c r="D1292" s="1" t="s">
        <v>169</v>
      </c>
      <c r="E1292" s="1">
        <v>85395</v>
      </c>
      <c r="F1292" s="1" t="s">
        <v>3173</v>
      </c>
      <c r="G1292" s="1" t="s">
        <v>3167</v>
      </c>
      <c r="H1292" s="4" t="s">
        <v>3174</v>
      </c>
      <c r="I1292" s="5" t="s">
        <v>416</v>
      </c>
      <c r="J1292" s="5" t="s">
        <v>37</v>
      </c>
      <c r="K1292" s="5" t="s">
        <v>37</v>
      </c>
      <c r="L1292" s="5" t="s">
        <v>387</v>
      </c>
      <c r="M1292" s="5" t="s">
        <v>37</v>
      </c>
      <c r="N1292" s="5" t="s">
        <v>37</v>
      </c>
      <c r="O1292" s="5" t="s">
        <v>38</v>
      </c>
      <c r="P1292" s="5" t="s">
        <v>39</v>
      </c>
      <c r="Q1292" s="2">
        <v>45960</v>
      </c>
      <c r="V1292"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3" spans="1:22" hidden="1">
      <c r="A1293" s="2">
        <v>45954</v>
      </c>
      <c r="B1293" s="1" t="s">
        <v>3175</v>
      </c>
      <c r="C1293" s="1" t="s">
        <v>2177</v>
      </c>
      <c r="D1293" s="1" t="s">
        <v>63</v>
      </c>
      <c r="E1293" s="1">
        <v>85003</v>
      </c>
      <c r="F1293" s="1" t="s">
        <v>2856</v>
      </c>
      <c r="G1293" s="1" t="s">
        <v>3176</v>
      </c>
      <c r="H1293" s="4" t="s">
        <v>3177</v>
      </c>
      <c r="I1293" s="5" t="s">
        <v>126</v>
      </c>
      <c r="J1293" s="5" t="s">
        <v>37</v>
      </c>
      <c r="K1293" s="5" t="s">
        <v>37</v>
      </c>
      <c r="L1293" s="5" t="s">
        <v>3178</v>
      </c>
      <c r="M1293" s="5" t="s">
        <v>38</v>
      </c>
      <c r="N1293" s="13">
        <v>398.69</v>
      </c>
      <c r="O1293" s="5" t="s">
        <v>38</v>
      </c>
      <c r="P1293" s="5" t="s">
        <v>39</v>
      </c>
      <c r="Q1293" s="2">
        <v>45960</v>
      </c>
      <c r="V1293"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4" spans="1:22" hidden="1">
      <c r="A1294" s="2">
        <v>45956</v>
      </c>
      <c r="B1294" s="1" t="s">
        <v>3179</v>
      </c>
      <c r="C1294" s="1" t="s">
        <v>687</v>
      </c>
      <c r="D1294" s="1" t="s">
        <v>63</v>
      </c>
      <c r="E1294" s="1">
        <v>85050</v>
      </c>
      <c r="F1294" s="1" t="s">
        <v>3180</v>
      </c>
      <c r="G1294" s="1" t="s">
        <v>3176</v>
      </c>
      <c r="H1294" s="4" t="s">
        <v>27</v>
      </c>
      <c r="V1294"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5" spans="1:22" hidden="1">
      <c r="A1295" s="2">
        <v>45959</v>
      </c>
      <c r="B1295" s="1" t="s">
        <v>3181</v>
      </c>
      <c r="C1295" s="1" t="s">
        <v>252</v>
      </c>
      <c r="D1295" s="1" t="s">
        <v>63</v>
      </c>
      <c r="E1295" s="1">
        <v>85086</v>
      </c>
      <c r="F1295" s="1" t="s">
        <v>3002</v>
      </c>
      <c r="G1295" s="1" t="s">
        <v>3182</v>
      </c>
      <c r="H1295" s="4" t="s">
        <v>3183</v>
      </c>
      <c r="I1295" s="5" t="s">
        <v>36</v>
      </c>
      <c r="J1295" s="5" t="s">
        <v>38</v>
      </c>
      <c r="K1295" s="5" t="s">
        <v>37</v>
      </c>
      <c r="L1295" s="5" t="s">
        <v>3184</v>
      </c>
      <c r="M1295" s="5" t="s">
        <v>38</v>
      </c>
      <c r="N1295" s="13">
        <v>318.62</v>
      </c>
      <c r="O1295" s="5" t="s">
        <v>38</v>
      </c>
      <c r="P1295" s="5" t="s">
        <v>39</v>
      </c>
      <c r="Q1295" s="2">
        <v>45960</v>
      </c>
      <c r="R1295" s="1" t="s">
        <v>2970</v>
      </c>
      <c r="V1295"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6" spans="1:22" hidden="1">
      <c r="A1296" s="2">
        <v>45959</v>
      </c>
      <c r="B1296" s="1" t="s">
        <v>1653</v>
      </c>
      <c r="C1296" s="1" t="s">
        <v>3185</v>
      </c>
      <c r="D1296" s="1" t="s">
        <v>174</v>
      </c>
      <c r="E1296" s="1">
        <v>85396</v>
      </c>
      <c r="F1296" s="1" t="s">
        <v>3002</v>
      </c>
      <c r="G1296" s="1" t="s">
        <v>3182</v>
      </c>
      <c r="H1296" s="4" t="s">
        <v>3186</v>
      </c>
      <c r="I1296" s="5" t="s">
        <v>36</v>
      </c>
      <c r="J1296" s="5" t="s">
        <v>37</v>
      </c>
      <c r="K1296" s="5" t="s">
        <v>37</v>
      </c>
      <c r="L1296" s="5" t="s">
        <v>1435</v>
      </c>
      <c r="M1296" s="5" t="s">
        <v>37</v>
      </c>
      <c r="N1296" s="5" t="s">
        <v>37</v>
      </c>
      <c r="O1296" s="5" t="s">
        <v>38</v>
      </c>
      <c r="P1296" s="5" t="s">
        <v>39</v>
      </c>
      <c r="Q1296" s="2">
        <v>45960</v>
      </c>
      <c r="R1296" s="1" t="s">
        <v>2970</v>
      </c>
      <c r="V1296"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7" spans="1:22" hidden="1">
      <c r="A1297" s="2">
        <v>45959</v>
      </c>
      <c r="B1297" s="1" t="s">
        <v>3187</v>
      </c>
      <c r="C1297" s="1" t="s">
        <v>3188</v>
      </c>
      <c r="D1297" s="1" t="s">
        <v>1098</v>
      </c>
      <c r="E1297" s="1">
        <v>85355</v>
      </c>
      <c r="F1297" s="1" t="s">
        <v>3002</v>
      </c>
      <c r="G1297" s="1" t="s">
        <v>3182</v>
      </c>
      <c r="H1297" s="4" t="s">
        <v>27</v>
      </c>
      <c r="Q1297" s="2"/>
      <c r="R1297" s="1" t="s">
        <v>2970</v>
      </c>
      <c r="V1297"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8" spans="1:22" hidden="1">
      <c r="A1298" s="2">
        <v>45959</v>
      </c>
      <c r="B1298" s="1" t="s">
        <v>3189</v>
      </c>
      <c r="C1298" s="1" t="s">
        <v>1532</v>
      </c>
      <c r="D1298" s="1" t="s">
        <v>169</v>
      </c>
      <c r="E1298" s="1">
        <v>85395</v>
      </c>
      <c r="F1298" s="1" t="s">
        <v>3002</v>
      </c>
      <c r="G1298" s="1" t="s">
        <v>3182</v>
      </c>
      <c r="H1298" s="4" t="s">
        <v>27</v>
      </c>
      <c r="Q1298" s="2"/>
      <c r="R1298" s="1" t="s">
        <v>2970</v>
      </c>
      <c r="V1298" s="45">
        <f>IF(
  OR(
    ISNUMBER(SEARCH("unable to locate acct", tblDocketedComments[[#This Row],[Docketed Consumer Comments]])),
    ISNUMBER(SEARCH("unknown", tblDocketedComments[[#This Row],[Docketed Consumer Comments]])),
    ISNUMBER(SEARCH("inactive", tblDocketedComments[[#This Row],[Docketed Consumer Comments]]))
  ),
  0,
  1
)</f>
        <v>1</v>
      </c>
    </row>
    <row r="1299" spans="1:22" hidden="1">
      <c r="A1299" s="2">
        <v>45959</v>
      </c>
      <c r="B1299" s="1" t="s">
        <v>3190</v>
      </c>
      <c r="C1299" s="1" t="s">
        <v>3191</v>
      </c>
      <c r="D1299" s="1" t="s">
        <v>112</v>
      </c>
      <c r="E1299" s="1">
        <v>85387</v>
      </c>
      <c r="F1299" s="1" t="s">
        <v>3002</v>
      </c>
      <c r="G1299" s="1" t="s">
        <v>3182</v>
      </c>
      <c r="H1299" s="4" t="s">
        <v>3192</v>
      </c>
      <c r="I1299" s="5" t="s">
        <v>36</v>
      </c>
      <c r="J1299" s="5" t="s">
        <v>37</v>
      </c>
      <c r="K1299" s="5" t="s">
        <v>37</v>
      </c>
      <c r="L1299" s="5" t="s">
        <v>1435</v>
      </c>
      <c r="M1299" s="5" t="s">
        <v>37</v>
      </c>
      <c r="N1299" s="5" t="s">
        <v>37</v>
      </c>
      <c r="O1299" s="5" t="s">
        <v>38</v>
      </c>
      <c r="P1299" s="5" t="s">
        <v>39</v>
      </c>
      <c r="Q1299" s="2">
        <v>45960</v>
      </c>
      <c r="R1299" s="1" t="s">
        <v>2970</v>
      </c>
      <c r="V12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0" spans="1:22" hidden="1">
      <c r="A1300" s="2">
        <v>45959</v>
      </c>
      <c r="B1300" s="1" t="s">
        <v>3193</v>
      </c>
      <c r="C1300" s="1" t="s">
        <v>3194</v>
      </c>
      <c r="D1300" s="1" t="s">
        <v>112</v>
      </c>
      <c r="E1300" s="1">
        <v>85379</v>
      </c>
      <c r="F1300" s="1" t="s">
        <v>3002</v>
      </c>
      <c r="G1300" s="1" t="s">
        <v>3182</v>
      </c>
      <c r="H1300" s="4" t="s">
        <v>3195</v>
      </c>
      <c r="I1300" s="5" t="s">
        <v>196</v>
      </c>
      <c r="J1300" s="5" t="s">
        <v>37</v>
      </c>
      <c r="K1300" s="5" t="s">
        <v>37</v>
      </c>
      <c r="L1300" s="5" t="s">
        <v>3196</v>
      </c>
      <c r="M1300" s="5" t="s">
        <v>37</v>
      </c>
      <c r="N1300" s="5" t="s">
        <v>37</v>
      </c>
      <c r="O1300" s="5" t="s">
        <v>38</v>
      </c>
      <c r="P1300" s="5" t="s">
        <v>39</v>
      </c>
      <c r="Q1300" s="2">
        <v>45960</v>
      </c>
      <c r="R1300" s="1" t="s">
        <v>2970</v>
      </c>
      <c r="V13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1" spans="1:22" hidden="1">
      <c r="A1301" s="2">
        <v>45959</v>
      </c>
      <c r="B1301" s="1" t="s">
        <v>3197</v>
      </c>
      <c r="C1301" s="1" t="s">
        <v>3198</v>
      </c>
      <c r="D1301" s="1" t="s">
        <v>174</v>
      </c>
      <c r="E1301" s="1">
        <v>85326</v>
      </c>
      <c r="F1301" s="1" t="s">
        <v>3002</v>
      </c>
      <c r="G1301" s="1" t="s">
        <v>3182</v>
      </c>
      <c r="H1301" s="4" t="s">
        <v>27</v>
      </c>
      <c r="Q1301" s="2"/>
      <c r="R1301" s="1" t="s">
        <v>2970</v>
      </c>
      <c r="V13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2" spans="1:22" hidden="1">
      <c r="A1302" s="2">
        <v>45959</v>
      </c>
      <c r="B1302" s="1" t="s">
        <v>3199</v>
      </c>
      <c r="C1302" s="1" t="s">
        <v>3200</v>
      </c>
      <c r="D1302" s="1" t="s">
        <v>112</v>
      </c>
      <c r="E1302" s="1">
        <v>85379</v>
      </c>
      <c r="F1302" s="1" t="s">
        <v>3002</v>
      </c>
      <c r="G1302" s="1" t="s">
        <v>3182</v>
      </c>
      <c r="H1302" s="4" t="s">
        <v>3201</v>
      </c>
      <c r="I1302" s="5" t="s">
        <v>538</v>
      </c>
      <c r="J1302" s="5" t="s">
        <v>37</v>
      </c>
      <c r="K1302" s="5" t="s">
        <v>37</v>
      </c>
      <c r="L1302" s="5" t="s">
        <v>387</v>
      </c>
      <c r="M1302" s="5" t="s">
        <v>37</v>
      </c>
      <c r="N1302" s="5" t="s">
        <v>37</v>
      </c>
      <c r="O1302" s="5" t="s">
        <v>38</v>
      </c>
      <c r="P1302" s="5" t="s">
        <v>39</v>
      </c>
      <c r="Q1302" s="2">
        <v>45960</v>
      </c>
      <c r="R1302" s="1" t="s">
        <v>2970</v>
      </c>
      <c r="V13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3" spans="1:22" hidden="1">
      <c r="A1303" s="2">
        <v>45959</v>
      </c>
      <c r="B1303" s="1" t="s">
        <v>3202</v>
      </c>
      <c r="C1303" s="1" t="s">
        <v>3203</v>
      </c>
      <c r="D1303" s="1" t="s">
        <v>240</v>
      </c>
      <c r="E1303" s="1">
        <v>85340</v>
      </c>
      <c r="F1303" s="1" t="s">
        <v>3002</v>
      </c>
      <c r="G1303" s="1" t="s">
        <v>3182</v>
      </c>
      <c r="H1303" s="4" t="s">
        <v>27</v>
      </c>
      <c r="Q1303" s="2"/>
      <c r="R1303" s="1" t="s">
        <v>2970</v>
      </c>
      <c r="V13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4" spans="1:22" ht="11.1" hidden="1" customHeight="1">
      <c r="A1304" s="2">
        <v>45959</v>
      </c>
      <c r="B1304" s="1" t="s">
        <v>2916</v>
      </c>
      <c r="C1304" s="1" t="s">
        <v>1110</v>
      </c>
      <c r="D1304" s="1" t="s">
        <v>63</v>
      </c>
      <c r="E1304" s="1">
        <v>85020</v>
      </c>
      <c r="F1304" s="1" t="s">
        <v>3002</v>
      </c>
      <c r="G1304" s="1" t="s">
        <v>3204</v>
      </c>
      <c r="H1304" s="4" t="s">
        <v>3205</v>
      </c>
      <c r="I1304" s="5" t="s">
        <v>73</v>
      </c>
      <c r="J1304" s="5" t="s">
        <v>37</v>
      </c>
      <c r="K1304" s="5" t="s">
        <v>37</v>
      </c>
      <c r="L1304" s="5" t="s">
        <v>1435</v>
      </c>
      <c r="M1304" s="5" t="s">
        <v>37</v>
      </c>
      <c r="N1304" s="5" t="s">
        <v>37</v>
      </c>
      <c r="O1304" s="5" t="s">
        <v>38</v>
      </c>
      <c r="P1304" s="5" t="s">
        <v>39</v>
      </c>
      <c r="Q1304" s="2">
        <v>45960</v>
      </c>
      <c r="V13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5" spans="1:22" hidden="1">
      <c r="A1305" s="2">
        <v>45959</v>
      </c>
      <c r="B1305" s="1" t="s">
        <v>3206</v>
      </c>
      <c r="C1305" s="1" t="s">
        <v>3207</v>
      </c>
      <c r="D1305" s="1" t="s">
        <v>174</v>
      </c>
      <c r="E1305" s="1">
        <v>85396</v>
      </c>
      <c r="F1305" s="1" t="s">
        <v>3208</v>
      </c>
      <c r="G1305" s="1" t="s">
        <v>3209</v>
      </c>
      <c r="H1305" s="4" t="s">
        <v>3210</v>
      </c>
      <c r="I1305" s="5" t="s">
        <v>36</v>
      </c>
      <c r="J1305" s="5" t="s">
        <v>37</v>
      </c>
      <c r="K1305" s="5" t="s">
        <v>37</v>
      </c>
      <c r="L1305" s="5" t="s">
        <v>1435</v>
      </c>
      <c r="M1305" s="5" t="s">
        <v>37</v>
      </c>
      <c r="N1305" s="5" t="s">
        <v>37</v>
      </c>
      <c r="O1305" s="5" t="s">
        <v>38</v>
      </c>
      <c r="P1305" s="5" t="s">
        <v>39</v>
      </c>
      <c r="Q1305" s="2">
        <v>45960</v>
      </c>
      <c r="V13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6" spans="1:22" hidden="1">
      <c r="A1306" s="2">
        <v>45961</v>
      </c>
      <c r="B1306" s="1" t="s">
        <v>3211</v>
      </c>
      <c r="C1306" s="1" t="s">
        <v>184</v>
      </c>
      <c r="D1306" s="1" t="s">
        <v>174</v>
      </c>
      <c r="E1306" s="1">
        <v>85396</v>
      </c>
      <c r="F1306" s="1" t="s">
        <v>3002</v>
      </c>
      <c r="G1306" s="1" t="s">
        <v>3212</v>
      </c>
      <c r="H1306" s="4" t="s">
        <v>27</v>
      </c>
      <c r="Q1306" s="2"/>
      <c r="R1306" s="1" t="s">
        <v>2970</v>
      </c>
      <c r="V13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7" spans="1:22" hidden="1">
      <c r="A1307" s="2">
        <v>45961</v>
      </c>
      <c r="B1307" s="1" t="s">
        <v>3213</v>
      </c>
      <c r="C1307" s="1" t="s">
        <v>3214</v>
      </c>
      <c r="D1307" s="1" t="s">
        <v>174</v>
      </c>
      <c r="E1307" s="1">
        <v>85326</v>
      </c>
      <c r="F1307" s="1" t="s">
        <v>3002</v>
      </c>
      <c r="G1307" s="1" t="s">
        <v>3212</v>
      </c>
      <c r="H1307" s="4" t="s">
        <v>27</v>
      </c>
      <c r="Q1307" s="2"/>
      <c r="R1307" s="1" t="s">
        <v>2970</v>
      </c>
      <c r="V13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8" spans="1:22" hidden="1">
      <c r="A1308" s="2">
        <v>45961</v>
      </c>
      <c r="B1308" s="1" t="s">
        <v>1509</v>
      </c>
      <c r="C1308" s="1" t="s">
        <v>786</v>
      </c>
      <c r="D1308" s="1" t="s">
        <v>63</v>
      </c>
      <c r="E1308" s="1">
        <v>85083</v>
      </c>
      <c r="F1308" s="1" t="s">
        <v>3002</v>
      </c>
      <c r="G1308" s="1" t="s">
        <v>3212</v>
      </c>
      <c r="H1308" s="4" t="s">
        <v>3215</v>
      </c>
      <c r="I1308" s="5" t="s">
        <v>243</v>
      </c>
      <c r="J1308" s="5" t="s">
        <v>37</v>
      </c>
      <c r="K1308" s="5" t="s">
        <v>37</v>
      </c>
      <c r="L1308" s="5" t="s">
        <v>387</v>
      </c>
      <c r="M1308" s="5" t="s">
        <v>37</v>
      </c>
      <c r="N1308" s="5" t="s">
        <v>37</v>
      </c>
      <c r="O1308" s="5" t="s">
        <v>38</v>
      </c>
      <c r="P1308" s="5" t="s">
        <v>39</v>
      </c>
      <c r="Q1308" s="2">
        <v>45961</v>
      </c>
      <c r="R1308" s="1" t="s">
        <v>2970</v>
      </c>
      <c r="V13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09" spans="1:22" hidden="1">
      <c r="A1309" s="2">
        <v>45961</v>
      </c>
      <c r="B1309" s="1" t="s">
        <v>366</v>
      </c>
      <c r="C1309" s="1" t="s">
        <v>3216</v>
      </c>
      <c r="D1309" s="1" t="s">
        <v>1816</v>
      </c>
      <c r="E1309" s="1">
        <v>85128</v>
      </c>
      <c r="F1309" s="1" t="s">
        <v>3002</v>
      </c>
      <c r="G1309" s="1" t="s">
        <v>3212</v>
      </c>
      <c r="H1309" s="4" t="s">
        <v>3217</v>
      </c>
      <c r="I1309" s="5" t="s">
        <v>36</v>
      </c>
      <c r="J1309" s="5" t="s">
        <v>37</v>
      </c>
      <c r="K1309" s="5" t="s">
        <v>37</v>
      </c>
      <c r="L1309" s="5" t="s">
        <v>1435</v>
      </c>
      <c r="M1309" s="5" t="s">
        <v>37</v>
      </c>
      <c r="N1309" s="5" t="s">
        <v>37</v>
      </c>
      <c r="O1309" s="5" t="s">
        <v>38</v>
      </c>
      <c r="P1309" s="5" t="s">
        <v>39</v>
      </c>
      <c r="Q1309" s="2">
        <v>45961</v>
      </c>
      <c r="R1309" s="1" t="s">
        <v>2970</v>
      </c>
      <c r="V13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0" spans="1:22" hidden="1">
      <c r="A1310" s="2">
        <v>45961</v>
      </c>
      <c r="B1310" s="1" t="s">
        <v>683</v>
      </c>
      <c r="C1310" s="1" t="s">
        <v>645</v>
      </c>
      <c r="D1310" s="1" t="s">
        <v>202</v>
      </c>
      <c r="E1310" s="1">
        <v>85382</v>
      </c>
      <c r="F1310" s="1" t="s">
        <v>3002</v>
      </c>
      <c r="G1310" s="1" t="s">
        <v>3212</v>
      </c>
      <c r="H1310" s="4" t="s">
        <v>3218</v>
      </c>
      <c r="I1310" s="5" t="s">
        <v>36</v>
      </c>
      <c r="J1310" s="5" t="s">
        <v>37</v>
      </c>
      <c r="K1310" s="5" t="s">
        <v>37</v>
      </c>
      <c r="L1310" s="5" t="s">
        <v>1435</v>
      </c>
      <c r="M1310" s="5" t="s">
        <v>37</v>
      </c>
      <c r="N1310" s="5" t="s">
        <v>37</v>
      </c>
      <c r="O1310" s="5" t="s">
        <v>38</v>
      </c>
      <c r="P1310" s="5" t="s">
        <v>39</v>
      </c>
      <c r="Q1310" s="2">
        <v>45961</v>
      </c>
      <c r="R1310" s="1" t="s">
        <v>2970</v>
      </c>
      <c r="V13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1" spans="1:22" hidden="1">
      <c r="A1311" s="2">
        <v>45961</v>
      </c>
      <c r="B1311" s="1" t="s">
        <v>3219</v>
      </c>
      <c r="C1311" s="1" t="s">
        <v>1753</v>
      </c>
      <c r="D1311" s="1" t="s">
        <v>174</v>
      </c>
      <c r="E1311" s="1">
        <v>85396</v>
      </c>
      <c r="F1311" s="1" t="s">
        <v>3002</v>
      </c>
      <c r="G1311" s="1" t="s">
        <v>3212</v>
      </c>
      <c r="H1311" s="4" t="s">
        <v>27</v>
      </c>
      <c r="Q1311" s="2"/>
      <c r="R1311" s="1" t="s">
        <v>2970</v>
      </c>
      <c r="V13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2" spans="1:22" hidden="1">
      <c r="A1312" s="2">
        <v>45961</v>
      </c>
      <c r="B1312" s="1" t="s">
        <v>3219</v>
      </c>
      <c r="C1312" s="1" t="s">
        <v>1562</v>
      </c>
      <c r="D1312" s="1" t="s">
        <v>174</v>
      </c>
      <c r="E1312" s="1">
        <v>85396</v>
      </c>
      <c r="F1312" s="1" t="s">
        <v>3002</v>
      </c>
      <c r="G1312" s="1" t="s">
        <v>3212</v>
      </c>
      <c r="H1312" s="4" t="s">
        <v>27</v>
      </c>
      <c r="Q1312" s="2"/>
      <c r="R1312" s="1" t="s">
        <v>2970</v>
      </c>
      <c r="V13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3" spans="1:22" hidden="1">
      <c r="A1313" s="2">
        <v>45961</v>
      </c>
      <c r="B1313" s="1" t="s">
        <v>3220</v>
      </c>
      <c r="C1313" s="1" t="s">
        <v>3221</v>
      </c>
      <c r="D1313" s="1" t="s">
        <v>174</v>
      </c>
      <c r="E1313" s="1">
        <v>85326</v>
      </c>
      <c r="F1313" s="1" t="s">
        <v>3002</v>
      </c>
      <c r="G1313" s="1" t="s">
        <v>3212</v>
      </c>
      <c r="H1313" s="4" t="s">
        <v>3222</v>
      </c>
      <c r="I1313" s="5" t="s">
        <v>3223</v>
      </c>
      <c r="J1313" s="5" t="s">
        <v>38</v>
      </c>
      <c r="K1313" s="5" t="s">
        <v>37</v>
      </c>
      <c r="L1313" s="5" t="s">
        <v>387</v>
      </c>
      <c r="M1313" s="5" t="s">
        <v>37</v>
      </c>
      <c r="N1313" s="5" t="s">
        <v>37</v>
      </c>
      <c r="O1313" s="5" t="s">
        <v>38</v>
      </c>
      <c r="P1313" s="5" t="s">
        <v>39</v>
      </c>
      <c r="Q1313" s="2">
        <v>45961</v>
      </c>
      <c r="R1313" s="1" t="s">
        <v>2970</v>
      </c>
      <c r="V13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4" spans="1:22" hidden="1">
      <c r="A1314" s="2">
        <v>45959</v>
      </c>
      <c r="B1314" s="1" t="s">
        <v>3224</v>
      </c>
      <c r="C1314" s="1" t="s">
        <v>3225</v>
      </c>
      <c r="D1314" s="1" t="s">
        <v>63</v>
      </c>
      <c r="E1314" s="1">
        <v>85032</v>
      </c>
      <c r="F1314" s="1" t="s">
        <v>3226</v>
      </c>
      <c r="G1314" s="1" t="s">
        <v>3227</v>
      </c>
      <c r="H1314" s="4" t="s">
        <v>3228</v>
      </c>
      <c r="I1314" s="5" t="s">
        <v>126</v>
      </c>
      <c r="J1314" s="5" t="s">
        <v>37</v>
      </c>
      <c r="K1314" s="5" t="s">
        <v>37</v>
      </c>
      <c r="L1314" s="5" t="s">
        <v>399</v>
      </c>
      <c r="M1314" s="5" t="s">
        <v>37</v>
      </c>
      <c r="N1314" s="5" t="s">
        <v>37</v>
      </c>
      <c r="O1314" s="5" t="s">
        <v>38</v>
      </c>
      <c r="P1314" s="5" t="s">
        <v>39</v>
      </c>
      <c r="Q1314" s="2">
        <v>45964</v>
      </c>
      <c r="V13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5" spans="1:22" hidden="1">
      <c r="A1315" s="2">
        <v>45961</v>
      </c>
      <c r="B1315" s="1" t="s">
        <v>3229</v>
      </c>
      <c r="C1315" s="1" t="s">
        <v>1924</v>
      </c>
      <c r="D1315" s="1" t="s">
        <v>63</v>
      </c>
      <c r="E1315" s="1">
        <v>85050</v>
      </c>
      <c r="F1315" s="1" t="s">
        <v>3002</v>
      </c>
      <c r="G1315" s="1" t="s">
        <v>3227</v>
      </c>
      <c r="H1315" s="4" t="s">
        <v>3230</v>
      </c>
      <c r="I1315" s="5" t="s">
        <v>126</v>
      </c>
      <c r="J1315" s="5" t="s">
        <v>37</v>
      </c>
      <c r="K1315" s="5" t="s">
        <v>37</v>
      </c>
      <c r="L1315" s="5" t="s">
        <v>38</v>
      </c>
      <c r="M1315" s="5" t="s">
        <v>38</v>
      </c>
      <c r="N1315" s="13">
        <v>302.06</v>
      </c>
      <c r="O1315" s="5" t="s">
        <v>38</v>
      </c>
      <c r="P1315" s="5" t="s">
        <v>39</v>
      </c>
      <c r="Q1315" s="2">
        <v>45964</v>
      </c>
      <c r="V13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6" spans="1:22" ht="14.1" hidden="1" customHeight="1">
      <c r="A1316" s="2">
        <v>45959</v>
      </c>
      <c r="B1316" s="1" t="s">
        <v>3231</v>
      </c>
      <c r="C1316" s="1" t="s">
        <v>3232</v>
      </c>
      <c r="D1316" s="1" t="s">
        <v>63</v>
      </c>
      <c r="E1316" s="1">
        <v>85032</v>
      </c>
      <c r="F1316" s="1" t="s">
        <v>3226</v>
      </c>
      <c r="G1316" s="1" t="s">
        <v>3227</v>
      </c>
      <c r="H1316" s="4" t="s">
        <v>3228</v>
      </c>
      <c r="I1316" s="5" t="s">
        <v>126</v>
      </c>
      <c r="J1316" s="5" t="s">
        <v>37</v>
      </c>
      <c r="K1316" s="5" t="s">
        <v>37</v>
      </c>
      <c r="L1316" s="5" t="s">
        <v>399</v>
      </c>
      <c r="M1316" s="5" t="s">
        <v>37</v>
      </c>
      <c r="N1316" s="5" t="s">
        <v>37</v>
      </c>
      <c r="O1316" s="5" t="s">
        <v>38</v>
      </c>
      <c r="P1316" s="5" t="s">
        <v>39</v>
      </c>
      <c r="Q1316" s="2">
        <v>45964</v>
      </c>
      <c r="V13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7" spans="1:22" hidden="1">
      <c r="A1317" s="2">
        <v>45961</v>
      </c>
      <c r="B1317" s="1" t="s">
        <v>3233</v>
      </c>
      <c r="C1317" s="1" t="s">
        <v>1697</v>
      </c>
      <c r="D1317" s="1" t="s">
        <v>1681</v>
      </c>
      <c r="E1317" s="1">
        <v>85208</v>
      </c>
      <c r="F1317" s="1" t="s">
        <v>3002</v>
      </c>
      <c r="G1317" s="1" t="s">
        <v>3227</v>
      </c>
      <c r="H1317" s="4" t="s">
        <v>27</v>
      </c>
      <c r="V13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8" spans="1:22" hidden="1">
      <c r="A1318" s="2">
        <v>45959</v>
      </c>
      <c r="B1318" s="1" t="s">
        <v>2315</v>
      </c>
      <c r="C1318" s="1" t="s">
        <v>2017</v>
      </c>
      <c r="D1318" s="1" t="s">
        <v>89</v>
      </c>
      <c r="E1318" s="1">
        <v>86351</v>
      </c>
      <c r="F1318" s="1" t="s">
        <v>3234</v>
      </c>
      <c r="G1318" s="1" t="s">
        <v>3227</v>
      </c>
      <c r="H1318" s="4" t="s">
        <v>2317</v>
      </c>
      <c r="I1318" s="5" t="s">
        <v>57</v>
      </c>
      <c r="J1318" s="5" t="s">
        <v>37</v>
      </c>
      <c r="K1318" s="5" t="s">
        <v>37</v>
      </c>
      <c r="L1318" s="7" t="s">
        <v>2318</v>
      </c>
      <c r="M1318" s="5" t="s">
        <v>37</v>
      </c>
      <c r="N1318" s="5" t="s">
        <v>37</v>
      </c>
      <c r="O1318" s="5" t="s">
        <v>38</v>
      </c>
      <c r="P1318" s="2">
        <v>45971</v>
      </c>
      <c r="Q1318" s="2">
        <v>45964</v>
      </c>
      <c r="R1318" s="1" t="s">
        <v>1861</v>
      </c>
      <c r="V13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19" spans="1:22" hidden="1">
      <c r="A1319" s="2">
        <v>45959</v>
      </c>
      <c r="B1319" s="1" t="s">
        <v>3235</v>
      </c>
      <c r="C1319" s="1" t="s">
        <v>3236</v>
      </c>
      <c r="D1319" s="1" t="s">
        <v>63</v>
      </c>
      <c r="E1319" s="1">
        <v>85085</v>
      </c>
      <c r="F1319" s="1" t="s">
        <v>3237</v>
      </c>
      <c r="G1319" s="1" t="s">
        <v>3227</v>
      </c>
      <c r="H1319" s="4" t="s">
        <v>3238</v>
      </c>
      <c r="I1319" s="5" t="s">
        <v>36</v>
      </c>
      <c r="J1319" s="5" t="s">
        <v>37</v>
      </c>
      <c r="K1319" s="5" t="s">
        <v>37</v>
      </c>
      <c r="L1319" s="5" t="s">
        <v>38</v>
      </c>
      <c r="M1319" s="5" t="s">
        <v>37</v>
      </c>
      <c r="N1319" s="5" t="s">
        <v>37</v>
      </c>
      <c r="O1319" s="5" t="s">
        <v>38</v>
      </c>
      <c r="P1319" s="5" t="s">
        <v>39</v>
      </c>
      <c r="Q1319" s="2">
        <v>45964</v>
      </c>
      <c r="V13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0" spans="1:22" hidden="1">
      <c r="A1320" s="2">
        <v>45961</v>
      </c>
      <c r="B1320" s="1" t="s">
        <v>3239</v>
      </c>
      <c r="C1320" s="1" t="s">
        <v>1500</v>
      </c>
      <c r="D1320" s="1" t="s">
        <v>3009</v>
      </c>
      <c r="E1320" s="1">
        <v>85730</v>
      </c>
      <c r="F1320" s="1" t="s">
        <v>3002</v>
      </c>
      <c r="G1320" s="1" t="s">
        <v>3227</v>
      </c>
      <c r="H1320" s="4" t="s">
        <v>27</v>
      </c>
      <c r="V13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1" spans="1:22" hidden="1">
      <c r="A1321" s="2">
        <v>45961</v>
      </c>
      <c r="B1321" s="1" t="s">
        <v>3240</v>
      </c>
      <c r="C1321" s="1" t="s">
        <v>3241</v>
      </c>
      <c r="D1321" s="1" t="s">
        <v>30</v>
      </c>
      <c r="F1321" s="1" t="s">
        <v>3242</v>
      </c>
      <c r="G1321" s="1" t="s">
        <v>3227</v>
      </c>
      <c r="H1321" s="4" t="s">
        <v>27</v>
      </c>
      <c r="V13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2" spans="1:22" hidden="1">
      <c r="A1322" s="2">
        <v>45961</v>
      </c>
      <c r="B1322" s="1" t="s">
        <v>167</v>
      </c>
      <c r="C1322" s="1" t="s">
        <v>500</v>
      </c>
      <c r="D1322" s="1" t="s">
        <v>30</v>
      </c>
      <c r="F1322" s="1" t="s">
        <v>3243</v>
      </c>
      <c r="G1322" s="1" t="s">
        <v>3227</v>
      </c>
      <c r="H1322" s="4" t="s">
        <v>209</v>
      </c>
      <c r="V13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3" spans="1:22" hidden="1">
      <c r="A1323" s="2">
        <v>45961</v>
      </c>
      <c r="B1323" s="1" t="s">
        <v>3244</v>
      </c>
      <c r="C1323" s="1" t="s">
        <v>79</v>
      </c>
      <c r="D1323" s="1" t="s">
        <v>3009</v>
      </c>
      <c r="E1323" s="1">
        <v>85745</v>
      </c>
      <c r="F1323" s="1" t="s">
        <v>3002</v>
      </c>
      <c r="G1323" s="1" t="s">
        <v>3227</v>
      </c>
      <c r="H1323" s="4" t="s">
        <v>27</v>
      </c>
      <c r="V13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4" spans="1:22" hidden="1">
      <c r="A1324" s="2">
        <v>45961</v>
      </c>
      <c r="B1324" s="1" t="s">
        <v>3245</v>
      </c>
      <c r="C1324" s="1" t="s">
        <v>478</v>
      </c>
      <c r="D1324" s="1" t="s">
        <v>695</v>
      </c>
      <c r="E1324" s="1">
        <v>85375</v>
      </c>
      <c r="F1324" s="1" t="s">
        <v>3246</v>
      </c>
      <c r="G1324" s="1" t="s">
        <v>3247</v>
      </c>
      <c r="H1324" s="4" t="s">
        <v>3248</v>
      </c>
      <c r="I1324" s="5" t="s">
        <v>538</v>
      </c>
      <c r="J1324" s="5" t="s">
        <v>37</v>
      </c>
      <c r="K1324" s="5" t="s">
        <v>37</v>
      </c>
      <c r="L1324" s="5" t="s">
        <v>387</v>
      </c>
      <c r="M1324" s="5" t="s">
        <v>37</v>
      </c>
      <c r="N1324" s="5" t="s">
        <v>37</v>
      </c>
      <c r="O1324" s="5" t="s">
        <v>38</v>
      </c>
      <c r="P1324" s="5" t="s">
        <v>39</v>
      </c>
      <c r="Q1324" s="2">
        <v>45964</v>
      </c>
      <c r="R1324" s="1" t="s">
        <v>3249</v>
      </c>
      <c r="V13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5" spans="1:22" hidden="1">
      <c r="A1325" s="2">
        <v>45961</v>
      </c>
      <c r="B1325" s="1" t="s">
        <v>996</v>
      </c>
      <c r="C1325" s="1" t="s">
        <v>730</v>
      </c>
      <c r="D1325" s="1" t="s">
        <v>24</v>
      </c>
      <c r="E1325" s="1">
        <v>85308</v>
      </c>
      <c r="F1325" s="1" t="s">
        <v>3250</v>
      </c>
      <c r="G1325" s="1" t="s">
        <v>3251</v>
      </c>
      <c r="H1325" s="4" t="s">
        <v>27</v>
      </c>
      <c r="V13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6" spans="1:22" hidden="1">
      <c r="A1326" s="2">
        <v>45961</v>
      </c>
      <c r="B1326" s="1" t="s">
        <v>3252</v>
      </c>
      <c r="C1326" s="1" t="s">
        <v>3253</v>
      </c>
      <c r="D1326" s="1" t="s">
        <v>63</v>
      </c>
      <c r="E1326" s="1">
        <v>85086</v>
      </c>
      <c r="F1326" s="1" t="s">
        <v>3002</v>
      </c>
      <c r="G1326" s="1" t="s">
        <v>3254</v>
      </c>
      <c r="H1326" s="4" t="s">
        <v>27</v>
      </c>
      <c r="V13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7" spans="1:22" hidden="1">
      <c r="A1327" s="2">
        <v>45961</v>
      </c>
      <c r="B1327" s="1" t="s">
        <v>1039</v>
      </c>
      <c r="C1327" s="1" t="s">
        <v>211</v>
      </c>
      <c r="D1327" s="1" t="s">
        <v>169</v>
      </c>
      <c r="E1327" s="1">
        <v>85338</v>
      </c>
      <c r="F1327" s="1" t="s">
        <v>3255</v>
      </c>
      <c r="G1327" s="1" t="s">
        <v>3254</v>
      </c>
      <c r="H1327" s="4" t="s">
        <v>209</v>
      </c>
      <c r="V132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8" spans="1:22" hidden="1">
      <c r="A1328" s="2">
        <v>45961</v>
      </c>
      <c r="B1328" s="1" t="s">
        <v>3256</v>
      </c>
      <c r="C1328" s="1" t="s">
        <v>230</v>
      </c>
      <c r="D1328" s="1" t="s">
        <v>30</v>
      </c>
      <c r="E1328" s="1" t="s">
        <v>30</v>
      </c>
      <c r="F1328" s="1" t="s">
        <v>3257</v>
      </c>
      <c r="G1328" s="1" t="s">
        <v>3254</v>
      </c>
      <c r="H1328" s="4" t="s">
        <v>3258</v>
      </c>
      <c r="I1328" s="5" t="s">
        <v>126</v>
      </c>
      <c r="J1328" s="5" t="s">
        <v>37</v>
      </c>
      <c r="K1328" s="5" t="s">
        <v>37</v>
      </c>
      <c r="L1328" s="5" t="s">
        <v>38</v>
      </c>
      <c r="M1328" s="5" t="s">
        <v>37</v>
      </c>
      <c r="N1328" s="5" t="s">
        <v>37</v>
      </c>
      <c r="O1328" s="5" t="s">
        <v>38</v>
      </c>
      <c r="P1328" s="5" t="s">
        <v>39</v>
      </c>
      <c r="Q1328" s="2">
        <v>45965</v>
      </c>
      <c r="V132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29" spans="1:22" hidden="1">
      <c r="A1329" s="2">
        <v>45961</v>
      </c>
      <c r="B1329" s="1" t="s">
        <v>1573</v>
      </c>
      <c r="C1329" s="1" t="s">
        <v>3259</v>
      </c>
      <c r="D1329" s="1" t="s">
        <v>125</v>
      </c>
      <c r="E1329" s="1">
        <v>85266</v>
      </c>
      <c r="F1329" s="1" t="s">
        <v>3260</v>
      </c>
      <c r="G1329" s="1" t="s">
        <v>3254</v>
      </c>
      <c r="H1329" s="4" t="s">
        <v>27</v>
      </c>
      <c r="V132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0" spans="1:22" hidden="1">
      <c r="A1330" s="2">
        <v>45961</v>
      </c>
      <c r="B1330" s="1" t="s">
        <v>2495</v>
      </c>
      <c r="C1330" s="1" t="s">
        <v>3261</v>
      </c>
      <c r="D1330" s="1" t="s">
        <v>24</v>
      </c>
      <c r="E1330" s="1">
        <v>85310</v>
      </c>
      <c r="F1330" s="1" t="s">
        <v>3002</v>
      </c>
      <c r="G1330" s="1" t="s">
        <v>3262</v>
      </c>
      <c r="H1330" s="4" t="s">
        <v>3263</v>
      </c>
      <c r="I1330" s="5" t="s">
        <v>46</v>
      </c>
      <c r="J1330" s="5" t="s">
        <v>37</v>
      </c>
      <c r="K1330" s="5" t="s">
        <v>37</v>
      </c>
      <c r="L1330" s="5" t="s">
        <v>38</v>
      </c>
      <c r="M1330" s="5" t="s">
        <v>37</v>
      </c>
      <c r="N1330" s="5" t="s">
        <v>37</v>
      </c>
      <c r="O1330" s="5" t="s">
        <v>38</v>
      </c>
      <c r="P1330" s="5" t="s">
        <v>39</v>
      </c>
      <c r="Q1330" s="2">
        <v>45965</v>
      </c>
      <c r="V133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1" spans="1:22" hidden="1">
      <c r="A1331" s="2">
        <v>45964</v>
      </c>
      <c r="B1331" s="1" t="s">
        <v>210</v>
      </c>
      <c r="C1331" s="1" t="s">
        <v>211</v>
      </c>
      <c r="D1331" s="1" t="s">
        <v>85</v>
      </c>
      <c r="E1331" s="1">
        <v>86323</v>
      </c>
      <c r="F1331" s="1" t="s">
        <v>3264</v>
      </c>
      <c r="G1331" s="1" t="s">
        <v>3262</v>
      </c>
      <c r="H1331" s="4" t="s">
        <v>213</v>
      </c>
      <c r="I1331" s="5" t="s">
        <v>73</v>
      </c>
      <c r="J1331" s="5" t="s">
        <v>37</v>
      </c>
      <c r="K1331" s="5" t="s">
        <v>37</v>
      </c>
      <c r="L1331" s="5" t="s">
        <v>38</v>
      </c>
      <c r="M1331" s="5" t="s">
        <v>37</v>
      </c>
      <c r="N1331" s="5" t="s">
        <v>37</v>
      </c>
      <c r="O1331" s="5" t="s">
        <v>38</v>
      </c>
      <c r="P1331" s="5" t="s">
        <v>39</v>
      </c>
      <c r="Q1331" s="2">
        <v>45965</v>
      </c>
      <c r="V133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2" spans="1:22" hidden="1">
      <c r="A1332" s="2">
        <v>45964</v>
      </c>
      <c r="B1332" s="1" t="s">
        <v>3265</v>
      </c>
      <c r="C1332" s="1" t="s">
        <v>3266</v>
      </c>
      <c r="D1332" s="1" t="s">
        <v>30</v>
      </c>
      <c r="E1332" s="1" t="s">
        <v>30</v>
      </c>
      <c r="F1332" s="1" t="s">
        <v>3267</v>
      </c>
      <c r="G1332" s="1" t="s">
        <v>3262</v>
      </c>
      <c r="H1332" s="4" t="s">
        <v>209</v>
      </c>
      <c r="V133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3" spans="1:22" hidden="1">
      <c r="A1333" s="2">
        <v>45961</v>
      </c>
      <c r="B1333" s="1" t="s">
        <v>1581</v>
      </c>
      <c r="C1333" s="1" t="s">
        <v>997</v>
      </c>
      <c r="D1333" s="1" t="s">
        <v>43</v>
      </c>
      <c r="E1333" s="1">
        <v>85363</v>
      </c>
      <c r="F1333" s="1" t="s">
        <v>3002</v>
      </c>
      <c r="G1333" s="1" t="s">
        <v>3262</v>
      </c>
      <c r="H1333" s="4" t="s">
        <v>3268</v>
      </c>
      <c r="I1333" s="5" t="s">
        <v>196</v>
      </c>
      <c r="J1333" s="5" t="s">
        <v>37</v>
      </c>
      <c r="K1333" s="5" t="s">
        <v>37</v>
      </c>
      <c r="L1333" s="5" t="s">
        <v>3269</v>
      </c>
      <c r="M1333" s="5" t="s">
        <v>38</v>
      </c>
      <c r="N1333" s="15">
        <v>1482.25</v>
      </c>
      <c r="O1333" s="5" t="s">
        <v>38</v>
      </c>
      <c r="P1333" s="7"/>
      <c r="Q1333" s="2">
        <v>45965</v>
      </c>
      <c r="R1333" s="32" t="s">
        <v>3270</v>
      </c>
      <c r="V133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4" spans="1:22" hidden="1">
      <c r="A1334" s="2">
        <v>45962</v>
      </c>
      <c r="B1334" s="1" t="s">
        <v>3271</v>
      </c>
      <c r="C1334" s="1" t="s">
        <v>608</v>
      </c>
      <c r="D1334" s="1" t="s">
        <v>63</v>
      </c>
      <c r="E1334" s="1">
        <v>85029</v>
      </c>
      <c r="F1334" s="1" t="s">
        <v>3272</v>
      </c>
      <c r="G1334" s="1" t="s">
        <v>3262</v>
      </c>
      <c r="H1334" s="4" t="s">
        <v>3273</v>
      </c>
      <c r="I1334" s="5" t="s">
        <v>36</v>
      </c>
      <c r="J1334" s="5" t="s">
        <v>37</v>
      </c>
      <c r="K1334" s="5" t="s">
        <v>37</v>
      </c>
      <c r="L1334" s="5" t="s">
        <v>38</v>
      </c>
      <c r="M1334" s="5" t="s">
        <v>37</v>
      </c>
      <c r="N1334" s="5" t="s">
        <v>37</v>
      </c>
      <c r="O1334" s="5" t="s">
        <v>38</v>
      </c>
      <c r="P1334" s="5" t="s">
        <v>39</v>
      </c>
      <c r="Q1334" s="2">
        <v>45965</v>
      </c>
      <c r="V133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5" spans="1:22" hidden="1">
      <c r="A1335" s="2">
        <v>45963</v>
      </c>
      <c r="B1335" s="1" t="s">
        <v>3274</v>
      </c>
      <c r="C1335" s="1" t="s">
        <v>135</v>
      </c>
      <c r="D1335" s="1" t="s">
        <v>734</v>
      </c>
      <c r="E1335" s="1">
        <v>86326</v>
      </c>
      <c r="F1335" s="1" t="s">
        <v>3275</v>
      </c>
      <c r="G1335" s="1" t="s">
        <v>3262</v>
      </c>
      <c r="H1335" s="4" t="s">
        <v>3276</v>
      </c>
      <c r="I1335" s="5" t="s">
        <v>538</v>
      </c>
      <c r="J1335" s="5" t="s">
        <v>37</v>
      </c>
      <c r="K1335" s="5" t="s">
        <v>37</v>
      </c>
      <c r="L1335" s="5" t="s">
        <v>387</v>
      </c>
      <c r="M1335" s="5" t="s">
        <v>37</v>
      </c>
      <c r="N1335" s="5" t="s">
        <v>37</v>
      </c>
      <c r="O1335" s="5" t="s">
        <v>38</v>
      </c>
      <c r="P1335" s="5" t="s">
        <v>39</v>
      </c>
      <c r="Q1335" s="2">
        <v>45965</v>
      </c>
      <c r="V133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6" spans="1:22" hidden="1">
      <c r="A1336" s="2">
        <v>45965</v>
      </c>
      <c r="B1336" s="1" t="s">
        <v>3277</v>
      </c>
      <c r="C1336" s="1" t="s">
        <v>3278</v>
      </c>
      <c r="D1336" s="1" t="s">
        <v>68</v>
      </c>
      <c r="E1336" s="1">
        <v>85331</v>
      </c>
      <c r="F1336" s="1" t="s">
        <v>3279</v>
      </c>
      <c r="G1336" s="1" t="s">
        <v>3280</v>
      </c>
      <c r="H1336" s="4" t="s">
        <v>3281</v>
      </c>
      <c r="I1336" s="5" t="s">
        <v>36</v>
      </c>
      <c r="J1336" s="5" t="s">
        <v>37</v>
      </c>
      <c r="K1336" s="5" t="s">
        <v>37</v>
      </c>
      <c r="L1336" s="5" t="s">
        <v>38</v>
      </c>
      <c r="M1336" s="5" t="s">
        <v>37</v>
      </c>
      <c r="N1336" s="5" t="s">
        <v>37</v>
      </c>
      <c r="O1336" s="5" t="s">
        <v>38</v>
      </c>
      <c r="P1336" s="5" t="s">
        <v>39</v>
      </c>
      <c r="Q1336" s="2">
        <v>45966</v>
      </c>
      <c r="V133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7" spans="1:22" hidden="1">
      <c r="A1337" s="2">
        <v>45906</v>
      </c>
      <c r="B1337" s="1" t="s">
        <v>2089</v>
      </c>
      <c r="C1337" s="1" t="s">
        <v>320</v>
      </c>
      <c r="D1337" s="1" t="s">
        <v>501</v>
      </c>
      <c r="E1337" s="1">
        <v>86005</v>
      </c>
      <c r="F1337" s="1" t="s">
        <v>3226</v>
      </c>
      <c r="G1337" s="1" t="s">
        <v>3280</v>
      </c>
      <c r="H1337" s="4" t="s">
        <v>3282</v>
      </c>
      <c r="I1337" s="5" t="s">
        <v>1507</v>
      </c>
      <c r="J1337" s="5" t="s">
        <v>37</v>
      </c>
      <c r="K1337" s="5" t="s">
        <v>37</v>
      </c>
      <c r="L1337" s="7" t="s">
        <v>3283</v>
      </c>
      <c r="M1337" s="5" t="s">
        <v>37</v>
      </c>
      <c r="N1337" s="5" t="s">
        <v>37</v>
      </c>
      <c r="O1337" s="5" t="s">
        <v>38</v>
      </c>
      <c r="P1337" s="2">
        <v>45971</v>
      </c>
      <c r="Q1337" s="2">
        <v>45966</v>
      </c>
      <c r="R1337" s="1" t="s">
        <v>3284</v>
      </c>
      <c r="V133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8" spans="1:22" hidden="1">
      <c r="A1338" s="2">
        <v>45964</v>
      </c>
      <c r="B1338" s="1" t="s">
        <v>3285</v>
      </c>
      <c r="C1338" s="1" t="s">
        <v>133</v>
      </c>
      <c r="D1338" s="1" t="s">
        <v>125</v>
      </c>
      <c r="E1338" s="1">
        <v>85255</v>
      </c>
      <c r="F1338" s="1" t="s">
        <v>3286</v>
      </c>
      <c r="G1338" s="1" t="s">
        <v>3287</v>
      </c>
      <c r="H1338" s="4" t="s">
        <v>3288</v>
      </c>
      <c r="I1338" s="5" t="s">
        <v>196</v>
      </c>
      <c r="J1338" s="5" t="s">
        <v>37</v>
      </c>
      <c r="K1338" s="5" t="s">
        <v>37</v>
      </c>
      <c r="L1338" s="7" t="s">
        <v>3289</v>
      </c>
      <c r="M1338" s="5" t="s">
        <v>37</v>
      </c>
      <c r="N1338" s="5" t="s">
        <v>37</v>
      </c>
      <c r="O1338" s="5" t="s">
        <v>38</v>
      </c>
      <c r="P1338" s="2">
        <v>45971</v>
      </c>
      <c r="Q1338" s="2">
        <v>45966</v>
      </c>
      <c r="R1338" s="1" t="s">
        <v>3290</v>
      </c>
      <c r="V133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39" spans="1:22" hidden="1">
      <c r="A1339" s="2">
        <v>45966</v>
      </c>
      <c r="B1339" s="1" t="s">
        <v>3291</v>
      </c>
      <c r="C1339" s="1" t="s">
        <v>780</v>
      </c>
      <c r="D1339" s="1" t="s">
        <v>63</v>
      </c>
      <c r="E1339" s="1">
        <v>85022</v>
      </c>
      <c r="F1339" s="1" t="s">
        <v>3292</v>
      </c>
      <c r="G1339" s="1" t="s">
        <v>3293</v>
      </c>
      <c r="H1339" s="4" t="s">
        <v>3294</v>
      </c>
      <c r="I1339" s="5" t="s">
        <v>196</v>
      </c>
      <c r="J1339" s="5" t="s">
        <v>37</v>
      </c>
      <c r="K1339" s="5" t="s">
        <v>37</v>
      </c>
      <c r="L1339" s="5" t="s">
        <v>3295</v>
      </c>
      <c r="M1339" s="5" t="s">
        <v>38</v>
      </c>
      <c r="N1339" s="13">
        <v>99.98</v>
      </c>
      <c r="O1339" s="5" t="s">
        <v>38</v>
      </c>
      <c r="P1339" s="5" t="s">
        <v>39</v>
      </c>
      <c r="Q1339" s="2">
        <v>45967</v>
      </c>
      <c r="R1339" s="1" t="s">
        <v>3296</v>
      </c>
      <c r="V133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0" spans="1:22" hidden="1">
      <c r="A1340" s="2">
        <v>45966</v>
      </c>
      <c r="B1340" s="1" t="s">
        <v>3297</v>
      </c>
      <c r="C1340" s="1" t="s">
        <v>135</v>
      </c>
      <c r="D1340" s="1" t="s">
        <v>63</v>
      </c>
      <c r="E1340" s="1">
        <v>85255</v>
      </c>
      <c r="F1340" s="1" t="s">
        <v>3298</v>
      </c>
      <c r="G1340" s="1" t="s">
        <v>3293</v>
      </c>
      <c r="H1340" s="4" t="s">
        <v>27</v>
      </c>
      <c r="V134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1" spans="1:22" hidden="1">
      <c r="A1341" s="2">
        <v>45966</v>
      </c>
      <c r="B1341" s="1" t="s">
        <v>3299</v>
      </c>
      <c r="C1341" s="1" t="s">
        <v>3300</v>
      </c>
      <c r="D1341" s="1" t="s">
        <v>174</v>
      </c>
      <c r="E1341" s="1">
        <v>85326</v>
      </c>
      <c r="F1341" s="1" t="s">
        <v>3301</v>
      </c>
      <c r="G1341" s="1" t="s">
        <v>3293</v>
      </c>
      <c r="H1341" s="4" t="s">
        <v>3302</v>
      </c>
      <c r="I1341" s="5" t="s">
        <v>36</v>
      </c>
      <c r="J1341" s="5" t="s">
        <v>37</v>
      </c>
      <c r="K1341" s="5" t="s">
        <v>37</v>
      </c>
      <c r="L1341" s="5" t="s">
        <v>38</v>
      </c>
      <c r="M1341" s="5" t="s">
        <v>38</v>
      </c>
      <c r="N1341" s="15">
        <v>1209</v>
      </c>
      <c r="O1341" s="5" t="s">
        <v>38</v>
      </c>
      <c r="P1341" s="7"/>
      <c r="Q1341" s="2">
        <v>45967</v>
      </c>
      <c r="R1341" s="1" t="s">
        <v>492</v>
      </c>
      <c r="V134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2" spans="1:22" hidden="1">
      <c r="A1342" s="2">
        <v>45951</v>
      </c>
      <c r="B1342" s="1" t="s">
        <v>3303</v>
      </c>
      <c r="C1342" s="1" t="s">
        <v>179</v>
      </c>
      <c r="D1342" s="1" t="s">
        <v>695</v>
      </c>
      <c r="E1342" s="1">
        <v>85375</v>
      </c>
      <c r="F1342" s="1" t="s">
        <v>3304</v>
      </c>
      <c r="G1342" s="1" t="s">
        <v>3305</v>
      </c>
      <c r="H1342" s="4" t="s">
        <v>90</v>
      </c>
      <c r="V134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3" spans="1:22" hidden="1">
      <c r="A1343" s="2">
        <v>45967</v>
      </c>
      <c r="B1343" s="1" t="s">
        <v>3306</v>
      </c>
      <c r="C1343" s="1" t="s">
        <v>3307</v>
      </c>
      <c r="D1343" s="1" t="s">
        <v>3308</v>
      </c>
      <c r="E1343" s="1">
        <v>85354</v>
      </c>
      <c r="F1343" s="1" t="s">
        <v>3309</v>
      </c>
      <c r="G1343" s="1" t="s">
        <v>3310</v>
      </c>
      <c r="H1343" s="4" t="s">
        <v>3311</v>
      </c>
      <c r="I1343" s="5" t="s">
        <v>36</v>
      </c>
      <c r="J1343" s="5" t="s">
        <v>37</v>
      </c>
      <c r="K1343" s="5" t="s">
        <v>37</v>
      </c>
      <c r="L1343" s="5" t="s">
        <v>38</v>
      </c>
      <c r="M1343" s="5" t="s">
        <v>38</v>
      </c>
      <c r="N1343" s="13">
        <v>347.99</v>
      </c>
      <c r="O1343" s="5" t="s">
        <v>38</v>
      </c>
      <c r="P1343" s="5" t="s">
        <v>39</v>
      </c>
      <c r="Q1343" s="2">
        <v>45968</v>
      </c>
      <c r="V134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4" spans="1:22" hidden="1">
      <c r="A1344" s="2">
        <v>45967</v>
      </c>
      <c r="B1344" s="1" t="s">
        <v>3312</v>
      </c>
      <c r="C1344" s="1" t="s">
        <v>3313</v>
      </c>
      <c r="D1344" s="1" t="s">
        <v>3009</v>
      </c>
      <c r="E1344" s="1">
        <v>85743</v>
      </c>
      <c r="F1344" s="1" t="s">
        <v>3314</v>
      </c>
      <c r="G1344" s="1" t="s">
        <v>3310</v>
      </c>
      <c r="H1344" s="4" t="s">
        <v>4892</v>
      </c>
      <c r="V134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5" spans="1:22" hidden="1">
      <c r="A1345" s="2">
        <v>45967</v>
      </c>
      <c r="B1345" s="1" t="s">
        <v>3315</v>
      </c>
      <c r="C1345" s="1" t="s">
        <v>3316</v>
      </c>
      <c r="D1345" s="1" t="s">
        <v>24</v>
      </c>
      <c r="E1345" s="1">
        <v>85308</v>
      </c>
      <c r="F1345" s="1" t="s">
        <v>3317</v>
      </c>
      <c r="G1345" s="1" t="s">
        <v>3310</v>
      </c>
      <c r="H1345" s="4" t="s">
        <v>3318</v>
      </c>
      <c r="I1345" s="5" t="s">
        <v>36</v>
      </c>
      <c r="J1345" s="5" t="s">
        <v>37</v>
      </c>
      <c r="K1345" s="5" t="s">
        <v>37</v>
      </c>
      <c r="L1345" s="5" t="s">
        <v>38</v>
      </c>
      <c r="M1345" s="5" t="s">
        <v>37</v>
      </c>
      <c r="N1345" s="5" t="s">
        <v>37</v>
      </c>
      <c r="O1345" s="5" t="s">
        <v>38</v>
      </c>
      <c r="P1345" s="5" t="s">
        <v>39</v>
      </c>
      <c r="Q1345" s="2">
        <v>45968</v>
      </c>
      <c r="V134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6" spans="1:22" hidden="1">
      <c r="A1346" s="2">
        <v>45967</v>
      </c>
      <c r="B1346" s="1" t="s">
        <v>3319</v>
      </c>
      <c r="C1346" s="1" t="s">
        <v>3320</v>
      </c>
      <c r="D1346" s="1" t="s">
        <v>30</v>
      </c>
      <c r="E1346" s="1" t="s">
        <v>30</v>
      </c>
      <c r="F1346" s="1" t="s">
        <v>3002</v>
      </c>
      <c r="G1346" s="1" t="s">
        <v>3321</v>
      </c>
      <c r="H1346" s="4" t="s">
        <v>27</v>
      </c>
      <c r="R1346" s="1" t="s">
        <v>2970</v>
      </c>
      <c r="V134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7" spans="1:22" hidden="1">
      <c r="A1347" s="2">
        <v>45967</v>
      </c>
      <c r="B1347" s="1" t="s">
        <v>3322</v>
      </c>
      <c r="C1347" s="1" t="s">
        <v>372</v>
      </c>
      <c r="D1347" s="1" t="s">
        <v>30</v>
      </c>
      <c r="E1347" s="1" t="s">
        <v>30</v>
      </c>
      <c r="F1347" s="1" t="s">
        <v>3323</v>
      </c>
      <c r="G1347" s="1" t="s">
        <v>3321</v>
      </c>
      <c r="H1347" s="4" t="s">
        <v>27</v>
      </c>
      <c r="R1347" s="1" t="s">
        <v>2970</v>
      </c>
      <c r="V134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8" spans="1:22" hidden="1">
      <c r="A1348" s="2">
        <v>45967</v>
      </c>
      <c r="B1348" s="1" t="s">
        <v>3324</v>
      </c>
      <c r="C1348" s="1" t="s">
        <v>2620</v>
      </c>
      <c r="D1348" s="1" t="s">
        <v>63</v>
      </c>
      <c r="E1348" s="1">
        <v>850027</v>
      </c>
      <c r="F1348" s="1" t="s">
        <v>3325</v>
      </c>
      <c r="G1348" s="1" t="s">
        <v>3321</v>
      </c>
      <c r="H1348" s="4" t="s">
        <v>3326</v>
      </c>
      <c r="I1348" s="5" t="s">
        <v>196</v>
      </c>
      <c r="J1348" s="5" t="s">
        <v>37</v>
      </c>
      <c r="K1348" s="5" t="s">
        <v>37</v>
      </c>
      <c r="L1348" s="5" t="s">
        <v>38</v>
      </c>
      <c r="M1348" s="5" t="s">
        <v>38</v>
      </c>
      <c r="N1348" s="15">
        <v>933.92</v>
      </c>
      <c r="O1348" s="5" t="s">
        <v>38</v>
      </c>
      <c r="P1348" s="7"/>
      <c r="Q1348" s="2">
        <v>45968</v>
      </c>
      <c r="R1348" s="1" t="s">
        <v>3327</v>
      </c>
      <c r="V134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49" spans="1:22" hidden="1">
      <c r="A1349" s="2">
        <v>45967</v>
      </c>
      <c r="B1349" s="1" t="s">
        <v>3328</v>
      </c>
      <c r="C1349" s="1" t="s">
        <v>3329</v>
      </c>
      <c r="D1349" s="1" t="s">
        <v>30</v>
      </c>
      <c r="E1349" s="1" t="s">
        <v>30</v>
      </c>
      <c r="F1349" s="1" t="s">
        <v>3330</v>
      </c>
      <c r="G1349" s="1" t="s">
        <v>3321</v>
      </c>
      <c r="H1349" s="4" t="s">
        <v>27</v>
      </c>
      <c r="R1349" s="1" t="s">
        <v>2970</v>
      </c>
      <c r="V134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0" spans="1:22" hidden="1">
      <c r="A1350" s="2">
        <v>45967</v>
      </c>
      <c r="B1350" s="1" t="s">
        <v>3331</v>
      </c>
      <c r="C1350" s="1" t="s">
        <v>1053</v>
      </c>
      <c r="D1350" s="1" t="s">
        <v>30</v>
      </c>
      <c r="E1350" s="1" t="s">
        <v>30</v>
      </c>
      <c r="F1350" s="1" t="s">
        <v>3332</v>
      </c>
      <c r="G1350" s="1" t="s">
        <v>3321</v>
      </c>
      <c r="H1350" s="4" t="s">
        <v>90</v>
      </c>
      <c r="R1350" s="1" t="s">
        <v>2970</v>
      </c>
      <c r="V135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1" spans="1:22" hidden="1">
      <c r="A1351" s="2">
        <v>45967</v>
      </c>
      <c r="B1351" s="1" t="s">
        <v>3333</v>
      </c>
      <c r="C1351" s="1" t="s">
        <v>3157</v>
      </c>
      <c r="D1351" s="1" t="s">
        <v>30</v>
      </c>
      <c r="E1351" s="1" t="s">
        <v>30</v>
      </c>
      <c r="F1351" s="1" t="s">
        <v>3332</v>
      </c>
      <c r="G1351" s="1" t="s">
        <v>3321</v>
      </c>
      <c r="H1351" s="4" t="s">
        <v>90</v>
      </c>
      <c r="R1351" s="1" t="s">
        <v>2970</v>
      </c>
      <c r="V135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2" spans="1:22" hidden="1">
      <c r="A1352" s="2">
        <v>45967</v>
      </c>
      <c r="B1352" s="1" t="s">
        <v>701</v>
      </c>
      <c r="C1352" s="1" t="s">
        <v>3334</v>
      </c>
      <c r="D1352" s="1" t="s">
        <v>63</v>
      </c>
      <c r="E1352" s="1">
        <v>85012</v>
      </c>
      <c r="F1352" s="1" t="s">
        <v>3335</v>
      </c>
      <c r="G1352" s="1" t="s">
        <v>3321</v>
      </c>
      <c r="H1352" s="4" t="s">
        <v>3336</v>
      </c>
      <c r="I1352" s="5" t="s">
        <v>126</v>
      </c>
      <c r="J1352" s="5" t="s">
        <v>37</v>
      </c>
      <c r="K1352" s="5" t="s">
        <v>37</v>
      </c>
      <c r="L1352" s="5" t="s">
        <v>38</v>
      </c>
      <c r="M1352" s="5" t="s">
        <v>37</v>
      </c>
      <c r="N1352" s="5" t="s">
        <v>37</v>
      </c>
      <c r="O1352" s="5" t="s">
        <v>38</v>
      </c>
      <c r="P1352" s="5" t="s">
        <v>39</v>
      </c>
      <c r="Q1352" s="2">
        <v>45968</v>
      </c>
      <c r="R1352" s="1" t="s">
        <v>2970</v>
      </c>
      <c r="V135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3" spans="1:22" hidden="1">
      <c r="A1353" s="33">
        <v>45974</v>
      </c>
      <c r="B1353" s="34" t="s">
        <v>3337</v>
      </c>
      <c r="C1353" s="34" t="s">
        <v>3338</v>
      </c>
      <c r="D1353" s="34" t="s">
        <v>112</v>
      </c>
      <c r="E1353" s="34">
        <v>85374</v>
      </c>
      <c r="F1353" s="34" t="s">
        <v>3339</v>
      </c>
      <c r="G1353" s="35" t="s">
        <v>3340</v>
      </c>
      <c r="H1353" s="21" t="s">
        <v>6404</v>
      </c>
      <c r="I1353" s="18" t="s">
        <v>126</v>
      </c>
      <c r="J1353" s="18" t="s">
        <v>37</v>
      </c>
      <c r="K1353" s="18" t="s">
        <v>37</v>
      </c>
      <c r="L1353" s="18" t="s">
        <v>38</v>
      </c>
      <c r="M1353" s="18" t="s">
        <v>37</v>
      </c>
      <c r="N1353" s="18" t="s">
        <v>37</v>
      </c>
      <c r="O1353" s="18" t="s">
        <v>38</v>
      </c>
      <c r="P1353" s="18" t="s">
        <v>39</v>
      </c>
      <c r="Q1353" s="33">
        <v>45978</v>
      </c>
      <c r="R1353" s="34"/>
      <c r="S1353" s="34"/>
      <c r="T1353" s="34"/>
      <c r="U1353" s="34"/>
      <c r="V135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4" spans="1:22" hidden="1">
      <c r="A1354" s="33">
        <v>45980</v>
      </c>
      <c r="B1354" s="34" t="s">
        <v>3341</v>
      </c>
      <c r="C1354" s="34" t="s">
        <v>397</v>
      </c>
      <c r="D1354" s="34" t="s">
        <v>125</v>
      </c>
      <c r="E1354" s="34">
        <v>85262</v>
      </c>
      <c r="F1354" s="34" t="s">
        <v>3342</v>
      </c>
      <c r="G1354" s="35" t="s">
        <v>3343</v>
      </c>
      <c r="H1354" s="21" t="s">
        <v>6405</v>
      </c>
      <c r="I1354" s="18" t="s">
        <v>36</v>
      </c>
      <c r="J1354" s="18" t="s">
        <v>37</v>
      </c>
      <c r="K1354" s="18" t="s">
        <v>37</v>
      </c>
      <c r="L1354" s="18" t="s">
        <v>38</v>
      </c>
      <c r="M1354" s="18" t="s">
        <v>37</v>
      </c>
      <c r="N1354" s="18" t="s">
        <v>37</v>
      </c>
      <c r="O1354" s="18" t="s">
        <v>38</v>
      </c>
      <c r="P1354" s="18" t="s">
        <v>39</v>
      </c>
      <c r="Q1354" s="33">
        <v>45981</v>
      </c>
      <c r="R1354" s="34"/>
      <c r="S1354" s="34"/>
      <c r="T1354" s="34"/>
      <c r="U1354" s="34"/>
      <c r="V135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5" spans="1:22" hidden="1">
      <c r="A1355" s="36">
        <v>45980</v>
      </c>
      <c r="B1355" s="37" t="s">
        <v>3344</v>
      </c>
      <c r="C1355" s="37" t="s">
        <v>3345</v>
      </c>
      <c r="D1355" s="37" t="s">
        <v>125</v>
      </c>
      <c r="E1355" s="37">
        <v>85255</v>
      </c>
      <c r="F1355" s="37" t="s">
        <v>3346</v>
      </c>
      <c r="G1355" s="37" t="s">
        <v>3347</v>
      </c>
      <c r="H1355" s="155" t="s">
        <v>6103</v>
      </c>
      <c r="I1355" s="38" t="s">
        <v>36</v>
      </c>
      <c r="J1355" s="38" t="s">
        <v>37</v>
      </c>
      <c r="K1355" s="38" t="s">
        <v>37</v>
      </c>
      <c r="L1355" s="38" t="s">
        <v>3348</v>
      </c>
      <c r="M1355" s="38" t="s">
        <v>37</v>
      </c>
      <c r="N1355" s="38" t="s">
        <v>37</v>
      </c>
      <c r="O1355" s="38" t="s">
        <v>38</v>
      </c>
      <c r="P1355" s="38" t="s">
        <v>39</v>
      </c>
      <c r="Q1355" s="36">
        <v>45985</v>
      </c>
      <c r="R1355" s="34"/>
      <c r="S1355" s="34"/>
      <c r="T1355" s="34"/>
      <c r="U1355" s="34"/>
      <c r="V135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6" spans="1:22" hidden="1">
      <c r="A1356" s="36">
        <v>45982</v>
      </c>
      <c r="B1356" s="37" t="s">
        <v>3349</v>
      </c>
      <c r="C1356" s="37" t="s">
        <v>3350</v>
      </c>
      <c r="D1356" s="37" t="s">
        <v>807</v>
      </c>
      <c r="E1356" s="37">
        <v>86301</v>
      </c>
      <c r="F1356" s="37" t="s">
        <v>3351</v>
      </c>
      <c r="G1356" s="37" t="s">
        <v>3352</v>
      </c>
      <c r="H1356" s="155" t="s">
        <v>6406</v>
      </c>
      <c r="I1356" s="38" t="s">
        <v>46</v>
      </c>
      <c r="J1356" s="38" t="s">
        <v>37</v>
      </c>
      <c r="K1356" s="38" t="s">
        <v>37</v>
      </c>
      <c r="L1356" s="38" t="s">
        <v>38</v>
      </c>
      <c r="M1356" s="38" t="s">
        <v>37</v>
      </c>
      <c r="N1356" s="38" t="s">
        <v>37</v>
      </c>
      <c r="O1356" s="38" t="s">
        <v>38</v>
      </c>
      <c r="P1356" s="38" t="s">
        <v>39</v>
      </c>
      <c r="Q1356" s="36">
        <v>45985</v>
      </c>
      <c r="R1356" s="34"/>
      <c r="S1356" s="34"/>
      <c r="T1356" s="34"/>
      <c r="U1356" s="34"/>
      <c r="V135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7" spans="1:22" hidden="1">
      <c r="A1357" s="36">
        <v>45982</v>
      </c>
      <c r="B1357" s="37" t="s">
        <v>3353</v>
      </c>
      <c r="C1357" s="37" t="s">
        <v>3354</v>
      </c>
      <c r="D1357" s="37" t="s">
        <v>129</v>
      </c>
      <c r="E1357" s="37">
        <v>85233</v>
      </c>
      <c r="F1357" s="37" t="s">
        <v>3355</v>
      </c>
      <c r="G1357" s="37" t="s">
        <v>3356</v>
      </c>
      <c r="H1357" s="155" t="s">
        <v>6407</v>
      </c>
      <c r="I1357" s="38" t="s">
        <v>3357</v>
      </c>
      <c r="J1357" s="38" t="s">
        <v>37</v>
      </c>
      <c r="K1357" s="38" t="s">
        <v>37</v>
      </c>
      <c r="L1357" s="38" t="s">
        <v>387</v>
      </c>
      <c r="M1357" s="38" t="s">
        <v>37</v>
      </c>
      <c r="N1357" s="38" t="s">
        <v>37</v>
      </c>
      <c r="O1357" s="38" t="s">
        <v>38</v>
      </c>
      <c r="P1357" s="38" t="s">
        <v>39</v>
      </c>
      <c r="Q1357" s="36">
        <v>45985</v>
      </c>
      <c r="R1357" s="34" t="s">
        <v>2406</v>
      </c>
      <c r="S1357" s="34"/>
      <c r="T1357" s="34"/>
      <c r="U1357" s="34"/>
      <c r="V135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8" spans="1:22" hidden="1">
      <c r="A1358" s="36">
        <v>45985</v>
      </c>
      <c r="B1358" s="37" t="s">
        <v>208</v>
      </c>
      <c r="C1358" s="37" t="s">
        <v>3358</v>
      </c>
      <c r="D1358" s="37" t="s">
        <v>426</v>
      </c>
      <c r="E1358" s="37">
        <v>85335</v>
      </c>
      <c r="F1358" s="37" t="s">
        <v>3359</v>
      </c>
      <c r="G1358" s="37" t="s">
        <v>3360</v>
      </c>
      <c r="H1358" s="155" t="s">
        <v>6104</v>
      </c>
      <c r="I1358" s="38" t="s">
        <v>126</v>
      </c>
      <c r="J1358" s="38" t="s">
        <v>38</v>
      </c>
      <c r="K1358" s="38" t="s">
        <v>37</v>
      </c>
      <c r="L1358" s="38" t="s">
        <v>3361</v>
      </c>
      <c r="M1358" s="38" t="s">
        <v>37</v>
      </c>
      <c r="N1358" s="38" t="s">
        <v>37</v>
      </c>
      <c r="O1358" s="38" t="s">
        <v>38</v>
      </c>
      <c r="P1358" s="38" t="s">
        <v>39</v>
      </c>
      <c r="Q1358" s="36">
        <v>45993</v>
      </c>
      <c r="R1358" s="34" t="s">
        <v>3362</v>
      </c>
      <c r="S1358" s="34"/>
      <c r="T1358" s="34"/>
      <c r="U1358" s="34"/>
      <c r="V135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59" spans="1:22" hidden="1">
      <c r="A1359" s="36">
        <v>45985</v>
      </c>
      <c r="B1359" s="37" t="s">
        <v>3363</v>
      </c>
      <c r="C1359" s="37" t="s">
        <v>3364</v>
      </c>
      <c r="D1359" s="37" t="s">
        <v>174</v>
      </c>
      <c r="E1359" s="37">
        <v>85326</v>
      </c>
      <c r="F1359" s="37" t="s">
        <v>3365</v>
      </c>
      <c r="G1359" s="37" t="s">
        <v>3366</v>
      </c>
      <c r="H1359" s="155" t="s">
        <v>27</v>
      </c>
      <c r="I1359" s="38"/>
      <c r="J1359" s="38"/>
      <c r="K1359" s="38"/>
      <c r="L1359" s="38"/>
      <c r="M1359" s="38"/>
      <c r="N1359" s="38"/>
      <c r="O1359" s="38"/>
      <c r="P1359" s="38"/>
      <c r="Q1359" s="38"/>
      <c r="R1359" s="34"/>
      <c r="S1359" s="34"/>
      <c r="T1359" s="34"/>
      <c r="U1359" s="34"/>
      <c r="V135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0" spans="1:22" hidden="1">
      <c r="A1360" s="36">
        <v>45986</v>
      </c>
      <c r="B1360" s="37" t="s">
        <v>3367</v>
      </c>
      <c r="C1360" s="37" t="s">
        <v>3368</v>
      </c>
      <c r="D1360" s="37" t="s">
        <v>1173</v>
      </c>
      <c r="E1360" s="37">
        <v>85390</v>
      </c>
      <c r="F1360" s="37" t="s">
        <v>3369</v>
      </c>
      <c r="G1360" s="37" t="s">
        <v>3370</v>
      </c>
      <c r="H1360" s="155" t="s">
        <v>6105</v>
      </c>
      <c r="I1360" s="38" t="s">
        <v>196</v>
      </c>
      <c r="J1360" s="38" t="s">
        <v>37</v>
      </c>
      <c r="K1360" s="38" t="s">
        <v>37</v>
      </c>
      <c r="L1360" s="38" t="s">
        <v>3371</v>
      </c>
      <c r="M1360" s="38" t="s">
        <v>37</v>
      </c>
      <c r="N1360" s="38" t="s">
        <v>37</v>
      </c>
      <c r="O1360" s="38" t="s">
        <v>38</v>
      </c>
      <c r="P1360" s="38" t="s">
        <v>39</v>
      </c>
      <c r="Q1360" s="36">
        <v>45993</v>
      </c>
      <c r="R1360" s="34"/>
      <c r="S1360" s="34"/>
      <c r="T1360" s="34"/>
      <c r="U1360" s="34"/>
      <c r="V136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1" spans="1:22" hidden="1">
      <c r="A1361" s="36">
        <v>45986</v>
      </c>
      <c r="B1361" s="37" t="s">
        <v>3236</v>
      </c>
      <c r="C1361" s="37" t="s">
        <v>2943</v>
      </c>
      <c r="D1361" s="37" t="s">
        <v>169</v>
      </c>
      <c r="E1361" s="37">
        <v>85395</v>
      </c>
      <c r="F1361" s="37" t="s">
        <v>3372</v>
      </c>
      <c r="G1361" s="37" t="s">
        <v>3370</v>
      </c>
      <c r="H1361" s="155" t="s">
        <v>6408</v>
      </c>
      <c r="I1361" s="38" t="s">
        <v>36</v>
      </c>
      <c r="J1361" s="38" t="s">
        <v>37</v>
      </c>
      <c r="K1361" s="38" t="s">
        <v>37</v>
      </c>
      <c r="L1361" s="38" t="s">
        <v>38</v>
      </c>
      <c r="M1361" s="38" t="s">
        <v>37</v>
      </c>
      <c r="N1361" s="38" t="s">
        <v>37</v>
      </c>
      <c r="O1361" s="38" t="s">
        <v>38</v>
      </c>
      <c r="P1361" s="38" t="s">
        <v>39</v>
      </c>
      <c r="Q1361" s="36">
        <v>45993</v>
      </c>
      <c r="R1361" s="34"/>
      <c r="S1361" s="34"/>
      <c r="T1361" s="34"/>
      <c r="U1361" s="34"/>
      <c r="V136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2" spans="1:22" hidden="1">
      <c r="A1362" s="36">
        <v>45986</v>
      </c>
      <c r="B1362" s="37" t="s">
        <v>3373</v>
      </c>
      <c r="C1362" s="37" t="s">
        <v>3374</v>
      </c>
      <c r="D1362" s="37" t="s">
        <v>202</v>
      </c>
      <c r="E1362" s="37">
        <v>85382</v>
      </c>
      <c r="F1362" s="37" t="s">
        <v>3375</v>
      </c>
      <c r="G1362" s="37" t="s">
        <v>3370</v>
      </c>
      <c r="H1362" s="155" t="s">
        <v>6409</v>
      </c>
      <c r="I1362" s="38" t="s">
        <v>3376</v>
      </c>
      <c r="J1362" s="38" t="s">
        <v>37</v>
      </c>
      <c r="K1362" s="38" t="s">
        <v>37</v>
      </c>
      <c r="L1362" s="38" t="s">
        <v>38</v>
      </c>
      <c r="M1362" s="38" t="s">
        <v>37</v>
      </c>
      <c r="N1362" s="38" t="s">
        <v>37</v>
      </c>
      <c r="O1362" s="38" t="s">
        <v>38</v>
      </c>
      <c r="P1362" s="38" t="s">
        <v>39</v>
      </c>
      <c r="Q1362" s="36">
        <v>45993</v>
      </c>
      <c r="R1362" s="34"/>
      <c r="S1362" s="34"/>
      <c r="T1362" s="34"/>
      <c r="U1362" s="34"/>
      <c r="V136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3" spans="1:22" hidden="1">
      <c r="A1363" s="36">
        <v>45987</v>
      </c>
      <c r="B1363" s="37" t="s">
        <v>3377</v>
      </c>
      <c r="C1363" s="37" t="s">
        <v>3377</v>
      </c>
      <c r="D1363" s="37"/>
      <c r="E1363" s="37">
        <v>85285</v>
      </c>
      <c r="F1363" s="37" t="s">
        <v>3378</v>
      </c>
      <c r="G1363" s="37" t="s">
        <v>3379</v>
      </c>
      <c r="H1363" s="155" t="s">
        <v>27</v>
      </c>
      <c r="I1363" s="38"/>
      <c r="J1363" s="38"/>
      <c r="K1363" s="38"/>
      <c r="L1363" s="38"/>
      <c r="M1363" s="38"/>
      <c r="N1363" s="38"/>
      <c r="O1363" s="38"/>
      <c r="P1363" s="38"/>
      <c r="Q1363" s="38"/>
      <c r="R1363" s="34"/>
      <c r="S1363" s="34"/>
      <c r="T1363" s="34"/>
      <c r="U1363" s="34"/>
      <c r="V136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4" spans="1:22" hidden="1">
      <c r="A1364" s="36">
        <v>45987</v>
      </c>
      <c r="B1364" s="37" t="s">
        <v>429</v>
      </c>
      <c r="C1364" s="37" t="s">
        <v>3380</v>
      </c>
      <c r="D1364" s="37" t="s">
        <v>112</v>
      </c>
      <c r="E1364" s="37">
        <v>85388</v>
      </c>
      <c r="F1364" s="37" t="s">
        <v>3381</v>
      </c>
      <c r="G1364" s="37" t="s">
        <v>3379</v>
      </c>
      <c r="H1364" s="155" t="s">
        <v>90</v>
      </c>
      <c r="I1364" s="38"/>
      <c r="J1364" s="38"/>
      <c r="K1364" s="38"/>
      <c r="L1364" s="38"/>
      <c r="M1364" s="38"/>
      <c r="N1364" s="38"/>
      <c r="O1364" s="38"/>
      <c r="P1364" s="38"/>
      <c r="Q1364" s="38"/>
      <c r="R1364" s="34"/>
      <c r="S1364" s="34"/>
      <c r="T1364" s="34"/>
      <c r="U1364" s="34"/>
      <c r="V136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5" spans="1:22" hidden="1">
      <c r="A1365" s="36">
        <v>45987</v>
      </c>
      <c r="B1365" s="37" t="s">
        <v>3382</v>
      </c>
      <c r="C1365" s="37" t="s">
        <v>425</v>
      </c>
      <c r="D1365" s="37" t="s">
        <v>93</v>
      </c>
      <c r="E1365" s="37">
        <v>85351</v>
      </c>
      <c r="F1365" s="37" t="s">
        <v>804</v>
      </c>
      <c r="G1365" s="37" t="s">
        <v>3379</v>
      </c>
      <c r="H1365" s="155" t="s">
        <v>6410</v>
      </c>
      <c r="I1365" s="38" t="s">
        <v>36</v>
      </c>
      <c r="J1365" s="38" t="s">
        <v>37</v>
      </c>
      <c r="K1365" s="38" t="s">
        <v>37</v>
      </c>
      <c r="L1365" s="38" t="s">
        <v>38</v>
      </c>
      <c r="M1365" s="38" t="s">
        <v>37</v>
      </c>
      <c r="N1365" s="38" t="s">
        <v>37</v>
      </c>
      <c r="O1365" s="38" t="s">
        <v>38</v>
      </c>
      <c r="P1365" s="38" t="s">
        <v>39</v>
      </c>
      <c r="Q1365" s="36">
        <v>45993</v>
      </c>
      <c r="R1365" s="34"/>
      <c r="S1365" s="34"/>
      <c r="T1365" s="34"/>
      <c r="U1365" s="34"/>
      <c r="V136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6" spans="1:22" hidden="1">
      <c r="A1366" s="36">
        <v>45987</v>
      </c>
      <c r="B1366" s="37" t="s">
        <v>3383</v>
      </c>
      <c r="C1366" s="37" t="s">
        <v>230</v>
      </c>
      <c r="D1366" s="37" t="s">
        <v>169</v>
      </c>
      <c r="E1366" s="37">
        <v>85338</v>
      </c>
      <c r="F1366" s="37" t="s">
        <v>3384</v>
      </c>
      <c r="G1366" s="37" t="s">
        <v>3385</v>
      </c>
      <c r="H1366" s="155" t="s">
        <v>6411</v>
      </c>
      <c r="I1366" s="38" t="s">
        <v>36</v>
      </c>
      <c r="J1366" s="38" t="s">
        <v>37</v>
      </c>
      <c r="K1366" s="38" t="s">
        <v>37</v>
      </c>
      <c r="L1366" s="38" t="s">
        <v>38</v>
      </c>
      <c r="M1366" s="38" t="s">
        <v>37</v>
      </c>
      <c r="N1366" s="38" t="s">
        <v>37</v>
      </c>
      <c r="O1366" s="38" t="s">
        <v>38</v>
      </c>
      <c r="P1366" s="38" t="s">
        <v>39</v>
      </c>
      <c r="Q1366" s="36">
        <v>45993</v>
      </c>
      <c r="R1366" s="34"/>
      <c r="S1366" s="34"/>
      <c r="T1366" s="34"/>
      <c r="U1366" s="34"/>
      <c r="V136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7" spans="1:22" hidden="1">
      <c r="A1367" s="36">
        <v>45987</v>
      </c>
      <c r="B1367" s="37" t="s">
        <v>3386</v>
      </c>
      <c r="C1367" s="37" t="s">
        <v>3387</v>
      </c>
      <c r="D1367" s="37" t="s">
        <v>202</v>
      </c>
      <c r="E1367" s="37">
        <v>85382</v>
      </c>
      <c r="F1367" s="37" t="s">
        <v>3388</v>
      </c>
      <c r="G1367" s="37" t="s">
        <v>3385</v>
      </c>
      <c r="H1367" s="155" t="s">
        <v>6412</v>
      </c>
      <c r="I1367" s="38" t="s">
        <v>3389</v>
      </c>
      <c r="J1367" s="38" t="s">
        <v>37</v>
      </c>
      <c r="K1367" s="38" t="s">
        <v>37</v>
      </c>
      <c r="L1367" s="38" t="s">
        <v>387</v>
      </c>
      <c r="M1367" s="38" t="s">
        <v>37</v>
      </c>
      <c r="N1367" s="38" t="s">
        <v>37</v>
      </c>
      <c r="O1367" s="38" t="s">
        <v>38</v>
      </c>
      <c r="P1367" s="38" t="s">
        <v>39</v>
      </c>
      <c r="Q1367" s="36">
        <v>45993</v>
      </c>
      <c r="R1367" s="34"/>
      <c r="S1367" s="34"/>
      <c r="T1367" s="34"/>
      <c r="U1367" s="34"/>
      <c r="V136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8" spans="1:22" hidden="1">
      <c r="A1368" s="36">
        <v>45989</v>
      </c>
      <c r="B1368" s="37" t="s">
        <v>3390</v>
      </c>
      <c r="C1368" s="37" t="s">
        <v>3391</v>
      </c>
      <c r="D1368" s="37" t="s">
        <v>112</v>
      </c>
      <c r="E1368" s="37">
        <v>85387</v>
      </c>
      <c r="F1368" s="37" t="s">
        <v>3392</v>
      </c>
      <c r="G1368" s="37" t="s">
        <v>3393</v>
      </c>
      <c r="H1368" s="155" t="s">
        <v>6413</v>
      </c>
      <c r="I1368" s="38" t="s">
        <v>36</v>
      </c>
      <c r="J1368" s="38" t="s">
        <v>37</v>
      </c>
      <c r="K1368" s="38" t="s">
        <v>37</v>
      </c>
      <c r="L1368" s="38" t="s">
        <v>38</v>
      </c>
      <c r="M1368" s="38" t="s">
        <v>37</v>
      </c>
      <c r="N1368" s="38" t="s">
        <v>37</v>
      </c>
      <c r="O1368" s="38" t="s">
        <v>38</v>
      </c>
      <c r="P1368" s="38" t="s">
        <v>39</v>
      </c>
      <c r="Q1368" s="36">
        <v>45993</v>
      </c>
      <c r="R1368" s="34"/>
      <c r="S1368" s="34"/>
      <c r="T1368" s="34"/>
      <c r="U1368" s="34"/>
      <c r="V136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69" spans="1:22" hidden="1">
      <c r="A1369" s="36">
        <v>45993</v>
      </c>
      <c r="B1369" s="37" t="s">
        <v>3394</v>
      </c>
      <c r="C1369" s="37" t="s">
        <v>1308</v>
      </c>
      <c r="D1369" s="37" t="s">
        <v>112</v>
      </c>
      <c r="E1369" s="37">
        <v>85379</v>
      </c>
      <c r="F1369" s="37" t="s">
        <v>3226</v>
      </c>
      <c r="G1369" s="37" t="s">
        <v>3395</v>
      </c>
      <c r="H1369" s="155" t="s">
        <v>6414</v>
      </c>
      <c r="I1369" s="38" t="s">
        <v>538</v>
      </c>
      <c r="J1369" s="38" t="s">
        <v>37</v>
      </c>
      <c r="K1369" s="38" t="s">
        <v>37</v>
      </c>
      <c r="L1369" s="38" t="s">
        <v>387</v>
      </c>
      <c r="M1369" s="38" t="s">
        <v>37</v>
      </c>
      <c r="N1369" s="38" t="s">
        <v>37</v>
      </c>
      <c r="O1369" s="38" t="s">
        <v>38</v>
      </c>
      <c r="P1369" s="38" t="s">
        <v>39</v>
      </c>
      <c r="Q1369" s="36">
        <v>45994</v>
      </c>
      <c r="R1369" s="34"/>
      <c r="S1369" s="34"/>
      <c r="T1369" s="34"/>
      <c r="U1369" s="34"/>
      <c r="V136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0" spans="1:22" hidden="1">
      <c r="A1370" s="36">
        <v>45993</v>
      </c>
      <c r="B1370" s="37" t="s">
        <v>3396</v>
      </c>
      <c r="C1370" s="37" t="s">
        <v>2219</v>
      </c>
      <c r="D1370" s="37" t="s">
        <v>112</v>
      </c>
      <c r="E1370" s="37">
        <v>85387</v>
      </c>
      <c r="F1370" s="37" t="s">
        <v>3397</v>
      </c>
      <c r="G1370" s="37" t="s">
        <v>3398</v>
      </c>
      <c r="H1370" s="155" t="s">
        <v>6415</v>
      </c>
      <c r="I1370" s="38" t="s">
        <v>36</v>
      </c>
      <c r="J1370" s="38" t="s">
        <v>37</v>
      </c>
      <c r="K1370" s="38" t="s">
        <v>37</v>
      </c>
      <c r="L1370" s="38" t="s">
        <v>38</v>
      </c>
      <c r="M1370" s="38" t="s">
        <v>37</v>
      </c>
      <c r="N1370" s="38" t="s">
        <v>37</v>
      </c>
      <c r="O1370" s="38" t="s">
        <v>38</v>
      </c>
      <c r="P1370" s="38" t="s">
        <v>39</v>
      </c>
      <c r="Q1370" s="36">
        <v>45994</v>
      </c>
      <c r="R1370" s="34"/>
      <c r="S1370" s="34"/>
      <c r="T1370" s="34"/>
      <c r="U1370" s="34"/>
      <c r="V137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1" spans="1:22" hidden="1">
      <c r="A1371" s="36">
        <v>45993</v>
      </c>
      <c r="B1371" s="37" t="s">
        <v>3399</v>
      </c>
      <c r="C1371" s="37" t="s">
        <v>1045</v>
      </c>
      <c r="D1371" s="37" t="s">
        <v>112</v>
      </c>
      <c r="E1371" s="37">
        <v>85374</v>
      </c>
      <c r="F1371" s="37" t="s">
        <v>3226</v>
      </c>
      <c r="G1371" s="37" t="s">
        <v>3400</v>
      </c>
      <c r="H1371" s="155" t="s">
        <v>6106</v>
      </c>
      <c r="I1371" s="38" t="s">
        <v>57</v>
      </c>
      <c r="J1371" s="38" t="s">
        <v>37</v>
      </c>
      <c r="K1371" s="38" t="s">
        <v>37</v>
      </c>
      <c r="L1371" s="38" t="s">
        <v>3401</v>
      </c>
      <c r="M1371" s="38" t="s">
        <v>37</v>
      </c>
      <c r="N1371" s="38" t="s">
        <v>37</v>
      </c>
      <c r="O1371" s="38" t="s">
        <v>38</v>
      </c>
      <c r="P1371" s="38" t="s">
        <v>39</v>
      </c>
      <c r="Q1371" s="36">
        <v>45995</v>
      </c>
      <c r="R1371" s="34"/>
      <c r="S1371" s="34"/>
      <c r="T1371" s="34"/>
      <c r="U1371" s="34"/>
      <c r="V137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2" spans="1:22" hidden="1">
      <c r="A1372" s="36">
        <v>45993</v>
      </c>
      <c r="B1372" s="37" t="s">
        <v>3402</v>
      </c>
      <c r="C1372" s="37" t="s">
        <v>3403</v>
      </c>
      <c r="D1372" s="37" t="s">
        <v>426</v>
      </c>
      <c r="E1372" s="37">
        <v>85335</v>
      </c>
      <c r="F1372" s="37" t="s">
        <v>3226</v>
      </c>
      <c r="G1372" s="37" t="s">
        <v>3400</v>
      </c>
      <c r="H1372" s="155" t="s">
        <v>27</v>
      </c>
      <c r="I1372" s="38"/>
      <c r="J1372" s="38"/>
      <c r="K1372" s="38"/>
      <c r="L1372" s="38"/>
      <c r="M1372" s="38"/>
      <c r="N1372" s="38"/>
      <c r="O1372" s="38"/>
      <c r="P1372" s="38"/>
      <c r="Q1372" s="38"/>
      <c r="R1372" s="34"/>
      <c r="S1372" s="34"/>
      <c r="T1372" s="34"/>
      <c r="U1372" s="34"/>
      <c r="V137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3" spans="1:22" hidden="1">
      <c r="A1373" s="36">
        <v>45993</v>
      </c>
      <c r="B1373" s="37" t="s">
        <v>3404</v>
      </c>
      <c r="C1373" s="37" t="s">
        <v>2691</v>
      </c>
      <c r="D1373" s="37" t="s">
        <v>426</v>
      </c>
      <c r="E1373" s="37">
        <v>85335</v>
      </c>
      <c r="F1373" s="37" t="s">
        <v>3405</v>
      </c>
      <c r="G1373" s="37" t="s">
        <v>3400</v>
      </c>
      <c r="H1373" s="155" t="s">
        <v>6162</v>
      </c>
      <c r="I1373" s="38" t="s">
        <v>3406</v>
      </c>
      <c r="J1373" s="38" t="s">
        <v>38</v>
      </c>
      <c r="K1373" s="38" t="s">
        <v>37</v>
      </c>
      <c r="L1373" s="38" t="s">
        <v>387</v>
      </c>
      <c r="M1373" s="38" t="s">
        <v>38</v>
      </c>
      <c r="N1373" s="38">
        <v>425.23</v>
      </c>
      <c r="O1373" s="38" t="s">
        <v>38</v>
      </c>
      <c r="P1373" s="38" t="s">
        <v>39</v>
      </c>
      <c r="Q1373" s="36">
        <v>45995</v>
      </c>
      <c r="R1373" s="34"/>
      <c r="S1373" s="34"/>
      <c r="T1373" s="34"/>
      <c r="U1373" s="34"/>
      <c r="V137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4" spans="1:22" hidden="1">
      <c r="A1374" s="36">
        <v>45993</v>
      </c>
      <c r="B1374" s="37" t="s">
        <v>3032</v>
      </c>
      <c r="C1374" s="37" t="s">
        <v>3407</v>
      </c>
      <c r="D1374" s="37" t="s">
        <v>426</v>
      </c>
      <c r="E1374" s="37">
        <v>85335</v>
      </c>
      <c r="F1374" s="37" t="s">
        <v>3408</v>
      </c>
      <c r="G1374" s="37" t="s">
        <v>3400</v>
      </c>
      <c r="H1374" s="155" t="s">
        <v>6107</v>
      </c>
      <c r="I1374" s="38" t="s">
        <v>196</v>
      </c>
      <c r="J1374" s="38" t="s">
        <v>37</v>
      </c>
      <c r="K1374" s="38" t="s">
        <v>37</v>
      </c>
      <c r="L1374" s="38" t="s">
        <v>3409</v>
      </c>
      <c r="M1374" s="38" t="s">
        <v>37</v>
      </c>
      <c r="N1374" s="38" t="s">
        <v>37</v>
      </c>
      <c r="O1374" s="38" t="s">
        <v>38</v>
      </c>
      <c r="P1374" s="38"/>
      <c r="Q1374" s="36">
        <v>45995</v>
      </c>
      <c r="R1374" s="34"/>
      <c r="S1374" s="34"/>
      <c r="T1374" s="34"/>
      <c r="U1374" s="34"/>
      <c r="V137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5" spans="1:22" hidden="1">
      <c r="A1375" s="36">
        <v>45993</v>
      </c>
      <c r="B1375" s="37" t="s">
        <v>3410</v>
      </c>
      <c r="C1375" s="37" t="s">
        <v>3411</v>
      </c>
      <c r="D1375" s="37" t="s">
        <v>24</v>
      </c>
      <c r="E1375" s="37">
        <v>85304</v>
      </c>
      <c r="F1375" s="37" t="s">
        <v>3412</v>
      </c>
      <c r="G1375" s="37" t="s">
        <v>3400</v>
      </c>
      <c r="H1375" s="155" t="s">
        <v>6416</v>
      </c>
      <c r="I1375" s="38" t="s">
        <v>250</v>
      </c>
      <c r="J1375" s="38" t="s">
        <v>37</v>
      </c>
      <c r="K1375" s="38" t="s">
        <v>37</v>
      </c>
      <c r="L1375" s="38" t="s">
        <v>38</v>
      </c>
      <c r="M1375" s="38" t="s">
        <v>37</v>
      </c>
      <c r="N1375" s="38" t="s">
        <v>37</v>
      </c>
      <c r="O1375" s="38" t="s">
        <v>38</v>
      </c>
      <c r="P1375" s="38" t="s">
        <v>39</v>
      </c>
      <c r="Q1375" s="36">
        <v>45995</v>
      </c>
      <c r="R1375" s="34"/>
      <c r="S1375" s="34"/>
      <c r="T1375" s="34"/>
      <c r="U1375" s="34"/>
      <c r="V137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6" spans="1:22" hidden="1">
      <c r="A1376" s="36">
        <v>45993</v>
      </c>
      <c r="B1376" s="37" t="s">
        <v>3413</v>
      </c>
      <c r="C1376" s="37" t="s">
        <v>2782</v>
      </c>
      <c r="D1376" s="37" t="s">
        <v>112</v>
      </c>
      <c r="E1376" s="37">
        <v>85387</v>
      </c>
      <c r="F1376" s="37" t="s">
        <v>3414</v>
      </c>
      <c r="G1376" s="37" t="s">
        <v>3400</v>
      </c>
      <c r="H1376" s="155" t="s">
        <v>6417</v>
      </c>
      <c r="I1376" s="38" t="s">
        <v>36</v>
      </c>
      <c r="J1376" s="38" t="s">
        <v>37</v>
      </c>
      <c r="K1376" s="38" t="s">
        <v>37</v>
      </c>
      <c r="L1376" s="38" t="s">
        <v>38</v>
      </c>
      <c r="M1376" s="38" t="s">
        <v>37</v>
      </c>
      <c r="N1376" s="38" t="s">
        <v>37</v>
      </c>
      <c r="O1376" s="38" t="s">
        <v>38</v>
      </c>
      <c r="P1376" s="38" t="s">
        <v>39</v>
      </c>
      <c r="Q1376" s="36">
        <v>45995</v>
      </c>
      <c r="R1376" s="34"/>
      <c r="S1376" s="34"/>
      <c r="T1376" s="34"/>
      <c r="U1376" s="34"/>
      <c r="V137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7" spans="1:22" hidden="1">
      <c r="A1377" s="36">
        <v>45993</v>
      </c>
      <c r="B1377" s="37" t="s">
        <v>3415</v>
      </c>
      <c r="C1377" s="37" t="s">
        <v>3416</v>
      </c>
      <c r="D1377" s="37" t="s">
        <v>3417</v>
      </c>
      <c r="E1377" s="37">
        <v>85378</v>
      </c>
      <c r="F1377" s="37" t="s">
        <v>3226</v>
      </c>
      <c r="G1377" s="37" t="s">
        <v>3400</v>
      </c>
      <c r="H1377" s="155" t="s">
        <v>6108</v>
      </c>
      <c r="I1377" s="38" t="s">
        <v>36</v>
      </c>
      <c r="J1377" s="38" t="s">
        <v>38</v>
      </c>
      <c r="K1377" s="38" t="s">
        <v>37</v>
      </c>
      <c r="L1377" s="38" t="s">
        <v>399</v>
      </c>
      <c r="M1377" s="38" t="s">
        <v>37</v>
      </c>
      <c r="N1377" s="38" t="s">
        <v>37</v>
      </c>
      <c r="O1377" s="38" t="s">
        <v>38</v>
      </c>
      <c r="P1377" s="38" t="s">
        <v>39</v>
      </c>
      <c r="Q1377" s="36">
        <v>45995</v>
      </c>
      <c r="R1377" s="34"/>
      <c r="S1377" s="34"/>
      <c r="T1377" s="34"/>
      <c r="U1377" s="34"/>
      <c r="V137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8" spans="1:22" hidden="1">
      <c r="A1378" s="36">
        <v>45993</v>
      </c>
      <c r="B1378" s="37" t="s">
        <v>1000</v>
      </c>
      <c r="C1378" s="37" t="s">
        <v>3418</v>
      </c>
      <c r="D1378" s="37" t="s">
        <v>174</v>
      </c>
      <c r="E1378" s="37">
        <v>85396</v>
      </c>
      <c r="F1378" s="37" t="s">
        <v>3419</v>
      </c>
      <c r="G1378" s="37" t="s">
        <v>3400</v>
      </c>
      <c r="H1378" s="155" t="s">
        <v>6418</v>
      </c>
      <c r="I1378" s="38" t="s">
        <v>46</v>
      </c>
      <c r="J1378" s="38" t="s">
        <v>37</v>
      </c>
      <c r="K1378" s="38" t="s">
        <v>37</v>
      </c>
      <c r="L1378" s="38" t="s">
        <v>38</v>
      </c>
      <c r="M1378" s="38" t="s">
        <v>37</v>
      </c>
      <c r="N1378" s="38" t="s">
        <v>37</v>
      </c>
      <c r="O1378" s="38" t="s">
        <v>38</v>
      </c>
      <c r="P1378" s="38" t="s">
        <v>39</v>
      </c>
      <c r="Q1378" s="36">
        <v>45995</v>
      </c>
      <c r="R1378" s="34"/>
      <c r="S1378" s="34"/>
      <c r="T1378" s="34"/>
      <c r="U1378" s="34"/>
      <c r="V137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79" spans="1:22" hidden="1">
      <c r="A1379" s="36">
        <v>45993</v>
      </c>
      <c r="B1379" s="37" t="s">
        <v>3420</v>
      </c>
      <c r="C1379" s="37" t="s">
        <v>3421</v>
      </c>
      <c r="D1379" s="37" t="s">
        <v>112</v>
      </c>
      <c r="E1379" s="37">
        <v>85374</v>
      </c>
      <c r="F1379" s="37" t="s">
        <v>3226</v>
      </c>
      <c r="G1379" s="37" t="s">
        <v>3400</v>
      </c>
      <c r="H1379" s="155" t="s">
        <v>27</v>
      </c>
      <c r="I1379" s="38"/>
      <c r="J1379" s="38"/>
      <c r="K1379" s="38"/>
      <c r="L1379" s="38"/>
      <c r="M1379" s="38"/>
      <c r="N1379" s="38"/>
      <c r="O1379" s="38"/>
      <c r="P1379" s="38"/>
      <c r="Q1379" s="38"/>
      <c r="R1379" s="34"/>
      <c r="S1379" s="34"/>
      <c r="T1379" s="34"/>
      <c r="U1379" s="34"/>
      <c r="V137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0" spans="1:22" hidden="1">
      <c r="A1380" s="36">
        <v>45993</v>
      </c>
      <c r="B1380" s="37" t="s">
        <v>127</v>
      </c>
      <c r="C1380" s="37" t="s">
        <v>1843</v>
      </c>
      <c r="D1380" s="37" t="s">
        <v>112</v>
      </c>
      <c r="E1380" s="37">
        <v>85388</v>
      </c>
      <c r="F1380" s="37" t="s">
        <v>3226</v>
      </c>
      <c r="G1380" s="37" t="s">
        <v>3400</v>
      </c>
      <c r="H1380" s="155" t="s">
        <v>27</v>
      </c>
      <c r="I1380" s="38"/>
      <c r="J1380" s="38"/>
      <c r="K1380" s="38"/>
      <c r="L1380" s="38"/>
      <c r="M1380" s="38"/>
      <c r="N1380" s="38"/>
      <c r="O1380" s="38"/>
      <c r="P1380" s="38"/>
      <c r="Q1380" s="38"/>
      <c r="R1380" s="34"/>
      <c r="S1380" s="34"/>
      <c r="T1380" s="34"/>
      <c r="U1380" s="34"/>
      <c r="V138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1" spans="1:22" hidden="1">
      <c r="A1381" s="36">
        <v>45993</v>
      </c>
      <c r="B1381" s="37" t="s">
        <v>3422</v>
      </c>
      <c r="C1381" s="37" t="s">
        <v>3001</v>
      </c>
      <c r="D1381" s="37" t="s">
        <v>426</v>
      </c>
      <c r="E1381" s="37">
        <v>85355</v>
      </c>
      <c r="F1381" s="37" t="s">
        <v>3423</v>
      </c>
      <c r="G1381" s="37" t="s">
        <v>3400</v>
      </c>
      <c r="H1381" s="155" t="s">
        <v>6419</v>
      </c>
      <c r="I1381" s="38" t="s">
        <v>46</v>
      </c>
      <c r="J1381" s="38" t="s">
        <v>37</v>
      </c>
      <c r="K1381" s="38" t="s">
        <v>37</v>
      </c>
      <c r="L1381" s="38" t="s">
        <v>38</v>
      </c>
      <c r="M1381" s="38" t="s">
        <v>37</v>
      </c>
      <c r="N1381" s="38" t="s">
        <v>37</v>
      </c>
      <c r="O1381" s="38" t="s">
        <v>38</v>
      </c>
      <c r="P1381" s="38" t="s">
        <v>39</v>
      </c>
      <c r="Q1381" s="36">
        <v>45995</v>
      </c>
      <c r="R1381" s="34"/>
      <c r="S1381" s="34"/>
      <c r="T1381" s="34"/>
      <c r="U1381" s="34"/>
      <c r="V138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2" spans="1:22" hidden="1">
      <c r="A1382" s="2">
        <v>45994</v>
      </c>
      <c r="B1382" s="1" t="s">
        <v>3424</v>
      </c>
      <c r="C1382" s="1" t="s">
        <v>1048</v>
      </c>
      <c r="D1382" s="1" t="s">
        <v>30</v>
      </c>
      <c r="E1382" s="1" t="s">
        <v>30</v>
      </c>
      <c r="F1382" s="1" t="s">
        <v>31</v>
      </c>
      <c r="G1382" s="39" t="s">
        <v>3425</v>
      </c>
      <c r="H1382" s="4" t="s">
        <v>27</v>
      </c>
      <c r="V138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3" spans="1:22" hidden="1">
      <c r="A1383" s="2">
        <v>45994</v>
      </c>
      <c r="B1383" s="1" t="s">
        <v>3426</v>
      </c>
      <c r="C1383" s="1" t="s">
        <v>3427</v>
      </c>
      <c r="D1383" s="1" t="s">
        <v>202</v>
      </c>
      <c r="E1383" s="1">
        <v>85383</v>
      </c>
      <c r="F1383" s="1" t="s">
        <v>3428</v>
      </c>
      <c r="G1383" s="39" t="s">
        <v>3429</v>
      </c>
      <c r="H1383" s="4" t="s">
        <v>3430</v>
      </c>
      <c r="I1383" s="5" t="s">
        <v>126</v>
      </c>
      <c r="J1383" s="5" t="s">
        <v>37</v>
      </c>
      <c r="K1383" s="5" t="s">
        <v>37</v>
      </c>
      <c r="L1383" s="5" t="s">
        <v>38</v>
      </c>
      <c r="M1383" s="5" t="s">
        <v>37</v>
      </c>
      <c r="N1383" s="5" t="s">
        <v>37</v>
      </c>
      <c r="O1383" s="5" t="s">
        <v>38</v>
      </c>
      <c r="P1383" s="5" t="s">
        <v>39</v>
      </c>
      <c r="Q1383" s="2">
        <v>45995</v>
      </c>
      <c r="V138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4" spans="1:22" ht="15" hidden="1">
      <c r="A1384" s="2">
        <v>45994</v>
      </c>
      <c r="B1384" s="1" t="s">
        <v>3431</v>
      </c>
      <c r="C1384" s="1" t="s">
        <v>3432</v>
      </c>
      <c r="D1384" s="1" t="s">
        <v>63</v>
      </c>
      <c r="E1384" s="1">
        <v>85017</v>
      </c>
      <c r="F1384" s="1" t="s">
        <v>3433</v>
      </c>
      <c r="G1384" s="40" t="s">
        <v>3434</v>
      </c>
      <c r="H1384" s="4" t="s">
        <v>90</v>
      </c>
      <c r="R1384" s="1" t="s">
        <v>3435</v>
      </c>
      <c r="V138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5" spans="1:22" hidden="1">
      <c r="A1385" s="2">
        <v>45994</v>
      </c>
      <c r="B1385" s="1" t="s">
        <v>3436</v>
      </c>
      <c r="C1385" s="1" t="s">
        <v>3437</v>
      </c>
      <c r="D1385" s="1" t="s">
        <v>63</v>
      </c>
      <c r="E1385" s="1">
        <v>85019</v>
      </c>
      <c r="F1385" s="1" t="s">
        <v>3438</v>
      </c>
      <c r="G1385" s="1" t="s">
        <v>3434</v>
      </c>
      <c r="H1385" s="4" t="s">
        <v>27</v>
      </c>
      <c r="R1385" s="1" t="s">
        <v>3435</v>
      </c>
      <c r="V138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6" spans="1:22" hidden="1">
      <c r="A1386" s="2">
        <v>45994</v>
      </c>
      <c r="B1386" s="1" t="s">
        <v>3439</v>
      </c>
      <c r="C1386" s="1" t="s">
        <v>3440</v>
      </c>
      <c r="D1386" s="1" t="s">
        <v>24</v>
      </c>
      <c r="E1386" s="1">
        <v>85301</v>
      </c>
      <c r="F1386" s="1" t="s">
        <v>3441</v>
      </c>
      <c r="G1386" s="1" t="s">
        <v>3434</v>
      </c>
      <c r="H1386" s="4" t="s">
        <v>27</v>
      </c>
      <c r="R1386" s="1" t="s">
        <v>3435</v>
      </c>
      <c r="V138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7" spans="1:22" hidden="1">
      <c r="A1387" s="2">
        <v>45994</v>
      </c>
      <c r="B1387" s="1" t="s">
        <v>654</v>
      </c>
      <c r="C1387" s="1" t="s">
        <v>3442</v>
      </c>
      <c r="D1387" s="1" t="s">
        <v>632</v>
      </c>
      <c r="E1387" s="1">
        <v>85281</v>
      </c>
      <c r="F1387" s="1" t="s">
        <v>3443</v>
      </c>
      <c r="G1387" s="1" t="s">
        <v>3434</v>
      </c>
      <c r="H1387" s="4" t="s">
        <v>27</v>
      </c>
      <c r="R1387" s="1" t="s">
        <v>3435</v>
      </c>
      <c r="V138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8" spans="1:22" hidden="1">
      <c r="A1388" s="2">
        <v>45994</v>
      </c>
      <c r="B1388" s="1" t="s">
        <v>3377</v>
      </c>
      <c r="C1388" s="1" t="s">
        <v>3377</v>
      </c>
      <c r="D1388" s="1" t="s">
        <v>63</v>
      </c>
      <c r="E1388" s="1">
        <v>85008</v>
      </c>
      <c r="F1388" s="1" t="s">
        <v>3444</v>
      </c>
      <c r="G1388" s="1" t="s">
        <v>3434</v>
      </c>
      <c r="H1388" s="4" t="s">
        <v>27</v>
      </c>
      <c r="R1388" s="1" t="s">
        <v>3435</v>
      </c>
      <c r="V138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89" spans="1:22" hidden="1">
      <c r="A1389" s="2">
        <v>45994</v>
      </c>
      <c r="B1389" s="1" t="s">
        <v>3445</v>
      </c>
      <c r="C1389" s="1" t="s">
        <v>3446</v>
      </c>
      <c r="D1389" s="1" t="s">
        <v>63</v>
      </c>
      <c r="E1389" s="1">
        <v>85008</v>
      </c>
      <c r="F1389" s="1" t="s">
        <v>3447</v>
      </c>
      <c r="G1389" s="1" t="s">
        <v>3434</v>
      </c>
      <c r="H1389" s="4" t="s">
        <v>3448</v>
      </c>
      <c r="I1389" s="5" t="s">
        <v>126</v>
      </c>
      <c r="J1389" s="5" t="s">
        <v>38</v>
      </c>
      <c r="K1389" s="5" t="s">
        <v>37</v>
      </c>
      <c r="L1389" s="5" t="s">
        <v>3449</v>
      </c>
      <c r="M1389" s="5" t="s">
        <v>37</v>
      </c>
      <c r="N1389" s="5" t="s">
        <v>37</v>
      </c>
      <c r="O1389" s="5" t="s">
        <v>38</v>
      </c>
      <c r="P1389" s="5" t="s">
        <v>39</v>
      </c>
      <c r="Q1389" s="2">
        <v>46000</v>
      </c>
      <c r="R1389" s="1" t="s">
        <v>3450</v>
      </c>
      <c r="V1389"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0" spans="1:22" hidden="1">
      <c r="A1390" s="2">
        <v>45994</v>
      </c>
      <c r="B1390" s="1" t="s">
        <v>2153</v>
      </c>
      <c r="C1390" s="1" t="s">
        <v>3416</v>
      </c>
      <c r="D1390" s="1" t="s">
        <v>63</v>
      </c>
      <c r="E1390" s="1">
        <v>85017</v>
      </c>
      <c r="F1390" s="1" t="s">
        <v>3451</v>
      </c>
      <c r="G1390" s="1" t="s">
        <v>3434</v>
      </c>
      <c r="H1390" s="4" t="s">
        <v>27</v>
      </c>
      <c r="R1390" s="1" t="s">
        <v>3435</v>
      </c>
      <c r="V1390"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1" spans="1:22" hidden="1">
      <c r="A1391" s="2">
        <v>45994</v>
      </c>
      <c r="B1391" s="1" t="s">
        <v>654</v>
      </c>
      <c r="C1391" s="1" t="s">
        <v>3452</v>
      </c>
      <c r="D1391" s="1" t="s">
        <v>63</v>
      </c>
      <c r="E1391" s="1">
        <v>85035</v>
      </c>
      <c r="F1391" s="1" t="s">
        <v>3453</v>
      </c>
      <c r="G1391" s="1" t="s">
        <v>3434</v>
      </c>
      <c r="H1391" s="4" t="s">
        <v>27</v>
      </c>
      <c r="R1391" s="1" t="s">
        <v>3435</v>
      </c>
      <c r="V1391"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2" spans="1:22" hidden="1">
      <c r="A1392" s="2">
        <v>45994</v>
      </c>
      <c r="B1392" s="1" t="s">
        <v>3454</v>
      </c>
      <c r="C1392" s="1" t="s">
        <v>3455</v>
      </c>
      <c r="D1392" s="1" t="s">
        <v>63</v>
      </c>
      <c r="E1392" s="1">
        <v>85008</v>
      </c>
      <c r="F1392" s="1" t="s">
        <v>3456</v>
      </c>
      <c r="G1392" s="1" t="s">
        <v>3434</v>
      </c>
      <c r="H1392" s="4" t="s">
        <v>27</v>
      </c>
      <c r="R1392" s="1" t="s">
        <v>3435</v>
      </c>
      <c r="V1392"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3" spans="1:22" hidden="1">
      <c r="A1393" s="2">
        <v>45994</v>
      </c>
      <c r="C1393" s="1" t="s">
        <v>3457</v>
      </c>
      <c r="D1393" s="1" t="s">
        <v>63</v>
      </c>
      <c r="E1393" s="1">
        <v>85017</v>
      </c>
      <c r="F1393" s="1" t="s">
        <v>3458</v>
      </c>
      <c r="G1393" s="1" t="s">
        <v>3434</v>
      </c>
      <c r="H1393" s="4" t="s">
        <v>27</v>
      </c>
      <c r="R1393" s="1" t="s">
        <v>3435</v>
      </c>
      <c r="V1393"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4" spans="1:22" hidden="1">
      <c r="A1394" s="2">
        <v>45994</v>
      </c>
      <c r="B1394" s="1" t="s">
        <v>3459</v>
      </c>
      <c r="C1394" s="1" t="s">
        <v>3460</v>
      </c>
      <c r="D1394" s="1" t="s">
        <v>63</v>
      </c>
      <c r="E1394" s="1">
        <v>85037</v>
      </c>
      <c r="F1394" s="1" t="s">
        <v>3461</v>
      </c>
      <c r="G1394" s="1" t="s">
        <v>3434</v>
      </c>
      <c r="H1394" s="4" t="s">
        <v>27</v>
      </c>
      <c r="V1394"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5" spans="1:22" hidden="1">
      <c r="A1395" s="2">
        <v>45994</v>
      </c>
      <c r="B1395" s="1" t="s">
        <v>3462</v>
      </c>
      <c r="C1395" s="1" t="s">
        <v>3463</v>
      </c>
      <c r="D1395" s="1" t="s">
        <v>63</v>
      </c>
      <c r="E1395" s="1">
        <v>85031</v>
      </c>
      <c r="F1395" s="1" t="s">
        <v>3464</v>
      </c>
      <c r="G1395" s="1" t="s">
        <v>3434</v>
      </c>
      <c r="H1395" s="4" t="s">
        <v>27</v>
      </c>
      <c r="V1395"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6" spans="1:22" hidden="1">
      <c r="A1396" s="2">
        <v>45994</v>
      </c>
      <c r="B1396" s="1" t="s">
        <v>3465</v>
      </c>
      <c r="C1396" s="1" t="s">
        <v>3466</v>
      </c>
      <c r="D1396" s="1" t="s">
        <v>112</v>
      </c>
      <c r="E1396" s="1">
        <v>85387</v>
      </c>
      <c r="F1396" s="1" t="s">
        <v>3467</v>
      </c>
      <c r="G1396" s="1" t="s">
        <v>3434</v>
      </c>
      <c r="H1396" s="4" t="s">
        <v>3468</v>
      </c>
      <c r="I1396" s="5" t="s">
        <v>36</v>
      </c>
      <c r="J1396" s="5" t="s">
        <v>37</v>
      </c>
      <c r="K1396" s="5" t="s">
        <v>37</v>
      </c>
      <c r="L1396" s="5" t="s">
        <v>38</v>
      </c>
      <c r="M1396" s="5" t="s">
        <v>37</v>
      </c>
      <c r="N1396" s="5" t="s">
        <v>37</v>
      </c>
      <c r="O1396" s="5" t="s">
        <v>38</v>
      </c>
      <c r="P1396" s="5" t="s">
        <v>39</v>
      </c>
      <c r="Q1396" s="2">
        <v>46000</v>
      </c>
      <c r="V1396"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7" spans="1:22" hidden="1">
      <c r="A1397" s="2">
        <v>45994</v>
      </c>
      <c r="B1397" s="1" t="s">
        <v>417</v>
      </c>
      <c r="C1397" s="1" t="s">
        <v>3110</v>
      </c>
      <c r="D1397" s="1" t="s">
        <v>63</v>
      </c>
      <c r="E1397" s="1">
        <v>85029</v>
      </c>
      <c r="F1397" s="1" t="s">
        <v>3469</v>
      </c>
      <c r="G1397" s="1" t="s">
        <v>3434</v>
      </c>
      <c r="H1397" s="4" t="s">
        <v>3112</v>
      </c>
      <c r="I1397" s="5" t="s">
        <v>126</v>
      </c>
      <c r="J1397" s="5" t="s">
        <v>37</v>
      </c>
      <c r="K1397" s="5" t="s">
        <v>37</v>
      </c>
      <c r="L1397" s="5" t="s">
        <v>38</v>
      </c>
      <c r="M1397" s="5" t="s">
        <v>37</v>
      </c>
      <c r="N1397" s="5" t="s">
        <v>37</v>
      </c>
      <c r="O1397" s="5" t="s">
        <v>38</v>
      </c>
      <c r="P1397" s="5" t="s">
        <v>39</v>
      </c>
      <c r="Q1397" s="2">
        <v>46000</v>
      </c>
      <c r="V1397"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8" spans="1:22" hidden="1">
      <c r="A1398" s="41">
        <v>45994</v>
      </c>
      <c r="B1398" s="32" t="s">
        <v>829</v>
      </c>
      <c r="C1398" s="32" t="s">
        <v>3470</v>
      </c>
      <c r="D1398" s="32" t="s">
        <v>63</v>
      </c>
      <c r="E1398" s="32">
        <v>85013</v>
      </c>
      <c r="F1398" s="32" t="s">
        <v>3471</v>
      </c>
      <c r="G1398" s="32" t="s">
        <v>3434</v>
      </c>
      <c r="H1398" s="44" t="s">
        <v>6109</v>
      </c>
      <c r="I1398" s="42" t="s">
        <v>3472</v>
      </c>
      <c r="J1398" s="42" t="s">
        <v>37</v>
      </c>
      <c r="K1398" s="42" t="s">
        <v>37</v>
      </c>
      <c r="L1398" s="42" t="s">
        <v>3473</v>
      </c>
      <c r="M1398" s="42" t="s">
        <v>37</v>
      </c>
      <c r="N1398" s="42" t="s">
        <v>37</v>
      </c>
      <c r="O1398" s="42" t="s">
        <v>38</v>
      </c>
      <c r="P1398" s="42"/>
      <c r="Q1398" s="41">
        <v>46000</v>
      </c>
      <c r="R1398" s="32" t="s">
        <v>3474</v>
      </c>
      <c r="S1398" s="32"/>
      <c r="T1398" s="32"/>
      <c r="U1398" s="32"/>
      <c r="V1398" s="45">
        <f>IF(
  OR(
    ISNUMBER(SEARCH("unable to locate acct", tblDocketedComments[[#This Row],[Docketed Consumer Comments]])),
    ISNUMBER(SEARCH("unknown", tblDocketedComments[[#This Row],[Docketed Consumer Comments]])),
    ISNUMBER(SEARCH("inactive", tblDocketedComments[[#This Row],[Docketed Consumer Comments]]))
  ),
  0,
  1
)</f>
        <v>1</v>
      </c>
    </row>
    <row r="1399" spans="1:22" hidden="1">
      <c r="A1399" s="2">
        <v>45994</v>
      </c>
      <c r="B1399" s="1" t="s">
        <v>1583</v>
      </c>
      <c r="C1399" s="1" t="s">
        <v>3475</v>
      </c>
      <c r="D1399" s="1" t="s">
        <v>63</v>
      </c>
      <c r="E1399" s="1">
        <v>85086</v>
      </c>
      <c r="F1399" s="1" t="s">
        <v>3476</v>
      </c>
      <c r="G1399" s="1" t="s">
        <v>3434</v>
      </c>
      <c r="H1399" s="4" t="s">
        <v>90</v>
      </c>
      <c r="V1399"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0" spans="1:22" hidden="1">
      <c r="A1400" s="2">
        <v>45994</v>
      </c>
      <c r="B1400" s="1" t="s">
        <v>3477</v>
      </c>
      <c r="C1400" s="1" t="s">
        <v>3478</v>
      </c>
      <c r="D1400" s="1" t="s">
        <v>63</v>
      </c>
      <c r="E1400" s="1">
        <v>85033</v>
      </c>
      <c r="F1400" s="1" t="s">
        <v>3479</v>
      </c>
      <c r="G1400" s="1" t="s">
        <v>3434</v>
      </c>
      <c r="H1400" s="4" t="s">
        <v>27</v>
      </c>
      <c r="V1400"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1" spans="1:22" hidden="1">
      <c r="A1401" s="2">
        <v>45994</v>
      </c>
      <c r="B1401" s="1" t="s">
        <v>3480</v>
      </c>
      <c r="C1401" s="1" t="s">
        <v>1482</v>
      </c>
      <c r="D1401" s="1" t="s">
        <v>734</v>
      </c>
      <c r="E1401" s="1">
        <v>86326</v>
      </c>
      <c r="F1401" s="1" t="s">
        <v>3481</v>
      </c>
      <c r="G1401" s="1" t="s">
        <v>3434</v>
      </c>
      <c r="H1401" s="4" t="s">
        <v>90</v>
      </c>
      <c r="V1401"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2" spans="1:22" hidden="1">
      <c r="A1402" s="2">
        <v>45994</v>
      </c>
      <c r="B1402" s="1" t="s">
        <v>3482</v>
      </c>
      <c r="C1402" s="1" t="s">
        <v>3483</v>
      </c>
      <c r="D1402" s="1" t="s">
        <v>24</v>
      </c>
      <c r="E1402" s="1">
        <v>85308</v>
      </c>
      <c r="F1402" s="1" t="s">
        <v>3484</v>
      </c>
      <c r="G1402" s="1" t="s">
        <v>3434</v>
      </c>
      <c r="H1402" s="4" t="s">
        <v>27</v>
      </c>
      <c r="V1402"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3" spans="1:22" hidden="1">
      <c r="A1403" s="2">
        <v>45994</v>
      </c>
      <c r="B1403" s="1" t="s">
        <v>3485</v>
      </c>
      <c r="C1403" s="1" t="s">
        <v>340</v>
      </c>
      <c r="D1403" s="1" t="s">
        <v>63</v>
      </c>
      <c r="E1403" s="1">
        <v>85022</v>
      </c>
      <c r="F1403" s="1" t="s">
        <v>3486</v>
      </c>
      <c r="G1403" s="1" t="s">
        <v>3434</v>
      </c>
      <c r="H1403" s="4" t="s">
        <v>3487</v>
      </c>
      <c r="I1403" s="5" t="s">
        <v>73</v>
      </c>
      <c r="J1403" s="5" t="s">
        <v>37</v>
      </c>
      <c r="K1403" s="5" t="s">
        <v>37</v>
      </c>
      <c r="L1403" s="5" t="s">
        <v>3488</v>
      </c>
      <c r="M1403" s="5" t="s">
        <v>37</v>
      </c>
      <c r="N1403" s="5" t="s">
        <v>37</v>
      </c>
      <c r="O1403" s="5" t="s">
        <v>38</v>
      </c>
      <c r="P1403" s="5" t="s">
        <v>39</v>
      </c>
      <c r="Q1403" s="2">
        <v>46000</v>
      </c>
      <c r="V1403"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4" spans="1:22" hidden="1">
      <c r="A1404" s="2">
        <v>45994</v>
      </c>
      <c r="B1404" s="1" t="s">
        <v>3489</v>
      </c>
      <c r="C1404" s="1" t="s">
        <v>3490</v>
      </c>
      <c r="D1404" s="1" t="s">
        <v>63</v>
      </c>
      <c r="E1404" s="1">
        <v>85003</v>
      </c>
      <c r="F1404" s="1" t="s">
        <v>3491</v>
      </c>
      <c r="G1404" s="1" t="s">
        <v>3434</v>
      </c>
      <c r="H1404" s="4" t="s">
        <v>27</v>
      </c>
      <c r="R1404" s="1" t="s">
        <v>3435</v>
      </c>
      <c r="V1404"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5" spans="1:22" hidden="1">
      <c r="A1405" s="2">
        <v>45994</v>
      </c>
      <c r="B1405" s="1" t="s">
        <v>3492</v>
      </c>
      <c r="C1405" s="1" t="s">
        <v>3493</v>
      </c>
      <c r="D1405" s="1" t="s">
        <v>520</v>
      </c>
      <c r="E1405" s="1">
        <v>85323</v>
      </c>
      <c r="F1405" s="1" t="s">
        <v>3494</v>
      </c>
      <c r="G1405" s="1" t="s">
        <v>3434</v>
      </c>
      <c r="H1405" s="4" t="s">
        <v>27</v>
      </c>
      <c r="R1405" s="1" t="s">
        <v>3435</v>
      </c>
      <c r="V1405"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6" spans="1:22" hidden="1">
      <c r="A1406" s="2">
        <v>45994</v>
      </c>
      <c r="B1406" s="1" t="s">
        <v>3495</v>
      </c>
      <c r="C1406" s="1" t="s">
        <v>3496</v>
      </c>
      <c r="D1406" s="1" t="s">
        <v>2131</v>
      </c>
      <c r="E1406" s="1">
        <v>86325</v>
      </c>
      <c r="F1406" s="1" t="s">
        <v>3497</v>
      </c>
      <c r="G1406" s="1" t="s">
        <v>3434</v>
      </c>
      <c r="H1406" s="4" t="s">
        <v>27</v>
      </c>
      <c r="V1406"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7" spans="1:22" hidden="1">
      <c r="A1407" s="2">
        <v>45994</v>
      </c>
      <c r="B1407" s="1" t="s">
        <v>3498</v>
      </c>
      <c r="C1407" s="1" t="s">
        <v>3499</v>
      </c>
      <c r="D1407" s="1" t="s">
        <v>112</v>
      </c>
      <c r="E1407" s="1">
        <v>85379</v>
      </c>
      <c r="F1407" s="1" t="s">
        <v>3500</v>
      </c>
      <c r="G1407" s="1" t="s">
        <v>3434</v>
      </c>
      <c r="H1407" s="4" t="s">
        <v>27</v>
      </c>
      <c r="V1407"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8" spans="1:22" hidden="1">
      <c r="A1408" s="2">
        <v>45994</v>
      </c>
      <c r="B1408" s="1" t="s">
        <v>30</v>
      </c>
      <c r="C1408" s="1" t="s">
        <v>3501</v>
      </c>
      <c r="D1408" s="1" t="s">
        <v>30</v>
      </c>
      <c r="E1408" s="1" t="s">
        <v>30</v>
      </c>
      <c r="F1408" s="1" t="s">
        <v>3502</v>
      </c>
      <c r="G1408" s="1" t="s">
        <v>3434</v>
      </c>
      <c r="H1408" s="4" t="s">
        <v>27</v>
      </c>
      <c r="V1408" s="45">
        <f>IF(
  OR(
    ISNUMBER(SEARCH("unable to locate acct", tblDocketedComments[[#This Row],[Docketed Consumer Comments]])),
    ISNUMBER(SEARCH("unknown", tblDocketedComments[[#This Row],[Docketed Consumer Comments]])),
    ISNUMBER(SEARCH("inactive", tblDocketedComments[[#This Row],[Docketed Consumer Comments]]))
  ),
  0,
  1
)</f>
        <v>1</v>
      </c>
    </row>
    <row r="1409" spans="1:22" hidden="1">
      <c r="A1409" s="2">
        <v>45994</v>
      </c>
      <c r="B1409" s="1" t="s">
        <v>3503</v>
      </c>
      <c r="C1409" s="1" t="s">
        <v>3504</v>
      </c>
      <c r="D1409" s="1" t="s">
        <v>68</v>
      </c>
      <c r="F1409" s="1" t="s">
        <v>3505</v>
      </c>
      <c r="G1409" s="1" t="s">
        <v>3434</v>
      </c>
      <c r="H1409" s="4" t="s">
        <v>3506</v>
      </c>
      <c r="I1409" s="5" t="s">
        <v>36</v>
      </c>
      <c r="J1409" s="5" t="s">
        <v>37</v>
      </c>
      <c r="K1409" s="5" t="s">
        <v>37</v>
      </c>
      <c r="L1409" s="5" t="s">
        <v>38</v>
      </c>
      <c r="M1409" s="5" t="s">
        <v>37</v>
      </c>
      <c r="N1409" s="5" t="s">
        <v>37</v>
      </c>
      <c r="O1409" s="5" t="s">
        <v>38</v>
      </c>
      <c r="P1409" s="5" t="s">
        <v>39</v>
      </c>
      <c r="Q1409" s="2">
        <v>46000</v>
      </c>
      <c r="V1409"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0" spans="1:22" hidden="1">
      <c r="A1410" s="2">
        <v>45994</v>
      </c>
      <c r="B1410" s="1" t="s">
        <v>3507</v>
      </c>
      <c r="C1410" s="1" t="s">
        <v>3508</v>
      </c>
      <c r="D1410" s="1" t="s">
        <v>63</v>
      </c>
      <c r="E1410" s="1">
        <v>85037</v>
      </c>
      <c r="F1410" s="1" t="s">
        <v>3509</v>
      </c>
      <c r="G1410" s="1" t="s">
        <v>3434</v>
      </c>
      <c r="H1410" s="4" t="s">
        <v>27</v>
      </c>
      <c r="R1410" s="1" t="s">
        <v>3435</v>
      </c>
      <c r="V1410"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1" spans="1:22" hidden="1">
      <c r="A1411" s="2">
        <v>45994</v>
      </c>
      <c r="B1411" s="1" t="s">
        <v>219</v>
      </c>
      <c r="C1411" s="1" t="s">
        <v>3510</v>
      </c>
      <c r="D1411" s="1" t="s">
        <v>63</v>
      </c>
      <c r="E1411" s="1">
        <v>85017</v>
      </c>
      <c r="F1411" s="1" t="s">
        <v>3511</v>
      </c>
      <c r="G1411" s="1" t="s">
        <v>3434</v>
      </c>
      <c r="H1411" s="4" t="s">
        <v>27</v>
      </c>
      <c r="R1411" s="1" t="s">
        <v>3435</v>
      </c>
      <c r="V1411"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2" spans="1:22" hidden="1">
      <c r="A1412" s="2">
        <v>45994</v>
      </c>
      <c r="B1412" s="1" t="s">
        <v>30</v>
      </c>
      <c r="C1412" s="1" t="s">
        <v>3512</v>
      </c>
      <c r="D1412" s="1" t="s">
        <v>63</v>
      </c>
      <c r="E1412" s="1">
        <v>85003</v>
      </c>
      <c r="F1412" s="1" t="s">
        <v>3513</v>
      </c>
      <c r="G1412" s="1" t="s">
        <v>3434</v>
      </c>
      <c r="H1412" s="4" t="s">
        <v>27</v>
      </c>
      <c r="V1412"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3" spans="1:22" hidden="1">
      <c r="A1413" s="2">
        <v>45994</v>
      </c>
      <c r="B1413" s="1" t="s">
        <v>3514</v>
      </c>
      <c r="C1413" s="1" t="s">
        <v>3515</v>
      </c>
      <c r="D1413" s="1" t="s">
        <v>63</v>
      </c>
      <c r="E1413" s="1">
        <v>85042</v>
      </c>
      <c r="F1413" s="1" t="s">
        <v>3516</v>
      </c>
      <c r="G1413" s="1" t="s">
        <v>3434</v>
      </c>
      <c r="H1413" s="4" t="s">
        <v>27</v>
      </c>
      <c r="V1413"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4" spans="1:22" hidden="1">
      <c r="A1414" s="2">
        <v>45994</v>
      </c>
      <c r="B1414" s="1" t="s">
        <v>3517</v>
      </c>
      <c r="C1414" s="1" t="s">
        <v>3518</v>
      </c>
      <c r="D1414" s="1" t="s">
        <v>3519</v>
      </c>
      <c r="E1414" s="1">
        <v>85040</v>
      </c>
      <c r="F1414" s="1" t="s">
        <v>3520</v>
      </c>
      <c r="G1414" s="1" t="s">
        <v>3434</v>
      </c>
      <c r="H1414" s="4" t="s">
        <v>27</v>
      </c>
      <c r="R1414" s="1" t="s">
        <v>3435</v>
      </c>
      <c r="V1414"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5" spans="1:22" hidden="1">
      <c r="A1415" s="2">
        <v>45994</v>
      </c>
      <c r="B1415" s="1" t="s">
        <v>30</v>
      </c>
      <c r="C1415" s="1" t="s">
        <v>3521</v>
      </c>
      <c r="D1415" s="1" t="s">
        <v>30</v>
      </c>
      <c r="E1415" s="1" t="s">
        <v>30</v>
      </c>
      <c r="G1415" s="1" t="s">
        <v>3434</v>
      </c>
      <c r="H1415" s="4" t="s">
        <v>4892</v>
      </c>
      <c r="V1415"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6" spans="1:22" hidden="1">
      <c r="A1416" s="2">
        <v>45995</v>
      </c>
      <c r="B1416" s="1" t="s">
        <v>3522</v>
      </c>
      <c r="C1416" s="1" t="s">
        <v>3523</v>
      </c>
      <c r="D1416" s="1" t="s">
        <v>112</v>
      </c>
      <c r="E1416" s="1">
        <v>85379</v>
      </c>
      <c r="F1416" s="1" t="s">
        <v>3524</v>
      </c>
      <c r="G1416" s="39" t="s">
        <v>3525</v>
      </c>
      <c r="H1416" s="4" t="s">
        <v>3526</v>
      </c>
      <c r="I1416" s="5" t="s">
        <v>3527</v>
      </c>
      <c r="J1416" s="5" t="s">
        <v>37</v>
      </c>
      <c r="K1416" s="5" t="s">
        <v>37</v>
      </c>
      <c r="L1416" s="5" t="s">
        <v>387</v>
      </c>
      <c r="M1416" s="5" t="s">
        <v>37</v>
      </c>
      <c r="N1416" s="5" t="s">
        <v>37</v>
      </c>
      <c r="O1416" s="5" t="s">
        <v>38</v>
      </c>
      <c r="P1416" s="5" t="s">
        <v>39</v>
      </c>
      <c r="Q1416" s="2">
        <v>46000</v>
      </c>
      <c r="V1416"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7" spans="1:22" hidden="1">
      <c r="A1417" s="41">
        <v>45996</v>
      </c>
      <c r="B1417" s="32" t="s">
        <v>3528</v>
      </c>
      <c r="C1417" s="32" t="s">
        <v>476</v>
      </c>
      <c r="D1417" s="32" t="s">
        <v>63</v>
      </c>
      <c r="E1417" s="32">
        <v>85032</v>
      </c>
      <c r="F1417" s="32" t="s">
        <v>3529</v>
      </c>
      <c r="G1417" s="43" t="s">
        <v>3530</v>
      </c>
      <c r="H1417" s="44" t="s">
        <v>3531</v>
      </c>
      <c r="I1417" s="42" t="s">
        <v>57</v>
      </c>
      <c r="J1417" s="42" t="s">
        <v>37</v>
      </c>
      <c r="K1417" s="42" t="s">
        <v>37</v>
      </c>
      <c r="L1417" s="42" t="s">
        <v>3532</v>
      </c>
      <c r="M1417" s="42" t="s">
        <v>37</v>
      </c>
      <c r="N1417" s="42" t="s">
        <v>37</v>
      </c>
      <c r="O1417" s="42" t="s">
        <v>38</v>
      </c>
      <c r="P1417" s="42"/>
      <c r="Q1417" s="41">
        <v>46000</v>
      </c>
      <c r="R1417" s="32" t="s">
        <v>3474</v>
      </c>
      <c r="S1417" s="32"/>
      <c r="T1417" s="32"/>
      <c r="U1417" s="32"/>
      <c r="V1417"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8" spans="1:22" hidden="1">
      <c r="A1418" s="2">
        <v>46003</v>
      </c>
      <c r="B1418" s="1" t="s">
        <v>3533</v>
      </c>
      <c r="C1418" s="1" t="s">
        <v>780</v>
      </c>
      <c r="D1418" s="1" t="s">
        <v>112</v>
      </c>
      <c r="E1418" s="1">
        <v>85378</v>
      </c>
      <c r="F1418" s="1" t="s">
        <v>3534</v>
      </c>
      <c r="G1418" s="1" t="s">
        <v>3535</v>
      </c>
      <c r="H1418" s="4" t="s">
        <v>27</v>
      </c>
      <c r="V1418" s="45">
        <f>IF(
  OR(
    ISNUMBER(SEARCH("unable to locate acct", tblDocketedComments[[#This Row],[Docketed Consumer Comments]])),
    ISNUMBER(SEARCH("unknown", tblDocketedComments[[#This Row],[Docketed Consumer Comments]])),
    ISNUMBER(SEARCH("inactive", tblDocketedComments[[#This Row],[Docketed Consumer Comments]]))
  ),
  0,
  1
)</f>
        <v>1</v>
      </c>
    </row>
    <row r="1419" spans="1:22" hidden="1">
      <c r="A1419" s="2">
        <v>46003</v>
      </c>
      <c r="B1419" s="1" t="s">
        <v>3536</v>
      </c>
      <c r="C1419" s="1" t="s">
        <v>3537</v>
      </c>
      <c r="D1419" s="1" t="s">
        <v>174</v>
      </c>
      <c r="E1419" s="1">
        <v>85396</v>
      </c>
      <c r="F1419" s="1" t="s">
        <v>3538</v>
      </c>
      <c r="G1419" s="1" t="s">
        <v>3535</v>
      </c>
      <c r="H1419" s="4" t="s">
        <v>3539</v>
      </c>
      <c r="I1419" s="5" t="s">
        <v>250</v>
      </c>
      <c r="J1419" s="5" t="s">
        <v>37</v>
      </c>
      <c r="K1419" s="5" t="s">
        <v>37</v>
      </c>
      <c r="L1419" s="5" t="s">
        <v>38</v>
      </c>
      <c r="M1419" s="5" t="s">
        <v>37</v>
      </c>
      <c r="N1419" s="5" t="s">
        <v>37</v>
      </c>
      <c r="O1419" s="5" t="s">
        <v>38</v>
      </c>
      <c r="P1419" s="5" t="s">
        <v>39</v>
      </c>
      <c r="Q1419" s="5">
        <v>46008</v>
      </c>
      <c r="V1419"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0" spans="1:22" hidden="1">
      <c r="A1420" s="2">
        <v>46003</v>
      </c>
      <c r="B1420" s="1" t="s">
        <v>3540</v>
      </c>
      <c r="C1420" s="1" t="s">
        <v>3541</v>
      </c>
      <c r="D1420" s="1" t="s">
        <v>174</v>
      </c>
      <c r="E1420" s="1">
        <v>85396</v>
      </c>
      <c r="F1420" s="1" t="s">
        <v>3542</v>
      </c>
      <c r="G1420" s="1" t="s">
        <v>3535</v>
      </c>
      <c r="H1420" s="4" t="s">
        <v>3543</v>
      </c>
      <c r="I1420" s="5" t="s">
        <v>3544</v>
      </c>
      <c r="J1420" s="5" t="s">
        <v>37</v>
      </c>
      <c r="K1420" s="5" t="s">
        <v>37</v>
      </c>
      <c r="L1420" s="5" t="s">
        <v>38</v>
      </c>
      <c r="M1420" s="5" t="s">
        <v>37</v>
      </c>
      <c r="N1420" s="5" t="s">
        <v>37</v>
      </c>
      <c r="O1420" s="5" t="s">
        <v>38</v>
      </c>
      <c r="P1420" s="5" t="s">
        <v>39</v>
      </c>
      <c r="Q1420" s="5">
        <v>46008</v>
      </c>
      <c r="V1420"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1" spans="1:22" hidden="1">
      <c r="A1421" s="2">
        <v>46003</v>
      </c>
      <c r="B1421" s="1" t="s">
        <v>3545</v>
      </c>
      <c r="C1421" s="1" t="s">
        <v>208</v>
      </c>
      <c r="D1421" s="1" t="s">
        <v>174</v>
      </c>
      <c r="E1421" s="1">
        <v>85396</v>
      </c>
      <c r="F1421" s="1" t="s">
        <v>3546</v>
      </c>
      <c r="G1421" s="1" t="s">
        <v>3535</v>
      </c>
      <c r="H1421" s="4" t="s">
        <v>3547</v>
      </c>
      <c r="I1421" s="5" t="s">
        <v>3548</v>
      </c>
      <c r="J1421" s="5" t="s">
        <v>37</v>
      </c>
      <c r="K1421" s="5" t="s">
        <v>37</v>
      </c>
      <c r="L1421" s="5" t="s">
        <v>3549</v>
      </c>
      <c r="M1421" s="5" t="s">
        <v>37</v>
      </c>
      <c r="N1421" s="5" t="s">
        <v>37</v>
      </c>
      <c r="O1421" s="5" t="s">
        <v>38</v>
      </c>
      <c r="P1421" s="5" t="s">
        <v>39</v>
      </c>
      <c r="Q1421" s="5">
        <v>46008</v>
      </c>
      <c r="V1421"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2" spans="1:22" hidden="1">
      <c r="A1422" s="2">
        <v>46006</v>
      </c>
      <c r="B1422" s="1" t="s">
        <v>214</v>
      </c>
      <c r="C1422" s="1" t="s">
        <v>199</v>
      </c>
      <c r="D1422" s="1" t="s">
        <v>3009</v>
      </c>
      <c r="E1422" s="1" t="s">
        <v>30</v>
      </c>
      <c r="F1422" s="1" t="s">
        <v>3335</v>
      </c>
      <c r="G1422" s="1" t="s">
        <v>3550</v>
      </c>
      <c r="H1422" s="4" t="s">
        <v>27</v>
      </c>
      <c r="V1422"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3" spans="1:22" hidden="1">
      <c r="A1423" s="2">
        <v>46006</v>
      </c>
      <c r="B1423" s="1" t="s">
        <v>3032</v>
      </c>
      <c r="C1423" s="1" t="s">
        <v>478</v>
      </c>
      <c r="D1423" s="1" t="s">
        <v>85</v>
      </c>
      <c r="E1423" s="1">
        <v>86323</v>
      </c>
      <c r="F1423" s="1" t="s">
        <v>3551</v>
      </c>
      <c r="G1423" s="1" t="s">
        <v>3552</v>
      </c>
      <c r="H1423" s="4" t="s">
        <v>3553</v>
      </c>
      <c r="I1423" s="5" t="s">
        <v>126</v>
      </c>
      <c r="J1423" s="5" t="s">
        <v>37</v>
      </c>
      <c r="K1423" s="5" t="s">
        <v>37</v>
      </c>
      <c r="L1423" s="5" t="s">
        <v>38</v>
      </c>
      <c r="M1423" s="5" t="s">
        <v>37</v>
      </c>
      <c r="N1423" s="5" t="s">
        <v>37</v>
      </c>
      <c r="O1423" s="5" t="s">
        <v>38</v>
      </c>
      <c r="P1423" s="5" t="s">
        <v>39</v>
      </c>
      <c r="Q1423" s="5">
        <v>46008</v>
      </c>
      <c r="V1423"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4" spans="1:22" hidden="1">
      <c r="A1424" s="2">
        <v>46006</v>
      </c>
      <c r="B1424" s="1" t="s">
        <v>3554</v>
      </c>
      <c r="C1424" s="1" t="s">
        <v>3555</v>
      </c>
      <c r="D1424" s="1" t="s">
        <v>293</v>
      </c>
      <c r="E1424" s="1">
        <v>85138</v>
      </c>
      <c r="F1424" s="1" t="s">
        <v>3556</v>
      </c>
      <c r="G1424" s="1" t="s">
        <v>3557</v>
      </c>
      <c r="H1424" s="4" t="s">
        <v>27</v>
      </c>
      <c r="V1424"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5" spans="1:22" hidden="1">
      <c r="A1425" s="2">
        <v>46006</v>
      </c>
      <c r="B1425" s="1" t="s">
        <v>3558</v>
      </c>
      <c r="C1425" s="1" t="s">
        <v>659</v>
      </c>
      <c r="D1425" s="1" t="s">
        <v>3559</v>
      </c>
      <c r="E1425" s="1">
        <v>89145</v>
      </c>
      <c r="F1425" s="1" t="s">
        <v>3560</v>
      </c>
      <c r="G1425" s="1" t="s">
        <v>3561</v>
      </c>
      <c r="H1425" s="4" t="s">
        <v>27</v>
      </c>
      <c r="V1425"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6" spans="1:22" hidden="1">
      <c r="A1426" s="2">
        <v>46008</v>
      </c>
      <c r="B1426" s="1" t="s">
        <v>1531</v>
      </c>
      <c r="C1426" s="1" t="s">
        <v>1532</v>
      </c>
      <c r="D1426" s="1" t="s">
        <v>30</v>
      </c>
      <c r="E1426" s="1" t="s">
        <v>30</v>
      </c>
      <c r="F1426" s="1" t="s">
        <v>3562</v>
      </c>
      <c r="G1426" s="1" t="s">
        <v>3563</v>
      </c>
      <c r="H1426" s="4" t="s">
        <v>27</v>
      </c>
      <c r="V1426" s="45">
        <f>IF(
  OR(
    ISNUMBER(SEARCH("unable to locate acct", tblDocketedComments[[#This Row],[Docketed Consumer Comments]])),
    ISNUMBER(SEARCH("unknown", tblDocketedComments[[#This Row],[Docketed Consumer Comments]])),
    ISNUMBER(SEARCH("inactive", tblDocketedComments[[#This Row],[Docketed Consumer Comments]]))
  ),
  0,
  1
)</f>
        <v>1</v>
      </c>
    </row>
    <row r="1427" spans="1:22" hidden="1">
      <c r="A1427" s="41">
        <v>46009</v>
      </c>
      <c r="B1427" s="32" t="s">
        <v>3564</v>
      </c>
      <c r="C1427" s="32" t="s">
        <v>3565</v>
      </c>
      <c r="D1427" s="32" t="s">
        <v>63</v>
      </c>
      <c r="E1427" s="32">
        <v>85022</v>
      </c>
      <c r="F1427" s="32" t="s">
        <v>3335</v>
      </c>
      <c r="G1427" s="43" t="s">
        <v>3566</v>
      </c>
      <c r="H1427" s="44" t="s">
        <v>3567</v>
      </c>
      <c r="I1427" s="42" t="s">
        <v>196</v>
      </c>
      <c r="J1427" s="42" t="s">
        <v>37</v>
      </c>
      <c r="K1427" s="42" t="s">
        <v>37</v>
      </c>
      <c r="L1427" s="42" t="s">
        <v>3568</v>
      </c>
      <c r="M1427" s="42" t="s">
        <v>37</v>
      </c>
      <c r="N1427" s="42" t="s">
        <v>37</v>
      </c>
      <c r="O1427" s="42" t="s">
        <v>38</v>
      </c>
      <c r="P1427" s="42"/>
      <c r="Q1427" s="41">
        <v>46015</v>
      </c>
      <c r="R1427" s="32" t="s">
        <v>3474</v>
      </c>
      <c r="S1427" s="32"/>
      <c r="T1427" s="32"/>
      <c r="U1427" s="32"/>
      <c r="V1427" s="1">
        <f>IF(
  OR(
    ISNUMBER(SEARCH("unable to locate acct", tblDocketedComments[[#This Row],[Docketed Consumer Comments]])),
    ISNUMBER(SEARCH("unknown", tblDocketedComments[[#This Row],[Docketed Consumer Comments]])),
    ISNUMBER(SEARCH("inactive", tblDocketedComments[[#This Row],[Docketed Consumer Comments]]))
  ),
  0,
  1
)</f>
        <v>1</v>
      </c>
    </row>
    <row r="1428" spans="1:22" hidden="1">
      <c r="A1428" s="2">
        <v>46009</v>
      </c>
      <c r="B1428" s="1" t="s">
        <v>1992</v>
      </c>
      <c r="C1428" s="1" t="s">
        <v>3569</v>
      </c>
      <c r="D1428" s="1" t="s">
        <v>112</v>
      </c>
      <c r="E1428" s="1">
        <v>85387</v>
      </c>
      <c r="F1428" s="1" t="s">
        <v>3335</v>
      </c>
      <c r="G1428" s="39" t="s">
        <v>3566</v>
      </c>
      <c r="H1428" s="4" t="s">
        <v>27</v>
      </c>
      <c r="V1428" s="1">
        <f>IF(
  OR(
    ISNUMBER(SEARCH("unable to locate acct", tblDocketedComments[[#This Row],[Docketed Consumer Comments]])),
    ISNUMBER(SEARCH("unknown", tblDocketedComments[[#This Row],[Docketed Consumer Comments]])),
    ISNUMBER(SEARCH("inactive", tblDocketedComments[[#This Row],[Docketed Consumer Comments]]))
  ),
  0,
  1
)</f>
        <v>1</v>
      </c>
    </row>
    <row r="1429" spans="1:22" hidden="1">
      <c r="A1429" s="2">
        <v>46010</v>
      </c>
      <c r="B1429" s="1" t="s">
        <v>3570</v>
      </c>
      <c r="C1429" s="1" t="s">
        <v>3571</v>
      </c>
      <c r="D1429" s="1" t="s">
        <v>632</v>
      </c>
      <c r="F1429" s="1" t="s">
        <v>3335</v>
      </c>
      <c r="G1429" s="39" t="s">
        <v>3572</v>
      </c>
      <c r="H1429" s="4" t="s">
        <v>27</v>
      </c>
      <c r="V1429" s="1">
        <f>IF(
  OR(
    ISNUMBER(SEARCH("unable to locate acct", tblDocketedComments[[#This Row],[Docketed Consumer Comments]])),
    ISNUMBER(SEARCH("unknown", tblDocketedComments[[#This Row],[Docketed Consumer Comments]])),
    ISNUMBER(SEARCH("inactive", tblDocketedComments[[#This Row],[Docketed Consumer Comments]]))
  ),
  0,
  1
)</f>
        <v>1</v>
      </c>
    </row>
    <row r="1430" spans="1:22" hidden="1">
      <c r="A1430" s="2">
        <v>46010</v>
      </c>
      <c r="B1430" s="1" t="s">
        <v>1091</v>
      </c>
      <c r="C1430" s="1" t="s">
        <v>3573</v>
      </c>
      <c r="D1430" s="1" t="s">
        <v>112</v>
      </c>
      <c r="E1430" s="1">
        <v>85387</v>
      </c>
      <c r="F1430" s="1" t="s">
        <v>3335</v>
      </c>
      <c r="G1430" s="39" t="s">
        <v>3572</v>
      </c>
      <c r="H1430" s="4" t="s">
        <v>27</v>
      </c>
      <c r="V1430" s="1">
        <f>IF(
  OR(
    ISNUMBER(SEARCH("unable to locate acct", tblDocketedComments[[#This Row],[Docketed Consumer Comments]])),
    ISNUMBER(SEARCH("unknown", tblDocketedComments[[#This Row],[Docketed Consumer Comments]])),
    ISNUMBER(SEARCH("inactive", tblDocketedComments[[#This Row],[Docketed Consumer Comments]]))
  ),
  0,
  1
)</f>
        <v>1</v>
      </c>
    </row>
    <row r="1431" spans="1:22" hidden="1">
      <c r="A1431" s="41">
        <v>46010</v>
      </c>
      <c r="B1431" s="32" t="s">
        <v>3574</v>
      </c>
      <c r="C1431" s="32" t="s">
        <v>478</v>
      </c>
      <c r="D1431" s="32" t="s">
        <v>174</v>
      </c>
      <c r="E1431" s="32">
        <v>85326</v>
      </c>
      <c r="F1431" s="32" t="s">
        <v>3335</v>
      </c>
      <c r="G1431" s="43" t="s">
        <v>3572</v>
      </c>
      <c r="H1431" s="44" t="s">
        <v>6004</v>
      </c>
      <c r="I1431" s="42" t="s">
        <v>196</v>
      </c>
      <c r="J1431" s="42" t="s">
        <v>37</v>
      </c>
      <c r="K1431" s="42" t="s">
        <v>37</v>
      </c>
      <c r="L1431" s="42" t="s">
        <v>3575</v>
      </c>
      <c r="M1431" s="42" t="s">
        <v>38</v>
      </c>
      <c r="N1431" s="61">
        <v>1309.77</v>
      </c>
      <c r="O1431" s="42" t="s">
        <v>38</v>
      </c>
      <c r="P1431" s="42"/>
      <c r="Q1431" s="41">
        <v>46015</v>
      </c>
      <c r="R1431" s="32" t="s">
        <v>3576</v>
      </c>
      <c r="S1431" s="32"/>
      <c r="T1431" s="32"/>
      <c r="U1431" s="32"/>
      <c r="V1431" s="1">
        <f>IF(
  OR(
    ISNUMBER(SEARCH("unable to locate acct", tblDocketedComments[[#This Row],[Docketed Consumer Comments]])),
    ISNUMBER(SEARCH("unknown", tblDocketedComments[[#This Row],[Docketed Consumer Comments]])),
    ISNUMBER(SEARCH("inactive", tblDocketedComments[[#This Row],[Docketed Consumer Comments]]))
  ),
  0,
  1
)</f>
        <v>1</v>
      </c>
    </row>
    <row r="1432" spans="1:22" hidden="1">
      <c r="A1432" s="2">
        <v>46010</v>
      </c>
      <c r="B1432" s="1" t="s">
        <v>3577</v>
      </c>
      <c r="C1432" s="1" t="s">
        <v>699</v>
      </c>
      <c r="D1432" s="1" t="s">
        <v>63</v>
      </c>
      <c r="E1432" s="1">
        <v>85016</v>
      </c>
      <c r="F1432" s="1" t="s">
        <v>3335</v>
      </c>
      <c r="G1432" s="39" t="s">
        <v>3572</v>
      </c>
      <c r="H1432" s="4" t="s">
        <v>90</v>
      </c>
      <c r="V1432" s="1">
        <f>IF(
  OR(
    ISNUMBER(SEARCH("unable to locate acct", tblDocketedComments[[#This Row],[Docketed Consumer Comments]])),
    ISNUMBER(SEARCH("unknown", tblDocketedComments[[#This Row],[Docketed Consumer Comments]])),
    ISNUMBER(SEARCH("inactive", tblDocketedComments[[#This Row],[Docketed Consumer Comments]]))
  ),
  0,
  1
)</f>
        <v>1</v>
      </c>
    </row>
    <row r="1433" spans="1:22" hidden="1">
      <c r="A1433" s="2">
        <v>46010</v>
      </c>
      <c r="B1433" s="1" t="s">
        <v>3578</v>
      </c>
      <c r="C1433" s="1" t="s">
        <v>1871</v>
      </c>
      <c r="D1433" s="1" t="s">
        <v>63</v>
      </c>
      <c r="E1433" s="1">
        <v>85015</v>
      </c>
      <c r="F1433" s="1" t="s">
        <v>3335</v>
      </c>
      <c r="G1433" s="39" t="s">
        <v>3572</v>
      </c>
      <c r="H1433" s="4" t="s">
        <v>6420</v>
      </c>
      <c r="I1433" s="5" t="s">
        <v>126</v>
      </c>
      <c r="J1433" s="5" t="s">
        <v>37</v>
      </c>
      <c r="K1433" s="5" t="s">
        <v>37</v>
      </c>
      <c r="L1433" s="5" t="s">
        <v>38</v>
      </c>
      <c r="M1433" s="5" t="s">
        <v>37</v>
      </c>
      <c r="N1433" s="5" t="s">
        <v>37</v>
      </c>
      <c r="O1433" s="5" t="s">
        <v>38</v>
      </c>
      <c r="P1433" s="5" t="s">
        <v>39</v>
      </c>
      <c r="Q1433" s="2">
        <v>46015</v>
      </c>
      <c r="V1433" s="1">
        <f>IF(
  OR(
    ISNUMBER(SEARCH("unable to locate acct", tblDocketedComments[[#This Row],[Docketed Consumer Comments]])),
    ISNUMBER(SEARCH("unknown", tblDocketedComments[[#This Row],[Docketed Consumer Comments]])),
    ISNUMBER(SEARCH("inactive", tblDocketedComments[[#This Row],[Docketed Consumer Comments]]))
  ),
  0,
  1
)</f>
        <v>1</v>
      </c>
    </row>
    <row r="1434" spans="1:22" hidden="1">
      <c r="A1434" s="2">
        <v>46010</v>
      </c>
      <c r="B1434" s="1" t="s">
        <v>523</v>
      </c>
      <c r="C1434" s="1" t="s">
        <v>425</v>
      </c>
      <c r="D1434" s="1" t="s">
        <v>169</v>
      </c>
      <c r="E1434" s="1">
        <v>85338</v>
      </c>
      <c r="F1434" s="1" t="s">
        <v>3335</v>
      </c>
      <c r="G1434" s="39" t="s">
        <v>3572</v>
      </c>
      <c r="H1434" s="4" t="s">
        <v>27</v>
      </c>
      <c r="V1434" s="1">
        <f>IF(
  OR(
    ISNUMBER(SEARCH("unable to locate acct", tblDocketedComments[[#This Row],[Docketed Consumer Comments]])),
    ISNUMBER(SEARCH("unknown", tblDocketedComments[[#This Row],[Docketed Consumer Comments]])),
    ISNUMBER(SEARCH("inactive", tblDocketedComments[[#This Row],[Docketed Consumer Comments]]))
  ),
  0,
  1
)</f>
        <v>1</v>
      </c>
    </row>
    <row r="1435" spans="1:22" hidden="1">
      <c r="A1435" s="2">
        <v>46010</v>
      </c>
      <c r="B1435" s="1" t="s">
        <v>3579</v>
      </c>
      <c r="C1435" s="1" t="s">
        <v>1189</v>
      </c>
      <c r="D1435" s="1" t="s">
        <v>369</v>
      </c>
      <c r="E1435" s="1">
        <v>85286</v>
      </c>
      <c r="F1435" s="1" t="s">
        <v>3335</v>
      </c>
      <c r="G1435" s="39" t="s">
        <v>3572</v>
      </c>
      <c r="H1435" s="4" t="s">
        <v>27</v>
      </c>
      <c r="V1435" s="1">
        <f>IF(
  OR(
    ISNUMBER(SEARCH("unable to locate acct", tblDocketedComments[[#This Row],[Docketed Consumer Comments]])),
    ISNUMBER(SEARCH("unknown", tblDocketedComments[[#This Row],[Docketed Consumer Comments]])),
    ISNUMBER(SEARCH("inactive", tblDocketedComments[[#This Row],[Docketed Consumer Comments]]))
  ),
  0,
  1
)</f>
        <v>1</v>
      </c>
    </row>
    <row r="1436" spans="1:22" hidden="1">
      <c r="A1436" s="2">
        <v>46010</v>
      </c>
      <c r="B1436" s="1" t="s">
        <v>3032</v>
      </c>
      <c r="C1436" s="1" t="s">
        <v>3580</v>
      </c>
      <c r="D1436" s="1" t="s">
        <v>2207</v>
      </c>
      <c r="E1436" s="1">
        <v>85087</v>
      </c>
      <c r="F1436" s="1" t="s">
        <v>3335</v>
      </c>
      <c r="G1436" s="39" t="s">
        <v>3572</v>
      </c>
      <c r="H1436" s="4" t="s">
        <v>3581</v>
      </c>
      <c r="I1436" s="5" t="s">
        <v>3544</v>
      </c>
      <c r="J1436" s="5" t="s">
        <v>37</v>
      </c>
      <c r="K1436" s="5" t="s">
        <v>37</v>
      </c>
      <c r="L1436" s="5" t="s">
        <v>38</v>
      </c>
      <c r="M1436" s="5" t="s">
        <v>37</v>
      </c>
      <c r="N1436" s="5" t="s">
        <v>37</v>
      </c>
      <c r="O1436" s="5" t="s">
        <v>38</v>
      </c>
      <c r="P1436" s="5" t="s">
        <v>39</v>
      </c>
      <c r="Q1436" s="2">
        <v>46015</v>
      </c>
      <c r="V1436" s="1">
        <f>IF(
  OR(
    ISNUMBER(SEARCH("unable to locate acct", tblDocketedComments[[#This Row],[Docketed Consumer Comments]])),
    ISNUMBER(SEARCH("unknown", tblDocketedComments[[#This Row],[Docketed Consumer Comments]])),
    ISNUMBER(SEARCH("inactive", tblDocketedComments[[#This Row],[Docketed Consumer Comments]]))
  ),
  0,
  1
)</f>
        <v>1</v>
      </c>
    </row>
    <row r="1437" spans="1:22" hidden="1">
      <c r="A1437" s="41">
        <v>46010</v>
      </c>
      <c r="B1437" s="32" t="s">
        <v>1220</v>
      </c>
      <c r="C1437" s="32" t="s">
        <v>3203</v>
      </c>
      <c r="D1437" s="32" t="s">
        <v>174</v>
      </c>
      <c r="E1437" s="32">
        <v>85326</v>
      </c>
      <c r="F1437" s="32" t="s">
        <v>3335</v>
      </c>
      <c r="G1437" s="43" t="s">
        <v>3572</v>
      </c>
      <c r="H1437" s="44" t="s">
        <v>3582</v>
      </c>
      <c r="I1437" s="42" t="s">
        <v>196</v>
      </c>
      <c r="J1437" s="42" t="s">
        <v>37</v>
      </c>
      <c r="K1437" s="42" t="s">
        <v>37</v>
      </c>
      <c r="L1437" s="42" t="s">
        <v>3583</v>
      </c>
      <c r="M1437" s="42" t="s">
        <v>37</v>
      </c>
      <c r="N1437" s="42" t="s">
        <v>37</v>
      </c>
      <c r="O1437" s="42" t="s">
        <v>38</v>
      </c>
      <c r="P1437" s="42"/>
      <c r="Q1437" s="41">
        <v>46015</v>
      </c>
      <c r="R1437" s="32" t="s">
        <v>3474</v>
      </c>
      <c r="S1437" s="32"/>
      <c r="T1437" s="32"/>
      <c r="U1437" s="32"/>
      <c r="V1437" s="1">
        <f>IF(
  OR(
    ISNUMBER(SEARCH("unable to locate acct", tblDocketedComments[[#This Row],[Docketed Consumer Comments]])),
    ISNUMBER(SEARCH("unknown", tblDocketedComments[[#This Row],[Docketed Consumer Comments]])),
    ISNUMBER(SEARCH("inactive", tblDocketedComments[[#This Row],[Docketed Consumer Comments]]))
  ),
  0,
  1
)</f>
        <v>1</v>
      </c>
    </row>
    <row r="1438" spans="1:22">
      <c r="A1438" s="156">
        <v>46014</v>
      </c>
      <c r="B1438" s="45" t="s">
        <v>3584</v>
      </c>
      <c r="C1438" s="45" t="s">
        <v>3585</v>
      </c>
      <c r="D1438" s="45" t="s">
        <v>3009</v>
      </c>
      <c r="E1438" s="45">
        <v>85718</v>
      </c>
      <c r="F1438" s="45" t="s">
        <v>3335</v>
      </c>
      <c r="G1438" s="158" t="s">
        <v>3586</v>
      </c>
      <c r="H1438" s="162" t="s">
        <v>27</v>
      </c>
      <c r="I1438" s="163"/>
      <c r="J1438" s="163"/>
      <c r="K1438" s="163"/>
      <c r="L1438" s="163"/>
      <c r="M1438" s="163"/>
      <c r="N1438" s="163"/>
      <c r="O1438" s="163"/>
      <c r="P1438" s="163"/>
      <c r="R1438" s="45"/>
      <c r="S1438" s="45"/>
      <c r="T1438" s="45"/>
      <c r="U1438" s="45"/>
      <c r="V143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39" spans="1:22">
      <c r="A1439" s="156">
        <v>46014</v>
      </c>
      <c r="B1439" s="45" t="s">
        <v>3564</v>
      </c>
      <c r="C1439" s="45" t="s">
        <v>1395</v>
      </c>
      <c r="D1439" s="45" t="s">
        <v>63</v>
      </c>
      <c r="E1439" s="45">
        <v>85022</v>
      </c>
      <c r="F1439" s="45" t="s">
        <v>3335</v>
      </c>
      <c r="G1439" s="158" t="s">
        <v>3586</v>
      </c>
      <c r="H1439" s="162" t="s">
        <v>3567</v>
      </c>
      <c r="I1439" s="163" t="s">
        <v>196</v>
      </c>
      <c r="J1439" s="163" t="s">
        <v>37</v>
      </c>
      <c r="K1439" s="163" t="s">
        <v>37</v>
      </c>
      <c r="L1439" s="163" t="s">
        <v>3568</v>
      </c>
      <c r="M1439" s="163" t="s">
        <v>37</v>
      </c>
      <c r="N1439" s="163" t="s">
        <v>37</v>
      </c>
      <c r="O1439" s="163" t="s">
        <v>38</v>
      </c>
      <c r="P1439" s="163"/>
      <c r="Q1439" s="5">
        <v>46017</v>
      </c>
      <c r="R1439" s="45"/>
      <c r="S1439" s="45"/>
      <c r="T1439" s="45"/>
      <c r="U1439" s="45"/>
      <c r="V143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0" spans="1:22">
      <c r="A1440" s="156">
        <v>46014</v>
      </c>
      <c r="B1440" s="45" t="s">
        <v>3587</v>
      </c>
      <c r="C1440" s="45" t="s">
        <v>124</v>
      </c>
      <c r="D1440" s="45" t="s">
        <v>63</v>
      </c>
      <c r="E1440" s="45">
        <v>85032</v>
      </c>
      <c r="F1440" s="45" t="s">
        <v>3335</v>
      </c>
      <c r="G1440" s="158" t="s">
        <v>3586</v>
      </c>
      <c r="H1440" s="162" t="s">
        <v>27</v>
      </c>
      <c r="I1440" s="163"/>
      <c r="J1440" s="163"/>
      <c r="K1440" s="163"/>
      <c r="L1440" s="163"/>
      <c r="M1440" s="163"/>
      <c r="N1440" s="163"/>
      <c r="O1440" s="163"/>
      <c r="P1440" s="163"/>
      <c r="R1440" s="45"/>
      <c r="S1440" s="45"/>
      <c r="T1440" s="45"/>
      <c r="U1440" s="45"/>
      <c r="V14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1" spans="1:22">
      <c r="A1441" s="156">
        <v>46014</v>
      </c>
      <c r="B1441" s="45" t="s">
        <v>3588</v>
      </c>
      <c r="C1441" s="45" t="s">
        <v>2210</v>
      </c>
      <c r="D1441" s="45" t="s">
        <v>520</v>
      </c>
      <c r="E1441" s="45">
        <v>85323</v>
      </c>
      <c r="F1441" s="45" t="s">
        <v>3335</v>
      </c>
      <c r="G1441" s="158" t="s">
        <v>3586</v>
      </c>
      <c r="H1441" s="162" t="s">
        <v>27</v>
      </c>
      <c r="I1441" s="163"/>
      <c r="J1441" s="163"/>
      <c r="K1441" s="163"/>
      <c r="L1441" s="163"/>
      <c r="M1441" s="163"/>
      <c r="N1441" s="163"/>
      <c r="O1441" s="163"/>
      <c r="P1441" s="163"/>
      <c r="R1441" s="45"/>
      <c r="S1441" s="45"/>
      <c r="T1441" s="45"/>
      <c r="U1441" s="45"/>
      <c r="V14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2" spans="1:22">
      <c r="A1442" s="156">
        <v>46014</v>
      </c>
      <c r="B1442" s="45" t="s">
        <v>3589</v>
      </c>
      <c r="C1442" s="45" t="s">
        <v>3590</v>
      </c>
      <c r="D1442" s="45" t="s">
        <v>93</v>
      </c>
      <c r="E1442" s="45">
        <v>85373</v>
      </c>
      <c r="F1442" s="45" t="s">
        <v>3335</v>
      </c>
      <c r="G1442" s="158" t="s">
        <v>3586</v>
      </c>
      <c r="H1442" s="162" t="s">
        <v>27</v>
      </c>
      <c r="I1442" s="163"/>
      <c r="J1442" s="163"/>
      <c r="K1442" s="163"/>
      <c r="L1442" s="163"/>
      <c r="M1442" s="163"/>
      <c r="N1442" s="163"/>
      <c r="O1442" s="163"/>
      <c r="P1442" s="163"/>
      <c r="R1442" s="45"/>
      <c r="S1442" s="45"/>
      <c r="T1442" s="45"/>
      <c r="U1442" s="45"/>
      <c r="V14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3" spans="1:22">
      <c r="A1443" s="156">
        <v>46015</v>
      </c>
      <c r="B1443" s="45" t="s">
        <v>3235</v>
      </c>
      <c r="C1443" s="45" t="s">
        <v>1833</v>
      </c>
      <c r="D1443" s="45"/>
      <c r="E1443" s="45"/>
      <c r="F1443" s="45" t="s">
        <v>3335</v>
      </c>
      <c r="G1443" s="158" t="s">
        <v>3591</v>
      </c>
      <c r="H1443" s="162" t="s">
        <v>27</v>
      </c>
      <c r="I1443" s="163"/>
      <c r="J1443" s="163"/>
      <c r="K1443" s="163"/>
      <c r="L1443" s="163"/>
      <c r="M1443" s="163"/>
      <c r="N1443" s="163"/>
      <c r="O1443" s="163"/>
      <c r="P1443" s="163"/>
      <c r="R1443" s="45"/>
      <c r="S1443" s="45"/>
      <c r="T1443" s="45"/>
      <c r="U1443" s="45"/>
      <c r="V14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4" spans="1:22">
      <c r="A1444" s="156">
        <v>46015</v>
      </c>
      <c r="B1444" s="45" t="s">
        <v>3592</v>
      </c>
      <c r="C1444" s="45" t="s">
        <v>2640</v>
      </c>
      <c r="D1444" s="45" t="s">
        <v>63</v>
      </c>
      <c r="E1444" s="45">
        <v>85029</v>
      </c>
      <c r="F1444" s="45" t="s">
        <v>3593</v>
      </c>
      <c r="G1444" s="158" t="s">
        <v>3591</v>
      </c>
      <c r="H1444" s="162" t="s">
        <v>3594</v>
      </c>
      <c r="I1444" s="163" t="s">
        <v>36</v>
      </c>
      <c r="J1444" s="163" t="s">
        <v>37</v>
      </c>
      <c r="K1444" s="163" t="s">
        <v>37</v>
      </c>
      <c r="L1444" s="163" t="s">
        <v>38</v>
      </c>
      <c r="M1444" s="163" t="s">
        <v>37</v>
      </c>
      <c r="N1444" s="163" t="s">
        <v>37</v>
      </c>
      <c r="O1444" s="163" t="s">
        <v>38</v>
      </c>
      <c r="P1444" s="163" t="s">
        <v>39</v>
      </c>
      <c r="Q1444" s="5">
        <v>46017</v>
      </c>
      <c r="R1444" s="45"/>
      <c r="S1444" s="45"/>
      <c r="T1444" s="45"/>
      <c r="U1444" s="45"/>
      <c r="V14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5" spans="1:22">
      <c r="A1445" s="156">
        <v>46017</v>
      </c>
      <c r="B1445" s="45" t="s">
        <v>3595</v>
      </c>
      <c r="C1445" s="45" t="s">
        <v>3596</v>
      </c>
      <c r="D1445" s="45" t="s">
        <v>63</v>
      </c>
      <c r="E1445" s="45">
        <v>85006</v>
      </c>
      <c r="F1445" s="45" t="s">
        <v>3335</v>
      </c>
      <c r="G1445" s="158" t="s">
        <v>3597</v>
      </c>
      <c r="H1445" s="162" t="s">
        <v>3598</v>
      </c>
      <c r="I1445" s="163" t="s">
        <v>126</v>
      </c>
      <c r="J1445" s="163" t="s">
        <v>37</v>
      </c>
      <c r="K1445" s="163" t="s">
        <v>37</v>
      </c>
      <c r="L1445" s="163" t="s">
        <v>38</v>
      </c>
      <c r="M1445" s="163" t="s">
        <v>37</v>
      </c>
      <c r="N1445" s="163" t="s">
        <v>37</v>
      </c>
      <c r="O1445" s="163" t="s">
        <v>38</v>
      </c>
      <c r="P1445" s="163" t="s">
        <v>39</v>
      </c>
      <c r="Q1445" s="5">
        <v>46020</v>
      </c>
      <c r="R1445" s="45"/>
      <c r="S1445" s="45"/>
      <c r="T1445" s="45"/>
      <c r="U1445" s="45"/>
      <c r="V14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6" spans="1:22">
      <c r="A1446" s="156">
        <v>46017</v>
      </c>
      <c r="B1446" s="45" t="s">
        <v>3599</v>
      </c>
      <c r="C1446" s="45" t="s">
        <v>75</v>
      </c>
      <c r="D1446" s="45" t="s">
        <v>202</v>
      </c>
      <c r="E1446" s="45">
        <v>85345</v>
      </c>
      <c r="F1446" s="45" t="s">
        <v>3335</v>
      </c>
      <c r="G1446" s="158" t="s">
        <v>3597</v>
      </c>
      <c r="H1446" s="162" t="s">
        <v>3600</v>
      </c>
      <c r="I1446" s="163" t="s">
        <v>36</v>
      </c>
      <c r="J1446" s="163" t="s">
        <v>37</v>
      </c>
      <c r="K1446" s="163" t="s">
        <v>37</v>
      </c>
      <c r="L1446" s="163" t="s">
        <v>38</v>
      </c>
      <c r="M1446" s="163" t="s">
        <v>37</v>
      </c>
      <c r="N1446" s="163" t="s">
        <v>37</v>
      </c>
      <c r="O1446" s="163" t="s">
        <v>38</v>
      </c>
      <c r="P1446" s="163" t="s">
        <v>39</v>
      </c>
      <c r="Q1446" s="5">
        <v>46020</v>
      </c>
      <c r="R1446" s="45"/>
      <c r="S1446" s="45"/>
      <c r="T1446" s="45"/>
      <c r="U1446" s="45"/>
      <c r="V14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7" spans="1:22">
      <c r="A1447" s="156">
        <v>46017</v>
      </c>
      <c r="B1447" s="45" t="s">
        <v>3601</v>
      </c>
      <c r="C1447" s="45" t="s">
        <v>225</v>
      </c>
      <c r="D1447" s="45" t="s">
        <v>63</v>
      </c>
      <c r="E1447" s="45">
        <v>85022</v>
      </c>
      <c r="F1447" s="45" t="s">
        <v>3335</v>
      </c>
      <c r="G1447" s="158" t="s">
        <v>3597</v>
      </c>
      <c r="H1447" s="162" t="s">
        <v>3602</v>
      </c>
      <c r="I1447" s="163" t="s">
        <v>3544</v>
      </c>
      <c r="J1447" s="163" t="s">
        <v>37</v>
      </c>
      <c r="K1447" s="163" t="s">
        <v>37</v>
      </c>
      <c r="L1447" s="163" t="s">
        <v>38</v>
      </c>
      <c r="M1447" s="163" t="s">
        <v>37</v>
      </c>
      <c r="N1447" s="163" t="s">
        <v>37</v>
      </c>
      <c r="O1447" s="163" t="s">
        <v>38</v>
      </c>
      <c r="P1447" s="163" t="s">
        <v>39</v>
      </c>
      <c r="Q1447" s="5">
        <v>46020</v>
      </c>
      <c r="R1447" s="45"/>
      <c r="S1447" s="45"/>
      <c r="T1447" s="45"/>
      <c r="U1447" s="45"/>
      <c r="V144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8" spans="1:22">
      <c r="A1448" s="156">
        <v>46021</v>
      </c>
      <c r="B1448" s="45" t="s">
        <v>3603</v>
      </c>
      <c r="C1448" s="45" t="s">
        <v>1930</v>
      </c>
      <c r="D1448" s="45" t="s">
        <v>30</v>
      </c>
      <c r="E1448" s="45" t="s">
        <v>30</v>
      </c>
      <c r="F1448" s="45" t="s">
        <v>3604</v>
      </c>
      <c r="G1448" s="158" t="s">
        <v>3605</v>
      </c>
      <c r="H1448" s="162" t="s">
        <v>27</v>
      </c>
      <c r="I1448" s="163"/>
      <c r="J1448" s="163"/>
      <c r="K1448" s="163"/>
      <c r="L1448" s="163"/>
      <c r="M1448" s="163"/>
      <c r="N1448" s="163"/>
      <c r="O1448" s="163"/>
      <c r="P1448" s="163"/>
      <c r="Q1448" s="2"/>
      <c r="R1448" s="45"/>
      <c r="S1448" s="45"/>
      <c r="T1448" s="45"/>
      <c r="U1448" s="45"/>
      <c r="V14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49" spans="1:22">
      <c r="A1449" s="156">
        <v>46021</v>
      </c>
      <c r="B1449" s="45" t="s">
        <v>3146</v>
      </c>
      <c r="C1449" s="45" t="s">
        <v>3606</v>
      </c>
      <c r="D1449" s="45" t="s">
        <v>202</v>
      </c>
      <c r="E1449" s="45">
        <v>85345</v>
      </c>
      <c r="F1449" s="45" t="s">
        <v>3607</v>
      </c>
      <c r="G1449" s="159" t="s">
        <v>3608</v>
      </c>
      <c r="H1449" s="162" t="s">
        <v>3696</v>
      </c>
      <c r="I1449" s="163" t="s">
        <v>36</v>
      </c>
      <c r="J1449" s="163" t="s">
        <v>37</v>
      </c>
      <c r="K1449" s="163" t="s">
        <v>37</v>
      </c>
      <c r="L1449" s="163" t="s">
        <v>38</v>
      </c>
      <c r="M1449" s="163" t="s">
        <v>37</v>
      </c>
      <c r="N1449" s="163" t="s">
        <v>37</v>
      </c>
      <c r="O1449" s="163" t="s">
        <v>38</v>
      </c>
      <c r="P1449" s="163" t="s">
        <v>39</v>
      </c>
      <c r="Q1449" s="2">
        <v>46022</v>
      </c>
      <c r="R1449" s="45"/>
      <c r="S1449" s="45"/>
      <c r="T1449" s="45"/>
      <c r="U1449" s="45"/>
      <c r="V144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0" spans="1:22">
      <c r="A1450" s="156">
        <v>46021</v>
      </c>
      <c r="B1450" s="45" t="s">
        <v>3609</v>
      </c>
      <c r="C1450" s="45" t="s">
        <v>1180</v>
      </c>
      <c r="D1450" s="45" t="s">
        <v>125</v>
      </c>
      <c r="E1450" s="45">
        <v>85254</v>
      </c>
      <c r="F1450" s="45" t="s">
        <v>3335</v>
      </c>
      <c r="G1450" s="160" t="s">
        <v>3608</v>
      </c>
      <c r="H1450" s="162" t="s">
        <v>6421</v>
      </c>
      <c r="I1450" s="163" t="s">
        <v>73</v>
      </c>
      <c r="J1450" s="163" t="s">
        <v>37</v>
      </c>
      <c r="K1450" s="163" t="s">
        <v>37</v>
      </c>
      <c r="L1450" s="163" t="s">
        <v>38</v>
      </c>
      <c r="M1450" s="163" t="s">
        <v>37</v>
      </c>
      <c r="N1450" s="163" t="s">
        <v>37</v>
      </c>
      <c r="O1450" s="163" t="s">
        <v>38</v>
      </c>
      <c r="P1450" s="163" t="s">
        <v>39</v>
      </c>
      <c r="Q1450" s="2">
        <v>46022</v>
      </c>
      <c r="R1450" s="45"/>
      <c r="S1450" s="45"/>
      <c r="T1450" s="45"/>
      <c r="U1450" s="45"/>
      <c r="V145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1" spans="1:22">
      <c r="A1451" s="156">
        <v>46021</v>
      </c>
      <c r="B1451" s="45" t="s">
        <v>3610</v>
      </c>
      <c r="C1451" s="45" t="s">
        <v>3611</v>
      </c>
      <c r="D1451" s="45" t="s">
        <v>63</v>
      </c>
      <c r="E1451" s="45">
        <v>85029</v>
      </c>
      <c r="F1451" s="45" t="s">
        <v>3335</v>
      </c>
      <c r="G1451" s="160" t="s">
        <v>3608</v>
      </c>
      <c r="H1451" s="162" t="s">
        <v>3612</v>
      </c>
      <c r="I1451" s="163" t="s">
        <v>36</v>
      </c>
      <c r="J1451" s="163" t="s">
        <v>37</v>
      </c>
      <c r="K1451" s="163" t="s">
        <v>37</v>
      </c>
      <c r="L1451" s="163" t="s">
        <v>38</v>
      </c>
      <c r="M1451" s="163" t="s">
        <v>37</v>
      </c>
      <c r="N1451" s="163" t="s">
        <v>37</v>
      </c>
      <c r="O1451" s="163" t="s">
        <v>38</v>
      </c>
      <c r="P1451" s="163" t="s">
        <v>39</v>
      </c>
      <c r="Q1451" s="2">
        <v>46022</v>
      </c>
      <c r="R1451" s="45"/>
      <c r="S1451" s="45"/>
      <c r="T1451" s="45"/>
      <c r="U1451" s="45"/>
      <c r="V145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2" spans="1:22">
      <c r="A1452" s="156">
        <v>46021</v>
      </c>
      <c r="B1452" s="45" t="s">
        <v>3613</v>
      </c>
      <c r="C1452" s="45" t="s">
        <v>3614</v>
      </c>
      <c r="D1452" s="45" t="s">
        <v>30</v>
      </c>
      <c r="E1452" s="45" t="s">
        <v>30</v>
      </c>
      <c r="F1452" s="45" t="s">
        <v>3335</v>
      </c>
      <c r="G1452" s="160" t="s">
        <v>3608</v>
      </c>
      <c r="H1452" s="162" t="s">
        <v>27</v>
      </c>
      <c r="I1452" s="163"/>
      <c r="J1452" s="163"/>
      <c r="K1452" s="163"/>
      <c r="L1452" s="163"/>
      <c r="M1452" s="163"/>
      <c r="N1452" s="163"/>
      <c r="O1452" s="163"/>
      <c r="P1452" s="163"/>
      <c r="R1452" s="45"/>
      <c r="S1452" s="45"/>
      <c r="T1452" s="45"/>
      <c r="U1452" s="45"/>
      <c r="V145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3" spans="1:22">
      <c r="A1453" s="156">
        <v>46021</v>
      </c>
      <c r="B1453" s="45" t="s">
        <v>3615</v>
      </c>
      <c r="C1453" s="45" t="s">
        <v>1206</v>
      </c>
      <c r="D1453" s="45" t="s">
        <v>30</v>
      </c>
      <c r="E1453" s="45" t="s">
        <v>30</v>
      </c>
      <c r="F1453" s="45" t="s">
        <v>3335</v>
      </c>
      <c r="G1453" s="160" t="s">
        <v>3608</v>
      </c>
      <c r="H1453" s="162" t="s">
        <v>27</v>
      </c>
      <c r="I1453" s="163"/>
      <c r="J1453" s="163"/>
      <c r="K1453" s="163"/>
      <c r="L1453" s="163"/>
      <c r="M1453" s="163"/>
      <c r="N1453" s="163"/>
      <c r="O1453" s="163"/>
      <c r="P1453" s="163"/>
      <c r="R1453" s="45"/>
      <c r="S1453" s="45"/>
      <c r="T1453" s="45"/>
      <c r="U1453" s="45"/>
      <c r="V145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4" spans="1:22">
      <c r="A1454" s="156">
        <v>46021</v>
      </c>
      <c r="B1454" s="45" t="s">
        <v>3616</v>
      </c>
      <c r="C1454" s="45" t="s">
        <v>822</v>
      </c>
      <c r="D1454" s="45" t="s">
        <v>30</v>
      </c>
      <c r="E1454" s="45" t="s">
        <v>30</v>
      </c>
      <c r="F1454" s="45" t="s">
        <v>3335</v>
      </c>
      <c r="G1454" s="160" t="s">
        <v>3608</v>
      </c>
      <c r="H1454" s="162" t="s">
        <v>27</v>
      </c>
      <c r="I1454" s="163"/>
      <c r="J1454" s="163"/>
      <c r="K1454" s="163"/>
      <c r="L1454" s="163"/>
      <c r="M1454" s="163"/>
      <c r="N1454" s="163"/>
      <c r="O1454" s="163"/>
      <c r="P1454" s="163"/>
      <c r="R1454" s="45"/>
      <c r="S1454" s="45"/>
      <c r="T1454" s="45"/>
      <c r="U1454" s="45"/>
      <c r="V145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5" spans="1:22">
      <c r="A1455" s="156">
        <v>46021</v>
      </c>
      <c r="B1455" s="45" t="s">
        <v>3617</v>
      </c>
      <c r="C1455" s="45" t="s">
        <v>3618</v>
      </c>
      <c r="D1455" s="45" t="s">
        <v>30</v>
      </c>
      <c r="E1455" s="45" t="s">
        <v>30</v>
      </c>
      <c r="F1455" s="45" t="s">
        <v>3335</v>
      </c>
      <c r="G1455" s="160" t="s">
        <v>3608</v>
      </c>
      <c r="H1455" s="162" t="s">
        <v>27</v>
      </c>
      <c r="I1455" s="163"/>
      <c r="J1455" s="163"/>
      <c r="K1455" s="163"/>
      <c r="L1455" s="163"/>
      <c r="M1455" s="163"/>
      <c r="N1455" s="163"/>
      <c r="O1455" s="163"/>
      <c r="P1455" s="163"/>
      <c r="R1455" s="45"/>
      <c r="S1455" s="45"/>
      <c r="T1455" s="45"/>
      <c r="U1455" s="45"/>
      <c r="V145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6" spans="1:22">
      <c r="A1456" s="156">
        <v>46021</v>
      </c>
      <c r="B1456" s="45" t="s">
        <v>3599</v>
      </c>
      <c r="C1456" s="45" t="s">
        <v>75</v>
      </c>
      <c r="D1456" s="45" t="s">
        <v>30</v>
      </c>
      <c r="E1456" s="45" t="s">
        <v>30</v>
      </c>
      <c r="F1456" s="45" t="s">
        <v>3335</v>
      </c>
      <c r="G1456" s="160" t="s">
        <v>3608</v>
      </c>
      <c r="H1456" s="162" t="s">
        <v>27</v>
      </c>
      <c r="I1456" s="163"/>
      <c r="J1456" s="163"/>
      <c r="K1456" s="163"/>
      <c r="L1456" s="163"/>
      <c r="M1456" s="163"/>
      <c r="N1456" s="163"/>
      <c r="O1456" s="163"/>
      <c r="P1456" s="163"/>
      <c r="R1456" s="45"/>
      <c r="S1456" s="45"/>
      <c r="T1456" s="45"/>
      <c r="U1456" s="45"/>
      <c r="V145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7" spans="1:23">
      <c r="A1457" s="156">
        <v>46021</v>
      </c>
      <c r="B1457" s="45" t="s">
        <v>3235</v>
      </c>
      <c r="C1457" s="45" t="s">
        <v>1833</v>
      </c>
      <c r="D1457" s="45" t="s">
        <v>30</v>
      </c>
      <c r="E1457" s="45" t="s">
        <v>30</v>
      </c>
      <c r="F1457" s="45" t="s">
        <v>3335</v>
      </c>
      <c r="G1457" s="160" t="s">
        <v>3608</v>
      </c>
      <c r="H1457" s="162" t="s">
        <v>27</v>
      </c>
      <c r="I1457" s="163"/>
      <c r="J1457" s="163"/>
      <c r="K1457" s="163"/>
      <c r="L1457" s="163"/>
      <c r="M1457" s="163"/>
      <c r="N1457" s="163"/>
      <c r="O1457" s="163"/>
      <c r="P1457" s="163"/>
      <c r="R1457" s="45"/>
      <c r="S1457" s="45"/>
      <c r="T1457" s="45"/>
      <c r="U1457" s="45"/>
      <c r="V145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8" spans="1:23">
      <c r="A1458" s="156">
        <v>46021</v>
      </c>
      <c r="B1458" s="45" t="s">
        <v>3619</v>
      </c>
      <c r="C1458" s="45" t="s">
        <v>1398</v>
      </c>
      <c r="D1458" s="45" t="s">
        <v>30</v>
      </c>
      <c r="E1458" s="45" t="s">
        <v>30</v>
      </c>
      <c r="F1458" s="45" t="s">
        <v>3335</v>
      </c>
      <c r="G1458" s="160" t="s">
        <v>3608</v>
      </c>
      <c r="H1458" s="162" t="s">
        <v>27</v>
      </c>
      <c r="I1458" s="163"/>
      <c r="J1458" s="163"/>
      <c r="K1458" s="163"/>
      <c r="L1458" s="163"/>
      <c r="M1458" s="163"/>
      <c r="N1458" s="163"/>
      <c r="O1458" s="163"/>
      <c r="P1458" s="163"/>
      <c r="R1458" s="45"/>
      <c r="S1458" s="45"/>
      <c r="T1458" s="45"/>
      <c r="U1458" s="45"/>
      <c r="V145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59" spans="1:23">
      <c r="A1459" s="156">
        <v>46021</v>
      </c>
      <c r="B1459" s="45" t="s">
        <v>3584</v>
      </c>
      <c r="C1459" s="45" t="s">
        <v>3585</v>
      </c>
      <c r="D1459" s="45" t="s">
        <v>30</v>
      </c>
      <c r="E1459" s="45" t="s">
        <v>30</v>
      </c>
      <c r="F1459" s="45" t="s">
        <v>3335</v>
      </c>
      <c r="G1459" s="160" t="s">
        <v>3608</v>
      </c>
      <c r="H1459" s="162" t="s">
        <v>27</v>
      </c>
      <c r="I1459" s="163"/>
      <c r="J1459" s="163"/>
      <c r="K1459" s="163"/>
      <c r="L1459" s="163"/>
      <c r="M1459" s="163"/>
      <c r="N1459" s="163"/>
      <c r="O1459" s="163"/>
      <c r="P1459" s="163"/>
      <c r="R1459" s="45"/>
      <c r="S1459" s="45"/>
      <c r="T1459" s="45"/>
      <c r="U1459" s="45"/>
      <c r="V145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0" spans="1:23">
      <c r="A1460" s="156">
        <v>46024</v>
      </c>
      <c r="B1460" s="45" t="s">
        <v>3620</v>
      </c>
      <c r="C1460" s="45" t="s">
        <v>3621</v>
      </c>
      <c r="D1460" s="45" t="s">
        <v>63</v>
      </c>
      <c r="E1460" s="45">
        <v>85027</v>
      </c>
      <c r="F1460" s="45" t="s">
        <v>3335</v>
      </c>
      <c r="G1460" s="161" t="s">
        <v>3622</v>
      </c>
      <c r="H1460" s="162" t="s">
        <v>3623</v>
      </c>
      <c r="I1460" s="163" t="s">
        <v>81</v>
      </c>
      <c r="J1460" s="163" t="s">
        <v>37</v>
      </c>
      <c r="K1460" s="163" t="s">
        <v>37</v>
      </c>
      <c r="L1460" s="163" t="s">
        <v>3549</v>
      </c>
      <c r="M1460" s="163" t="s">
        <v>37</v>
      </c>
      <c r="N1460" s="163" t="s">
        <v>37</v>
      </c>
      <c r="O1460" s="163" t="s">
        <v>38</v>
      </c>
      <c r="P1460" s="163" t="s">
        <v>39</v>
      </c>
      <c r="Q1460" s="2">
        <v>46027</v>
      </c>
      <c r="R1460" s="45"/>
      <c r="S1460" s="45"/>
      <c r="T1460" s="45"/>
      <c r="U1460" s="45"/>
      <c r="V146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1" spans="1:23">
      <c r="A1461" s="156">
        <v>46024</v>
      </c>
      <c r="B1461" s="45" t="s">
        <v>3624</v>
      </c>
      <c r="C1461" s="45" t="s">
        <v>2538</v>
      </c>
      <c r="D1461" s="45" t="s">
        <v>261</v>
      </c>
      <c r="E1461" s="45">
        <v>86315</v>
      </c>
      <c r="F1461" s="45" t="s">
        <v>3335</v>
      </c>
      <c r="G1461" s="161" t="s">
        <v>3622</v>
      </c>
      <c r="H1461" s="162" t="s">
        <v>3625</v>
      </c>
      <c r="I1461" s="163" t="s">
        <v>196</v>
      </c>
      <c r="J1461" s="163" t="s">
        <v>37</v>
      </c>
      <c r="K1461" s="163" t="s">
        <v>37</v>
      </c>
      <c r="L1461" s="163" t="s">
        <v>38</v>
      </c>
      <c r="M1461" s="163" t="s">
        <v>37</v>
      </c>
      <c r="N1461" s="163" t="s">
        <v>37</v>
      </c>
      <c r="O1461" s="163" t="s">
        <v>38</v>
      </c>
      <c r="P1461" s="163" t="s">
        <v>39</v>
      </c>
      <c r="Q1461" s="2">
        <v>46027</v>
      </c>
      <c r="R1461" s="45"/>
      <c r="S1461" s="45"/>
      <c r="T1461" s="45"/>
      <c r="U1461" s="45"/>
      <c r="V146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2" spans="1:23">
      <c r="A1462" s="156">
        <v>46024</v>
      </c>
      <c r="B1462" s="45" t="s">
        <v>2035</v>
      </c>
      <c r="C1462" s="45" t="s">
        <v>3626</v>
      </c>
      <c r="D1462" s="45" t="s">
        <v>536</v>
      </c>
      <c r="E1462" s="45">
        <v>85122</v>
      </c>
      <c r="F1462" s="45" t="s">
        <v>3335</v>
      </c>
      <c r="G1462" s="161" t="s">
        <v>3622</v>
      </c>
      <c r="H1462" s="162" t="s">
        <v>3627</v>
      </c>
      <c r="I1462" s="163" t="s">
        <v>36</v>
      </c>
      <c r="J1462" s="163" t="s">
        <v>37</v>
      </c>
      <c r="K1462" s="163" t="s">
        <v>37</v>
      </c>
      <c r="L1462" s="163" t="s">
        <v>38</v>
      </c>
      <c r="M1462" s="163" t="s">
        <v>38</v>
      </c>
      <c r="N1462" s="164">
        <v>832.08</v>
      </c>
      <c r="O1462" s="163" t="s">
        <v>38</v>
      </c>
      <c r="P1462" s="163"/>
      <c r="Q1462" s="41">
        <v>46027</v>
      </c>
      <c r="R1462" s="45" t="s">
        <v>3628</v>
      </c>
      <c r="S1462" s="45"/>
      <c r="T1462" s="45"/>
      <c r="U1462" s="45"/>
      <c r="V1462" s="166">
        <f>IF(
  OR(
    ISNUMBER(SEARCH("unable to locate acct", tblDocketedComments[[#This Row],[Docketed Consumer Comments]])),
    ISNUMBER(SEARCH("unknown", tblDocketedComments[[#This Row],[Docketed Consumer Comments]])),
    ISNUMBER(SEARCH("inactive", tblDocketedComments[[#This Row],[Docketed Consumer Comments]]))
  ),
  0,
  1
)</f>
        <v>1</v>
      </c>
      <c r="W1462" s="32"/>
    </row>
    <row r="1463" spans="1:23">
      <c r="A1463" s="156">
        <v>46024</v>
      </c>
      <c r="B1463" s="45" t="s">
        <v>3629</v>
      </c>
      <c r="C1463" s="45" t="s">
        <v>3630</v>
      </c>
      <c r="D1463" s="45" t="s">
        <v>369</v>
      </c>
      <c r="E1463" s="45">
        <v>85249</v>
      </c>
      <c r="F1463" s="45" t="s">
        <v>3335</v>
      </c>
      <c r="G1463" s="161" t="s">
        <v>3622</v>
      </c>
      <c r="H1463" s="162" t="s">
        <v>27</v>
      </c>
      <c r="I1463" s="163"/>
      <c r="J1463" s="163"/>
      <c r="K1463" s="163"/>
      <c r="L1463" s="163"/>
      <c r="M1463" s="163"/>
      <c r="N1463" s="163"/>
      <c r="O1463" s="163"/>
      <c r="P1463" s="163"/>
      <c r="R1463" s="45"/>
      <c r="S1463" s="45"/>
      <c r="T1463" s="45"/>
      <c r="U1463" s="45"/>
      <c r="V146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4" spans="1:23">
      <c r="A1464" s="156">
        <v>46024</v>
      </c>
      <c r="B1464" s="45" t="s">
        <v>3610</v>
      </c>
      <c r="C1464" s="45" t="s">
        <v>3611</v>
      </c>
      <c r="D1464" s="45" t="s">
        <v>63</v>
      </c>
      <c r="E1464" s="45">
        <v>85029</v>
      </c>
      <c r="F1464" s="45" t="s">
        <v>3335</v>
      </c>
      <c r="G1464" s="161" t="s">
        <v>3622</v>
      </c>
      <c r="H1464" s="162" t="s">
        <v>3612</v>
      </c>
      <c r="I1464" s="163" t="s">
        <v>36</v>
      </c>
      <c r="J1464" s="163" t="s">
        <v>37</v>
      </c>
      <c r="K1464" s="163" t="s">
        <v>37</v>
      </c>
      <c r="L1464" s="163" t="s">
        <v>38</v>
      </c>
      <c r="M1464" s="163" t="s">
        <v>37</v>
      </c>
      <c r="N1464" s="163" t="s">
        <v>37</v>
      </c>
      <c r="O1464" s="163" t="s">
        <v>38</v>
      </c>
      <c r="P1464" s="163" t="s">
        <v>39</v>
      </c>
      <c r="Q1464" s="2">
        <v>46022</v>
      </c>
      <c r="R1464" s="45" t="s">
        <v>3631</v>
      </c>
      <c r="S1464" s="45"/>
      <c r="T1464" s="45"/>
      <c r="U1464" s="45"/>
      <c r="V146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5" spans="1:23">
      <c r="A1465" s="156">
        <v>46024</v>
      </c>
      <c r="B1465" s="45" t="s">
        <v>3615</v>
      </c>
      <c r="C1465" s="45" t="s">
        <v>1206</v>
      </c>
      <c r="D1465" s="45" t="s">
        <v>3632</v>
      </c>
      <c r="E1465" s="45">
        <v>85028</v>
      </c>
      <c r="F1465" s="45" t="s">
        <v>3335</v>
      </c>
      <c r="G1465" s="161" t="s">
        <v>3622</v>
      </c>
      <c r="H1465" s="162" t="s">
        <v>27</v>
      </c>
      <c r="I1465" s="163"/>
      <c r="J1465" s="163"/>
      <c r="K1465" s="163"/>
      <c r="L1465" s="163"/>
      <c r="M1465" s="163"/>
      <c r="N1465" s="163"/>
      <c r="O1465" s="163"/>
      <c r="P1465" s="163"/>
      <c r="R1465" s="45" t="s">
        <v>3631</v>
      </c>
      <c r="S1465" s="45"/>
      <c r="T1465" s="45"/>
      <c r="U1465" s="45"/>
      <c r="V146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6" spans="1:23">
      <c r="A1466" s="156">
        <v>46024</v>
      </c>
      <c r="B1466" s="45" t="s">
        <v>3609</v>
      </c>
      <c r="C1466" s="45" t="s">
        <v>1180</v>
      </c>
      <c r="D1466" s="45" t="s">
        <v>125</v>
      </c>
      <c r="E1466" s="45">
        <v>85254</v>
      </c>
      <c r="F1466" s="45" t="s">
        <v>3335</v>
      </c>
      <c r="G1466" s="161" t="s">
        <v>3622</v>
      </c>
      <c r="H1466" s="162" t="s">
        <v>6421</v>
      </c>
      <c r="I1466" s="163" t="s">
        <v>73</v>
      </c>
      <c r="J1466" s="163" t="s">
        <v>37</v>
      </c>
      <c r="K1466" s="163" t="s">
        <v>37</v>
      </c>
      <c r="L1466" s="163" t="s">
        <v>38</v>
      </c>
      <c r="M1466" s="163" t="s">
        <v>37</v>
      </c>
      <c r="N1466" s="163" t="s">
        <v>37</v>
      </c>
      <c r="O1466" s="163" t="s">
        <v>38</v>
      </c>
      <c r="P1466" s="163" t="s">
        <v>39</v>
      </c>
      <c r="Q1466" s="2">
        <v>46022</v>
      </c>
      <c r="R1466" s="45" t="s">
        <v>3631</v>
      </c>
      <c r="S1466" s="45"/>
      <c r="T1466" s="45"/>
      <c r="U1466" s="45"/>
      <c r="V146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7" spans="1:23">
      <c r="A1467" s="156">
        <v>46024</v>
      </c>
      <c r="B1467" s="45" t="s">
        <v>1884</v>
      </c>
      <c r="C1467" s="45" t="s">
        <v>435</v>
      </c>
      <c r="D1467" s="45" t="s">
        <v>63</v>
      </c>
      <c r="E1467" s="45">
        <v>85023</v>
      </c>
      <c r="F1467" s="45" t="s">
        <v>3335</v>
      </c>
      <c r="G1467" s="161" t="s">
        <v>3622</v>
      </c>
      <c r="H1467" s="162" t="s">
        <v>3633</v>
      </c>
      <c r="I1467" s="163" t="s">
        <v>36</v>
      </c>
      <c r="J1467" s="163" t="s">
        <v>38</v>
      </c>
      <c r="K1467" s="163" t="s">
        <v>37</v>
      </c>
      <c r="L1467" s="163" t="s">
        <v>38</v>
      </c>
      <c r="M1467" s="163" t="s">
        <v>37</v>
      </c>
      <c r="N1467" s="163" t="s">
        <v>37</v>
      </c>
      <c r="O1467" s="163" t="s">
        <v>38</v>
      </c>
      <c r="P1467" s="163" t="s">
        <v>39</v>
      </c>
      <c r="Q1467" s="2">
        <v>46027</v>
      </c>
      <c r="R1467" s="45"/>
      <c r="S1467" s="45"/>
      <c r="T1467" s="45"/>
      <c r="U1467" s="45"/>
      <c r="V146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8" spans="1:23">
      <c r="A1468" s="156">
        <v>46024</v>
      </c>
      <c r="B1468" s="45" t="s">
        <v>3613</v>
      </c>
      <c r="C1468" s="45" t="s">
        <v>3614</v>
      </c>
      <c r="D1468" s="45" t="s">
        <v>24</v>
      </c>
      <c r="E1468" s="45">
        <v>85301</v>
      </c>
      <c r="F1468" s="45" t="s">
        <v>3335</v>
      </c>
      <c r="G1468" s="161" t="s">
        <v>3622</v>
      </c>
      <c r="H1468" s="162" t="s">
        <v>27</v>
      </c>
      <c r="I1468" s="163"/>
      <c r="J1468" s="163"/>
      <c r="K1468" s="163"/>
      <c r="L1468" s="163"/>
      <c r="M1468" s="163"/>
      <c r="N1468" s="163"/>
      <c r="O1468" s="163"/>
      <c r="P1468" s="163"/>
      <c r="R1468" s="45" t="s">
        <v>3631</v>
      </c>
      <c r="S1468" s="45"/>
      <c r="T1468" s="45"/>
      <c r="U1468" s="45"/>
      <c r="V146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69" spans="1:23">
      <c r="A1469" s="156">
        <v>46024</v>
      </c>
      <c r="B1469" s="45" t="s">
        <v>3634</v>
      </c>
      <c r="C1469" s="45" t="s">
        <v>3635</v>
      </c>
      <c r="D1469" s="45" t="s">
        <v>3632</v>
      </c>
      <c r="E1469" s="45">
        <v>85037</v>
      </c>
      <c r="F1469" s="45" t="s">
        <v>3335</v>
      </c>
      <c r="G1469" s="161" t="s">
        <v>3622</v>
      </c>
      <c r="H1469" s="162" t="s">
        <v>27</v>
      </c>
      <c r="I1469" s="163"/>
      <c r="J1469" s="163"/>
      <c r="K1469" s="163"/>
      <c r="L1469" s="163"/>
      <c r="M1469" s="163"/>
      <c r="N1469" s="163"/>
      <c r="O1469" s="163"/>
      <c r="P1469" s="163"/>
      <c r="R1469" s="45"/>
      <c r="S1469" s="45"/>
      <c r="T1469" s="45"/>
      <c r="U1469" s="45"/>
      <c r="V146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0" spans="1:23">
      <c r="A1470" s="156">
        <v>46024</v>
      </c>
      <c r="B1470" s="45" t="s">
        <v>269</v>
      </c>
      <c r="C1470" s="45" t="s">
        <v>3636</v>
      </c>
      <c r="D1470" s="45" t="s">
        <v>24</v>
      </c>
      <c r="E1470" s="45">
        <v>85301</v>
      </c>
      <c r="F1470" s="45" t="s">
        <v>3335</v>
      </c>
      <c r="G1470" s="161" t="s">
        <v>3622</v>
      </c>
      <c r="H1470" s="162" t="s">
        <v>27</v>
      </c>
      <c r="I1470" s="163"/>
      <c r="J1470" s="163"/>
      <c r="K1470" s="163"/>
      <c r="L1470" s="163"/>
      <c r="M1470" s="163"/>
      <c r="N1470" s="163"/>
      <c r="O1470" s="163"/>
      <c r="P1470" s="163"/>
      <c r="R1470" s="45"/>
      <c r="S1470" s="45"/>
      <c r="T1470" s="45"/>
      <c r="U1470" s="45"/>
      <c r="V147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1" spans="1:23">
      <c r="A1471" s="156">
        <v>46024</v>
      </c>
      <c r="B1471" s="45" t="s">
        <v>1871</v>
      </c>
      <c r="C1471" s="45" t="s">
        <v>3637</v>
      </c>
      <c r="D1471" s="45" t="s">
        <v>3638</v>
      </c>
      <c r="E1471" s="45">
        <v>85143</v>
      </c>
      <c r="F1471" s="45" t="s">
        <v>3335</v>
      </c>
      <c r="G1471" s="161" t="s">
        <v>3622</v>
      </c>
      <c r="H1471" s="162" t="s">
        <v>27</v>
      </c>
      <c r="I1471" s="163"/>
      <c r="J1471" s="163"/>
      <c r="K1471" s="163"/>
      <c r="L1471" s="163"/>
      <c r="M1471" s="163"/>
      <c r="N1471" s="163"/>
      <c r="O1471" s="163"/>
      <c r="P1471" s="163"/>
      <c r="R1471" s="45"/>
      <c r="S1471" s="45"/>
      <c r="T1471" s="45"/>
      <c r="U1471" s="45"/>
      <c r="V147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2" spans="1:23">
      <c r="A1472" s="156">
        <v>46024</v>
      </c>
      <c r="B1472" s="45" t="s">
        <v>3639</v>
      </c>
      <c r="C1472" s="45" t="s">
        <v>655</v>
      </c>
      <c r="D1472" s="45" t="s">
        <v>63</v>
      </c>
      <c r="E1472" s="45">
        <v>85053</v>
      </c>
      <c r="F1472" s="45" t="s">
        <v>3335</v>
      </c>
      <c r="G1472" s="161" t="s">
        <v>3622</v>
      </c>
      <c r="H1472" s="162" t="s">
        <v>3640</v>
      </c>
      <c r="I1472" s="163" t="s">
        <v>538</v>
      </c>
      <c r="J1472" s="163" t="s">
        <v>37</v>
      </c>
      <c r="K1472" s="163" t="s">
        <v>37</v>
      </c>
      <c r="L1472" s="163" t="s">
        <v>3549</v>
      </c>
      <c r="M1472" s="163" t="s">
        <v>37</v>
      </c>
      <c r="N1472" s="163" t="s">
        <v>37</v>
      </c>
      <c r="O1472" s="163" t="s">
        <v>38</v>
      </c>
      <c r="P1472" s="163" t="s">
        <v>39</v>
      </c>
      <c r="Q1472" s="2">
        <v>46027</v>
      </c>
      <c r="R1472" s="45"/>
      <c r="S1472" s="45"/>
      <c r="T1472" s="45"/>
      <c r="U1472" s="45"/>
      <c r="V147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3" spans="1:23">
      <c r="A1473" s="156">
        <v>46024</v>
      </c>
      <c r="B1473" s="45" t="s">
        <v>1277</v>
      </c>
      <c r="C1473" s="45" t="s">
        <v>354</v>
      </c>
      <c r="D1473" s="45" t="s">
        <v>63</v>
      </c>
      <c r="E1473" s="45">
        <v>85027</v>
      </c>
      <c r="F1473" s="45" t="s">
        <v>3335</v>
      </c>
      <c r="G1473" s="161" t="s">
        <v>3622</v>
      </c>
      <c r="H1473" s="162" t="s">
        <v>1278</v>
      </c>
      <c r="I1473" s="163" t="s">
        <v>196</v>
      </c>
      <c r="J1473" s="163" t="s">
        <v>37</v>
      </c>
      <c r="K1473" s="163" t="s">
        <v>37</v>
      </c>
      <c r="L1473" s="163" t="s">
        <v>3641</v>
      </c>
      <c r="M1473" s="163" t="s">
        <v>37</v>
      </c>
      <c r="N1473" s="163" t="s">
        <v>37</v>
      </c>
      <c r="O1473" s="163" t="s">
        <v>38</v>
      </c>
      <c r="P1473" s="163" t="s">
        <v>39</v>
      </c>
      <c r="Q1473" s="2">
        <v>46027</v>
      </c>
      <c r="R1473" s="45"/>
      <c r="S1473" s="45"/>
      <c r="T1473" s="45"/>
      <c r="U1473" s="45"/>
      <c r="V147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4" spans="1:23">
      <c r="A1474" s="156">
        <v>46024</v>
      </c>
      <c r="B1474" s="45" t="s">
        <v>3642</v>
      </c>
      <c r="C1474" s="45" t="s">
        <v>3643</v>
      </c>
      <c r="D1474" s="45" t="s">
        <v>616</v>
      </c>
      <c r="E1474" s="45">
        <v>85365</v>
      </c>
      <c r="F1474" s="45" t="s">
        <v>3335</v>
      </c>
      <c r="G1474" s="161" t="s">
        <v>3622</v>
      </c>
      <c r="H1474" s="162" t="s">
        <v>3644</v>
      </c>
      <c r="I1474" s="163" t="s">
        <v>538</v>
      </c>
      <c r="J1474" s="163" t="s">
        <v>38</v>
      </c>
      <c r="K1474" s="163" t="s">
        <v>37</v>
      </c>
      <c r="L1474" s="163" t="s">
        <v>3645</v>
      </c>
      <c r="M1474" s="163" t="s">
        <v>38</v>
      </c>
      <c r="N1474" s="164">
        <v>310</v>
      </c>
      <c r="O1474" s="163" t="s">
        <v>38</v>
      </c>
      <c r="P1474" s="163" t="s">
        <v>39</v>
      </c>
      <c r="Q1474" s="2">
        <v>46028</v>
      </c>
      <c r="R1474" s="45" t="s">
        <v>3646</v>
      </c>
      <c r="S1474" s="45"/>
      <c r="T1474" s="45"/>
      <c r="U1474" s="45"/>
      <c r="V147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5" spans="1:23">
      <c r="A1475" s="156">
        <v>46024</v>
      </c>
      <c r="B1475" s="45" t="s">
        <v>366</v>
      </c>
      <c r="C1475" s="45" t="s">
        <v>2273</v>
      </c>
      <c r="D1475" s="45" t="s">
        <v>2052</v>
      </c>
      <c r="E1475" s="45">
        <v>85132</v>
      </c>
      <c r="F1475" s="45" t="s">
        <v>3335</v>
      </c>
      <c r="G1475" s="161" t="s">
        <v>3622</v>
      </c>
      <c r="H1475" s="162" t="s">
        <v>3647</v>
      </c>
      <c r="I1475" s="163" t="s">
        <v>1352</v>
      </c>
      <c r="J1475" s="163" t="s">
        <v>38</v>
      </c>
      <c r="K1475" s="163" t="s">
        <v>37</v>
      </c>
      <c r="L1475" s="163" t="s">
        <v>3549</v>
      </c>
      <c r="M1475" s="163" t="s">
        <v>37</v>
      </c>
      <c r="N1475" s="163" t="s">
        <v>37</v>
      </c>
      <c r="O1475" s="163" t="s">
        <v>38</v>
      </c>
      <c r="P1475" s="163" t="s">
        <v>39</v>
      </c>
      <c r="Q1475" s="2">
        <v>46028</v>
      </c>
      <c r="R1475" s="45"/>
      <c r="S1475" s="45"/>
      <c r="T1475" s="45"/>
      <c r="U1475" s="45"/>
      <c r="V147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6" spans="1:23">
      <c r="A1476" s="156">
        <v>46024</v>
      </c>
      <c r="B1476" s="45" t="s">
        <v>2189</v>
      </c>
      <c r="C1476" s="45" t="s">
        <v>2017</v>
      </c>
      <c r="D1476" s="45" t="s">
        <v>3648</v>
      </c>
      <c r="E1476" s="45">
        <v>86047</v>
      </c>
      <c r="F1476" s="45" t="s">
        <v>3335</v>
      </c>
      <c r="G1476" s="161" t="s">
        <v>3622</v>
      </c>
      <c r="H1476" s="162" t="s">
        <v>3649</v>
      </c>
      <c r="I1476" s="163" t="s">
        <v>126</v>
      </c>
      <c r="J1476" s="163" t="s">
        <v>38</v>
      </c>
      <c r="K1476" s="163" t="s">
        <v>37</v>
      </c>
      <c r="L1476" s="163" t="s">
        <v>3650</v>
      </c>
      <c r="M1476" s="163" t="s">
        <v>37</v>
      </c>
      <c r="N1476" s="163" t="s">
        <v>37</v>
      </c>
      <c r="O1476" s="163" t="s">
        <v>38</v>
      </c>
      <c r="P1476" s="163"/>
      <c r="Q1476" s="41">
        <v>46028</v>
      </c>
      <c r="R1476" s="45"/>
      <c r="S1476" s="45"/>
      <c r="T1476" s="45"/>
      <c r="U1476" s="45"/>
      <c r="V1476" s="166">
        <f>IF(
  OR(
    ISNUMBER(SEARCH("unable to locate acct", tblDocketedComments[[#This Row],[Docketed Consumer Comments]])),
    ISNUMBER(SEARCH("unknown", tblDocketedComments[[#This Row],[Docketed Consumer Comments]])),
    ISNUMBER(SEARCH("inactive", tblDocketedComments[[#This Row],[Docketed Consumer Comments]]))
  ),
  0,
  1
)</f>
        <v>1</v>
      </c>
      <c r="W1476" s="32"/>
    </row>
    <row r="1477" spans="1:23">
      <c r="A1477" s="156">
        <v>46024</v>
      </c>
      <c r="B1477" s="45" t="s">
        <v>3651</v>
      </c>
      <c r="C1477" s="45" t="s">
        <v>2658</v>
      </c>
      <c r="D1477" s="45" t="s">
        <v>63</v>
      </c>
      <c r="E1477" s="45">
        <v>85028</v>
      </c>
      <c r="F1477" s="45" t="s">
        <v>3335</v>
      </c>
      <c r="G1477" s="161" t="s">
        <v>3622</v>
      </c>
      <c r="H1477" s="162" t="s">
        <v>3652</v>
      </c>
      <c r="I1477" s="163" t="s">
        <v>36</v>
      </c>
      <c r="J1477" s="163" t="s">
        <v>37</v>
      </c>
      <c r="K1477" s="163" t="s">
        <v>37</v>
      </c>
      <c r="L1477" s="163" t="s">
        <v>38</v>
      </c>
      <c r="M1477" s="163" t="s">
        <v>37</v>
      </c>
      <c r="N1477" s="163" t="s">
        <v>37</v>
      </c>
      <c r="O1477" s="163" t="s">
        <v>38</v>
      </c>
      <c r="P1477" s="163" t="s">
        <v>39</v>
      </c>
      <c r="Q1477" s="2">
        <v>46028</v>
      </c>
      <c r="R1477" s="45"/>
      <c r="S1477" s="45"/>
      <c r="T1477" s="45"/>
      <c r="U1477" s="45"/>
      <c r="V147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8" spans="1:23">
      <c r="A1478" s="156">
        <v>46024</v>
      </c>
      <c r="B1478" s="45" t="s">
        <v>3000</v>
      </c>
      <c r="C1478" s="45" t="s">
        <v>3001</v>
      </c>
      <c r="D1478" s="45" t="s">
        <v>63</v>
      </c>
      <c r="E1478" s="45">
        <v>85028</v>
      </c>
      <c r="F1478" s="45" t="s">
        <v>3335</v>
      </c>
      <c r="G1478" s="161" t="s">
        <v>3622</v>
      </c>
      <c r="H1478" s="162" t="s">
        <v>3003</v>
      </c>
      <c r="I1478" s="163" t="s">
        <v>416</v>
      </c>
      <c r="J1478" s="163" t="s">
        <v>37</v>
      </c>
      <c r="K1478" s="163" t="s">
        <v>37</v>
      </c>
      <c r="L1478" s="163" t="s">
        <v>3549</v>
      </c>
      <c r="M1478" s="163" t="s">
        <v>37</v>
      </c>
      <c r="N1478" s="163" t="s">
        <v>37</v>
      </c>
      <c r="O1478" s="163" t="s">
        <v>38</v>
      </c>
      <c r="P1478" s="163" t="s">
        <v>39</v>
      </c>
      <c r="Q1478" s="2">
        <v>46028</v>
      </c>
      <c r="R1478" s="45"/>
      <c r="S1478" s="45"/>
      <c r="T1478" s="45"/>
      <c r="U1478" s="45"/>
      <c r="V147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79" spans="1:23">
      <c r="A1479" s="156">
        <v>46024</v>
      </c>
      <c r="B1479" s="45" t="s">
        <v>78</v>
      </c>
      <c r="C1479" s="45" t="s">
        <v>1768</v>
      </c>
      <c r="D1479" s="45" t="s">
        <v>616</v>
      </c>
      <c r="E1479" s="45">
        <v>85365</v>
      </c>
      <c r="F1479" s="45" t="s">
        <v>3335</v>
      </c>
      <c r="G1479" s="161" t="s">
        <v>3622</v>
      </c>
      <c r="H1479" s="162" t="s">
        <v>27</v>
      </c>
      <c r="I1479" s="163"/>
      <c r="J1479" s="163"/>
      <c r="K1479" s="163"/>
      <c r="L1479" s="163"/>
      <c r="M1479" s="163"/>
      <c r="N1479" s="163"/>
      <c r="O1479" s="163"/>
      <c r="P1479" s="163"/>
      <c r="R1479" s="45"/>
      <c r="S1479" s="45"/>
      <c r="T1479" s="45"/>
      <c r="U1479" s="45"/>
      <c r="V147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0" spans="1:23">
      <c r="A1480" s="156">
        <v>46024</v>
      </c>
      <c r="B1480" s="45" t="s">
        <v>3653</v>
      </c>
      <c r="C1480" s="45" t="s">
        <v>3654</v>
      </c>
      <c r="D1480" s="45" t="s">
        <v>68</v>
      </c>
      <c r="E1480" s="45">
        <v>85331</v>
      </c>
      <c r="F1480" s="45" t="s">
        <v>3335</v>
      </c>
      <c r="G1480" s="161" t="s">
        <v>3622</v>
      </c>
      <c r="H1480" s="162" t="s">
        <v>27</v>
      </c>
      <c r="I1480" s="163"/>
      <c r="J1480" s="163"/>
      <c r="K1480" s="163"/>
      <c r="L1480" s="163"/>
      <c r="M1480" s="163"/>
      <c r="N1480" s="163"/>
      <c r="O1480" s="163"/>
      <c r="P1480" s="163"/>
      <c r="R1480" s="45"/>
      <c r="S1480" s="45"/>
      <c r="T1480" s="45"/>
      <c r="U1480" s="45"/>
      <c r="V148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1" spans="1:23">
      <c r="A1481" s="156">
        <v>46024</v>
      </c>
      <c r="B1481" s="45" t="s">
        <v>3655</v>
      </c>
      <c r="C1481" s="45" t="s">
        <v>3656</v>
      </c>
      <c r="D1481" s="45" t="s">
        <v>63</v>
      </c>
      <c r="E1481" s="45">
        <v>85044</v>
      </c>
      <c r="F1481" s="45" t="s">
        <v>3335</v>
      </c>
      <c r="G1481" s="161" t="s">
        <v>3622</v>
      </c>
      <c r="H1481" s="162" t="s">
        <v>27</v>
      </c>
      <c r="I1481" s="163"/>
      <c r="J1481" s="163"/>
      <c r="K1481" s="163"/>
      <c r="L1481" s="163"/>
      <c r="M1481" s="163"/>
      <c r="N1481" s="163"/>
      <c r="O1481" s="163"/>
      <c r="P1481" s="163"/>
      <c r="R1481" s="45"/>
      <c r="S1481" s="45"/>
      <c r="T1481" s="45"/>
      <c r="U1481" s="45"/>
      <c r="V148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2" spans="1:23">
      <c r="A1482" s="156">
        <v>46024</v>
      </c>
      <c r="B1482" s="45" t="s">
        <v>1041</v>
      </c>
      <c r="C1482" s="45" t="s">
        <v>284</v>
      </c>
      <c r="D1482" s="45" t="s">
        <v>501</v>
      </c>
      <c r="E1482" s="45">
        <v>86005</v>
      </c>
      <c r="F1482" s="45" t="s">
        <v>3335</v>
      </c>
      <c r="G1482" s="161" t="s">
        <v>3622</v>
      </c>
      <c r="H1482" s="162" t="s">
        <v>3657</v>
      </c>
      <c r="I1482" s="163" t="s">
        <v>36</v>
      </c>
      <c r="J1482" s="163" t="s">
        <v>37</v>
      </c>
      <c r="K1482" s="163" t="s">
        <v>37</v>
      </c>
      <c r="L1482" s="163" t="s">
        <v>38</v>
      </c>
      <c r="M1482" s="163" t="s">
        <v>37</v>
      </c>
      <c r="N1482" s="163" t="s">
        <v>37</v>
      </c>
      <c r="O1482" s="163" t="s">
        <v>38</v>
      </c>
      <c r="P1482" s="163" t="s">
        <v>39</v>
      </c>
      <c r="Q1482" s="2">
        <v>46028</v>
      </c>
      <c r="R1482" s="45"/>
      <c r="S1482" s="45"/>
      <c r="T1482" s="45"/>
      <c r="U1482" s="45"/>
      <c r="V148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3" spans="1:23">
      <c r="A1483" s="156">
        <v>46024</v>
      </c>
      <c r="B1483" s="45" t="s">
        <v>3658</v>
      </c>
      <c r="C1483" s="45" t="s">
        <v>291</v>
      </c>
      <c r="D1483" s="45" t="s">
        <v>63</v>
      </c>
      <c r="E1483" s="45">
        <v>85013</v>
      </c>
      <c r="F1483" s="45" t="s">
        <v>3335</v>
      </c>
      <c r="G1483" s="161" t="s">
        <v>3622</v>
      </c>
      <c r="H1483" s="162" t="s">
        <v>27</v>
      </c>
      <c r="I1483" s="163"/>
      <c r="J1483" s="163"/>
      <c r="K1483" s="163"/>
      <c r="L1483" s="163"/>
      <c r="M1483" s="163"/>
      <c r="N1483" s="163"/>
      <c r="O1483" s="163"/>
      <c r="P1483" s="163"/>
      <c r="R1483" s="45"/>
      <c r="S1483" s="45"/>
      <c r="T1483" s="45"/>
      <c r="U1483" s="45"/>
      <c r="V148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4" spans="1:23">
      <c r="A1484" s="156">
        <v>46024</v>
      </c>
      <c r="B1484" s="45" t="s">
        <v>3659</v>
      </c>
      <c r="C1484" s="45" t="s">
        <v>75</v>
      </c>
      <c r="D1484" s="45" t="s">
        <v>63</v>
      </c>
      <c r="E1484" s="45">
        <v>85028</v>
      </c>
      <c r="F1484" s="45" t="s">
        <v>3335</v>
      </c>
      <c r="G1484" s="161" t="s">
        <v>3622</v>
      </c>
      <c r="H1484" s="162" t="s">
        <v>3660</v>
      </c>
      <c r="I1484" s="163" t="s">
        <v>57</v>
      </c>
      <c r="J1484" s="163" t="s">
        <v>37</v>
      </c>
      <c r="K1484" s="163" t="s">
        <v>37</v>
      </c>
      <c r="L1484" s="163" t="s">
        <v>3661</v>
      </c>
      <c r="M1484" s="163" t="s">
        <v>37</v>
      </c>
      <c r="N1484" s="163" t="s">
        <v>37</v>
      </c>
      <c r="O1484" s="163" t="s">
        <v>38</v>
      </c>
      <c r="P1484" s="163"/>
      <c r="Q1484" s="42"/>
      <c r="R1484" s="45"/>
      <c r="S1484" s="45"/>
      <c r="T1484" s="45"/>
      <c r="U1484" s="45"/>
      <c r="V1484" s="166">
        <f>IF(
  OR(
    ISNUMBER(SEARCH("unable to locate acct", tblDocketedComments[[#This Row],[Docketed Consumer Comments]])),
    ISNUMBER(SEARCH("unknown", tblDocketedComments[[#This Row],[Docketed Consumer Comments]])),
    ISNUMBER(SEARCH("inactive", tblDocketedComments[[#This Row],[Docketed Consumer Comments]]))
  ),
  0,
  1
)</f>
        <v>1</v>
      </c>
      <c r="W1484" s="32"/>
    </row>
    <row r="1485" spans="1:23">
      <c r="A1485" s="156">
        <v>46027</v>
      </c>
      <c r="B1485" s="45" t="s">
        <v>3616</v>
      </c>
      <c r="C1485" s="45" t="s">
        <v>822</v>
      </c>
      <c r="D1485" s="45" t="s">
        <v>30</v>
      </c>
      <c r="E1485" s="45" t="s">
        <v>30</v>
      </c>
      <c r="F1485" s="45" t="s">
        <v>3335</v>
      </c>
      <c r="G1485" s="158" t="s">
        <v>3662</v>
      </c>
      <c r="H1485" s="162" t="s">
        <v>27</v>
      </c>
      <c r="I1485" s="163"/>
      <c r="J1485" s="163"/>
      <c r="K1485" s="163"/>
      <c r="L1485" s="163"/>
      <c r="M1485" s="163"/>
      <c r="N1485" s="163"/>
      <c r="O1485" s="163"/>
      <c r="P1485" s="163"/>
      <c r="R1485" s="45"/>
      <c r="S1485" s="45"/>
      <c r="T1485" s="45"/>
      <c r="U1485" s="45"/>
      <c r="V148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6" spans="1:23">
      <c r="A1486" s="156">
        <v>46027</v>
      </c>
      <c r="B1486" s="45" t="s">
        <v>176</v>
      </c>
      <c r="C1486" s="45" t="s">
        <v>397</v>
      </c>
      <c r="D1486" s="45" t="s">
        <v>30</v>
      </c>
      <c r="E1486" s="45" t="s">
        <v>30</v>
      </c>
      <c r="F1486" s="45" t="s">
        <v>3335</v>
      </c>
      <c r="G1486" s="158" t="s">
        <v>3662</v>
      </c>
      <c r="H1486" s="162" t="s">
        <v>27</v>
      </c>
      <c r="I1486" s="163"/>
      <c r="J1486" s="163"/>
      <c r="K1486" s="163"/>
      <c r="L1486" s="163"/>
      <c r="M1486" s="163"/>
      <c r="N1486" s="163"/>
      <c r="O1486" s="163"/>
      <c r="P1486" s="163"/>
      <c r="R1486" s="45"/>
      <c r="S1486" s="45"/>
      <c r="T1486" s="45"/>
      <c r="U1486" s="45"/>
      <c r="V148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7" spans="1:23">
      <c r="A1487" s="156">
        <v>46027</v>
      </c>
      <c r="B1487" s="45" t="s">
        <v>3615</v>
      </c>
      <c r="C1487" s="45" t="s">
        <v>1206</v>
      </c>
      <c r="D1487" s="45" t="s">
        <v>30</v>
      </c>
      <c r="E1487" s="45" t="s">
        <v>30</v>
      </c>
      <c r="F1487" s="45" t="s">
        <v>3335</v>
      </c>
      <c r="G1487" s="158" t="s">
        <v>3662</v>
      </c>
      <c r="H1487" s="162" t="s">
        <v>27</v>
      </c>
      <c r="I1487" s="163"/>
      <c r="J1487" s="163"/>
      <c r="K1487" s="163"/>
      <c r="L1487" s="163"/>
      <c r="M1487" s="163"/>
      <c r="N1487" s="163"/>
      <c r="O1487" s="163"/>
      <c r="P1487" s="163"/>
      <c r="R1487" s="45"/>
      <c r="S1487" s="45"/>
      <c r="T1487" s="45"/>
      <c r="U1487" s="45"/>
      <c r="V148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8" spans="1:23">
      <c r="A1488" s="156">
        <v>46027</v>
      </c>
      <c r="B1488" s="45" t="s">
        <v>3663</v>
      </c>
      <c r="C1488" s="45" t="s">
        <v>3664</v>
      </c>
      <c r="D1488" s="45" t="s">
        <v>202</v>
      </c>
      <c r="E1488" s="45">
        <v>85382</v>
      </c>
      <c r="F1488" s="45" t="s">
        <v>3335</v>
      </c>
      <c r="G1488" s="158" t="s">
        <v>3662</v>
      </c>
      <c r="H1488" s="162" t="s">
        <v>6422</v>
      </c>
      <c r="I1488" s="163" t="s">
        <v>36</v>
      </c>
      <c r="J1488" s="163" t="s">
        <v>37</v>
      </c>
      <c r="K1488" s="163" t="s">
        <v>37</v>
      </c>
      <c r="L1488" s="163" t="s">
        <v>38</v>
      </c>
      <c r="M1488" s="163" t="s">
        <v>37</v>
      </c>
      <c r="N1488" s="163" t="s">
        <v>37</v>
      </c>
      <c r="O1488" s="163" t="s">
        <v>38</v>
      </c>
      <c r="P1488" s="163" t="s">
        <v>39</v>
      </c>
      <c r="Q1488" s="2">
        <v>46028</v>
      </c>
      <c r="R1488" s="45"/>
      <c r="S1488" s="45"/>
      <c r="T1488" s="45"/>
      <c r="U1488" s="45"/>
      <c r="V148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89" spans="1:23">
      <c r="A1489" s="156">
        <v>46027</v>
      </c>
      <c r="B1489" s="45" t="s">
        <v>3665</v>
      </c>
      <c r="C1489" s="45" t="s">
        <v>1007</v>
      </c>
      <c r="D1489" s="45" t="s">
        <v>30</v>
      </c>
      <c r="E1489" s="45" t="s">
        <v>30</v>
      </c>
      <c r="F1489" s="45" t="s">
        <v>3335</v>
      </c>
      <c r="G1489" s="158" t="s">
        <v>3662</v>
      </c>
      <c r="H1489" s="162" t="s">
        <v>27</v>
      </c>
      <c r="I1489" s="163"/>
      <c r="J1489" s="163"/>
      <c r="K1489" s="163"/>
      <c r="L1489" s="163"/>
      <c r="M1489" s="163"/>
      <c r="N1489" s="163"/>
      <c r="O1489" s="163"/>
      <c r="P1489" s="163"/>
      <c r="R1489" s="45"/>
      <c r="S1489" s="45"/>
      <c r="T1489" s="45"/>
      <c r="U1489" s="45"/>
      <c r="V148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0" spans="1:23">
      <c r="A1490" s="156">
        <v>46027</v>
      </c>
      <c r="B1490" s="45" t="s">
        <v>3666</v>
      </c>
      <c r="C1490" s="45" t="s">
        <v>2978</v>
      </c>
      <c r="D1490" s="45" t="s">
        <v>63</v>
      </c>
      <c r="E1490" s="45">
        <v>85027</v>
      </c>
      <c r="F1490" s="45" t="s">
        <v>3335</v>
      </c>
      <c r="G1490" s="158" t="s">
        <v>3662</v>
      </c>
      <c r="H1490" s="162" t="s">
        <v>3667</v>
      </c>
      <c r="I1490" s="163" t="s">
        <v>36</v>
      </c>
      <c r="J1490" s="163" t="s">
        <v>38</v>
      </c>
      <c r="K1490" s="163" t="s">
        <v>38</v>
      </c>
      <c r="L1490" s="163" t="s">
        <v>38</v>
      </c>
      <c r="M1490" s="163" t="s">
        <v>37</v>
      </c>
      <c r="N1490" s="163" t="s">
        <v>37</v>
      </c>
      <c r="O1490" s="163" t="s">
        <v>38</v>
      </c>
      <c r="P1490" s="163"/>
      <c r="R1490" s="45"/>
      <c r="S1490" s="45"/>
      <c r="T1490" s="45"/>
      <c r="U1490" s="45"/>
      <c r="V149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1" spans="1:23">
      <c r="A1491" s="156">
        <v>46027</v>
      </c>
      <c r="B1491" s="45" t="s">
        <v>3032</v>
      </c>
      <c r="C1491" s="45" t="s">
        <v>270</v>
      </c>
      <c r="D1491" s="45" t="s">
        <v>30</v>
      </c>
      <c r="E1491" s="45" t="s">
        <v>30</v>
      </c>
      <c r="F1491" s="45" t="s">
        <v>3335</v>
      </c>
      <c r="G1491" s="158" t="s">
        <v>3662</v>
      </c>
      <c r="H1491" s="162" t="s">
        <v>27</v>
      </c>
      <c r="I1491" s="163"/>
      <c r="J1491" s="163"/>
      <c r="K1491" s="163"/>
      <c r="L1491" s="163"/>
      <c r="M1491" s="163"/>
      <c r="N1491" s="163"/>
      <c r="O1491" s="163"/>
      <c r="P1491" s="163"/>
      <c r="R1491" s="45"/>
      <c r="S1491" s="45"/>
      <c r="T1491" s="45"/>
      <c r="U1491" s="45"/>
      <c r="V149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2" spans="1:23">
      <c r="A1492" s="156">
        <v>46027</v>
      </c>
      <c r="B1492" s="45" t="s">
        <v>3668</v>
      </c>
      <c r="C1492" s="45" t="s">
        <v>2273</v>
      </c>
      <c r="D1492" s="45" t="s">
        <v>24</v>
      </c>
      <c r="E1492" s="45">
        <v>85306</v>
      </c>
      <c r="F1492" s="45" t="s">
        <v>3335</v>
      </c>
      <c r="G1492" s="158" t="s">
        <v>3662</v>
      </c>
      <c r="H1492" s="162" t="s">
        <v>3669</v>
      </c>
      <c r="I1492" s="163" t="s">
        <v>36</v>
      </c>
      <c r="J1492" s="163" t="s">
        <v>37</v>
      </c>
      <c r="K1492" s="163" t="s">
        <v>37</v>
      </c>
      <c r="L1492" s="163" t="s">
        <v>38</v>
      </c>
      <c r="M1492" s="163" t="s">
        <v>37</v>
      </c>
      <c r="N1492" s="163" t="s">
        <v>37</v>
      </c>
      <c r="O1492" s="163" t="s">
        <v>38</v>
      </c>
      <c r="P1492" s="163" t="s">
        <v>39</v>
      </c>
      <c r="Q1492" s="2">
        <v>46030</v>
      </c>
      <c r="R1492" s="45"/>
      <c r="S1492" s="45"/>
      <c r="T1492" s="45"/>
      <c r="U1492" s="45"/>
      <c r="V149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3" spans="1:23">
      <c r="A1493" s="156">
        <v>46027</v>
      </c>
      <c r="B1493" s="45" t="s">
        <v>3670</v>
      </c>
      <c r="C1493" s="45" t="s">
        <v>1478</v>
      </c>
      <c r="D1493" s="45" t="s">
        <v>63</v>
      </c>
      <c r="E1493" s="45">
        <v>85032</v>
      </c>
      <c r="F1493" s="45" t="s">
        <v>3335</v>
      </c>
      <c r="G1493" s="158" t="s">
        <v>3662</v>
      </c>
      <c r="H1493" s="162" t="s">
        <v>3671</v>
      </c>
      <c r="I1493" s="163" t="s">
        <v>3472</v>
      </c>
      <c r="J1493" s="163" t="s">
        <v>37</v>
      </c>
      <c r="K1493" s="163" t="s">
        <v>37</v>
      </c>
      <c r="L1493" s="163" t="s">
        <v>3672</v>
      </c>
      <c r="M1493" s="163" t="s">
        <v>37</v>
      </c>
      <c r="N1493" s="163" t="s">
        <v>37</v>
      </c>
      <c r="O1493" s="163" t="s">
        <v>38</v>
      </c>
      <c r="P1493" s="163"/>
      <c r="Q1493" s="42"/>
      <c r="R1493" s="45"/>
      <c r="S1493" s="45"/>
      <c r="T1493" s="45"/>
      <c r="U1493" s="45"/>
      <c r="V1493" s="166">
        <f>IF(
  OR(
    ISNUMBER(SEARCH("unable to locate acct", tblDocketedComments[[#This Row],[Docketed Consumer Comments]])),
    ISNUMBER(SEARCH("unknown", tblDocketedComments[[#This Row],[Docketed Consumer Comments]])),
    ISNUMBER(SEARCH("inactive", tblDocketedComments[[#This Row],[Docketed Consumer Comments]]))
  ),
  0,
  1
)</f>
        <v>1</v>
      </c>
      <c r="W1493" s="32"/>
    </row>
    <row r="1494" spans="1:23">
      <c r="A1494" s="156">
        <v>46027</v>
      </c>
      <c r="B1494" s="45" t="s">
        <v>3673</v>
      </c>
      <c r="C1494" s="45" t="s">
        <v>1614</v>
      </c>
      <c r="D1494" s="45" t="s">
        <v>63</v>
      </c>
      <c r="E1494" s="45">
        <v>85027</v>
      </c>
      <c r="F1494" s="45" t="s">
        <v>3335</v>
      </c>
      <c r="G1494" s="158" t="s">
        <v>3662</v>
      </c>
      <c r="H1494" s="162" t="s">
        <v>3674</v>
      </c>
      <c r="I1494" s="163" t="s">
        <v>36</v>
      </c>
      <c r="J1494" s="163" t="s">
        <v>37</v>
      </c>
      <c r="K1494" s="163" t="s">
        <v>37</v>
      </c>
      <c r="L1494" s="163" t="s">
        <v>38</v>
      </c>
      <c r="M1494" s="163" t="s">
        <v>37</v>
      </c>
      <c r="N1494" s="163" t="s">
        <v>37</v>
      </c>
      <c r="O1494" s="163" t="s">
        <v>38</v>
      </c>
      <c r="P1494" s="163" t="s">
        <v>39</v>
      </c>
      <c r="Q1494" s="2">
        <v>46030</v>
      </c>
      <c r="R1494" s="45"/>
      <c r="S1494" s="45"/>
      <c r="T1494" s="45"/>
      <c r="U1494" s="45"/>
      <c r="V149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5" spans="1:23">
      <c r="A1495" s="156">
        <v>46027</v>
      </c>
      <c r="B1495" s="45" t="s">
        <v>3675</v>
      </c>
      <c r="C1495" s="45" t="s">
        <v>1651</v>
      </c>
      <c r="D1495" s="45" t="s">
        <v>63</v>
      </c>
      <c r="E1495" s="45">
        <v>85022</v>
      </c>
      <c r="F1495" s="45" t="s">
        <v>3676</v>
      </c>
      <c r="G1495" s="158" t="s">
        <v>3662</v>
      </c>
      <c r="H1495" s="162" t="s">
        <v>3677</v>
      </c>
      <c r="I1495" s="163" t="s">
        <v>73</v>
      </c>
      <c r="J1495" s="163" t="s">
        <v>38</v>
      </c>
      <c r="K1495" s="163" t="s">
        <v>37</v>
      </c>
      <c r="L1495" s="163" t="s">
        <v>38</v>
      </c>
      <c r="M1495" s="163" t="s">
        <v>37</v>
      </c>
      <c r="N1495" s="163" t="s">
        <v>37</v>
      </c>
      <c r="O1495" s="163" t="s">
        <v>38</v>
      </c>
      <c r="P1495" s="163" t="s">
        <v>39</v>
      </c>
      <c r="Q1495" s="2">
        <v>46030</v>
      </c>
      <c r="R1495" s="45"/>
      <c r="S1495" s="45"/>
      <c r="T1495" s="45"/>
      <c r="U1495" s="45"/>
      <c r="V149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6" spans="1:23">
      <c r="A1496" s="156">
        <v>46027</v>
      </c>
      <c r="B1496" s="45" t="s">
        <v>3678</v>
      </c>
      <c r="C1496" s="45" t="s">
        <v>3679</v>
      </c>
      <c r="D1496" s="45" t="s">
        <v>169</v>
      </c>
      <c r="E1496" s="45">
        <v>85395</v>
      </c>
      <c r="F1496" s="45" t="s">
        <v>3680</v>
      </c>
      <c r="G1496" s="158" t="s">
        <v>3662</v>
      </c>
      <c r="H1496" s="162" t="s">
        <v>3681</v>
      </c>
      <c r="I1496" s="163" t="s">
        <v>3682</v>
      </c>
      <c r="J1496" s="163" t="s">
        <v>37</v>
      </c>
      <c r="K1496" s="163" t="s">
        <v>37</v>
      </c>
      <c r="L1496" s="163" t="s">
        <v>3549</v>
      </c>
      <c r="M1496" s="163" t="s">
        <v>37</v>
      </c>
      <c r="N1496" s="163" t="s">
        <v>37</v>
      </c>
      <c r="O1496" s="163" t="s">
        <v>38</v>
      </c>
      <c r="P1496" s="163" t="s">
        <v>39</v>
      </c>
      <c r="Q1496" s="2">
        <v>46030</v>
      </c>
      <c r="R1496" s="45"/>
      <c r="S1496" s="45"/>
      <c r="T1496" s="45"/>
      <c r="U1496" s="45"/>
      <c r="V149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7" spans="1:23">
      <c r="A1497" s="156">
        <v>46028</v>
      </c>
      <c r="B1497" s="45" t="s">
        <v>3683</v>
      </c>
      <c r="C1497" s="45" t="s">
        <v>3684</v>
      </c>
      <c r="D1497" s="45" t="s">
        <v>89</v>
      </c>
      <c r="E1497" s="45">
        <v>86351</v>
      </c>
      <c r="F1497" s="45" t="s">
        <v>3685</v>
      </c>
      <c r="G1497" s="158" t="s">
        <v>3686</v>
      </c>
      <c r="H1497" s="162" t="s">
        <v>3687</v>
      </c>
      <c r="I1497" s="163" t="s">
        <v>3682</v>
      </c>
      <c r="J1497" s="163" t="s">
        <v>37</v>
      </c>
      <c r="K1497" s="163" t="s">
        <v>37</v>
      </c>
      <c r="L1497" s="163" t="s">
        <v>3549</v>
      </c>
      <c r="M1497" s="163" t="s">
        <v>37</v>
      </c>
      <c r="N1497" s="163" t="s">
        <v>37</v>
      </c>
      <c r="O1497" s="163" t="s">
        <v>38</v>
      </c>
      <c r="P1497" s="163" t="s">
        <v>39</v>
      </c>
      <c r="Q1497" s="2">
        <v>46030</v>
      </c>
      <c r="R1497" s="45"/>
      <c r="S1497" s="45"/>
      <c r="T1497" s="45"/>
      <c r="U1497" s="45"/>
      <c r="V149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8" spans="1:23">
      <c r="A1498" s="156">
        <v>46028</v>
      </c>
      <c r="B1498" s="45" t="s">
        <v>3688</v>
      </c>
      <c r="C1498" s="45" t="s">
        <v>3689</v>
      </c>
      <c r="D1498" s="45" t="s">
        <v>202</v>
      </c>
      <c r="E1498" s="45">
        <v>85282</v>
      </c>
      <c r="F1498" s="45" t="s">
        <v>3690</v>
      </c>
      <c r="G1498" s="158" t="s">
        <v>3686</v>
      </c>
      <c r="H1498" s="162" t="s">
        <v>27</v>
      </c>
      <c r="I1498" s="163"/>
      <c r="J1498" s="163"/>
      <c r="K1498" s="163"/>
      <c r="L1498" s="163"/>
      <c r="M1498" s="163"/>
      <c r="N1498" s="163"/>
      <c r="O1498" s="163"/>
      <c r="P1498" s="163"/>
      <c r="R1498" s="45"/>
      <c r="S1498" s="45"/>
      <c r="T1498" s="45"/>
      <c r="U1498" s="45"/>
      <c r="V149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499" spans="1:23">
      <c r="A1499" s="156">
        <v>46028</v>
      </c>
      <c r="B1499" s="45" t="s">
        <v>3691</v>
      </c>
      <c r="C1499" s="45" t="s">
        <v>673</v>
      </c>
      <c r="D1499" s="45" t="s">
        <v>734</v>
      </c>
      <c r="E1499" s="45">
        <v>86326</v>
      </c>
      <c r="F1499" s="45" t="s">
        <v>3692</v>
      </c>
      <c r="G1499" s="158" t="s">
        <v>3686</v>
      </c>
      <c r="H1499" s="162" t="s">
        <v>3693</v>
      </c>
      <c r="I1499" s="163" t="s">
        <v>73</v>
      </c>
      <c r="J1499" s="163" t="s">
        <v>37</v>
      </c>
      <c r="K1499" s="163" t="s">
        <v>37</v>
      </c>
      <c r="L1499" s="163" t="s">
        <v>38</v>
      </c>
      <c r="M1499" s="163" t="s">
        <v>37</v>
      </c>
      <c r="N1499" s="163" t="s">
        <v>37</v>
      </c>
      <c r="O1499" s="163" t="s">
        <v>38</v>
      </c>
      <c r="P1499" s="163" t="s">
        <v>39</v>
      </c>
      <c r="Q1499" s="2">
        <v>46030</v>
      </c>
      <c r="R1499" s="45"/>
      <c r="S1499" s="45"/>
      <c r="T1499" s="45"/>
      <c r="U1499" s="45"/>
      <c r="V149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0" spans="1:23">
      <c r="A1500" s="156">
        <v>46028</v>
      </c>
      <c r="B1500" s="45" t="s">
        <v>3146</v>
      </c>
      <c r="C1500" s="45" t="s">
        <v>3606</v>
      </c>
      <c r="D1500" s="45" t="s">
        <v>202</v>
      </c>
      <c r="E1500" s="45">
        <v>85354</v>
      </c>
      <c r="F1500" s="45" t="s">
        <v>3694</v>
      </c>
      <c r="G1500" s="158" t="s">
        <v>3695</v>
      </c>
      <c r="H1500" s="162" t="s">
        <v>3696</v>
      </c>
      <c r="I1500" s="163" t="s">
        <v>36</v>
      </c>
      <c r="J1500" s="163" t="s">
        <v>37</v>
      </c>
      <c r="K1500" s="163" t="s">
        <v>37</v>
      </c>
      <c r="L1500" s="163" t="s">
        <v>38</v>
      </c>
      <c r="M1500" s="163" t="s">
        <v>37</v>
      </c>
      <c r="N1500" s="163" t="s">
        <v>37</v>
      </c>
      <c r="O1500" s="163" t="s">
        <v>38</v>
      </c>
      <c r="P1500" s="163" t="s">
        <v>39</v>
      </c>
      <c r="Q1500" s="2">
        <v>46030</v>
      </c>
      <c r="R1500" s="45"/>
      <c r="S1500" s="45"/>
      <c r="T1500" s="45"/>
      <c r="U1500" s="45"/>
      <c r="V150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1" spans="1:23">
      <c r="A1501" s="156">
        <v>46028</v>
      </c>
      <c r="B1501" s="45" t="s">
        <v>3697</v>
      </c>
      <c r="C1501" s="45" t="s">
        <v>3698</v>
      </c>
      <c r="D1501" s="45" t="s">
        <v>93</v>
      </c>
      <c r="E1501" s="45">
        <v>85373</v>
      </c>
      <c r="F1501" s="45" t="s">
        <v>3699</v>
      </c>
      <c r="G1501" s="158" t="s">
        <v>3695</v>
      </c>
      <c r="H1501" s="162" t="s">
        <v>3700</v>
      </c>
      <c r="I1501" s="163" t="s">
        <v>196</v>
      </c>
      <c r="J1501" s="163" t="s">
        <v>37</v>
      </c>
      <c r="K1501" s="163" t="s">
        <v>37</v>
      </c>
      <c r="L1501" s="163" t="s">
        <v>38</v>
      </c>
      <c r="M1501" s="163" t="s">
        <v>37</v>
      </c>
      <c r="N1501" s="163" t="s">
        <v>37</v>
      </c>
      <c r="O1501" s="163" t="s">
        <v>38</v>
      </c>
      <c r="P1501" s="163" t="s">
        <v>39</v>
      </c>
      <c r="Q1501" s="2">
        <v>46030</v>
      </c>
      <c r="R1501" s="45"/>
      <c r="S1501" s="45"/>
      <c r="T1501" s="45"/>
      <c r="U1501" s="45"/>
      <c r="V150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2" spans="1:23">
      <c r="A1502" s="156">
        <v>46028</v>
      </c>
      <c r="B1502" s="45" t="s">
        <v>3701</v>
      </c>
      <c r="C1502" s="45" t="s">
        <v>3702</v>
      </c>
      <c r="D1502" s="45" t="s">
        <v>30</v>
      </c>
      <c r="E1502" s="45" t="s">
        <v>30</v>
      </c>
      <c r="F1502" s="45" t="s">
        <v>3703</v>
      </c>
      <c r="G1502" s="158" t="s">
        <v>3695</v>
      </c>
      <c r="H1502" s="162" t="s">
        <v>27</v>
      </c>
      <c r="I1502" s="163"/>
      <c r="J1502" s="163"/>
      <c r="K1502" s="163"/>
      <c r="L1502" s="163"/>
      <c r="M1502" s="163"/>
      <c r="N1502" s="163"/>
      <c r="O1502" s="163"/>
      <c r="P1502" s="163"/>
      <c r="R1502" s="45"/>
      <c r="S1502" s="45"/>
      <c r="T1502" s="45"/>
      <c r="U1502" s="45"/>
      <c r="V150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3" spans="1:23">
      <c r="A1503" s="156">
        <v>46029</v>
      </c>
      <c r="B1503" s="45" t="s">
        <v>3704</v>
      </c>
      <c r="C1503" s="45" t="s">
        <v>3705</v>
      </c>
      <c r="D1503" s="45" t="s">
        <v>30</v>
      </c>
      <c r="E1503" s="45" t="s">
        <v>30</v>
      </c>
      <c r="F1503" s="45" t="s">
        <v>3335</v>
      </c>
      <c r="G1503" s="158" t="s">
        <v>3706</v>
      </c>
      <c r="H1503" s="162" t="s">
        <v>27</v>
      </c>
      <c r="I1503" s="163"/>
      <c r="J1503" s="163"/>
      <c r="K1503" s="163"/>
      <c r="L1503" s="163"/>
      <c r="M1503" s="163"/>
      <c r="N1503" s="163"/>
      <c r="O1503" s="163"/>
      <c r="P1503" s="163"/>
      <c r="R1503" s="45" t="s">
        <v>3707</v>
      </c>
      <c r="S1503" s="45"/>
      <c r="T1503" s="45"/>
      <c r="U1503" s="45"/>
      <c r="V150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4" spans="1:23">
      <c r="A1504" s="156">
        <v>46031</v>
      </c>
      <c r="B1504" s="45" t="s">
        <v>3708</v>
      </c>
      <c r="C1504" s="45" t="s">
        <v>307</v>
      </c>
      <c r="D1504" s="45" t="s">
        <v>63</v>
      </c>
      <c r="E1504" s="45">
        <v>85029</v>
      </c>
      <c r="F1504" s="45" t="s">
        <v>3709</v>
      </c>
      <c r="G1504" s="158" t="s">
        <v>3710</v>
      </c>
      <c r="H1504" s="162" t="s">
        <v>3711</v>
      </c>
      <c r="I1504" s="163" t="s">
        <v>36</v>
      </c>
      <c r="J1504" s="163" t="s">
        <v>37</v>
      </c>
      <c r="K1504" s="163" t="s">
        <v>37</v>
      </c>
      <c r="L1504" s="163" t="s">
        <v>38</v>
      </c>
      <c r="M1504" s="163" t="s">
        <v>37</v>
      </c>
      <c r="N1504" s="163" t="s">
        <v>37</v>
      </c>
      <c r="O1504" s="163" t="s">
        <v>38</v>
      </c>
      <c r="P1504" s="163"/>
      <c r="Q1504" s="41">
        <v>46034</v>
      </c>
      <c r="R1504" s="45" t="s">
        <v>3712</v>
      </c>
      <c r="S1504" s="45"/>
      <c r="T1504" s="45"/>
      <c r="U1504" s="45"/>
      <c r="V1504" s="166">
        <f>IF(
  OR(
    ISNUMBER(SEARCH("unable to locate acct", tblDocketedComments[[#This Row],[Docketed Consumer Comments]])),
    ISNUMBER(SEARCH("unknown", tblDocketedComments[[#This Row],[Docketed Consumer Comments]])),
    ISNUMBER(SEARCH("inactive", tblDocketedComments[[#This Row],[Docketed Consumer Comments]]))
  ),
  0,
  1
)</f>
        <v>1</v>
      </c>
      <c r="W1504" s="32"/>
    </row>
    <row r="1505" spans="1:22">
      <c r="A1505" s="156">
        <v>46035</v>
      </c>
      <c r="B1505" s="45" t="s">
        <v>2534</v>
      </c>
      <c r="C1505" s="45" t="s">
        <v>1395</v>
      </c>
      <c r="D1505" s="45" t="s">
        <v>695</v>
      </c>
      <c r="E1505" s="45">
        <v>85375</v>
      </c>
      <c r="F1505" s="45" t="s">
        <v>3713</v>
      </c>
      <c r="G1505" s="158" t="s">
        <v>3714</v>
      </c>
      <c r="H1505" s="162" t="s">
        <v>2535</v>
      </c>
      <c r="I1505" s="163" t="s">
        <v>57</v>
      </c>
      <c r="J1505" s="163" t="s">
        <v>37</v>
      </c>
      <c r="K1505" s="163" t="s">
        <v>141</v>
      </c>
      <c r="L1505" s="163" t="s">
        <v>3715</v>
      </c>
      <c r="M1505" s="163" t="s">
        <v>37</v>
      </c>
      <c r="N1505" s="163" t="s">
        <v>37</v>
      </c>
      <c r="O1505" s="163" t="s">
        <v>38</v>
      </c>
      <c r="P1505" s="163" t="s">
        <v>39</v>
      </c>
      <c r="Q1505" s="2">
        <v>46036</v>
      </c>
      <c r="R1505" s="45" t="s">
        <v>3707</v>
      </c>
      <c r="S1505" s="45"/>
      <c r="T1505" s="45"/>
      <c r="U1505" s="45"/>
      <c r="V150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6" spans="1:22">
      <c r="A1506" s="156">
        <v>46037</v>
      </c>
      <c r="B1506" s="45" t="s">
        <v>2359</v>
      </c>
      <c r="C1506" s="45" t="s">
        <v>3716</v>
      </c>
      <c r="D1506" s="45" t="s">
        <v>807</v>
      </c>
      <c r="E1506" s="45">
        <v>86303</v>
      </c>
      <c r="F1506" s="45" t="s">
        <v>3717</v>
      </c>
      <c r="G1506" s="158" t="s">
        <v>3718</v>
      </c>
      <c r="H1506" s="162" t="s">
        <v>6423</v>
      </c>
      <c r="I1506" s="163" t="s">
        <v>126</v>
      </c>
      <c r="J1506" s="163" t="s">
        <v>37</v>
      </c>
      <c r="K1506" s="163" t="s">
        <v>37</v>
      </c>
      <c r="L1506" s="163" t="s">
        <v>38</v>
      </c>
      <c r="M1506" s="163" t="s">
        <v>37</v>
      </c>
      <c r="N1506" s="163" t="s">
        <v>37</v>
      </c>
      <c r="O1506" s="163" t="s">
        <v>38</v>
      </c>
      <c r="P1506" s="163" t="s">
        <v>39</v>
      </c>
      <c r="Q1506" s="33">
        <v>46044</v>
      </c>
      <c r="R1506" s="45"/>
      <c r="S1506" s="45"/>
      <c r="T1506" s="45"/>
      <c r="U1506" s="45"/>
      <c r="V150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7" spans="1:22">
      <c r="A1507" s="156">
        <v>46037</v>
      </c>
      <c r="B1507" s="45" t="s">
        <v>3719</v>
      </c>
      <c r="C1507" s="45" t="s">
        <v>438</v>
      </c>
      <c r="D1507" s="45" t="s">
        <v>240</v>
      </c>
      <c r="E1507" s="45">
        <v>85340</v>
      </c>
      <c r="F1507" s="45" t="s">
        <v>3720</v>
      </c>
      <c r="G1507" s="158" t="s">
        <v>3718</v>
      </c>
      <c r="H1507" s="162" t="s">
        <v>6424</v>
      </c>
      <c r="I1507" s="163" t="s">
        <v>36</v>
      </c>
      <c r="J1507" s="163" t="s">
        <v>37</v>
      </c>
      <c r="K1507" s="163" t="s">
        <v>37</v>
      </c>
      <c r="L1507" s="163" t="s">
        <v>38</v>
      </c>
      <c r="M1507" s="163" t="s">
        <v>37</v>
      </c>
      <c r="N1507" s="163" t="s">
        <v>37</v>
      </c>
      <c r="O1507" s="163" t="s">
        <v>38</v>
      </c>
      <c r="P1507" s="163" t="s">
        <v>39</v>
      </c>
      <c r="Q1507" s="33">
        <v>46044</v>
      </c>
      <c r="R1507" s="45"/>
      <c r="S1507" s="45"/>
      <c r="T1507" s="45"/>
      <c r="U1507" s="45"/>
      <c r="V150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8" spans="1:22">
      <c r="A1508" s="156">
        <v>46037</v>
      </c>
      <c r="B1508" s="45" t="s">
        <v>3721</v>
      </c>
      <c r="C1508" s="45" t="s">
        <v>3722</v>
      </c>
      <c r="D1508" s="45" t="s">
        <v>174</v>
      </c>
      <c r="E1508" s="45">
        <v>85396</v>
      </c>
      <c r="F1508" s="45" t="s">
        <v>3723</v>
      </c>
      <c r="G1508" s="158" t="s">
        <v>3718</v>
      </c>
      <c r="H1508" s="162" t="s">
        <v>6425</v>
      </c>
      <c r="I1508" s="163" t="s">
        <v>538</v>
      </c>
      <c r="J1508" s="163" t="s">
        <v>37</v>
      </c>
      <c r="K1508" s="163" t="s">
        <v>37</v>
      </c>
      <c r="L1508" s="163" t="s">
        <v>3549</v>
      </c>
      <c r="M1508" s="163" t="s">
        <v>37</v>
      </c>
      <c r="N1508" s="163" t="s">
        <v>37</v>
      </c>
      <c r="O1508" s="163" t="s">
        <v>38</v>
      </c>
      <c r="P1508" s="163" t="s">
        <v>39</v>
      </c>
      <c r="Q1508" s="33">
        <v>46044</v>
      </c>
      <c r="R1508" s="45"/>
      <c r="S1508" s="45"/>
      <c r="T1508" s="45"/>
      <c r="U1508" s="45"/>
      <c r="V150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09" spans="1:22">
      <c r="A1509" s="156">
        <v>46037</v>
      </c>
      <c r="B1509" s="45" t="s">
        <v>3724</v>
      </c>
      <c r="C1509" s="45" t="s">
        <v>550</v>
      </c>
      <c r="D1509" s="45" t="s">
        <v>202</v>
      </c>
      <c r="E1509" s="45">
        <v>85383</v>
      </c>
      <c r="F1509" s="45" t="s">
        <v>3725</v>
      </c>
      <c r="G1509" s="158" t="s">
        <v>3718</v>
      </c>
      <c r="H1509" s="162" t="s">
        <v>6426</v>
      </c>
      <c r="I1509" s="163" t="s">
        <v>1352</v>
      </c>
      <c r="J1509" s="163" t="s">
        <v>37</v>
      </c>
      <c r="K1509" s="163" t="s">
        <v>37</v>
      </c>
      <c r="L1509" s="163" t="s">
        <v>3549</v>
      </c>
      <c r="M1509" s="163" t="s">
        <v>37</v>
      </c>
      <c r="N1509" s="163" t="s">
        <v>37</v>
      </c>
      <c r="O1509" s="163" t="s">
        <v>38</v>
      </c>
      <c r="P1509" s="163" t="s">
        <v>39</v>
      </c>
      <c r="Q1509" s="33">
        <v>46044</v>
      </c>
      <c r="R1509" s="45"/>
      <c r="S1509" s="45"/>
      <c r="T1509" s="45"/>
      <c r="U1509" s="45"/>
      <c r="V150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0" spans="1:22">
      <c r="A1510" s="156">
        <v>46037</v>
      </c>
      <c r="B1510" s="45" t="s">
        <v>227</v>
      </c>
      <c r="C1510" s="45" t="s">
        <v>2592</v>
      </c>
      <c r="D1510" s="45" t="s">
        <v>734</v>
      </c>
      <c r="E1510" s="45">
        <v>86326</v>
      </c>
      <c r="F1510" s="45" t="s">
        <v>3726</v>
      </c>
      <c r="G1510" s="158" t="s">
        <v>3718</v>
      </c>
      <c r="H1510" s="162" t="s">
        <v>27</v>
      </c>
      <c r="I1510" s="163"/>
      <c r="J1510" s="163"/>
      <c r="K1510" s="163"/>
      <c r="L1510" s="163"/>
      <c r="M1510" s="163"/>
      <c r="N1510" s="163"/>
      <c r="O1510" s="163"/>
      <c r="P1510" s="163"/>
      <c r="Q1510" s="18"/>
      <c r="R1510" s="45"/>
      <c r="S1510" s="45"/>
      <c r="T1510" s="45"/>
      <c r="U1510" s="45"/>
      <c r="V151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1" spans="1:22">
      <c r="A1511" s="156">
        <v>46037</v>
      </c>
      <c r="B1511" s="45" t="s">
        <v>809</v>
      </c>
      <c r="C1511" s="45" t="s">
        <v>438</v>
      </c>
      <c r="D1511" s="45" t="s">
        <v>169</v>
      </c>
      <c r="E1511" s="45">
        <v>85338</v>
      </c>
      <c r="F1511" s="45" t="s">
        <v>3727</v>
      </c>
      <c r="G1511" s="158" t="s">
        <v>3718</v>
      </c>
      <c r="H1511" s="162" t="s">
        <v>6181</v>
      </c>
      <c r="I1511" s="163" t="s">
        <v>250</v>
      </c>
      <c r="J1511" s="163" t="s">
        <v>37</v>
      </c>
      <c r="K1511" s="163" t="s">
        <v>37</v>
      </c>
      <c r="L1511" s="163" t="s">
        <v>38</v>
      </c>
      <c r="M1511" s="163" t="s">
        <v>37</v>
      </c>
      <c r="N1511" s="163" t="s">
        <v>37</v>
      </c>
      <c r="O1511" s="163" t="s">
        <v>38</v>
      </c>
      <c r="P1511" s="163" t="s">
        <v>39</v>
      </c>
      <c r="Q1511" s="33">
        <v>46044</v>
      </c>
      <c r="R1511" s="45"/>
      <c r="S1511" s="45"/>
      <c r="T1511" s="45"/>
      <c r="U1511" s="45"/>
      <c r="V151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2" spans="1:22">
      <c r="A1512" s="156">
        <v>46037</v>
      </c>
      <c r="B1512" s="45" t="s">
        <v>3728</v>
      </c>
      <c r="C1512" s="45" t="s">
        <v>1608</v>
      </c>
      <c r="D1512" s="45" t="s">
        <v>3729</v>
      </c>
      <c r="E1512" s="45">
        <v>86332</v>
      </c>
      <c r="F1512" s="45" t="s">
        <v>3730</v>
      </c>
      <c r="G1512" s="158" t="s">
        <v>3718</v>
      </c>
      <c r="H1512" s="162" t="s">
        <v>6427</v>
      </c>
      <c r="I1512" s="163" t="s">
        <v>73</v>
      </c>
      <c r="J1512" s="163" t="s">
        <v>37</v>
      </c>
      <c r="K1512" s="163" t="s">
        <v>37</v>
      </c>
      <c r="L1512" s="163" t="s">
        <v>38</v>
      </c>
      <c r="M1512" s="163" t="s">
        <v>37</v>
      </c>
      <c r="N1512" s="163" t="s">
        <v>37</v>
      </c>
      <c r="O1512" s="163" t="s">
        <v>38</v>
      </c>
      <c r="P1512" s="163" t="s">
        <v>39</v>
      </c>
      <c r="Q1512" s="33">
        <v>45679</v>
      </c>
      <c r="R1512" s="45"/>
      <c r="S1512" s="45"/>
      <c r="T1512" s="45"/>
      <c r="U1512" s="45"/>
      <c r="V151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3" spans="1:22">
      <c r="A1513" s="156">
        <v>46037</v>
      </c>
      <c r="B1513" s="45" t="s">
        <v>3731</v>
      </c>
      <c r="C1513" s="45" t="s">
        <v>246</v>
      </c>
      <c r="D1513" s="45" t="s">
        <v>202</v>
      </c>
      <c r="E1513" s="45">
        <v>85383</v>
      </c>
      <c r="F1513" s="45" t="s">
        <v>3732</v>
      </c>
      <c r="G1513" s="158" t="s">
        <v>3718</v>
      </c>
      <c r="H1513" s="162" t="s">
        <v>6428</v>
      </c>
      <c r="I1513" s="163" t="s">
        <v>46</v>
      </c>
      <c r="J1513" s="163" t="s">
        <v>37</v>
      </c>
      <c r="K1513" s="163" t="s">
        <v>37</v>
      </c>
      <c r="L1513" s="163" t="s">
        <v>38</v>
      </c>
      <c r="M1513" s="163" t="s">
        <v>37</v>
      </c>
      <c r="N1513" s="163" t="s">
        <v>37</v>
      </c>
      <c r="O1513" s="163" t="s">
        <v>38</v>
      </c>
      <c r="P1513" s="163" t="s">
        <v>39</v>
      </c>
      <c r="Q1513" s="33">
        <v>45679</v>
      </c>
      <c r="R1513" s="45"/>
      <c r="S1513" s="45"/>
      <c r="T1513" s="45"/>
      <c r="U1513" s="45"/>
      <c r="V151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4" spans="1:22">
      <c r="A1514" s="156">
        <v>46037</v>
      </c>
      <c r="B1514" s="45" t="s">
        <v>2088</v>
      </c>
      <c r="C1514" s="45" t="s">
        <v>1604</v>
      </c>
      <c r="D1514" s="45" t="s">
        <v>112</v>
      </c>
      <c r="E1514" s="45">
        <v>85387</v>
      </c>
      <c r="F1514" s="45" t="s">
        <v>3733</v>
      </c>
      <c r="G1514" s="158" t="s">
        <v>3718</v>
      </c>
      <c r="H1514" s="162" t="s">
        <v>6110</v>
      </c>
      <c r="I1514" s="163" t="s">
        <v>126</v>
      </c>
      <c r="J1514" s="163" t="s">
        <v>37</v>
      </c>
      <c r="K1514" s="163" t="s">
        <v>37</v>
      </c>
      <c r="L1514" s="163" t="s">
        <v>3734</v>
      </c>
      <c r="M1514" s="163" t="s">
        <v>37</v>
      </c>
      <c r="N1514" s="163" t="s">
        <v>37</v>
      </c>
      <c r="O1514" s="163" t="s">
        <v>38</v>
      </c>
      <c r="P1514" s="163" t="s">
        <v>39</v>
      </c>
      <c r="Q1514" s="33">
        <v>46044</v>
      </c>
      <c r="R1514" s="45"/>
      <c r="S1514" s="45"/>
      <c r="T1514" s="45"/>
      <c r="U1514" s="45"/>
      <c r="V151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5" spans="1:22">
      <c r="A1515" s="156">
        <v>46037</v>
      </c>
      <c r="B1515" s="45" t="s">
        <v>3735</v>
      </c>
      <c r="C1515" s="45" t="s">
        <v>2828</v>
      </c>
      <c r="D1515" s="45" t="s">
        <v>112</v>
      </c>
      <c r="E1515" s="45">
        <v>85387</v>
      </c>
      <c r="F1515" s="45" t="s">
        <v>3736</v>
      </c>
      <c r="G1515" s="158" t="s">
        <v>3718</v>
      </c>
      <c r="H1515" s="162" t="s">
        <v>6383</v>
      </c>
      <c r="I1515" s="163" t="s">
        <v>36</v>
      </c>
      <c r="J1515" s="163" t="s">
        <v>37</v>
      </c>
      <c r="K1515" s="163" t="s">
        <v>37</v>
      </c>
      <c r="L1515" s="163" t="s">
        <v>38</v>
      </c>
      <c r="M1515" s="163" t="s">
        <v>37</v>
      </c>
      <c r="N1515" s="163" t="s">
        <v>37</v>
      </c>
      <c r="O1515" s="163" t="s">
        <v>38</v>
      </c>
      <c r="P1515" s="163" t="s">
        <v>39</v>
      </c>
      <c r="Q1515" s="33">
        <v>46044</v>
      </c>
      <c r="R1515" s="45"/>
      <c r="S1515" s="45"/>
      <c r="T1515" s="45"/>
      <c r="U1515" s="45"/>
      <c r="V151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6" spans="1:22">
      <c r="A1516" s="156">
        <v>46037</v>
      </c>
      <c r="B1516" s="45" t="s">
        <v>3737</v>
      </c>
      <c r="C1516" s="45" t="s">
        <v>284</v>
      </c>
      <c r="D1516" s="45" t="s">
        <v>202</v>
      </c>
      <c r="E1516" s="45">
        <v>85383</v>
      </c>
      <c r="F1516" s="45" t="s">
        <v>3738</v>
      </c>
      <c r="G1516" s="158" t="s">
        <v>3718</v>
      </c>
      <c r="H1516" s="162" t="s">
        <v>6163</v>
      </c>
      <c r="I1516" s="163" t="s">
        <v>36</v>
      </c>
      <c r="J1516" s="163" t="s">
        <v>37</v>
      </c>
      <c r="K1516" s="163" t="s">
        <v>37</v>
      </c>
      <c r="L1516" s="163" t="s">
        <v>38</v>
      </c>
      <c r="M1516" s="163" t="s">
        <v>38</v>
      </c>
      <c r="N1516" s="164">
        <v>811.15</v>
      </c>
      <c r="O1516" s="163" t="s">
        <v>38</v>
      </c>
      <c r="P1516" s="163"/>
      <c r="Q1516" s="41">
        <v>46044</v>
      </c>
      <c r="R1516" s="45" t="s">
        <v>3712</v>
      </c>
      <c r="S1516" s="45"/>
      <c r="T1516" s="45"/>
      <c r="U1516" s="45"/>
      <c r="V151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7" spans="1:22">
      <c r="A1517" s="156">
        <v>46037</v>
      </c>
      <c r="B1517" s="45" t="s">
        <v>3739</v>
      </c>
      <c r="C1517" s="45" t="s">
        <v>694</v>
      </c>
      <c r="D1517" s="45" t="s">
        <v>63</v>
      </c>
      <c r="E1517" s="45">
        <v>85083</v>
      </c>
      <c r="F1517" s="45" t="s">
        <v>3740</v>
      </c>
      <c r="G1517" s="158" t="s">
        <v>3718</v>
      </c>
      <c r="H1517" s="162" t="s">
        <v>6429</v>
      </c>
      <c r="I1517" s="163" t="s">
        <v>36</v>
      </c>
      <c r="J1517" s="163" t="s">
        <v>37</v>
      </c>
      <c r="K1517" s="163" t="s">
        <v>37</v>
      </c>
      <c r="L1517" s="163" t="s">
        <v>38</v>
      </c>
      <c r="M1517" s="163" t="s">
        <v>37</v>
      </c>
      <c r="N1517" s="163" t="s">
        <v>37</v>
      </c>
      <c r="O1517" s="163" t="s">
        <v>38</v>
      </c>
      <c r="P1517" s="163" t="s">
        <v>39</v>
      </c>
      <c r="Q1517" s="33">
        <v>46044</v>
      </c>
      <c r="R1517" s="45" t="s">
        <v>3707</v>
      </c>
      <c r="S1517" s="45"/>
      <c r="T1517" s="45"/>
      <c r="U1517" s="45"/>
      <c r="V151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8" spans="1:22">
      <c r="A1518" s="156">
        <v>46038</v>
      </c>
      <c r="B1518" s="45" t="s">
        <v>3741</v>
      </c>
      <c r="C1518" s="45" t="s">
        <v>102</v>
      </c>
      <c r="D1518" s="45" t="s">
        <v>112</v>
      </c>
      <c r="E1518" s="45">
        <v>85374</v>
      </c>
      <c r="F1518" s="45" t="s">
        <v>3742</v>
      </c>
      <c r="G1518" s="158" t="s">
        <v>3743</v>
      </c>
      <c r="H1518" s="162" t="s">
        <v>6111</v>
      </c>
      <c r="I1518" s="163" t="s">
        <v>196</v>
      </c>
      <c r="J1518" s="163" t="s">
        <v>37</v>
      </c>
      <c r="K1518" s="163" t="s">
        <v>37</v>
      </c>
      <c r="L1518" s="163" t="s">
        <v>3744</v>
      </c>
      <c r="M1518" s="163" t="s">
        <v>37</v>
      </c>
      <c r="N1518" s="163" t="s">
        <v>37</v>
      </c>
      <c r="O1518" s="163" t="s">
        <v>38</v>
      </c>
      <c r="P1518" s="163"/>
      <c r="Q1518" s="41">
        <v>46044</v>
      </c>
      <c r="R1518" s="45" t="s">
        <v>3474</v>
      </c>
      <c r="S1518" s="45"/>
      <c r="T1518" s="45"/>
      <c r="U1518" s="45"/>
      <c r="V151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19" spans="1:22">
      <c r="A1519" s="156">
        <v>46038</v>
      </c>
      <c r="B1519" s="45" t="s">
        <v>3554</v>
      </c>
      <c r="C1519" s="45" t="s">
        <v>2327</v>
      </c>
      <c r="D1519" s="45" t="s">
        <v>63</v>
      </c>
      <c r="E1519" s="45">
        <v>85028</v>
      </c>
      <c r="F1519" s="45" t="s">
        <v>3745</v>
      </c>
      <c r="G1519" s="158" t="s">
        <v>3743</v>
      </c>
      <c r="H1519" s="162" t="s">
        <v>6112</v>
      </c>
      <c r="I1519" s="163" t="s">
        <v>196</v>
      </c>
      <c r="J1519" s="163" t="s">
        <v>37</v>
      </c>
      <c r="K1519" s="163" t="s">
        <v>37</v>
      </c>
      <c r="L1519" s="163" t="s">
        <v>3746</v>
      </c>
      <c r="M1519" s="163" t="s">
        <v>37</v>
      </c>
      <c r="N1519" s="163" t="s">
        <v>37</v>
      </c>
      <c r="O1519" s="163" t="s">
        <v>38</v>
      </c>
      <c r="P1519" s="163"/>
      <c r="Q1519" s="41">
        <v>46044</v>
      </c>
      <c r="R1519" s="45" t="s">
        <v>3474</v>
      </c>
      <c r="S1519" s="45"/>
      <c r="T1519" s="45"/>
      <c r="U1519" s="45"/>
      <c r="V151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0" spans="1:22">
      <c r="A1520" s="156">
        <v>46038</v>
      </c>
      <c r="B1520" s="45" t="s">
        <v>3634</v>
      </c>
      <c r="C1520" s="45" t="s">
        <v>1444</v>
      </c>
      <c r="D1520" s="45" t="s">
        <v>125</v>
      </c>
      <c r="E1520" s="45">
        <v>85266</v>
      </c>
      <c r="F1520" s="45" t="s">
        <v>3747</v>
      </c>
      <c r="G1520" s="158" t="s">
        <v>3743</v>
      </c>
      <c r="H1520" s="162" t="s">
        <v>6430</v>
      </c>
      <c r="I1520" s="163" t="s">
        <v>538</v>
      </c>
      <c r="J1520" s="163" t="s">
        <v>37</v>
      </c>
      <c r="K1520" s="163" t="s">
        <v>37</v>
      </c>
      <c r="L1520" s="163" t="s">
        <v>3549</v>
      </c>
      <c r="M1520" s="163" t="s">
        <v>37</v>
      </c>
      <c r="N1520" s="163" t="s">
        <v>37</v>
      </c>
      <c r="O1520" s="163" t="s">
        <v>38</v>
      </c>
      <c r="P1520" s="163" t="s">
        <v>39</v>
      </c>
      <c r="Q1520" s="33">
        <v>46044</v>
      </c>
      <c r="R1520" s="45" t="s">
        <v>3748</v>
      </c>
      <c r="S1520" s="45"/>
      <c r="T1520" s="45"/>
      <c r="U1520" s="45"/>
      <c r="V152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1" spans="1:22">
      <c r="A1521" s="156">
        <v>46038</v>
      </c>
      <c r="B1521" s="45" t="s">
        <v>3749</v>
      </c>
      <c r="C1521" s="45" t="s">
        <v>3750</v>
      </c>
      <c r="D1521" s="45" t="s">
        <v>63</v>
      </c>
      <c r="E1521" s="45">
        <v>85020</v>
      </c>
      <c r="F1521" s="45" t="s">
        <v>3751</v>
      </c>
      <c r="G1521" s="158" t="s">
        <v>3743</v>
      </c>
      <c r="H1521" s="162" t="s">
        <v>27</v>
      </c>
      <c r="I1521" s="163"/>
      <c r="J1521" s="163"/>
      <c r="K1521" s="163"/>
      <c r="L1521" s="163"/>
      <c r="M1521" s="163"/>
      <c r="N1521" s="163"/>
      <c r="O1521" s="163"/>
      <c r="P1521" s="163"/>
      <c r="Q1521" s="18"/>
      <c r="R1521" s="45"/>
      <c r="S1521" s="45"/>
      <c r="T1521" s="45"/>
      <c r="U1521" s="45"/>
      <c r="V152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2" spans="1:22">
      <c r="A1522" s="156">
        <v>46038</v>
      </c>
      <c r="B1522" s="45" t="s">
        <v>2606</v>
      </c>
      <c r="C1522" s="45" t="s">
        <v>545</v>
      </c>
      <c r="D1522" s="45" t="s">
        <v>169</v>
      </c>
      <c r="E1522" s="45">
        <v>85338</v>
      </c>
      <c r="F1522" s="45" t="s">
        <v>3752</v>
      </c>
      <c r="G1522" s="158" t="s">
        <v>3743</v>
      </c>
      <c r="H1522" s="162" t="s">
        <v>6373</v>
      </c>
      <c r="I1522" s="163" t="s">
        <v>250</v>
      </c>
      <c r="J1522" s="163" t="s">
        <v>37</v>
      </c>
      <c r="K1522" s="163" t="s">
        <v>37</v>
      </c>
      <c r="L1522" s="163" t="s">
        <v>38</v>
      </c>
      <c r="M1522" s="163" t="s">
        <v>37</v>
      </c>
      <c r="N1522" s="163" t="s">
        <v>37</v>
      </c>
      <c r="O1522" s="163" t="s">
        <v>38</v>
      </c>
      <c r="P1522" s="163" t="s">
        <v>39</v>
      </c>
      <c r="Q1522" s="33">
        <v>46044</v>
      </c>
      <c r="R1522" s="45"/>
      <c r="S1522" s="45"/>
      <c r="T1522" s="45"/>
      <c r="U1522" s="45"/>
      <c r="V152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3" spans="1:22">
      <c r="A1523" s="156">
        <v>46038</v>
      </c>
      <c r="B1523" s="45" t="s">
        <v>3753</v>
      </c>
      <c r="C1523" s="45" t="s">
        <v>591</v>
      </c>
      <c r="D1523" s="45" t="s">
        <v>125</v>
      </c>
      <c r="E1523" s="45">
        <v>85259</v>
      </c>
      <c r="F1523" s="45" t="s">
        <v>3754</v>
      </c>
      <c r="G1523" s="158" t="s">
        <v>3743</v>
      </c>
      <c r="H1523" s="162" t="s">
        <v>6431</v>
      </c>
      <c r="I1523" s="163" t="s">
        <v>126</v>
      </c>
      <c r="J1523" s="163" t="s">
        <v>37</v>
      </c>
      <c r="K1523" s="163" t="s">
        <v>37</v>
      </c>
      <c r="L1523" s="163" t="s">
        <v>38</v>
      </c>
      <c r="M1523" s="163" t="s">
        <v>37</v>
      </c>
      <c r="N1523" s="163" t="s">
        <v>37</v>
      </c>
      <c r="O1523" s="163" t="s">
        <v>38</v>
      </c>
      <c r="P1523" s="163" t="s">
        <v>39</v>
      </c>
      <c r="Q1523" s="33">
        <v>46044</v>
      </c>
      <c r="R1523" s="45"/>
      <c r="S1523" s="45"/>
      <c r="T1523" s="45"/>
      <c r="U1523" s="45"/>
      <c r="V152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4" spans="1:22">
      <c r="A1524" s="156">
        <v>46038</v>
      </c>
      <c r="B1524" s="45" t="s">
        <v>3755</v>
      </c>
      <c r="C1524" s="45" t="s">
        <v>3756</v>
      </c>
      <c r="D1524" s="45" t="s">
        <v>695</v>
      </c>
      <c r="E1524" s="45">
        <v>85375</v>
      </c>
      <c r="F1524" s="45" t="s">
        <v>3757</v>
      </c>
      <c r="G1524" s="158" t="s">
        <v>3743</v>
      </c>
      <c r="H1524" s="162" t="s">
        <v>6432</v>
      </c>
      <c r="I1524" s="163" t="s">
        <v>538</v>
      </c>
      <c r="J1524" s="163" t="s">
        <v>37</v>
      </c>
      <c r="K1524" s="163" t="s">
        <v>37</v>
      </c>
      <c r="L1524" s="163" t="s">
        <v>3549</v>
      </c>
      <c r="M1524" s="163" t="s">
        <v>37</v>
      </c>
      <c r="N1524" s="163" t="s">
        <v>37</v>
      </c>
      <c r="O1524" s="163" t="s">
        <v>38</v>
      </c>
      <c r="P1524" s="163" t="s">
        <v>39</v>
      </c>
      <c r="Q1524" s="33">
        <v>46044</v>
      </c>
      <c r="R1524" s="45"/>
      <c r="S1524" s="45"/>
      <c r="T1524" s="45"/>
      <c r="U1524" s="45"/>
      <c r="V152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5" spans="1:22">
      <c r="A1525" s="156">
        <v>46042</v>
      </c>
      <c r="B1525" s="45" t="s">
        <v>3758</v>
      </c>
      <c r="C1525" s="45" t="s">
        <v>3759</v>
      </c>
      <c r="D1525" s="45" t="s">
        <v>63</v>
      </c>
      <c r="E1525" s="45">
        <v>85050</v>
      </c>
      <c r="F1525" s="45" t="s">
        <v>3760</v>
      </c>
      <c r="G1525" s="158" t="s">
        <v>3761</v>
      </c>
      <c r="H1525" s="162" t="s">
        <v>90</v>
      </c>
      <c r="I1525" s="163"/>
      <c r="J1525" s="163"/>
      <c r="K1525" s="163"/>
      <c r="L1525" s="163"/>
      <c r="M1525" s="163"/>
      <c r="N1525" s="163"/>
      <c r="O1525" s="163"/>
      <c r="P1525" s="163"/>
      <c r="Q1525" s="18"/>
      <c r="R1525" s="45"/>
      <c r="S1525" s="45"/>
      <c r="T1525" s="45"/>
      <c r="U1525" s="45"/>
      <c r="V152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6" spans="1:22">
      <c r="A1526" s="156">
        <v>46042</v>
      </c>
      <c r="B1526" s="45" t="s">
        <v>3762</v>
      </c>
      <c r="C1526" s="45" t="s">
        <v>284</v>
      </c>
      <c r="D1526" s="45" t="s">
        <v>63</v>
      </c>
      <c r="E1526" s="45">
        <v>85032</v>
      </c>
      <c r="F1526" s="45" t="s">
        <v>3763</v>
      </c>
      <c r="G1526" s="158" t="s">
        <v>3761</v>
      </c>
      <c r="H1526" s="162" t="s">
        <v>6433</v>
      </c>
      <c r="I1526" s="163" t="s">
        <v>46</v>
      </c>
      <c r="J1526" s="163" t="s">
        <v>37</v>
      </c>
      <c r="K1526" s="163" t="s">
        <v>37</v>
      </c>
      <c r="L1526" s="163" t="s">
        <v>38</v>
      </c>
      <c r="M1526" s="163" t="s">
        <v>37</v>
      </c>
      <c r="N1526" s="163" t="s">
        <v>37</v>
      </c>
      <c r="O1526" s="163" t="s">
        <v>38</v>
      </c>
      <c r="P1526" s="163" t="s">
        <v>39</v>
      </c>
      <c r="Q1526" s="33">
        <v>46044</v>
      </c>
      <c r="R1526" s="45"/>
      <c r="S1526" s="45"/>
      <c r="T1526" s="45"/>
      <c r="U1526" s="45"/>
      <c r="V152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7" spans="1:22">
      <c r="A1527" s="156">
        <v>46042</v>
      </c>
      <c r="B1527" s="45" t="s">
        <v>3764</v>
      </c>
      <c r="C1527" s="45" t="s">
        <v>139</v>
      </c>
      <c r="D1527" s="45" t="s">
        <v>63</v>
      </c>
      <c r="E1527" s="45">
        <v>85013</v>
      </c>
      <c r="F1527" s="45" t="s">
        <v>3765</v>
      </c>
      <c r="G1527" s="158" t="s">
        <v>3761</v>
      </c>
      <c r="H1527" s="162" t="s">
        <v>6113</v>
      </c>
      <c r="I1527" s="163" t="s">
        <v>57</v>
      </c>
      <c r="J1527" s="163" t="s">
        <v>37</v>
      </c>
      <c r="K1527" s="163" t="s">
        <v>37</v>
      </c>
      <c r="L1527" s="163" t="s">
        <v>3766</v>
      </c>
      <c r="M1527" s="163" t="s">
        <v>37</v>
      </c>
      <c r="N1527" s="163" t="s">
        <v>37</v>
      </c>
      <c r="O1527" s="163" t="s">
        <v>38</v>
      </c>
      <c r="P1527" s="163"/>
      <c r="Q1527" s="41">
        <v>46044</v>
      </c>
      <c r="R1527" s="45" t="s">
        <v>3474</v>
      </c>
      <c r="S1527" s="45"/>
      <c r="T1527" s="45"/>
      <c r="U1527" s="45"/>
      <c r="V152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8" spans="1:22">
      <c r="A1528" s="156">
        <v>46042</v>
      </c>
      <c r="B1528" s="45" t="s">
        <v>3767</v>
      </c>
      <c r="C1528" s="45" t="s">
        <v>478</v>
      </c>
      <c r="D1528" s="45" t="s">
        <v>63</v>
      </c>
      <c r="E1528" s="45">
        <v>85085</v>
      </c>
      <c r="F1528" s="45" t="s">
        <v>3768</v>
      </c>
      <c r="G1528" s="158" t="s">
        <v>3761</v>
      </c>
      <c r="H1528" s="162" t="s">
        <v>6434</v>
      </c>
      <c r="I1528" s="163" t="s">
        <v>46</v>
      </c>
      <c r="J1528" s="163" t="s">
        <v>37</v>
      </c>
      <c r="K1528" s="163" t="s">
        <v>37</v>
      </c>
      <c r="L1528" s="163" t="s">
        <v>38</v>
      </c>
      <c r="M1528" s="163" t="s">
        <v>37</v>
      </c>
      <c r="N1528" s="163" t="s">
        <v>37</v>
      </c>
      <c r="O1528" s="163" t="s">
        <v>38</v>
      </c>
      <c r="P1528" s="163" t="s">
        <v>39</v>
      </c>
      <c r="Q1528" s="33">
        <v>46044</v>
      </c>
      <c r="R1528" s="45"/>
      <c r="S1528" s="45"/>
      <c r="T1528" s="45"/>
      <c r="U1528" s="45"/>
      <c r="V152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29" spans="1:22">
      <c r="A1529" s="156">
        <v>46042</v>
      </c>
      <c r="B1529" s="45" t="s">
        <v>3769</v>
      </c>
      <c r="C1529" s="45" t="s">
        <v>435</v>
      </c>
      <c r="D1529" s="45" t="s">
        <v>169</v>
      </c>
      <c r="E1529" s="45">
        <v>85395</v>
      </c>
      <c r="F1529" s="45" t="s">
        <v>3770</v>
      </c>
      <c r="G1529" s="158" t="s">
        <v>3771</v>
      </c>
      <c r="H1529" s="162" t="s">
        <v>6435</v>
      </c>
      <c r="I1529" s="163" t="s">
        <v>1352</v>
      </c>
      <c r="J1529" s="163" t="s">
        <v>37</v>
      </c>
      <c r="K1529" s="163" t="s">
        <v>37</v>
      </c>
      <c r="L1529" s="163" t="s">
        <v>3549</v>
      </c>
      <c r="M1529" s="163" t="s">
        <v>37</v>
      </c>
      <c r="N1529" s="163" t="s">
        <v>37</v>
      </c>
      <c r="O1529" s="163" t="s">
        <v>38</v>
      </c>
      <c r="P1529" s="163" t="s">
        <v>39</v>
      </c>
      <c r="Q1529" s="18" t="s">
        <v>3772</v>
      </c>
      <c r="R1529" s="45"/>
      <c r="S1529" s="45"/>
      <c r="T1529" s="45"/>
      <c r="U1529" s="45"/>
      <c r="V152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0" spans="1:22">
      <c r="A1530" s="156">
        <v>46043</v>
      </c>
      <c r="B1530" s="45" t="s">
        <v>3773</v>
      </c>
      <c r="C1530" s="45" t="s">
        <v>3261</v>
      </c>
      <c r="D1530" s="45" t="s">
        <v>174</v>
      </c>
      <c r="E1530" s="45">
        <v>85326</v>
      </c>
      <c r="F1530" s="45" t="s">
        <v>3774</v>
      </c>
      <c r="G1530" s="158" t="s">
        <v>3775</v>
      </c>
      <c r="H1530" s="162" t="s">
        <v>6436</v>
      </c>
      <c r="I1530" s="163" t="s">
        <v>3682</v>
      </c>
      <c r="J1530" s="163" t="s">
        <v>37</v>
      </c>
      <c r="K1530" s="163" t="s">
        <v>37</v>
      </c>
      <c r="L1530" s="163" t="s">
        <v>3549</v>
      </c>
      <c r="M1530" s="163" t="s">
        <v>37</v>
      </c>
      <c r="N1530" s="163" t="s">
        <v>37</v>
      </c>
      <c r="O1530" s="163" t="s">
        <v>38</v>
      </c>
      <c r="P1530" s="163" t="s">
        <v>39</v>
      </c>
      <c r="Q1530" s="33">
        <v>46049</v>
      </c>
      <c r="R1530" s="45"/>
      <c r="S1530" s="45"/>
      <c r="T1530" s="45"/>
      <c r="U1530" s="45"/>
      <c r="V153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1" spans="1:22">
      <c r="A1531" s="156">
        <v>46043</v>
      </c>
      <c r="B1531" s="45" t="s">
        <v>3776</v>
      </c>
      <c r="C1531" s="45" t="s">
        <v>3777</v>
      </c>
      <c r="D1531" s="45" t="s">
        <v>169</v>
      </c>
      <c r="E1531" s="45">
        <v>85338</v>
      </c>
      <c r="F1531" s="45" t="s">
        <v>3778</v>
      </c>
      <c r="G1531" s="158" t="s">
        <v>3775</v>
      </c>
      <c r="H1531" s="162" t="s">
        <v>6005</v>
      </c>
      <c r="I1531" s="163" t="s">
        <v>3779</v>
      </c>
      <c r="J1531" s="163" t="s">
        <v>38</v>
      </c>
      <c r="K1531" s="163" t="s">
        <v>37</v>
      </c>
      <c r="L1531" s="163" t="s">
        <v>3780</v>
      </c>
      <c r="M1531" s="163" t="s">
        <v>38</v>
      </c>
      <c r="N1531" s="164">
        <v>681.89</v>
      </c>
      <c r="O1531" s="163" t="s">
        <v>38</v>
      </c>
      <c r="P1531" s="163"/>
      <c r="Q1531" s="41">
        <v>46049</v>
      </c>
      <c r="R1531" s="45" t="s">
        <v>3781</v>
      </c>
      <c r="S1531" s="45"/>
      <c r="T1531" s="45"/>
      <c r="U1531" s="45"/>
      <c r="V153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2" spans="1:22">
      <c r="A1532" s="156">
        <v>46043</v>
      </c>
      <c r="B1532" s="45" t="s">
        <v>953</v>
      </c>
      <c r="C1532" s="45" t="s">
        <v>3782</v>
      </c>
      <c r="D1532" s="45" t="s">
        <v>63</v>
      </c>
      <c r="E1532" s="45">
        <v>85032</v>
      </c>
      <c r="F1532" s="45" t="s">
        <v>3783</v>
      </c>
      <c r="G1532" s="158" t="s">
        <v>3775</v>
      </c>
      <c r="H1532" s="162" t="s">
        <v>6437</v>
      </c>
      <c r="I1532" s="163" t="s">
        <v>36</v>
      </c>
      <c r="J1532" s="163" t="s">
        <v>38</v>
      </c>
      <c r="K1532" s="163" t="s">
        <v>37</v>
      </c>
      <c r="L1532" s="163" t="s">
        <v>38</v>
      </c>
      <c r="M1532" s="163" t="s">
        <v>37</v>
      </c>
      <c r="N1532" s="163" t="s">
        <v>37</v>
      </c>
      <c r="O1532" s="163" t="s">
        <v>38</v>
      </c>
      <c r="P1532" s="163" t="s">
        <v>39</v>
      </c>
      <c r="Q1532" s="33">
        <v>46049</v>
      </c>
      <c r="R1532" s="45" t="s">
        <v>3784</v>
      </c>
      <c r="S1532" s="45"/>
      <c r="T1532" s="45"/>
      <c r="U1532" s="45"/>
      <c r="V153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3" spans="1:22">
      <c r="A1533" s="156">
        <v>46043</v>
      </c>
      <c r="B1533" s="45" t="s">
        <v>3785</v>
      </c>
      <c r="C1533" s="45" t="s">
        <v>2921</v>
      </c>
      <c r="D1533" s="45" t="s">
        <v>24</v>
      </c>
      <c r="E1533" s="45">
        <v>85308</v>
      </c>
      <c r="F1533" s="45" t="s">
        <v>3786</v>
      </c>
      <c r="G1533" s="158" t="s">
        <v>3775</v>
      </c>
      <c r="H1533" s="162" t="s">
        <v>6438</v>
      </c>
      <c r="I1533" s="163" t="s">
        <v>126</v>
      </c>
      <c r="J1533" s="163" t="s">
        <v>37</v>
      </c>
      <c r="K1533" s="163" t="s">
        <v>37</v>
      </c>
      <c r="L1533" s="163" t="s">
        <v>38</v>
      </c>
      <c r="M1533" s="163" t="s">
        <v>37</v>
      </c>
      <c r="N1533" s="163" t="s">
        <v>37</v>
      </c>
      <c r="O1533" s="163" t="s">
        <v>38</v>
      </c>
      <c r="P1533" s="163" t="s">
        <v>39</v>
      </c>
      <c r="Q1533" s="33">
        <v>46049</v>
      </c>
      <c r="R1533" s="45" t="s">
        <v>3787</v>
      </c>
      <c r="S1533" s="45"/>
      <c r="T1533" s="45"/>
      <c r="U1533" s="45"/>
      <c r="V153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4" spans="1:22">
      <c r="A1534" s="156">
        <v>46043</v>
      </c>
      <c r="B1534" s="45" t="s">
        <v>3788</v>
      </c>
      <c r="C1534" s="45" t="s">
        <v>3789</v>
      </c>
      <c r="D1534" s="45" t="s">
        <v>202</v>
      </c>
      <c r="E1534" s="45">
        <v>85383</v>
      </c>
      <c r="F1534" s="45" t="s">
        <v>3790</v>
      </c>
      <c r="G1534" s="158" t="s">
        <v>3775</v>
      </c>
      <c r="H1534" s="162" t="s">
        <v>27</v>
      </c>
      <c r="I1534" s="163"/>
      <c r="J1534" s="163"/>
      <c r="K1534" s="163"/>
      <c r="L1534" s="163"/>
      <c r="M1534" s="163"/>
      <c r="N1534" s="163"/>
      <c r="O1534" s="163"/>
      <c r="P1534" s="163"/>
      <c r="Q1534" s="18"/>
      <c r="R1534" s="45"/>
      <c r="S1534" s="45"/>
      <c r="T1534" s="45"/>
      <c r="U1534" s="45"/>
      <c r="V153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5" spans="1:22">
      <c r="A1535" s="156">
        <v>46043</v>
      </c>
      <c r="B1535" s="45" t="s">
        <v>1111</v>
      </c>
      <c r="C1535" s="45" t="s">
        <v>2464</v>
      </c>
      <c r="D1535" s="45" t="s">
        <v>125</v>
      </c>
      <c r="E1535" s="45">
        <v>85254</v>
      </c>
      <c r="F1535" s="45" t="s">
        <v>3791</v>
      </c>
      <c r="G1535" s="158" t="s">
        <v>3775</v>
      </c>
      <c r="H1535" s="162" t="s">
        <v>6439</v>
      </c>
      <c r="I1535" s="163" t="s">
        <v>36</v>
      </c>
      <c r="J1535" s="163" t="s">
        <v>37</v>
      </c>
      <c r="K1535" s="163" t="s">
        <v>37</v>
      </c>
      <c r="L1535" s="163" t="s">
        <v>38</v>
      </c>
      <c r="M1535" s="163" t="s">
        <v>37</v>
      </c>
      <c r="N1535" s="163" t="s">
        <v>37</v>
      </c>
      <c r="O1535" s="163" t="s">
        <v>38</v>
      </c>
      <c r="P1535" s="163" t="s">
        <v>39</v>
      </c>
      <c r="Q1535" s="33">
        <v>46049</v>
      </c>
      <c r="R1535" s="45"/>
      <c r="S1535" s="45"/>
      <c r="T1535" s="45"/>
      <c r="U1535" s="45"/>
      <c r="V153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6" spans="1:22">
      <c r="A1536" s="156">
        <v>46043</v>
      </c>
      <c r="B1536" s="45" t="s">
        <v>3792</v>
      </c>
      <c r="C1536" s="45" t="s">
        <v>3793</v>
      </c>
      <c r="D1536" s="45" t="s">
        <v>125</v>
      </c>
      <c r="E1536" s="45">
        <v>85254</v>
      </c>
      <c r="F1536" s="45" t="s">
        <v>3794</v>
      </c>
      <c r="G1536" s="158" t="s">
        <v>3775</v>
      </c>
      <c r="H1536" s="162" t="s">
        <v>6440</v>
      </c>
      <c r="I1536" s="163" t="s">
        <v>3357</v>
      </c>
      <c r="J1536" s="163" t="s">
        <v>37</v>
      </c>
      <c r="K1536" s="163" t="s">
        <v>37</v>
      </c>
      <c r="L1536" s="163" t="s">
        <v>3549</v>
      </c>
      <c r="M1536" s="163" t="s">
        <v>37</v>
      </c>
      <c r="N1536" s="163" t="s">
        <v>37</v>
      </c>
      <c r="O1536" s="163" t="s">
        <v>38</v>
      </c>
      <c r="P1536" s="163" t="s">
        <v>39</v>
      </c>
      <c r="Q1536" s="33">
        <v>46049</v>
      </c>
      <c r="R1536" s="45"/>
      <c r="S1536" s="45"/>
      <c r="T1536" s="45"/>
      <c r="U1536" s="45"/>
      <c r="V153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7" spans="1:22">
      <c r="A1537" s="156">
        <v>46043</v>
      </c>
      <c r="B1537" s="45" t="s">
        <v>3795</v>
      </c>
      <c r="C1537" s="45" t="s">
        <v>933</v>
      </c>
      <c r="D1537" s="45" t="s">
        <v>2207</v>
      </c>
      <c r="E1537" s="45">
        <v>85087</v>
      </c>
      <c r="F1537" s="45" t="s">
        <v>3796</v>
      </c>
      <c r="G1537" s="158" t="s">
        <v>3775</v>
      </c>
      <c r="H1537" s="162" t="s">
        <v>6441</v>
      </c>
      <c r="I1537" s="163" t="s">
        <v>36</v>
      </c>
      <c r="J1537" s="163" t="s">
        <v>37</v>
      </c>
      <c r="K1537" s="163" t="s">
        <v>37</v>
      </c>
      <c r="L1537" s="163" t="s">
        <v>38</v>
      </c>
      <c r="M1537" s="163" t="s">
        <v>37</v>
      </c>
      <c r="N1537" s="163" t="s">
        <v>37</v>
      </c>
      <c r="O1537" s="163" t="s">
        <v>38</v>
      </c>
      <c r="P1537" s="163" t="s">
        <v>39</v>
      </c>
      <c r="Q1537" s="33">
        <v>46049</v>
      </c>
      <c r="R1537" s="45"/>
      <c r="S1537" s="45"/>
      <c r="T1537" s="45"/>
      <c r="U1537" s="45"/>
      <c r="V153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8" spans="1:22">
      <c r="A1538" s="156">
        <v>46043</v>
      </c>
      <c r="B1538" s="45" t="s">
        <v>3797</v>
      </c>
      <c r="C1538" s="45" t="s">
        <v>2833</v>
      </c>
      <c r="D1538" s="45" t="s">
        <v>63</v>
      </c>
      <c r="E1538" s="45">
        <v>85013</v>
      </c>
      <c r="F1538" s="45" t="s">
        <v>3798</v>
      </c>
      <c r="G1538" s="158" t="s">
        <v>3775</v>
      </c>
      <c r="H1538" s="162" t="s">
        <v>6442</v>
      </c>
      <c r="I1538" s="163" t="s">
        <v>3779</v>
      </c>
      <c r="J1538" s="163" t="s">
        <v>37</v>
      </c>
      <c r="K1538" s="163" t="s">
        <v>37</v>
      </c>
      <c r="L1538" s="163" t="s">
        <v>38</v>
      </c>
      <c r="M1538" s="163" t="s">
        <v>37</v>
      </c>
      <c r="N1538" s="163" t="s">
        <v>37</v>
      </c>
      <c r="O1538" s="163" t="s">
        <v>38</v>
      </c>
      <c r="P1538" s="163" t="s">
        <v>39</v>
      </c>
      <c r="Q1538" s="33">
        <v>46049</v>
      </c>
      <c r="R1538" s="45"/>
      <c r="S1538" s="45"/>
      <c r="T1538" s="45"/>
      <c r="U1538" s="45"/>
      <c r="V153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39" spans="1:22">
      <c r="A1539" s="156">
        <v>46043</v>
      </c>
      <c r="B1539" s="45" t="s">
        <v>3799</v>
      </c>
      <c r="C1539" s="45" t="s">
        <v>852</v>
      </c>
      <c r="D1539" s="45" t="s">
        <v>2052</v>
      </c>
      <c r="E1539" s="45">
        <v>85132</v>
      </c>
      <c r="F1539" s="45" t="s">
        <v>3800</v>
      </c>
      <c r="G1539" s="158" t="s">
        <v>3775</v>
      </c>
      <c r="H1539" s="162" t="s">
        <v>6443</v>
      </c>
      <c r="I1539" s="163" t="s">
        <v>36</v>
      </c>
      <c r="J1539" s="163" t="s">
        <v>37</v>
      </c>
      <c r="K1539" s="163" t="s">
        <v>37</v>
      </c>
      <c r="L1539" s="163" t="s">
        <v>38</v>
      </c>
      <c r="M1539" s="163" t="s">
        <v>37</v>
      </c>
      <c r="N1539" s="163" t="s">
        <v>37</v>
      </c>
      <c r="O1539" s="163" t="s">
        <v>38</v>
      </c>
      <c r="P1539" s="163" t="s">
        <v>39</v>
      </c>
      <c r="Q1539" s="33">
        <v>46049</v>
      </c>
      <c r="R1539" s="45"/>
      <c r="S1539" s="45"/>
      <c r="T1539" s="45"/>
      <c r="U1539" s="45"/>
      <c r="V153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0" spans="1:22">
      <c r="A1540" s="156">
        <v>46043</v>
      </c>
      <c r="B1540" s="45" t="s">
        <v>3801</v>
      </c>
      <c r="C1540" s="45" t="s">
        <v>3802</v>
      </c>
      <c r="D1540" s="45" t="s">
        <v>112</v>
      </c>
      <c r="E1540" s="45">
        <v>85374</v>
      </c>
      <c r="F1540" s="45" t="s">
        <v>3803</v>
      </c>
      <c r="G1540" s="158" t="s">
        <v>3775</v>
      </c>
      <c r="H1540" s="162" t="s">
        <v>6444</v>
      </c>
      <c r="I1540" s="163" t="s">
        <v>36</v>
      </c>
      <c r="J1540" s="163" t="s">
        <v>37</v>
      </c>
      <c r="K1540" s="163" t="s">
        <v>37</v>
      </c>
      <c r="L1540" s="163" t="s">
        <v>38</v>
      </c>
      <c r="M1540" s="163" t="s">
        <v>37</v>
      </c>
      <c r="N1540" s="163" t="s">
        <v>37</v>
      </c>
      <c r="O1540" s="163" t="s">
        <v>38</v>
      </c>
      <c r="P1540" s="163" t="s">
        <v>39</v>
      </c>
      <c r="Q1540" s="33">
        <v>46049</v>
      </c>
      <c r="R1540" s="45"/>
      <c r="S1540" s="45"/>
      <c r="T1540" s="45"/>
      <c r="U1540" s="45"/>
      <c r="V15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1" spans="1:22">
      <c r="A1541" s="156">
        <v>46043</v>
      </c>
      <c r="B1541" s="45" t="s">
        <v>3804</v>
      </c>
      <c r="C1541" s="45" t="s">
        <v>3805</v>
      </c>
      <c r="D1541" s="45" t="s">
        <v>261</v>
      </c>
      <c r="E1541" s="45">
        <v>86314</v>
      </c>
      <c r="F1541" s="45" t="s">
        <v>3806</v>
      </c>
      <c r="G1541" s="158" t="s">
        <v>3775</v>
      </c>
      <c r="H1541" s="162" t="s">
        <v>6445</v>
      </c>
      <c r="I1541" s="163" t="s">
        <v>73</v>
      </c>
      <c r="J1541" s="163" t="s">
        <v>37</v>
      </c>
      <c r="K1541" s="163" t="s">
        <v>37</v>
      </c>
      <c r="L1541" s="163" t="s">
        <v>38</v>
      </c>
      <c r="M1541" s="163" t="s">
        <v>37</v>
      </c>
      <c r="N1541" s="163" t="s">
        <v>37</v>
      </c>
      <c r="O1541" s="163" t="s">
        <v>38</v>
      </c>
      <c r="P1541" s="163" t="s">
        <v>39</v>
      </c>
      <c r="Q1541" s="33">
        <v>46049</v>
      </c>
      <c r="R1541" s="45"/>
      <c r="S1541" s="45"/>
      <c r="T1541" s="45"/>
      <c r="U1541" s="45"/>
      <c r="V15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2" spans="1:22">
      <c r="A1542" s="156">
        <v>46043</v>
      </c>
      <c r="B1542" s="45" t="s">
        <v>3807</v>
      </c>
      <c r="C1542" s="45" t="s">
        <v>1179</v>
      </c>
      <c r="D1542" s="45" t="s">
        <v>2052</v>
      </c>
      <c r="E1542" s="45">
        <v>85132</v>
      </c>
      <c r="F1542" s="45" t="s">
        <v>3808</v>
      </c>
      <c r="G1542" s="158" t="s">
        <v>3775</v>
      </c>
      <c r="H1542" s="162" t="s">
        <v>6446</v>
      </c>
      <c r="I1542" s="163" t="s">
        <v>36</v>
      </c>
      <c r="J1542" s="163" t="s">
        <v>37</v>
      </c>
      <c r="K1542" s="163" t="s">
        <v>37</v>
      </c>
      <c r="L1542" s="163" t="s">
        <v>38</v>
      </c>
      <c r="M1542" s="163" t="s">
        <v>37</v>
      </c>
      <c r="N1542" s="163" t="s">
        <v>37</v>
      </c>
      <c r="O1542" s="163" t="s">
        <v>38</v>
      </c>
      <c r="P1542" s="163" t="s">
        <v>39</v>
      </c>
      <c r="Q1542" s="33">
        <v>46049</v>
      </c>
      <c r="R1542" s="45"/>
      <c r="S1542" s="45"/>
      <c r="T1542" s="45"/>
      <c r="U1542" s="45"/>
      <c r="V15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3" spans="1:22">
      <c r="A1543" s="156">
        <v>46043</v>
      </c>
      <c r="B1543" s="45" t="s">
        <v>3809</v>
      </c>
      <c r="C1543" s="45" t="s">
        <v>3810</v>
      </c>
      <c r="D1543" s="45" t="s">
        <v>63</v>
      </c>
      <c r="E1543" s="45">
        <v>85023</v>
      </c>
      <c r="F1543" s="45" t="s">
        <v>3226</v>
      </c>
      <c r="G1543" s="158" t="s">
        <v>3775</v>
      </c>
      <c r="H1543" s="162" t="s">
        <v>6447</v>
      </c>
      <c r="I1543" s="163" t="s">
        <v>73</v>
      </c>
      <c r="J1543" s="163" t="s">
        <v>37</v>
      </c>
      <c r="K1543" s="163" t="s">
        <v>37</v>
      </c>
      <c r="L1543" s="163" t="s">
        <v>38</v>
      </c>
      <c r="M1543" s="163" t="s">
        <v>37</v>
      </c>
      <c r="N1543" s="163" t="s">
        <v>37</v>
      </c>
      <c r="O1543" s="163" t="s">
        <v>38</v>
      </c>
      <c r="P1543" s="163" t="s">
        <v>39</v>
      </c>
      <c r="Q1543" s="33">
        <v>46049</v>
      </c>
      <c r="R1543" s="45"/>
      <c r="S1543" s="45"/>
      <c r="T1543" s="45"/>
      <c r="U1543" s="45"/>
      <c r="V15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4" spans="1:22">
      <c r="A1544" s="156">
        <v>46043</v>
      </c>
      <c r="B1544" s="45" t="s">
        <v>3811</v>
      </c>
      <c r="C1544" s="45" t="s">
        <v>3812</v>
      </c>
      <c r="D1544" s="45" t="s">
        <v>63</v>
      </c>
      <c r="E1544" s="45">
        <v>85353</v>
      </c>
      <c r="F1544" s="45" t="s">
        <v>3778</v>
      </c>
      <c r="G1544" s="158" t="s">
        <v>3775</v>
      </c>
      <c r="H1544" s="162" t="s">
        <v>27</v>
      </c>
      <c r="I1544" s="163"/>
      <c r="J1544" s="163"/>
      <c r="K1544" s="163"/>
      <c r="L1544" s="163"/>
      <c r="M1544" s="163"/>
      <c r="N1544" s="163"/>
      <c r="O1544" s="163"/>
      <c r="P1544" s="163"/>
      <c r="Q1544" s="18"/>
      <c r="R1544" s="45"/>
      <c r="S1544" s="45"/>
      <c r="T1544" s="45"/>
      <c r="U1544" s="45"/>
      <c r="V15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5" spans="1:22">
      <c r="A1545" s="156">
        <v>46043</v>
      </c>
      <c r="B1545" s="45" t="s">
        <v>3813</v>
      </c>
      <c r="C1545" s="45" t="s">
        <v>744</v>
      </c>
      <c r="D1545" s="45" t="s">
        <v>68</v>
      </c>
      <c r="E1545" s="45">
        <v>85331</v>
      </c>
      <c r="F1545" s="45" t="s">
        <v>3814</v>
      </c>
      <c r="G1545" s="158" t="s">
        <v>3775</v>
      </c>
      <c r="H1545" s="162" t="s">
        <v>6448</v>
      </c>
      <c r="I1545" s="163" t="s">
        <v>36</v>
      </c>
      <c r="J1545" s="163" t="s">
        <v>37</v>
      </c>
      <c r="K1545" s="163" t="s">
        <v>37</v>
      </c>
      <c r="L1545" s="163" t="s">
        <v>38</v>
      </c>
      <c r="M1545" s="163" t="s">
        <v>37</v>
      </c>
      <c r="N1545" s="163" t="s">
        <v>37</v>
      </c>
      <c r="O1545" s="163" t="s">
        <v>38</v>
      </c>
      <c r="P1545" s="163" t="s">
        <v>39</v>
      </c>
      <c r="Q1545" s="33">
        <v>46049</v>
      </c>
      <c r="R1545" s="45"/>
      <c r="S1545" s="45"/>
      <c r="T1545" s="45"/>
      <c r="U1545" s="45"/>
      <c r="V15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6" spans="1:22">
      <c r="A1546" s="156">
        <v>46043</v>
      </c>
      <c r="B1546" s="45" t="s">
        <v>3815</v>
      </c>
      <c r="C1546" s="45" t="s">
        <v>3236</v>
      </c>
      <c r="D1546" s="45" t="s">
        <v>169</v>
      </c>
      <c r="E1546" s="45">
        <v>85338</v>
      </c>
      <c r="F1546" s="45" t="s">
        <v>3816</v>
      </c>
      <c r="G1546" s="158" t="s">
        <v>3775</v>
      </c>
      <c r="H1546" s="162" t="s">
        <v>6114</v>
      </c>
      <c r="I1546" s="163" t="s">
        <v>196</v>
      </c>
      <c r="J1546" s="163" t="s">
        <v>37</v>
      </c>
      <c r="K1546" s="163" t="s">
        <v>37</v>
      </c>
      <c r="L1546" s="163" t="s">
        <v>3817</v>
      </c>
      <c r="M1546" s="163" t="s">
        <v>37</v>
      </c>
      <c r="N1546" s="163" t="s">
        <v>37</v>
      </c>
      <c r="O1546" s="163" t="s">
        <v>38</v>
      </c>
      <c r="P1546" s="163"/>
      <c r="Q1546" s="41">
        <v>46049</v>
      </c>
      <c r="R1546" s="45" t="s">
        <v>3474</v>
      </c>
      <c r="S1546" s="45"/>
      <c r="T1546" s="45"/>
      <c r="U1546" s="45"/>
      <c r="V15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7" spans="1:22">
      <c r="A1547" s="156">
        <v>46043</v>
      </c>
      <c r="B1547" s="45" t="s">
        <v>1874</v>
      </c>
      <c r="C1547" s="45" t="s">
        <v>263</v>
      </c>
      <c r="D1547" s="45" t="s">
        <v>501</v>
      </c>
      <c r="E1547" s="45">
        <v>86004</v>
      </c>
      <c r="F1547" s="45" t="s">
        <v>3818</v>
      </c>
      <c r="G1547" s="158" t="s">
        <v>3775</v>
      </c>
      <c r="H1547" s="162" t="s">
        <v>90</v>
      </c>
      <c r="I1547" s="163"/>
      <c r="J1547" s="163"/>
      <c r="K1547" s="163"/>
      <c r="L1547" s="163"/>
      <c r="M1547" s="163"/>
      <c r="N1547" s="163"/>
      <c r="O1547" s="163"/>
      <c r="P1547" s="163"/>
      <c r="Q1547" s="18"/>
      <c r="R1547" s="45"/>
      <c r="S1547" s="45"/>
      <c r="T1547" s="45"/>
      <c r="U1547" s="45"/>
      <c r="V154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8" spans="1:22">
      <c r="A1548" s="156">
        <v>46043</v>
      </c>
      <c r="B1548" s="45" t="s">
        <v>3819</v>
      </c>
      <c r="C1548" s="45" t="s">
        <v>3820</v>
      </c>
      <c r="D1548" s="45" t="s">
        <v>63</v>
      </c>
      <c r="E1548" s="45">
        <v>85021</v>
      </c>
      <c r="F1548" s="45" t="s">
        <v>3821</v>
      </c>
      <c r="G1548" s="158" t="s">
        <v>3775</v>
      </c>
      <c r="H1548" s="162" t="s">
        <v>90</v>
      </c>
      <c r="I1548" s="163"/>
      <c r="J1548" s="163"/>
      <c r="K1548" s="163"/>
      <c r="L1548" s="163"/>
      <c r="M1548" s="163"/>
      <c r="N1548" s="163"/>
      <c r="O1548" s="163"/>
      <c r="P1548" s="163"/>
      <c r="Q1548" s="18"/>
      <c r="R1548" s="45"/>
      <c r="S1548" s="45"/>
      <c r="T1548" s="45"/>
      <c r="U1548" s="45"/>
      <c r="V15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49" spans="1:22">
      <c r="A1549" s="156">
        <v>46043</v>
      </c>
      <c r="B1549" s="45" t="s">
        <v>3822</v>
      </c>
      <c r="C1549" s="45" t="s">
        <v>1608</v>
      </c>
      <c r="D1549" s="45" t="s">
        <v>63</v>
      </c>
      <c r="E1549" s="45">
        <v>85013</v>
      </c>
      <c r="F1549" s="45" t="s">
        <v>3823</v>
      </c>
      <c r="G1549" s="158" t="s">
        <v>3775</v>
      </c>
      <c r="H1549" s="162" t="s">
        <v>6449</v>
      </c>
      <c r="I1549" s="163" t="s">
        <v>73</v>
      </c>
      <c r="J1549" s="163" t="s">
        <v>37</v>
      </c>
      <c r="K1549" s="163" t="s">
        <v>37</v>
      </c>
      <c r="L1549" s="163" t="s">
        <v>38</v>
      </c>
      <c r="M1549" s="163" t="s">
        <v>37</v>
      </c>
      <c r="N1549" s="163" t="s">
        <v>37</v>
      </c>
      <c r="O1549" s="163" t="s">
        <v>38</v>
      </c>
      <c r="P1549" s="163" t="s">
        <v>39</v>
      </c>
      <c r="Q1549" s="33">
        <v>46049</v>
      </c>
      <c r="R1549" s="45"/>
      <c r="S1549" s="45"/>
      <c r="T1549" s="45"/>
      <c r="U1549" s="45"/>
      <c r="V154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0" spans="1:22">
      <c r="A1550" s="156">
        <v>46043</v>
      </c>
      <c r="B1550" s="45" t="s">
        <v>3824</v>
      </c>
      <c r="C1550" s="45" t="s">
        <v>3157</v>
      </c>
      <c r="D1550" s="45" t="s">
        <v>63</v>
      </c>
      <c r="E1550" s="45">
        <v>85027</v>
      </c>
      <c r="F1550" s="45" t="s">
        <v>3825</v>
      </c>
      <c r="G1550" s="158" t="s">
        <v>3775</v>
      </c>
      <c r="H1550" s="162" t="s">
        <v>6115</v>
      </c>
      <c r="I1550" s="163" t="s">
        <v>57</v>
      </c>
      <c r="J1550" s="163" t="s">
        <v>37</v>
      </c>
      <c r="K1550" s="163" t="s">
        <v>37</v>
      </c>
      <c r="L1550" s="163" t="s">
        <v>3826</v>
      </c>
      <c r="M1550" s="163" t="s">
        <v>37</v>
      </c>
      <c r="N1550" s="163" t="s">
        <v>37</v>
      </c>
      <c r="O1550" s="163" t="s">
        <v>38</v>
      </c>
      <c r="P1550" s="163"/>
      <c r="Q1550" s="41">
        <v>46049</v>
      </c>
      <c r="R1550" s="45" t="s">
        <v>3474</v>
      </c>
      <c r="S1550" s="45"/>
      <c r="T1550" s="45"/>
      <c r="U1550" s="45"/>
      <c r="V155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1" spans="1:22">
      <c r="A1551" s="156">
        <v>46043</v>
      </c>
      <c r="B1551" s="45" t="s">
        <v>3827</v>
      </c>
      <c r="C1551" s="45" t="s">
        <v>79</v>
      </c>
      <c r="D1551" s="45" t="s">
        <v>24</v>
      </c>
      <c r="E1551" s="45">
        <v>85301</v>
      </c>
      <c r="F1551" s="45" t="s">
        <v>3828</v>
      </c>
      <c r="G1551" s="158" t="s">
        <v>3775</v>
      </c>
      <c r="H1551" s="162" t="s">
        <v>6006</v>
      </c>
      <c r="I1551" s="163" t="s">
        <v>126</v>
      </c>
      <c r="J1551" s="163" t="s">
        <v>37</v>
      </c>
      <c r="K1551" s="163" t="s">
        <v>37</v>
      </c>
      <c r="L1551" s="163" t="s">
        <v>3829</v>
      </c>
      <c r="M1551" s="163" t="s">
        <v>38</v>
      </c>
      <c r="N1551" s="163">
        <v>43.34</v>
      </c>
      <c r="O1551" s="163" t="s">
        <v>38</v>
      </c>
      <c r="P1551" s="163" t="s">
        <v>39</v>
      </c>
      <c r="Q1551" s="33">
        <v>45684</v>
      </c>
      <c r="R1551" s="45"/>
      <c r="S1551" s="45"/>
      <c r="T1551" s="45"/>
      <c r="U1551" s="45"/>
      <c r="V155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2" spans="1:22">
      <c r="A1552" s="156">
        <v>46043</v>
      </c>
      <c r="B1552" s="45" t="s">
        <v>3830</v>
      </c>
      <c r="C1552" s="45" t="s">
        <v>252</v>
      </c>
      <c r="D1552" s="45" t="s">
        <v>63</v>
      </c>
      <c r="E1552" s="45">
        <v>85013</v>
      </c>
      <c r="F1552" s="45" t="s">
        <v>3831</v>
      </c>
      <c r="G1552" s="158" t="s">
        <v>3775</v>
      </c>
      <c r="H1552" s="162" t="s">
        <v>6450</v>
      </c>
      <c r="I1552" s="163" t="s">
        <v>73</v>
      </c>
      <c r="J1552" s="163" t="s">
        <v>37</v>
      </c>
      <c r="K1552" s="163" t="s">
        <v>37</v>
      </c>
      <c r="L1552" s="163" t="s">
        <v>38</v>
      </c>
      <c r="M1552" s="163" t="s">
        <v>37</v>
      </c>
      <c r="N1552" s="163" t="s">
        <v>37</v>
      </c>
      <c r="O1552" s="163" t="s">
        <v>38</v>
      </c>
      <c r="P1552" s="163" t="s">
        <v>39</v>
      </c>
      <c r="Q1552" s="33">
        <v>46049</v>
      </c>
      <c r="R1552" s="45"/>
      <c r="S1552" s="45"/>
      <c r="T1552" s="45"/>
      <c r="U1552" s="45"/>
      <c r="V155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3" spans="1:22">
      <c r="A1553" s="156">
        <v>46043</v>
      </c>
      <c r="B1553" s="45" t="s">
        <v>3832</v>
      </c>
      <c r="C1553" s="45" t="s">
        <v>252</v>
      </c>
      <c r="D1553" s="45" t="s">
        <v>202</v>
      </c>
      <c r="E1553" s="45">
        <v>85345</v>
      </c>
      <c r="F1553" s="45" t="s">
        <v>3833</v>
      </c>
      <c r="G1553" s="158" t="s">
        <v>3775</v>
      </c>
      <c r="H1553" s="162" t="s">
        <v>27</v>
      </c>
      <c r="I1553" s="163"/>
      <c r="J1553" s="163"/>
      <c r="K1553" s="163"/>
      <c r="L1553" s="163"/>
      <c r="M1553" s="163"/>
      <c r="N1553" s="163"/>
      <c r="O1553" s="163"/>
      <c r="P1553" s="163"/>
      <c r="Q1553" s="18"/>
      <c r="R1553" s="45"/>
      <c r="S1553" s="45"/>
      <c r="T1553" s="45"/>
      <c r="U1553" s="45"/>
      <c r="V155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4" spans="1:22">
      <c r="A1554" s="156">
        <v>46043</v>
      </c>
      <c r="B1554" s="45" t="s">
        <v>74</v>
      </c>
      <c r="C1554" s="45" t="s">
        <v>3834</v>
      </c>
      <c r="D1554" s="45" t="s">
        <v>202</v>
      </c>
      <c r="E1554" s="45">
        <v>85383</v>
      </c>
      <c r="F1554" s="45" t="s">
        <v>3835</v>
      </c>
      <c r="G1554" s="158" t="s">
        <v>3836</v>
      </c>
      <c r="H1554" s="162" t="s">
        <v>6451</v>
      </c>
      <c r="I1554" s="163" t="s">
        <v>968</v>
      </c>
      <c r="J1554" s="163" t="s">
        <v>37</v>
      </c>
      <c r="K1554" s="163" t="s">
        <v>37</v>
      </c>
      <c r="L1554" s="163" t="s">
        <v>38</v>
      </c>
      <c r="M1554" s="163" t="s">
        <v>37</v>
      </c>
      <c r="N1554" s="163" t="s">
        <v>37</v>
      </c>
      <c r="O1554" s="163" t="s">
        <v>38</v>
      </c>
      <c r="P1554" s="163" t="s">
        <v>39</v>
      </c>
      <c r="Q1554" s="33">
        <v>46049</v>
      </c>
      <c r="R1554" s="45" t="s">
        <v>3784</v>
      </c>
      <c r="S1554" s="45"/>
      <c r="T1554" s="45"/>
      <c r="U1554" s="45"/>
      <c r="V155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5" spans="1:22">
      <c r="A1555" s="156">
        <v>46043</v>
      </c>
      <c r="B1555" s="45" t="s">
        <v>3837</v>
      </c>
      <c r="C1555" s="45" t="s">
        <v>754</v>
      </c>
      <c r="D1555" s="45" t="s">
        <v>169</v>
      </c>
      <c r="E1555" s="45">
        <v>85395</v>
      </c>
      <c r="F1555" s="45" t="s">
        <v>3838</v>
      </c>
      <c r="G1555" s="158" t="s">
        <v>3836</v>
      </c>
      <c r="H1555" s="162" t="s">
        <v>6452</v>
      </c>
      <c r="I1555" s="163" t="s">
        <v>250</v>
      </c>
      <c r="J1555" s="163" t="s">
        <v>37</v>
      </c>
      <c r="K1555" s="163" t="s">
        <v>37</v>
      </c>
      <c r="L1555" s="163" t="s">
        <v>38</v>
      </c>
      <c r="M1555" s="163" t="s">
        <v>37</v>
      </c>
      <c r="N1555" s="163" t="s">
        <v>37</v>
      </c>
      <c r="O1555" s="163" t="s">
        <v>38</v>
      </c>
      <c r="P1555" s="163" t="s">
        <v>39</v>
      </c>
      <c r="Q1555" s="33">
        <v>46049</v>
      </c>
      <c r="R1555" s="45"/>
      <c r="S1555" s="45"/>
      <c r="T1555" s="45"/>
      <c r="U1555" s="45"/>
      <c r="V155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6" spans="1:22">
      <c r="A1556" s="156">
        <v>46043</v>
      </c>
      <c r="B1556" s="45" t="s">
        <v>2878</v>
      </c>
      <c r="C1556" s="45" t="s">
        <v>3839</v>
      </c>
      <c r="D1556" s="45" t="s">
        <v>112</v>
      </c>
      <c r="E1556" s="45">
        <v>85379</v>
      </c>
      <c r="F1556" s="45" t="s">
        <v>3840</v>
      </c>
      <c r="G1556" s="158" t="s">
        <v>3836</v>
      </c>
      <c r="H1556" s="162" t="s">
        <v>6453</v>
      </c>
      <c r="I1556" s="163" t="s">
        <v>36</v>
      </c>
      <c r="J1556" s="163" t="s">
        <v>37</v>
      </c>
      <c r="K1556" s="163" t="s">
        <v>37</v>
      </c>
      <c r="L1556" s="163" t="s">
        <v>38</v>
      </c>
      <c r="M1556" s="163" t="s">
        <v>37</v>
      </c>
      <c r="N1556" s="163" t="s">
        <v>37</v>
      </c>
      <c r="O1556" s="163" t="s">
        <v>38</v>
      </c>
      <c r="P1556" s="163" t="s">
        <v>39</v>
      </c>
      <c r="Q1556" s="33">
        <v>46049</v>
      </c>
      <c r="R1556" s="45"/>
      <c r="S1556" s="45"/>
      <c r="T1556" s="45"/>
      <c r="U1556" s="45"/>
      <c r="V155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7" spans="1:22">
      <c r="A1557" s="156">
        <v>46043</v>
      </c>
      <c r="B1557" s="45" t="s">
        <v>123</v>
      </c>
      <c r="C1557" s="45" t="s">
        <v>124</v>
      </c>
      <c r="D1557" s="45" t="s">
        <v>125</v>
      </c>
      <c r="E1557" s="45">
        <v>85254</v>
      </c>
      <c r="F1557" s="45" t="s">
        <v>3841</v>
      </c>
      <c r="G1557" s="158" t="s">
        <v>3836</v>
      </c>
      <c r="H1557" s="162" t="s">
        <v>6168</v>
      </c>
      <c r="I1557" s="163" t="s">
        <v>126</v>
      </c>
      <c r="J1557" s="163" t="s">
        <v>37</v>
      </c>
      <c r="K1557" s="163" t="s">
        <v>37</v>
      </c>
      <c r="L1557" s="163" t="s">
        <v>38</v>
      </c>
      <c r="M1557" s="163" t="s">
        <v>37</v>
      </c>
      <c r="N1557" s="163" t="s">
        <v>37</v>
      </c>
      <c r="O1557" s="163" t="s">
        <v>38</v>
      </c>
      <c r="P1557" s="163" t="s">
        <v>39</v>
      </c>
      <c r="Q1557" s="33">
        <v>46049</v>
      </c>
      <c r="R1557" s="45"/>
      <c r="S1557" s="45"/>
      <c r="T1557" s="45"/>
      <c r="U1557" s="45"/>
      <c r="V155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8" spans="1:22">
      <c r="A1558" s="156">
        <v>46043</v>
      </c>
      <c r="B1558" s="45" t="s">
        <v>2949</v>
      </c>
      <c r="C1558" s="45" t="s">
        <v>362</v>
      </c>
      <c r="D1558" s="45" t="s">
        <v>63</v>
      </c>
      <c r="E1558" s="45">
        <v>85022</v>
      </c>
      <c r="F1558" s="45" t="s">
        <v>3842</v>
      </c>
      <c r="G1558" s="158" t="s">
        <v>3836</v>
      </c>
      <c r="H1558" s="162" t="s">
        <v>6116</v>
      </c>
      <c r="I1558" s="163" t="s">
        <v>126</v>
      </c>
      <c r="J1558" s="163" t="s">
        <v>37</v>
      </c>
      <c r="K1558" s="163" t="s">
        <v>37</v>
      </c>
      <c r="L1558" s="163" t="s">
        <v>3843</v>
      </c>
      <c r="M1558" s="163" t="s">
        <v>37</v>
      </c>
      <c r="N1558" s="163" t="s">
        <v>37</v>
      </c>
      <c r="O1558" s="163" t="s">
        <v>38</v>
      </c>
      <c r="P1558" s="163" t="s">
        <v>39</v>
      </c>
      <c r="Q1558" s="33">
        <v>46049</v>
      </c>
      <c r="R1558" s="45"/>
      <c r="S1558" s="45"/>
      <c r="T1558" s="45"/>
      <c r="U1558" s="45"/>
      <c r="V155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59" spans="1:22">
      <c r="A1559" s="156">
        <v>46043</v>
      </c>
      <c r="B1559" s="45" t="s">
        <v>3844</v>
      </c>
      <c r="C1559" s="45" t="s">
        <v>117</v>
      </c>
      <c r="D1559" s="45" t="s">
        <v>112</v>
      </c>
      <c r="E1559" s="45">
        <v>85374</v>
      </c>
      <c r="F1559" s="45" t="s">
        <v>3845</v>
      </c>
      <c r="G1559" s="158" t="s">
        <v>3836</v>
      </c>
      <c r="H1559" s="162" t="s">
        <v>27</v>
      </c>
      <c r="I1559" s="163"/>
      <c r="J1559" s="163"/>
      <c r="K1559" s="163"/>
      <c r="L1559" s="163"/>
      <c r="M1559" s="163"/>
      <c r="N1559" s="163"/>
      <c r="O1559" s="163"/>
      <c r="P1559" s="163"/>
      <c r="Q1559" s="18"/>
      <c r="R1559" s="45"/>
      <c r="S1559" s="45"/>
      <c r="T1559" s="45"/>
      <c r="U1559" s="45"/>
      <c r="V155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0" spans="1:22">
      <c r="A1560" s="156">
        <v>46043</v>
      </c>
      <c r="B1560" s="45" t="s">
        <v>3846</v>
      </c>
      <c r="C1560" s="45" t="s">
        <v>3847</v>
      </c>
      <c r="D1560" s="45" t="s">
        <v>112</v>
      </c>
      <c r="E1560" s="45">
        <v>85379</v>
      </c>
      <c r="F1560" s="45" t="s">
        <v>3848</v>
      </c>
      <c r="G1560" s="158" t="s">
        <v>3836</v>
      </c>
      <c r="H1560" s="162" t="s">
        <v>6454</v>
      </c>
      <c r="I1560" s="163" t="s">
        <v>3779</v>
      </c>
      <c r="J1560" s="163" t="s">
        <v>37</v>
      </c>
      <c r="K1560" s="163" t="s">
        <v>37</v>
      </c>
      <c r="L1560" s="163" t="s">
        <v>38</v>
      </c>
      <c r="M1560" s="163" t="s">
        <v>37</v>
      </c>
      <c r="N1560" s="163" t="s">
        <v>37</v>
      </c>
      <c r="O1560" s="163" t="s">
        <v>38</v>
      </c>
      <c r="P1560" s="163" t="s">
        <v>39</v>
      </c>
      <c r="Q1560" s="33">
        <v>46049</v>
      </c>
      <c r="R1560" s="45"/>
      <c r="S1560" s="45"/>
      <c r="T1560" s="45"/>
      <c r="U1560" s="45"/>
      <c r="V156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1" spans="1:22">
      <c r="A1561" s="156">
        <v>46043</v>
      </c>
      <c r="B1561" s="45" t="s">
        <v>3849</v>
      </c>
      <c r="C1561" s="45" t="s">
        <v>3850</v>
      </c>
      <c r="D1561" s="45" t="s">
        <v>63</v>
      </c>
      <c r="E1561" s="45">
        <v>85006</v>
      </c>
      <c r="F1561" s="45" t="s">
        <v>3851</v>
      </c>
      <c r="G1561" s="158" t="s">
        <v>3836</v>
      </c>
      <c r="H1561" s="162" t="s">
        <v>27</v>
      </c>
      <c r="I1561" s="163"/>
      <c r="J1561" s="163"/>
      <c r="K1561" s="163"/>
      <c r="L1561" s="163"/>
      <c r="M1561" s="163"/>
      <c r="N1561" s="163"/>
      <c r="O1561" s="163"/>
      <c r="P1561" s="163"/>
      <c r="Q1561" s="18"/>
      <c r="R1561" s="45"/>
      <c r="S1561" s="45"/>
      <c r="T1561" s="45"/>
      <c r="U1561" s="45"/>
      <c r="V156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2" spans="1:22">
      <c r="A1562" s="156">
        <v>46043</v>
      </c>
      <c r="B1562" s="45" t="s">
        <v>3852</v>
      </c>
      <c r="C1562" s="45" t="s">
        <v>3853</v>
      </c>
      <c r="D1562" s="45" t="s">
        <v>24</v>
      </c>
      <c r="E1562" s="45">
        <v>85308</v>
      </c>
      <c r="F1562" s="45" t="s">
        <v>3854</v>
      </c>
      <c r="G1562" s="158" t="s">
        <v>3836</v>
      </c>
      <c r="H1562" s="162" t="s">
        <v>27</v>
      </c>
      <c r="I1562" s="163"/>
      <c r="J1562" s="163"/>
      <c r="K1562" s="163"/>
      <c r="L1562" s="163"/>
      <c r="M1562" s="163"/>
      <c r="N1562" s="163"/>
      <c r="O1562" s="163"/>
      <c r="P1562" s="163"/>
      <c r="Q1562" s="18"/>
      <c r="R1562" s="45"/>
      <c r="S1562" s="45"/>
      <c r="T1562" s="45"/>
      <c r="U1562" s="45"/>
      <c r="V156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3" spans="1:22">
      <c r="A1563" s="156">
        <v>46043</v>
      </c>
      <c r="B1563" s="45" t="s">
        <v>3855</v>
      </c>
      <c r="C1563" s="45" t="s">
        <v>3856</v>
      </c>
      <c r="D1563" s="45" t="s">
        <v>112</v>
      </c>
      <c r="E1563" s="45">
        <v>85379</v>
      </c>
      <c r="F1563" s="45" t="s">
        <v>3857</v>
      </c>
      <c r="G1563" s="158" t="s">
        <v>3836</v>
      </c>
      <c r="H1563" s="162" t="s">
        <v>6455</v>
      </c>
      <c r="I1563" s="163" t="s">
        <v>36</v>
      </c>
      <c r="J1563" s="163" t="s">
        <v>37</v>
      </c>
      <c r="K1563" s="163" t="s">
        <v>37</v>
      </c>
      <c r="L1563" s="163" t="s">
        <v>38</v>
      </c>
      <c r="M1563" s="163" t="s">
        <v>37</v>
      </c>
      <c r="N1563" s="163" t="s">
        <v>37</v>
      </c>
      <c r="O1563" s="163" t="s">
        <v>38</v>
      </c>
      <c r="P1563" s="163" t="s">
        <v>39</v>
      </c>
      <c r="Q1563" s="33">
        <v>46049</v>
      </c>
      <c r="R1563" s="45"/>
      <c r="S1563" s="45"/>
      <c r="T1563" s="45"/>
      <c r="U1563" s="45"/>
      <c r="V156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4" spans="1:22">
      <c r="A1564" s="156">
        <v>46043</v>
      </c>
      <c r="B1564" s="45" t="s">
        <v>3858</v>
      </c>
      <c r="C1564" s="45" t="s">
        <v>469</v>
      </c>
      <c r="D1564" s="45" t="s">
        <v>2052</v>
      </c>
      <c r="E1564" s="45">
        <v>85132</v>
      </c>
      <c r="F1564" s="45" t="s">
        <v>3859</v>
      </c>
      <c r="G1564" s="158" t="s">
        <v>3836</v>
      </c>
      <c r="H1564" s="162" t="s">
        <v>6456</v>
      </c>
      <c r="I1564" s="163" t="s">
        <v>3779</v>
      </c>
      <c r="J1564" s="163" t="s">
        <v>37</v>
      </c>
      <c r="K1564" s="163" t="s">
        <v>37</v>
      </c>
      <c r="L1564" s="163" t="s">
        <v>38</v>
      </c>
      <c r="M1564" s="163" t="s">
        <v>37</v>
      </c>
      <c r="N1564" s="163" t="s">
        <v>37</v>
      </c>
      <c r="O1564" s="163" t="s">
        <v>38</v>
      </c>
      <c r="P1564" s="163" t="s">
        <v>39</v>
      </c>
      <c r="Q1564" s="33">
        <v>46049</v>
      </c>
      <c r="R1564" s="45"/>
      <c r="S1564" s="45"/>
      <c r="T1564" s="45"/>
      <c r="U1564" s="45"/>
      <c r="V156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5" spans="1:22">
      <c r="A1565" s="156">
        <v>46043</v>
      </c>
      <c r="B1565" s="45" t="s">
        <v>3860</v>
      </c>
      <c r="C1565" s="45" t="s">
        <v>3157</v>
      </c>
      <c r="D1565" s="45" t="s">
        <v>632</v>
      </c>
      <c r="E1565" s="45">
        <v>85281</v>
      </c>
      <c r="F1565" s="45" t="s">
        <v>3861</v>
      </c>
      <c r="G1565" s="158" t="s">
        <v>3836</v>
      </c>
      <c r="H1565" s="162" t="s">
        <v>6117</v>
      </c>
      <c r="I1565" s="163" t="s">
        <v>57</v>
      </c>
      <c r="J1565" s="163" t="s">
        <v>38</v>
      </c>
      <c r="K1565" s="163" t="s">
        <v>37</v>
      </c>
      <c r="L1565" s="163" t="s">
        <v>3862</v>
      </c>
      <c r="M1565" s="163" t="s">
        <v>37</v>
      </c>
      <c r="N1565" s="163" t="s">
        <v>37</v>
      </c>
      <c r="O1565" s="163" t="s">
        <v>38</v>
      </c>
      <c r="P1565" s="163" t="s">
        <v>39</v>
      </c>
      <c r="Q1565" s="33">
        <v>46049</v>
      </c>
      <c r="R1565" s="45"/>
      <c r="S1565" s="45"/>
      <c r="T1565" s="45"/>
      <c r="U1565" s="45"/>
      <c r="V156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6" spans="1:22">
      <c r="A1566" s="156">
        <v>46043</v>
      </c>
      <c r="B1566" s="45" t="s">
        <v>3863</v>
      </c>
      <c r="C1566" s="45" t="s">
        <v>3864</v>
      </c>
      <c r="D1566" s="45" t="s">
        <v>63</v>
      </c>
      <c r="E1566" s="45">
        <v>85027</v>
      </c>
      <c r="F1566" s="45" t="s">
        <v>3865</v>
      </c>
      <c r="G1566" s="158" t="s">
        <v>3836</v>
      </c>
      <c r="H1566" s="162" t="s">
        <v>6457</v>
      </c>
      <c r="I1566" s="163" t="s">
        <v>3357</v>
      </c>
      <c r="J1566" s="163" t="s">
        <v>37</v>
      </c>
      <c r="K1566" s="163" t="s">
        <v>37</v>
      </c>
      <c r="L1566" s="163" t="s">
        <v>38</v>
      </c>
      <c r="M1566" s="163" t="s">
        <v>37</v>
      </c>
      <c r="N1566" s="163" t="s">
        <v>37</v>
      </c>
      <c r="O1566" s="163" t="s">
        <v>38</v>
      </c>
      <c r="P1566" s="163" t="s">
        <v>39</v>
      </c>
      <c r="Q1566" s="33">
        <v>46049</v>
      </c>
      <c r="R1566" s="45"/>
      <c r="S1566" s="45"/>
      <c r="T1566" s="45"/>
      <c r="U1566" s="45"/>
      <c r="V156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7" spans="1:22">
      <c r="A1567" s="156">
        <v>46043</v>
      </c>
      <c r="B1567" s="45" t="s">
        <v>3866</v>
      </c>
      <c r="C1567" s="45" t="s">
        <v>3867</v>
      </c>
      <c r="D1567" s="45" t="s">
        <v>63</v>
      </c>
      <c r="E1567" s="45">
        <v>85003</v>
      </c>
      <c r="F1567" s="45" t="s">
        <v>3868</v>
      </c>
      <c r="G1567" s="158" t="s">
        <v>3836</v>
      </c>
      <c r="H1567" s="162" t="s">
        <v>6458</v>
      </c>
      <c r="I1567" s="163" t="s">
        <v>36</v>
      </c>
      <c r="J1567" s="163" t="s">
        <v>37</v>
      </c>
      <c r="K1567" s="163" t="s">
        <v>37</v>
      </c>
      <c r="L1567" s="163" t="s">
        <v>38</v>
      </c>
      <c r="M1567" s="163" t="s">
        <v>37</v>
      </c>
      <c r="N1567" s="163" t="s">
        <v>37</v>
      </c>
      <c r="O1567" s="163" t="s">
        <v>38</v>
      </c>
      <c r="P1567" s="163" t="s">
        <v>39</v>
      </c>
      <c r="Q1567" s="33">
        <v>46050</v>
      </c>
      <c r="R1567" s="45"/>
      <c r="S1567" s="45"/>
      <c r="T1567" s="45"/>
      <c r="U1567" s="45"/>
      <c r="V156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8" spans="1:22">
      <c r="A1568" s="156">
        <v>46043</v>
      </c>
      <c r="B1568" s="45" t="s">
        <v>3869</v>
      </c>
      <c r="C1568" s="45" t="s">
        <v>645</v>
      </c>
      <c r="D1568" s="45" t="s">
        <v>3632</v>
      </c>
      <c r="E1568" s="45">
        <v>85013</v>
      </c>
      <c r="F1568" s="45" t="s">
        <v>3778</v>
      </c>
      <c r="G1568" s="158" t="s">
        <v>3836</v>
      </c>
      <c r="H1568" s="162" t="s">
        <v>6118</v>
      </c>
      <c r="I1568" s="163" t="s">
        <v>196</v>
      </c>
      <c r="J1568" s="163" t="s">
        <v>37</v>
      </c>
      <c r="K1568" s="163" t="s">
        <v>37</v>
      </c>
      <c r="L1568" s="163" t="s">
        <v>3870</v>
      </c>
      <c r="M1568" s="163" t="s">
        <v>37</v>
      </c>
      <c r="N1568" s="163" t="s">
        <v>37</v>
      </c>
      <c r="O1568" s="163" t="s">
        <v>38</v>
      </c>
      <c r="P1568" s="163"/>
      <c r="Q1568" s="41">
        <v>46050</v>
      </c>
      <c r="R1568" s="45" t="s">
        <v>3781</v>
      </c>
      <c r="S1568" s="45"/>
      <c r="T1568" s="45"/>
      <c r="U1568" s="45"/>
      <c r="V156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69" spans="1:22">
      <c r="A1569" s="156">
        <v>46043</v>
      </c>
      <c r="B1569" s="45" t="s">
        <v>3871</v>
      </c>
      <c r="C1569" s="45" t="s">
        <v>3872</v>
      </c>
      <c r="D1569" s="45" t="s">
        <v>112</v>
      </c>
      <c r="E1569" s="45">
        <v>85379</v>
      </c>
      <c r="F1569" s="45" t="s">
        <v>3873</v>
      </c>
      <c r="G1569" s="158" t="s">
        <v>3836</v>
      </c>
      <c r="H1569" s="162" t="s">
        <v>27</v>
      </c>
      <c r="I1569" s="163"/>
      <c r="J1569" s="163"/>
      <c r="K1569" s="163"/>
      <c r="L1569" s="163"/>
      <c r="M1569" s="163"/>
      <c r="N1569" s="163"/>
      <c r="O1569" s="163"/>
      <c r="P1569" s="163"/>
      <c r="Q1569" s="18"/>
      <c r="R1569" s="45"/>
      <c r="S1569" s="45"/>
      <c r="T1569" s="45"/>
      <c r="U1569" s="45"/>
      <c r="V156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0" spans="1:22">
      <c r="A1570" s="156">
        <v>46043</v>
      </c>
      <c r="B1570" s="45" t="s">
        <v>3874</v>
      </c>
      <c r="C1570" s="45" t="s">
        <v>3875</v>
      </c>
      <c r="D1570" s="45" t="s">
        <v>169</v>
      </c>
      <c r="E1570" s="45">
        <v>85338</v>
      </c>
      <c r="F1570" s="45" t="s">
        <v>3841</v>
      </c>
      <c r="G1570" s="158" t="s">
        <v>3836</v>
      </c>
      <c r="H1570" s="162" t="s">
        <v>6459</v>
      </c>
      <c r="I1570" s="163" t="s">
        <v>196</v>
      </c>
      <c r="J1570" s="163" t="s">
        <v>37</v>
      </c>
      <c r="K1570" s="163" t="s">
        <v>37</v>
      </c>
      <c r="L1570" s="163" t="s">
        <v>38</v>
      </c>
      <c r="M1570" s="163" t="s">
        <v>37</v>
      </c>
      <c r="N1570" s="163" t="s">
        <v>37</v>
      </c>
      <c r="O1570" s="163" t="s">
        <v>38</v>
      </c>
      <c r="P1570" s="163" t="s">
        <v>39</v>
      </c>
      <c r="Q1570" s="33">
        <v>46050</v>
      </c>
      <c r="R1570" s="45"/>
      <c r="S1570" s="45"/>
      <c r="T1570" s="45"/>
      <c r="U1570" s="45"/>
      <c r="V157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1" spans="1:22">
      <c r="A1571" s="156">
        <v>46043</v>
      </c>
      <c r="B1571" s="45" t="s">
        <v>1992</v>
      </c>
      <c r="C1571" s="45" t="s">
        <v>1651</v>
      </c>
      <c r="D1571" s="45" t="s">
        <v>63</v>
      </c>
      <c r="E1571" s="45">
        <v>85014</v>
      </c>
      <c r="F1571" s="45" t="s">
        <v>3778</v>
      </c>
      <c r="G1571" s="158" t="s">
        <v>3836</v>
      </c>
      <c r="H1571" s="162" t="s">
        <v>90</v>
      </c>
      <c r="I1571" s="163"/>
      <c r="J1571" s="163"/>
      <c r="K1571" s="163"/>
      <c r="L1571" s="163"/>
      <c r="M1571" s="163"/>
      <c r="N1571" s="163"/>
      <c r="O1571" s="163"/>
      <c r="P1571" s="163"/>
      <c r="Q1571" s="18"/>
      <c r="R1571" s="45"/>
      <c r="S1571" s="45"/>
      <c r="T1571" s="45"/>
      <c r="U1571" s="45"/>
      <c r="V157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2" spans="1:22">
      <c r="A1572" s="156">
        <v>46043</v>
      </c>
      <c r="B1572" s="45" t="s">
        <v>3876</v>
      </c>
      <c r="C1572" s="45" t="s">
        <v>3877</v>
      </c>
      <c r="D1572" s="45" t="s">
        <v>112</v>
      </c>
      <c r="E1572" s="45">
        <v>85387</v>
      </c>
      <c r="F1572" s="45" t="s">
        <v>3878</v>
      </c>
      <c r="G1572" s="158" t="s">
        <v>3836</v>
      </c>
      <c r="H1572" s="162" t="s">
        <v>6119</v>
      </c>
      <c r="I1572" s="163" t="s">
        <v>196</v>
      </c>
      <c r="J1572" s="163" t="s">
        <v>37</v>
      </c>
      <c r="K1572" s="163" t="s">
        <v>37</v>
      </c>
      <c r="L1572" s="163" t="s">
        <v>3879</v>
      </c>
      <c r="M1572" s="163" t="s">
        <v>37</v>
      </c>
      <c r="N1572" s="163" t="s">
        <v>37</v>
      </c>
      <c r="O1572" s="163" t="s">
        <v>38</v>
      </c>
      <c r="P1572" s="163" t="s">
        <v>39</v>
      </c>
      <c r="Q1572" s="33">
        <v>46050</v>
      </c>
      <c r="R1572" s="45"/>
      <c r="S1572" s="45"/>
      <c r="T1572" s="45"/>
      <c r="U1572" s="45"/>
      <c r="V157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3" spans="1:22">
      <c r="A1573" s="156">
        <v>46043</v>
      </c>
      <c r="B1573" s="45" t="s">
        <v>3880</v>
      </c>
      <c r="C1573" s="45" t="s">
        <v>3881</v>
      </c>
      <c r="D1573" s="45" t="s">
        <v>202</v>
      </c>
      <c r="E1573" s="45">
        <v>85383</v>
      </c>
      <c r="F1573" s="45" t="s">
        <v>3882</v>
      </c>
      <c r="G1573" s="158" t="s">
        <v>3836</v>
      </c>
      <c r="H1573" s="162" t="s">
        <v>27</v>
      </c>
      <c r="I1573" s="163"/>
      <c r="J1573" s="163"/>
      <c r="K1573" s="163"/>
      <c r="L1573" s="163"/>
      <c r="M1573" s="163"/>
      <c r="N1573" s="163"/>
      <c r="O1573" s="163"/>
      <c r="P1573" s="163"/>
      <c r="Q1573" s="18"/>
      <c r="R1573" s="45"/>
      <c r="S1573" s="45"/>
      <c r="T1573" s="45"/>
      <c r="U1573" s="45"/>
      <c r="V157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4" spans="1:22">
      <c r="A1574" s="156">
        <v>46043</v>
      </c>
      <c r="B1574" s="45" t="s">
        <v>3880</v>
      </c>
      <c r="C1574" s="45" t="s">
        <v>3883</v>
      </c>
      <c r="D1574" s="45" t="s">
        <v>93</v>
      </c>
      <c r="E1574" s="45">
        <v>85351</v>
      </c>
      <c r="F1574" s="45" t="s">
        <v>3884</v>
      </c>
      <c r="G1574" s="158" t="s">
        <v>3836</v>
      </c>
      <c r="H1574" s="162" t="s">
        <v>6120</v>
      </c>
      <c r="I1574" s="163" t="s">
        <v>196</v>
      </c>
      <c r="J1574" s="163" t="s">
        <v>38</v>
      </c>
      <c r="K1574" s="163" t="s">
        <v>37</v>
      </c>
      <c r="L1574" s="163" t="s">
        <v>3885</v>
      </c>
      <c r="M1574" s="163" t="s">
        <v>37</v>
      </c>
      <c r="N1574" s="163" t="s">
        <v>37</v>
      </c>
      <c r="O1574" s="163" t="s">
        <v>38</v>
      </c>
      <c r="P1574" s="163"/>
      <c r="Q1574" s="41">
        <v>46050</v>
      </c>
      <c r="R1574" s="45" t="s">
        <v>3781</v>
      </c>
      <c r="S1574" s="45"/>
      <c r="T1574" s="45"/>
      <c r="U1574" s="45"/>
      <c r="V157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5" spans="1:22">
      <c r="A1575" s="156">
        <v>46043</v>
      </c>
      <c r="B1575" s="45" t="s">
        <v>1573</v>
      </c>
      <c r="C1575" s="45" t="s">
        <v>883</v>
      </c>
      <c r="D1575" s="45" t="s">
        <v>24</v>
      </c>
      <c r="E1575" s="45">
        <v>85308</v>
      </c>
      <c r="F1575" s="45" t="s">
        <v>3886</v>
      </c>
      <c r="G1575" s="158" t="s">
        <v>3836</v>
      </c>
      <c r="H1575" s="162" t="s">
        <v>6121</v>
      </c>
      <c r="I1575" s="163" t="s">
        <v>126</v>
      </c>
      <c r="J1575" s="163" t="s">
        <v>37</v>
      </c>
      <c r="K1575" s="163" t="s">
        <v>37</v>
      </c>
      <c r="L1575" s="163" t="s">
        <v>3887</v>
      </c>
      <c r="M1575" s="163" t="s">
        <v>37</v>
      </c>
      <c r="N1575" s="163" t="s">
        <v>37</v>
      </c>
      <c r="O1575" s="163" t="s">
        <v>38</v>
      </c>
      <c r="P1575" s="163" t="s">
        <v>39</v>
      </c>
      <c r="Q1575" s="33">
        <v>46050</v>
      </c>
      <c r="R1575" s="45" t="s">
        <v>3888</v>
      </c>
      <c r="S1575" s="45"/>
      <c r="T1575" s="45"/>
      <c r="U1575" s="45"/>
      <c r="V157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6" spans="1:22">
      <c r="A1576" s="156">
        <v>46043</v>
      </c>
      <c r="B1576" s="45" t="s">
        <v>1066</v>
      </c>
      <c r="C1576" s="45" t="s">
        <v>3889</v>
      </c>
      <c r="D1576" s="45" t="s">
        <v>112</v>
      </c>
      <c r="E1576" s="45">
        <v>85374</v>
      </c>
      <c r="F1576" s="45" t="s">
        <v>3890</v>
      </c>
      <c r="G1576" s="158" t="s">
        <v>3836</v>
      </c>
      <c r="H1576" s="162" t="s">
        <v>27</v>
      </c>
      <c r="I1576" s="163"/>
      <c r="J1576" s="163"/>
      <c r="K1576" s="163"/>
      <c r="L1576" s="163"/>
      <c r="M1576" s="163"/>
      <c r="N1576" s="163"/>
      <c r="O1576" s="163"/>
      <c r="P1576" s="163"/>
      <c r="Q1576" s="18"/>
      <c r="R1576" s="45"/>
      <c r="S1576" s="45"/>
      <c r="T1576" s="45"/>
      <c r="U1576" s="45"/>
      <c r="V157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7" spans="1:22">
      <c r="A1577" s="156">
        <v>46043</v>
      </c>
      <c r="B1577" s="45" t="s">
        <v>3891</v>
      </c>
      <c r="C1577" s="45" t="s">
        <v>1570</v>
      </c>
      <c r="D1577" s="45" t="s">
        <v>2052</v>
      </c>
      <c r="E1577" s="45">
        <v>85132</v>
      </c>
      <c r="F1577" s="45" t="s">
        <v>3892</v>
      </c>
      <c r="G1577" s="158" t="s">
        <v>3836</v>
      </c>
      <c r="H1577" s="162" t="s">
        <v>27</v>
      </c>
      <c r="I1577" s="163"/>
      <c r="J1577" s="163"/>
      <c r="K1577" s="163"/>
      <c r="L1577" s="163"/>
      <c r="M1577" s="163"/>
      <c r="N1577" s="163"/>
      <c r="O1577" s="163"/>
      <c r="P1577" s="163"/>
      <c r="Q1577" s="18"/>
      <c r="R1577" s="45"/>
      <c r="S1577" s="45"/>
      <c r="T1577" s="45"/>
      <c r="U1577" s="45"/>
      <c r="V157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8" spans="1:22">
      <c r="A1578" s="156">
        <v>46043</v>
      </c>
      <c r="B1578" s="45" t="s">
        <v>3893</v>
      </c>
      <c r="C1578" s="45" t="s">
        <v>3894</v>
      </c>
      <c r="D1578" s="45" t="s">
        <v>125</v>
      </c>
      <c r="E1578" s="45">
        <v>85254</v>
      </c>
      <c r="F1578" s="45" t="s">
        <v>3895</v>
      </c>
      <c r="G1578" s="158" t="s">
        <v>3836</v>
      </c>
      <c r="H1578" s="162" t="s">
        <v>6122</v>
      </c>
      <c r="I1578" s="163" t="s">
        <v>196</v>
      </c>
      <c r="J1578" s="163" t="s">
        <v>37</v>
      </c>
      <c r="K1578" s="163" t="s">
        <v>37</v>
      </c>
      <c r="L1578" s="163" t="s">
        <v>3896</v>
      </c>
      <c r="M1578" s="163" t="s">
        <v>37</v>
      </c>
      <c r="N1578" s="163" t="s">
        <v>37</v>
      </c>
      <c r="O1578" s="163" t="s">
        <v>38</v>
      </c>
      <c r="P1578" s="163"/>
      <c r="Q1578" s="41">
        <v>46050</v>
      </c>
      <c r="R1578" s="45" t="s">
        <v>3474</v>
      </c>
      <c r="S1578" s="45"/>
      <c r="T1578" s="45"/>
      <c r="U1578" s="45"/>
      <c r="V157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79" spans="1:22">
      <c r="A1579" s="156">
        <v>46043</v>
      </c>
      <c r="B1579" s="45" t="s">
        <v>3897</v>
      </c>
      <c r="C1579" s="45" t="s">
        <v>3898</v>
      </c>
      <c r="D1579" s="45" t="s">
        <v>63</v>
      </c>
      <c r="E1579" s="45">
        <v>85013</v>
      </c>
      <c r="F1579" s="45" t="s">
        <v>3899</v>
      </c>
      <c r="G1579" s="158" t="s">
        <v>3836</v>
      </c>
      <c r="H1579" s="162" t="s">
        <v>6123</v>
      </c>
      <c r="I1579" s="163" t="s">
        <v>196</v>
      </c>
      <c r="J1579" s="163" t="s">
        <v>37</v>
      </c>
      <c r="K1579" s="163" t="s">
        <v>37</v>
      </c>
      <c r="L1579" s="163" t="s">
        <v>3900</v>
      </c>
      <c r="M1579" s="163" t="s">
        <v>37</v>
      </c>
      <c r="N1579" s="163" t="s">
        <v>37</v>
      </c>
      <c r="O1579" s="163" t="s">
        <v>38</v>
      </c>
      <c r="P1579" s="163"/>
      <c r="Q1579" s="41">
        <v>46050</v>
      </c>
      <c r="R1579" s="45" t="s">
        <v>3474</v>
      </c>
      <c r="S1579" s="45"/>
      <c r="T1579" s="45"/>
      <c r="U1579" s="45"/>
      <c r="V157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0" spans="1:22">
      <c r="A1580" s="156">
        <v>46043</v>
      </c>
      <c r="B1580" s="45" t="s">
        <v>3901</v>
      </c>
      <c r="C1580" s="45" t="s">
        <v>381</v>
      </c>
      <c r="D1580" s="45" t="s">
        <v>63</v>
      </c>
      <c r="E1580" s="45">
        <v>85032</v>
      </c>
      <c r="F1580" s="45" t="s">
        <v>3902</v>
      </c>
      <c r="G1580" s="158" t="s">
        <v>3836</v>
      </c>
      <c r="H1580" s="162" t="s">
        <v>6460</v>
      </c>
      <c r="I1580" s="163" t="s">
        <v>196</v>
      </c>
      <c r="J1580" s="163" t="s">
        <v>37</v>
      </c>
      <c r="K1580" s="163" t="s">
        <v>37</v>
      </c>
      <c r="L1580" s="163" t="s">
        <v>38</v>
      </c>
      <c r="M1580" s="163" t="s">
        <v>37</v>
      </c>
      <c r="N1580" s="163" t="s">
        <v>37</v>
      </c>
      <c r="O1580" s="163" t="s">
        <v>38</v>
      </c>
      <c r="P1580" s="163" t="s">
        <v>39</v>
      </c>
      <c r="Q1580" s="33">
        <v>46050</v>
      </c>
      <c r="R1580" s="45"/>
      <c r="S1580" s="45"/>
      <c r="T1580" s="45"/>
      <c r="U1580" s="45"/>
      <c r="V158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1" spans="1:22">
      <c r="A1581" s="156">
        <v>46043</v>
      </c>
      <c r="B1581" s="45" t="s">
        <v>3903</v>
      </c>
      <c r="C1581" s="45" t="s">
        <v>320</v>
      </c>
      <c r="D1581" s="45" t="s">
        <v>125</v>
      </c>
      <c r="E1581" s="45">
        <v>85254</v>
      </c>
      <c r="F1581" s="45" t="s">
        <v>3904</v>
      </c>
      <c r="G1581" s="158" t="s">
        <v>3836</v>
      </c>
      <c r="H1581" s="162" t="s">
        <v>6124</v>
      </c>
      <c r="I1581" s="163" t="s">
        <v>36</v>
      </c>
      <c r="J1581" s="163" t="s">
        <v>37</v>
      </c>
      <c r="K1581" s="163" t="s">
        <v>37</v>
      </c>
      <c r="L1581" s="163" t="s">
        <v>3905</v>
      </c>
      <c r="M1581" s="163" t="s">
        <v>37</v>
      </c>
      <c r="N1581" s="163" t="s">
        <v>37</v>
      </c>
      <c r="O1581" s="163" t="s">
        <v>38</v>
      </c>
      <c r="P1581" s="163"/>
      <c r="Q1581" s="41">
        <v>46050</v>
      </c>
      <c r="R1581" s="45" t="s">
        <v>3906</v>
      </c>
      <c r="S1581" s="45"/>
      <c r="T1581" s="45"/>
      <c r="U1581" s="45"/>
      <c r="V158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2" spans="1:22">
      <c r="A1582" s="156">
        <v>46043</v>
      </c>
      <c r="B1582" s="45" t="s">
        <v>3907</v>
      </c>
      <c r="C1582" s="45" t="s">
        <v>131</v>
      </c>
      <c r="D1582" s="45" t="s">
        <v>63</v>
      </c>
      <c r="E1582" s="45">
        <v>85024</v>
      </c>
      <c r="F1582" s="45" t="s">
        <v>3908</v>
      </c>
      <c r="G1582" s="158" t="s">
        <v>3836</v>
      </c>
      <c r="H1582" s="162" t="s">
        <v>6461</v>
      </c>
      <c r="I1582" s="163" t="s">
        <v>73</v>
      </c>
      <c r="J1582" s="163" t="s">
        <v>37</v>
      </c>
      <c r="K1582" s="163" t="s">
        <v>37</v>
      </c>
      <c r="L1582" s="163" t="s">
        <v>38</v>
      </c>
      <c r="M1582" s="163" t="s">
        <v>37</v>
      </c>
      <c r="N1582" s="163" t="s">
        <v>37</v>
      </c>
      <c r="O1582" s="163" t="s">
        <v>38</v>
      </c>
      <c r="P1582" s="163" t="s">
        <v>39</v>
      </c>
      <c r="Q1582" s="33">
        <v>46050</v>
      </c>
      <c r="R1582" s="45"/>
      <c r="S1582" s="45"/>
      <c r="T1582" s="45"/>
      <c r="U1582" s="45"/>
      <c r="V158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3" spans="1:22">
      <c r="A1583" s="156">
        <v>46043</v>
      </c>
      <c r="B1583" s="45" t="s">
        <v>3909</v>
      </c>
      <c r="C1583" s="45" t="s">
        <v>3910</v>
      </c>
      <c r="D1583" s="45" t="s">
        <v>63</v>
      </c>
      <c r="E1583" s="45">
        <v>85029</v>
      </c>
      <c r="F1583" s="45" t="s">
        <v>3911</v>
      </c>
      <c r="G1583" s="158" t="s">
        <v>3836</v>
      </c>
      <c r="H1583" s="162" t="s">
        <v>6125</v>
      </c>
      <c r="I1583" s="163" t="s">
        <v>36</v>
      </c>
      <c r="J1583" s="163" t="s">
        <v>38</v>
      </c>
      <c r="K1583" s="163" t="s">
        <v>37</v>
      </c>
      <c r="L1583" s="163" t="s">
        <v>3912</v>
      </c>
      <c r="M1583" s="163" t="s">
        <v>37</v>
      </c>
      <c r="N1583" s="163" t="s">
        <v>37</v>
      </c>
      <c r="O1583" s="163" t="s">
        <v>38</v>
      </c>
      <c r="P1583" s="163" t="s">
        <v>39</v>
      </c>
      <c r="Q1583" s="33">
        <v>46050</v>
      </c>
      <c r="R1583" s="45"/>
      <c r="S1583" s="45"/>
      <c r="T1583" s="45"/>
      <c r="U1583" s="45"/>
      <c r="V158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4" spans="1:22">
      <c r="A1584" s="156">
        <v>46043</v>
      </c>
      <c r="B1584" s="45" t="s">
        <v>167</v>
      </c>
      <c r="C1584" s="45" t="s">
        <v>3913</v>
      </c>
      <c r="D1584" s="45" t="s">
        <v>112</v>
      </c>
      <c r="E1584" s="45">
        <v>85388</v>
      </c>
      <c r="F1584" s="45" t="s">
        <v>3914</v>
      </c>
      <c r="G1584" s="158" t="s">
        <v>3836</v>
      </c>
      <c r="H1584" s="162" t="s">
        <v>27</v>
      </c>
      <c r="I1584" s="163"/>
      <c r="J1584" s="163"/>
      <c r="K1584" s="163"/>
      <c r="L1584" s="163"/>
      <c r="M1584" s="163"/>
      <c r="N1584" s="163"/>
      <c r="O1584" s="163"/>
      <c r="P1584" s="163"/>
      <c r="Q1584" s="18"/>
      <c r="R1584" s="45"/>
      <c r="S1584" s="45"/>
      <c r="T1584" s="45"/>
      <c r="U1584" s="45"/>
      <c r="V158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5" spans="1:22">
      <c r="A1585" s="156">
        <v>46043</v>
      </c>
      <c r="B1585" s="45" t="s">
        <v>3915</v>
      </c>
      <c r="C1585" s="45" t="s">
        <v>3916</v>
      </c>
      <c r="D1585" s="45" t="s">
        <v>63</v>
      </c>
      <c r="E1585" s="45">
        <v>85014</v>
      </c>
      <c r="F1585" s="45" t="s">
        <v>3917</v>
      </c>
      <c r="G1585" s="158" t="s">
        <v>3836</v>
      </c>
      <c r="H1585" s="162" t="s">
        <v>6462</v>
      </c>
      <c r="I1585" s="163" t="s">
        <v>73</v>
      </c>
      <c r="J1585" s="163" t="s">
        <v>37</v>
      </c>
      <c r="K1585" s="163" t="s">
        <v>37</v>
      </c>
      <c r="L1585" s="163" t="s">
        <v>38</v>
      </c>
      <c r="M1585" s="163" t="s">
        <v>37</v>
      </c>
      <c r="N1585" s="163" t="s">
        <v>37</v>
      </c>
      <c r="O1585" s="163" t="s">
        <v>38</v>
      </c>
      <c r="P1585" s="163" t="s">
        <v>39</v>
      </c>
      <c r="Q1585" s="33">
        <v>46050</v>
      </c>
      <c r="R1585" s="45"/>
      <c r="S1585" s="45"/>
      <c r="T1585" s="45"/>
      <c r="U1585" s="45"/>
      <c r="V158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6" spans="1:22">
      <c r="A1586" s="156">
        <v>46043</v>
      </c>
      <c r="B1586" s="45" t="s">
        <v>3918</v>
      </c>
      <c r="C1586" s="45" t="s">
        <v>3919</v>
      </c>
      <c r="D1586" s="45" t="s">
        <v>695</v>
      </c>
      <c r="E1586" s="45">
        <v>85375</v>
      </c>
      <c r="F1586" s="45" t="s">
        <v>3920</v>
      </c>
      <c r="G1586" s="158" t="s">
        <v>3836</v>
      </c>
      <c r="H1586" s="162" t="s">
        <v>6463</v>
      </c>
      <c r="I1586" s="163" t="s">
        <v>73</v>
      </c>
      <c r="J1586" s="163" t="s">
        <v>37</v>
      </c>
      <c r="K1586" s="163" t="s">
        <v>37</v>
      </c>
      <c r="L1586" s="163" t="s">
        <v>38</v>
      </c>
      <c r="M1586" s="163" t="s">
        <v>37</v>
      </c>
      <c r="N1586" s="163" t="s">
        <v>37</v>
      </c>
      <c r="O1586" s="163" t="s">
        <v>38</v>
      </c>
      <c r="P1586" s="163" t="s">
        <v>39</v>
      </c>
      <c r="Q1586" s="33">
        <v>46050</v>
      </c>
      <c r="R1586" s="45"/>
      <c r="S1586" s="45"/>
      <c r="T1586" s="45"/>
      <c r="U1586" s="45"/>
      <c r="V158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7" spans="1:22">
      <c r="A1587" s="156">
        <v>46043</v>
      </c>
      <c r="B1587" s="45" t="s">
        <v>3921</v>
      </c>
      <c r="C1587" s="45" t="s">
        <v>3922</v>
      </c>
      <c r="D1587" s="45" t="s">
        <v>63</v>
      </c>
      <c r="E1587" s="45">
        <v>85028</v>
      </c>
      <c r="F1587" s="45" t="s">
        <v>3923</v>
      </c>
      <c r="G1587" s="158" t="s">
        <v>3836</v>
      </c>
      <c r="H1587" s="162" t="s">
        <v>6464</v>
      </c>
      <c r="I1587" s="163" t="s">
        <v>196</v>
      </c>
      <c r="J1587" s="163" t="s">
        <v>37</v>
      </c>
      <c r="K1587" s="163" t="s">
        <v>37</v>
      </c>
      <c r="L1587" s="163" t="s">
        <v>38</v>
      </c>
      <c r="M1587" s="163" t="s">
        <v>37</v>
      </c>
      <c r="N1587" s="163" t="s">
        <v>37</v>
      </c>
      <c r="O1587" s="163" t="s">
        <v>38</v>
      </c>
      <c r="P1587" s="163" t="s">
        <v>39</v>
      </c>
      <c r="Q1587" s="33">
        <v>46050</v>
      </c>
      <c r="R1587" s="45"/>
      <c r="S1587" s="45"/>
      <c r="T1587" s="45"/>
      <c r="U1587" s="45"/>
      <c r="V158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8" spans="1:22">
      <c r="A1588" s="156">
        <v>46043</v>
      </c>
      <c r="B1588" s="45" t="s">
        <v>3924</v>
      </c>
      <c r="C1588" s="45" t="s">
        <v>3925</v>
      </c>
      <c r="D1588" s="45" t="s">
        <v>24</v>
      </c>
      <c r="E1588" s="45">
        <v>85308</v>
      </c>
      <c r="F1588" s="45" t="s">
        <v>3926</v>
      </c>
      <c r="G1588" s="158" t="s">
        <v>3836</v>
      </c>
      <c r="H1588" s="162" t="s">
        <v>6465</v>
      </c>
      <c r="I1588" s="163" t="s">
        <v>46</v>
      </c>
      <c r="J1588" s="163" t="s">
        <v>37</v>
      </c>
      <c r="K1588" s="163" t="s">
        <v>37</v>
      </c>
      <c r="L1588" s="163" t="s">
        <v>38</v>
      </c>
      <c r="M1588" s="163" t="s">
        <v>37</v>
      </c>
      <c r="N1588" s="163" t="s">
        <v>37</v>
      </c>
      <c r="O1588" s="163" t="s">
        <v>38</v>
      </c>
      <c r="P1588" s="163" t="s">
        <v>39</v>
      </c>
      <c r="Q1588" s="33">
        <v>46050</v>
      </c>
      <c r="R1588" s="45"/>
      <c r="S1588" s="45"/>
      <c r="T1588" s="45"/>
      <c r="U1588" s="45"/>
      <c r="V158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89" spans="1:22">
      <c r="A1589" s="156">
        <v>46043</v>
      </c>
      <c r="B1589" s="45" t="s">
        <v>3927</v>
      </c>
      <c r="C1589" s="45" t="s">
        <v>1935</v>
      </c>
      <c r="D1589" s="45" t="s">
        <v>93</v>
      </c>
      <c r="E1589" s="45">
        <v>85351</v>
      </c>
      <c r="F1589" s="45" t="s">
        <v>3928</v>
      </c>
      <c r="G1589" s="158" t="s">
        <v>3836</v>
      </c>
      <c r="H1589" s="162" t="s">
        <v>6126</v>
      </c>
      <c r="I1589" s="163" t="s">
        <v>196</v>
      </c>
      <c r="J1589" s="163" t="s">
        <v>37</v>
      </c>
      <c r="K1589" s="163" t="s">
        <v>37</v>
      </c>
      <c r="L1589" s="163" t="s">
        <v>3929</v>
      </c>
      <c r="M1589" s="163" t="s">
        <v>37</v>
      </c>
      <c r="N1589" s="163" t="s">
        <v>37</v>
      </c>
      <c r="O1589" s="163" t="s">
        <v>38</v>
      </c>
      <c r="P1589" s="163"/>
      <c r="Q1589" s="41">
        <v>46050</v>
      </c>
      <c r="R1589" s="45" t="s">
        <v>3474</v>
      </c>
      <c r="S1589" s="45"/>
      <c r="T1589" s="45"/>
      <c r="U1589" s="45"/>
      <c r="V158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0" spans="1:22">
      <c r="A1590" s="156">
        <v>46043</v>
      </c>
      <c r="B1590" s="45" t="s">
        <v>3930</v>
      </c>
      <c r="C1590" s="45" t="s">
        <v>730</v>
      </c>
      <c r="D1590" s="45" t="s">
        <v>93</v>
      </c>
      <c r="E1590" s="45">
        <v>85373</v>
      </c>
      <c r="F1590" s="45" t="s">
        <v>3931</v>
      </c>
      <c r="G1590" s="158" t="s">
        <v>3836</v>
      </c>
      <c r="H1590" s="162" t="s">
        <v>6466</v>
      </c>
      <c r="I1590" s="163" t="s">
        <v>3682</v>
      </c>
      <c r="J1590" s="163" t="s">
        <v>37</v>
      </c>
      <c r="K1590" s="163" t="s">
        <v>37</v>
      </c>
      <c r="L1590" s="163" t="s">
        <v>387</v>
      </c>
      <c r="M1590" s="163" t="s">
        <v>37</v>
      </c>
      <c r="N1590" s="163" t="s">
        <v>37</v>
      </c>
      <c r="O1590" s="163" t="s">
        <v>38</v>
      </c>
      <c r="P1590" s="163" t="s">
        <v>39</v>
      </c>
      <c r="Q1590" s="33">
        <v>46050</v>
      </c>
      <c r="R1590" s="45"/>
      <c r="S1590" s="45"/>
      <c r="T1590" s="45"/>
      <c r="U1590" s="45"/>
      <c r="V159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1" spans="1:22">
      <c r="A1591" s="156">
        <v>46043</v>
      </c>
      <c r="B1591" s="45" t="s">
        <v>1098</v>
      </c>
      <c r="C1591" s="45" t="s">
        <v>1189</v>
      </c>
      <c r="D1591" s="45" t="s">
        <v>2052</v>
      </c>
      <c r="E1591" s="45">
        <v>85132</v>
      </c>
      <c r="F1591" s="45" t="s">
        <v>3778</v>
      </c>
      <c r="G1591" s="158" t="s">
        <v>3836</v>
      </c>
      <c r="H1591" s="162" t="s">
        <v>6467</v>
      </c>
      <c r="I1591" s="163" t="s">
        <v>3779</v>
      </c>
      <c r="J1591" s="163" t="s">
        <v>37</v>
      </c>
      <c r="K1591" s="163" t="s">
        <v>37</v>
      </c>
      <c r="L1591" s="163" t="s">
        <v>38</v>
      </c>
      <c r="M1591" s="163" t="s">
        <v>37</v>
      </c>
      <c r="N1591" s="163" t="s">
        <v>37</v>
      </c>
      <c r="O1591" s="163" t="s">
        <v>38</v>
      </c>
      <c r="P1591" s="163" t="s">
        <v>39</v>
      </c>
      <c r="Q1591" s="33">
        <v>46050</v>
      </c>
      <c r="R1591" s="45"/>
      <c r="S1591" s="45"/>
      <c r="T1591" s="45"/>
      <c r="U1591" s="45"/>
      <c r="V159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2" spans="1:22">
      <c r="A1592" s="156">
        <v>46043</v>
      </c>
      <c r="B1592" s="45" t="s">
        <v>3932</v>
      </c>
      <c r="C1592" s="45" t="s">
        <v>3933</v>
      </c>
      <c r="D1592" s="45" t="s">
        <v>1776</v>
      </c>
      <c r="E1592" s="45">
        <v>86333</v>
      </c>
      <c r="F1592" s="45" t="s">
        <v>3934</v>
      </c>
      <c r="G1592" s="158" t="s">
        <v>3836</v>
      </c>
      <c r="H1592" s="162" t="s">
        <v>27</v>
      </c>
      <c r="I1592" s="163"/>
      <c r="J1592" s="163"/>
      <c r="K1592" s="163"/>
      <c r="L1592" s="163"/>
      <c r="M1592" s="163"/>
      <c r="N1592" s="163"/>
      <c r="O1592" s="163"/>
      <c r="P1592" s="163"/>
      <c r="Q1592" s="18"/>
      <c r="R1592" s="45"/>
      <c r="S1592" s="45"/>
      <c r="T1592" s="45"/>
      <c r="U1592" s="45"/>
      <c r="V159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3" spans="1:22">
      <c r="A1593" s="156">
        <v>46043</v>
      </c>
      <c r="B1593" s="45" t="s">
        <v>3935</v>
      </c>
      <c r="C1593" s="45" t="s">
        <v>75</v>
      </c>
      <c r="D1593" s="45" t="s">
        <v>93</v>
      </c>
      <c r="E1593" s="45">
        <v>85351</v>
      </c>
      <c r="F1593" s="45" t="s">
        <v>3936</v>
      </c>
      <c r="G1593" s="158" t="s">
        <v>3836</v>
      </c>
      <c r="H1593" s="162" t="s">
        <v>27</v>
      </c>
      <c r="I1593" s="163"/>
      <c r="J1593" s="163"/>
      <c r="K1593" s="163"/>
      <c r="L1593" s="163"/>
      <c r="M1593" s="163"/>
      <c r="N1593" s="163"/>
      <c r="O1593" s="163"/>
      <c r="P1593" s="163"/>
      <c r="Q1593" s="18"/>
      <c r="R1593" s="45"/>
      <c r="S1593" s="45"/>
      <c r="T1593" s="45"/>
      <c r="U1593" s="45"/>
      <c r="V159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4" spans="1:22">
      <c r="A1594" s="156">
        <v>46043</v>
      </c>
      <c r="B1594" s="45" t="s">
        <v>1818</v>
      </c>
      <c r="C1594" s="45" t="s">
        <v>744</v>
      </c>
      <c r="D1594" s="45" t="s">
        <v>1819</v>
      </c>
      <c r="E1594" s="45">
        <v>86327</v>
      </c>
      <c r="F1594" s="45" t="s">
        <v>3937</v>
      </c>
      <c r="G1594" s="158" t="s">
        <v>3836</v>
      </c>
      <c r="H1594" s="162" t="s">
        <v>6127</v>
      </c>
      <c r="I1594" s="163" t="s">
        <v>126</v>
      </c>
      <c r="J1594" s="163" t="s">
        <v>37</v>
      </c>
      <c r="K1594" s="163" t="s">
        <v>37</v>
      </c>
      <c r="L1594" s="163" t="s">
        <v>3938</v>
      </c>
      <c r="M1594" s="163" t="s">
        <v>37</v>
      </c>
      <c r="N1594" s="163" t="s">
        <v>37</v>
      </c>
      <c r="O1594" s="163" t="s">
        <v>38</v>
      </c>
      <c r="P1594" s="163" t="s">
        <v>39</v>
      </c>
      <c r="Q1594" s="33">
        <v>46050</v>
      </c>
      <c r="R1594" s="45"/>
      <c r="S1594" s="45"/>
      <c r="T1594" s="45"/>
      <c r="U1594" s="45"/>
      <c r="V159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5" spans="1:22">
      <c r="A1595" s="156">
        <v>46043</v>
      </c>
      <c r="B1595" s="45" t="s">
        <v>3939</v>
      </c>
      <c r="C1595" s="45" t="s">
        <v>2943</v>
      </c>
      <c r="D1595" s="45" t="s">
        <v>63</v>
      </c>
      <c r="E1595" s="45">
        <v>85014</v>
      </c>
      <c r="F1595" s="45" t="s">
        <v>3940</v>
      </c>
      <c r="G1595" s="158" t="s">
        <v>3836</v>
      </c>
      <c r="H1595" s="162" t="s">
        <v>6468</v>
      </c>
      <c r="I1595" s="163" t="s">
        <v>3357</v>
      </c>
      <c r="J1595" s="163" t="s">
        <v>37</v>
      </c>
      <c r="K1595" s="163" t="s">
        <v>37</v>
      </c>
      <c r="L1595" s="163" t="s">
        <v>387</v>
      </c>
      <c r="M1595" s="163" t="s">
        <v>37</v>
      </c>
      <c r="N1595" s="163" t="s">
        <v>37</v>
      </c>
      <c r="O1595" s="163" t="s">
        <v>38</v>
      </c>
      <c r="P1595" s="163" t="s">
        <v>39</v>
      </c>
      <c r="Q1595" s="33">
        <v>46050</v>
      </c>
      <c r="R1595" s="45"/>
      <c r="S1595" s="45"/>
      <c r="T1595" s="45"/>
      <c r="U1595" s="45"/>
      <c r="V159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6" spans="1:22">
      <c r="A1596" s="156">
        <v>46043</v>
      </c>
      <c r="B1596" s="45" t="s">
        <v>3941</v>
      </c>
      <c r="C1596" s="45" t="s">
        <v>328</v>
      </c>
      <c r="D1596" s="45" t="s">
        <v>112</v>
      </c>
      <c r="E1596" s="45">
        <v>85379</v>
      </c>
      <c r="F1596" s="45" t="s">
        <v>3942</v>
      </c>
      <c r="G1596" s="158" t="s">
        <v>3836</v>
      </c>
      <c r="H1596" s="162" t="s">
        <v>6469</v>
      </c>
      <c r="I1596" s="163" t="s">
        <v>36</v>
      </c>
      <c r="J1596" s="163" t="s">
        <v>38</v>
      </c>
      <c r="K1596" s="163" t="s">
        <v>37</v>
      </c>
      <c r="L1596" s="163" t="s">
        <v>38</v>
      </c>
      <c r="M1596" s="163" t="s">
        <v>37</v>
      </c>
      <c r="N1596" s="163" t="s">
        <v>37</v>
      </c>
      <c r="O1596" s="163" t="s">
        <v>38</v>
      </c>
      <c r="P1596" s="163" t="s">
        <v>39</v>
      </c>
      <c r="Q1596" s="33">
        <v>46050</v>
      </c>
      <c r="R1596" s="45"/>
      <c r="S1596" s="45"/>
      <c r="T1596" s="45"/>
      <c r="U1596" s="45"/>
      <c r="V159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7" spans="1:22">
      <c r="A1597" s="156">
        <v>46043</v>
      </c>
      <c r="B1597" s="45" t="s">
        <v>3943</v>
      </c>
      <c r="C1597" s="45" t="s">
        <v>469</v>
      </c>
      <c r="D1597" s="45" t="s">
        <v>63</v>
      </c>
      <c r="E1597" s="45">
        <v>85029</v>
      </c>
      <c r="F1597" s="45" t="s">
        <v>3944</v>
      </c>
      <c r="G1597" s="158" t="s">
        <v>3836</v>
      </c>
      <c r="H1597" s="162" t="s">
        <v>6128</v>
      </c>
      <c r="I1597" s="163" t="s">
        <v>196</v>
      </c>
      <c r="J1597" s="163" t="s">
        <v>38</v>
      </c>
      <c r="K1597" s="163" t="s">
        <v>37</v>
      </c>
      <c r="L1597" s="163" t="s">
        <v>3945</v>
      </c>
      <c r="M1597" s="163" t="s">
        <v>37</v>
      </c>
      <c r="N1597" s="163" t="s">
        <v>37</v>
      </c>
      <c r="O1597" s="163" t="s">
        <v>38</v>
      </c>
      <c r="P1597" s="163" t="s">
        <v>39</v>
      </c>
      <c r="Q1597" s="33">
        <v>46050</v>
      </c>
      <c r="R1597" s="45"/>
      <c r="S1597" s="45"/>
      <c r="T1597" s="45"/>
      <c r="U1597" s="45"/>
      <c r="V159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8" spans="1:22">
      <c r="A1598" s="156">
        <v>46044</v>
      </c>
      <c r="B1598" s="45" t="s">
        <v>1930</v>
      </c>
      <c r="C1598" s="45" t="s">
        <v>1119</v>
      </c>
      <c r="D1598" s="45" t="s">
        <v>112</v>
      </c>
      <c r="E1598" s="45">
        <v>85387</v>
      </c>
      <c r="F1598" s="45" t="s">
        <v>3946</v>
      </c>
      <c r="G1598" s="158" t="s">
        <v>3947</v>
      </c>
      <c r="H1598" s="162" t="s">
        <v>27</v>
      </c>
      <c r="I1598" s="163"/>
      <c r="J1598" s="163"/>
      <c r="K1598" s="163"/>
      <c r="L1598" s="163"/>
      <c r="M1598" s="163"/>
      <c r="N1598" s="163"/>
      <c r="O1598" s="163"/>
      <c r="P1598" s="163"/>
      <c r="Q1598" s="18"/>
      <c r="R1598" s="45"/>
      <c r="S1598" s="45"/>
      <c r="T1598" s="45"/>
      <c r="U1598" s="45"/>
      <c r="V159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599" spans="1:22">
      <c r="A1599" s="156">
        <v>46044</v>
      </c>
      <c r="B1599" s="45" t="s">
        <v>3948</v>
      </c>
      <c r="C1599" s="45" t="s">
        <v>1607</v>
      </c>
      <c r="D1599" s="45" t="s">
        <v>632</v>
      </c>
      <c r="E1599" s="45">
        <v>85281</v>
      </c>
      <c r="F1599" s="45" t="s">
        <v>3949</v>
      </c>
      <c r="G1599" s="158" t="s">
        <v>3947</v>
      </c>
      <c r="H1599" s="162" t="s">
        <v>6470</v>
      </c>
      <c r="I1599" s="163" t="s">
        <v>36</v>
      </c>
      <c r="J1599" s="163" t="s">
        <v>37</v>
      </c>
      <c r="K1599" s="163" t="s">
        <v>37</v>
      </c>
      <c r="L1599" s="163" t="s">
        <v>38</v>
      </c>
      <c r="M1599" s="163" t="s">
        <v>37</v>
      </c>
      <c r="N1599" s="163" t="s">
        <v>37</v>
      </c>
      <c r="O1599" s="163" t="s">
        <v>38</v>
      </c>
      <c r="P1599" s="163" t="s">
        <v>39</v>
      </c>
      <c r="Q1599" s="33">
        <v>46050</v>
      </c>
      <c r="R1599" s="45"/>
      <c r="S1599" s="45"/>
      <c r="T1599" s="45"/>
      <c r="U1599" s="45"/>
      <c r="V159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0" spans="1:22">
      <c r="A1600" s="156">
        <v>46044</v>
      </c>
      <c r="B1600" s="45" t="s">
        <v>899</v>
      </c>
      <c r="C1600" s="45" t="s">
        <v>312</v>
      </c>
      <c r="D1600" s="45" t="s">
        <v>240</v>
      </c>
      <c r="E1600" s="45">
        <v>85340</v>
      </c>
      <c r="F1600" s="45" t="s">
        <v>3950</v>
      </c>
      <c r="G1600" s="158" t="s">
        <v>3947</v>
      </c>
      <c r="H1600" s="162" t="s">
        <v>27</v>
      </c>
      <c r="I1600" s="163"/>
      <c r="J1600" s="163"/>
      <c r="K1600" s="163"/>
      <c r="L1600" s="163"/>
      <c r="M1600" s="163"/>
      <c r="N1600" s="163"/>
      <c r="O1600" s="163"/>
      <c r="P1600" s="163"/>
      <c r="Q1600" s="18"/>
      <c r="R1600" s="45"/>
      <c r="S1600" s="45"/>
      <c r="T1600" s="45"/>
      <c r="U1600" s="45"/>
      <c r="V160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1" spans="1:22">
      <c r="A1601" s="156">
        <v>46044</v>
      </c>
      <c r="B1601" s="45" t="s">
        <v>3951</v>
      </c>
      <c r="C1601" s="45" t="s">
        <v>2166</v>
      </c>
      <c r="D1601" s="45" t="s">
        <v>125</v>
      </c>
      <c r="E1601" s="45">
        <v>85254</v>
      </c>
      <c r="F1601" s="45" t="s">
        <v>3952</v>
      </c>
      <c r="G1601" s="158" t="s">
        <v>3947</v>
      </c>
      <c r="H1601" s="162" t="s">
        <v>6471</v>
      </c>
      <c r="I1601" s="163" t="s">
        <v>3682</v>
      </c>
      <c r="J1601" s="163" t="s">
        <v>37</v>
      </c>
      <c r="K1601" s="163" t="s">
        <v>37</v>
      </c>
      <c r="L1601" s="163" t="s">
        <v>387</v>
      </c>
      <c r="M1601" s="163" t="s">
        <v>37</v>
      </c>
      <c r="N1601" s="163" t="s">
        <v>37</v>
      </c>
      <c r="O1601" s="163" t="s">
        <v>38</v>
      </c>
      <c r="P1601" s="163" t="s">
        <v>39</v>
      </c>
      <c r="Q1601" s="33">
        <v>46050</v>
      </c>
      <c r="R1601" s="45"/>
      <c r="S1601" s="45"/>
      <c r="T1601" s="45"/>
      <c r="U1601" s="45"/>
      <c r="V160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2" spans="1:22">
      <c r="A1602" s="156">
        <v>46045</v>
      </c>
      <c r="B1602" s="45" t="s">
        <v>3953</v>
      </c>
      <c r="C1602" s="45" t="s">
        <v>438</v>
      </c>
      <c r="D1602" s="45" t="s">
        <v>85</v>
      </c>
      <c r="E1602" s="45">
        <v>86323</v>
      </c>
      <c r="F1602" s="45" t="s">
        <v>3954</v>
      </c>
      <c r="G1602" s="158" t="s">
        <v>3955</v>
      </c>
      <c r="H1602" s="162" t="s">
        <v>27</v>
      </c>
      <c r="I1602" s="163"/>
      <c r="J1602" s="163"/>
      <c r="K1602" s="163"/>
      <c r="L1602" s="163"/>
      <c r="M1602" s="163"/>
      <c r="N1602" s="163"/>
      <c r="O1602" s="163"/>
      <c r="P1602" s="163"/>
      <c r="Q1602" s="18"/>
      <c r="R1602" s="45"/>
      <c r="S1602" s="45"/>
      <c r="T1602" s="45"/>
      <c r="U1602" s="45"/>
      <c r="V160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3" spans="1:22">
      <c r="A1603" s="156">
        <v>46045</v>
      </c>
      <c r="B1603" s="45" t="s">
        <v>3956</v>
      </c>
      <c r="C1603" s="45" t="s">
        <v>478</v>
      </c>
      <c r="D1603" s="45" t="s">
        <v>1776</v>
      </c>
      <c r="E1603" s="45">
        <v>86333</v>
      </c>
      <c r="F1603" s="45" t="s">
        <v>3957</v>
      </c>
      <c r="G1603" s="158" t="s">
        <v>3955</v>
      </c>
      <c r="H1603" s="162" t="s">
        <v>6472</v>
      </c>
      <c r="I1603" s="163" t="s">
        <v>73</v>
      </c>
      <c r="J1603" s="163" t="s">
        <v>37</v>
      </c>
      <c r="K1603" s="163" t="s">
        <v>37</v>
      </c>
      <c r="L1603" s="163" t="s">
        <v>38</v>
      </c>
      <c r="M1603" s="163" t="s">
        <v>37</v>
      </c>
      <c r="N1603" s="163" t="s">
        <v>37</v>
      </c>
      <c r="O1603" s="163" t="s">
        <v>38</v>
      </c>
      <c r="P1603" s="163" t="s">
        <v>39</v>
      </c>
      <c r="Q1603" s="33">
        <v>46050</v>
      </c>
      <c r="R1603" s="45"/>
      <c r="S1603" s="45"/>
      <c r="T1603" s="45"/>
      <c r="U1603" s="45"/>
      <c r="V160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4" spans="1:22">
      <c r="A1604" s="156">
        <v>46045</v>
      </c>
      <c r="B1604" s="45" t="s">
        <v>3958</v>
      </c>
      <c r="C1604" s="45" t="s">
        <v>284</v>
      </c>
      <c r="D1604" s="45" t="s">
        <v>632</v>
      </c>
      <c r="E1604" s="45">
        <v>85282</v>
      </c>
      <c r="F1604" s="45" t="s">
        <v>3959</v>
      </c>
      <c r="G1604" s="158" t="s">
        <v>3955</v>
      </c>
      <c r="H1604" s="162" t="s">
        <v>27</v>
      </c>
      <c r="I1604" s="163"/>
      <c r="J1604" s="163"/>
      <c r="K1604" s="163"/>
      <c r="L1604" s="163"/>
      <c r="M1604" s="163"/>
      <c r="N1604" s="163"/>
      <c r="O1604" s="163"/>
      <c r="P1604" s="163"/>
      <c r="Q1604" s="18"/>
      <c r="R1604" s="45"/>
      <c r="S1604" s="45"/>
      <c r="T1604" s="45"/>
      <c r="U1604" s="45"/>
      <c r="V160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5" spans="1:22">
      <c r="A1605" s="156">
        <v>46045</v>
      </c>
      <c r="B1605" s="45" t="s">
        <v>3960</v>
      </c>
      <c r="C1605" s="45" t="s">
        <v>1395</v>
      </c>
      <c r="D1605" s="45" t="s">
        <v>1776</v>
      </c>
      <c r="E1605" s="45">
        <v>86333</v>
      </c>
      <c r="F1605" s="45" t="s">
        <v>3957</v>
      </c>
      <c r="G1605" s="158" t="s">
        <v>3955</v>
      </c>
      <c r="H1605" s="162" t="s">
        <v>6472</v>
      </c>
      <c r="I1605" s="163" t="s">
        <v>73</v>
      </c>
      <c r="J1605" s="163" t="s">
        <v>37</v>
      </c>
      <c r="K1605" s="163" t="s">
        <v>37</v>
      </c>
      <c r="L1605" s="163" t="s">
        <v>38</v>
      </c>
      <c r="M1605" s="163" t="s">
        <v>37</v>
      </c>
      <c r="N1605" s="163" t="s">
        <v>37</v>
      </c>
      <c r="O1605" s="163" t="s">
        <v>38</v>
      </c>
      <c r="P1605" s="163" t="s">
        <v>39</v>
      </c>
      <c r="Q1605" s="33">
        <v>46050</v>
      </c>
      <c r="R1605" s="45"/>
      <c r="S1605" s="45"/>
      <c r="T1605" s="45"/>
      <c r="U1605" s="45"/>
      <c r="V160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6" spans="1:22">
      <c r="A1606" s="156">
        <v>46045</v>
      </c>
      <c r="B1606" s="45" t="s">
        <v>3961</v>
      </c>
      <c r="C1606" s="45" t="s">
        <v>133</v>
      </c>
      <c r="D1606" s="45" t="s">
        <v>2207</v>
      </c>
      <c r="E1606" s="45">
        <v>85087</v>
      </c>
      <c r="F1606" s="45" t="s">
        <v>3962</v>
      </c>
      <c r="G1606" s="158" t="s">
        <v>3963</v>
      </c>
      <c r="H1606" s="162" t="s">
        <v>6473</v>
      </c>
      <c r="I1606" s="163" t="s">
        <v>538</v>
      </c>
      <c r="J1606" s="163" t="s">
        <v>37</v>
      </c>
      <c r="K1606" s="163" t="s">
        <v>37</v>
      </c>
      <c r="L1606" s="163" t="s">
        <v>387</v>
      </c>
      <c r="M1606" s="163" t="s">
        <v>37</v>
      </c>
      <c r="N1606" s="163" t="s">
        <v>37</v>
      </c>
      <c r="O1606" s="163" t="s">
        <v>38</v>
      </c>
      <c r="P1606" s="163" t="s">
        <v>39</v>
      </c>
      <c r="Q1606" s="33">
        <v>46050</v>
      </c>
      <c r="R1606" s="45"/>
      <c r="S1606" s="45"/>
      <c r="T1606" s="45"/>
      <c r="U1606" s="45"/>
      <c r="V160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7" spans="1:22">
      <c r="A1607" s="156">
        <v>46045</v>
      </c>
      <c r="B1607" s="45" t="s">
        <v>3964</v>
      </c>
      <c r="C1607" s="45" t="s">
        <v>3965</v>
      </c>
      <c r="D1607" s="45" t="s">
        <v>63</v>
      </c>
      <c r="E1607" s="45">
        <v>85027</v>
      </c>
      <c r="F1607" s="45" t="s">
        <v>3966</v>
      </c>
      <c r="G1607" s="158" t="s">
        <v>3967</v>
      </c>
      <c r="H1607" s="162" t="s">
        <v>6474</v>
      </c>
      <c r="I1607" s="163" t="s">
        <v>538</v>
      </c>
      <c r="J1607" s="163" t="s">
        <v>38</v>
      </c>
      <c r="K1607" s="163" t="s">
        <v>37</v>
      </c>
      <c r="L1607" s="163" t="s">
        <v>387</v>
      </c>
      <c r="M1607" s="163" t="s">
        <v>37</v>
      </c>
      <c r="N1607" s="163" t="s">
        <v>37</v>
      </c>
      <c r="O1607" s="163" t="s">
        <v>38</v>
      </c>
      <c r="P1607" s="163" t="s">
        <v>39</v>
      </c>
      <c r="Q1607" s="33">
        <v>46050</v>
      </c>
      <c r="R1607" s="45"/>
      <c r="S1607" s="45"/>
      <c r="T1607" s="45"/>
      <c r="U1607" s="45"/>
      <c r="V160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8" spans="1:22">
      <c r="A1608" s="156">
        <v>46045</v>
      </c>
      <c r="B1608" s="45" t="s">
        <v>3968</v>
      </c>
      <c r="C1608" s="45" t="s">
        <v>291</v>
      </c>
      <c r="D1608" s="45" t="s">
        <v>125</v>
      </c>
      <c r="E1608" s="45">
        <v>85260</v>
      </c>
      <c r="F1608" s="45" t="s">
        <v>3969</v>
      </c>
      <c r="G1608" s="158" t="s">
        <v>3967</v>
      </c>
      <c r="H1608" s="162" t="s">
        <v>6475</v>
      </c>
      <c r="I1608" s="163" t="s">
        <v>73</v>
      </c>
      <c r="J1608" s="163" t="s">
        <v>37</v>
      </c>
      <c r="K1608" s="163" t="s">
        <v>37</v>
      </c>
      <c r="L1608" s="163" t="s">
        <v>38</v>
      </c>
      <c r="M1608" s="163" t="s">
        <v>37</v>
      </c>
      <c r="N1608" s="163" t="s">
        <v>37</v>
      </c>
      <c r="O1608" s="163" t="s">
        <v>38</v>
      </c>
      <c r="P1608" s="163" t="s">
        <v>39</v>
      </c>
      <c r="Q1608" s="33">
        <v>46050</v>
      </c>
      <c r="R1608" s="45"/>
      <c r="S1608" s="45"/>
      <c r="T1608" s="45"/>
      <c r="U1608" s="45"/>
      <c r="V160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09" spans="1:22">
      <c r="A1609" s="156">
        <v>46048</v>
      </c>
      <c r="B1609" s="45" t="s">
        <v>3970</v>
      </c>
      <c r="C1609" s="45" t="s">
        <v>488</v>
      </c>
      <c r="D1609" s="45" t="s">
        <v>261</v>
      </c>
      <c r="E1609" s="45">
        <v>86312</v>
      </c>
      <c r="F1609" s="45" t="s">
        <v>3971</v>
      </c>
      <c r="G1609" s="158" t="s">
        <v>3972</v>
      </c>
      <c r="H1609" s="162" t="s">
        <v>27</v>
      </c>
      <c r="I1609" s="163"/>
      <c r="J1609" s="163"/>
      <c r="K1609" s="163"/>
      <c r="L1609" s="163"/>
      <c r="M1609" s="163"/>
      <c r="N1609" s="163"/>
      <c r="O1609" s="163"/>
      <c r="P1609" s="163"/>
      <c r="Q1609" s="18"/>
      <c r="R1609" s="45"/>
      <c r="S1609" s="45"/>
      <c r="T1609" s="45"/>
      <c r="U1609" s="45"/>
      <c r="V160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0" spans="1:22">
      <c r="A1610" s="156">
        <v>46048</v>
      </c>
      <c r="B1610" s="45" t="s">
        <v>3973</v>
      </c>
      <c r="C1610" s="45" t="s">
        <v>2547</v>
      </c>
      <c r="D1610" s="45" t="s">
        <v>734</v>
      </c>
      <c r="E1610" s="45">
        <v>86326</v>
      </c>
      <c r="F1610" s="45" t="s">
        <v>3974</v>
      </c>
      <c r="G1610" s="158" t="s">
        <v>3972</v>
      </c>
      <c r="H1610" s="162" t="s">
        <v>6129</v>
      </c>
      <c r="I1610" s="163" t="s">
        <v>126</v>
      </c>
      <c r="J1610" s="163" t="s">
        <v>38</v>
      </c>
      <c r="K1610" s="163" t="s">
        <v>37</v>
      </c>
      <c r="L1610" s="163" t="s">
        <v>3975</v>
      </c>
      <c r="M1610" s="163" t="s">
        <v>37</v>
      </c>
      <c r="N1610" s="163" t="s">
        <v>37</v>
      </c>
      <c r="O1610" s="163" t="s">
        <v>38</v>
      </c>
      <c r="P1610" s="163"/>
      <c r="Q1610" s="18"/>
      <c r="R1610" s="45"/>
      <c r="S1610" s="45"/>
      <c r="T1610" s="45"/>
      <c r="U1610" s="45"/>
      <c r="V161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1" spans="1:22">
      <c r="A1611" s="156">
        <v>46048</v>
      </c>
      <c r="B1611" s="45" t="s">
        <v>3976</v>
      </c>
      <c r="C1611" s="45" t="s">
        <v>765</v>
      </c>
      <c r="D1611" s="45" t="s">
        <v>369</v>
      </c>
      <c r="E1611" s="45">
        <v>85226</v>
      </c>
      <c r="F1611" s="45" t="s">
        <v>3977</v>
      </c>
      <c r="G1611" s="158" t="s">
        <v>3972</v>
      </c>
      <c r="H1611" s="162" t="s">
        <v>27</v>
      </c>
      <c r="I1611" s="163"/>
      <c r="J1611" s="163"/>
      <c r="K1611" s="163"/>
      <c r="L1611" s="163"/>
      <c r="M1611" s="163"/>
      <c r="N1611" s="163"/>
      <c r="O1611" s="163"/>
      <c r="P1611" s="163"/>
      <c r="Q1611" s="18"/>
      <c r="R1611" s="45"/>
      <c r="S1611" s="45"/>
      <c r="T1611" s="45"/>
      <c r="U1611" s="45"/>
      <c r="V161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2" spans="1:22">
      <c r="A1612" s="156">
        <v>46048</v>
      </c>
      <c r="B1612" s="45" t="s">
        <v>3978</v>
      </c>
      <c r="C1612" s="45" t="s">
        <v>3979</v>
      </c>
      <c r="D1612" s="45" t="s">
        <v>807</v>
      </c>
      <c r="E1612" s="45">
        <v>86303</v>
      </c>
      <c r="F1612" s="45" t="s">
        <v>3980</v>
      </c>
      <c r="G1612" s="158" t="s">
        <v>3972</v>
      </c>
      <c r="H1612" s="162" t="s">
        <v>6476</v>
      </c>
      <c r="I1612" s="163" t="s">
        <v>126</v>
      </c>
      <c r="J1612" s="163" t="s">
        <v>37</v>
      </c>
      <c r="K1612" s="163" t="s">
        <v>37</v>
      </c>
      <c r="L1612" s="163" t="s">
        <v>38</v>
      </c>
      <c r="M1612" s="163" t="s">
        <v>37</v>
      </c>
      <c r="N1612" s="163" t="s">
        <v>37</v>
      </c>
      <c r="O1612" s="163" t="s">
        <v>38</v>
      </c>
      <c r="P1612" s="163" t="s">
        <v>39</v>
      </c>
      <c r="Q1612" s="33">
        <v>46050</v>
      </c>
      <c r="R1612" s="45"/>
      <c r="S1612" s="45"/>
      <c r="T1612" s="45"/>
      <c r="U1612" s="45"/>
      <c r="V161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3" spans="1:22">
      <c r="A1613" s="156">
        <v>46048</v>
      </c>
      <c r="B1613" s="45" t="s">
        <v>1663</v>
      </c>
      <c r="C1613" s="45" t="s">
        <v>1664</v>
      </c>
      <c r="D1613" s="45" t="s">
        <v>63</v>
      </c>
      <c r="E1613" s="45">
        <v>85024</v>
      </c>
      <c r="F1613" s="45" t="s">
        <v>3981</v>
      </c>
      <c r="G1613" s="158" t="s">
        <v>3972</v>
      </c>
      <c r="H1613" s="162" t="s">
        <v>6233</v>
      </c>
      <c r="I1613" s="163" t="s">
        <v>3779</v>
      </c>
      <c r="J1613" s="163" t="s">
        <v>37</v>
      </c>
      <c r="K1613" s="163" t="s">
        <v>37</v>
      </c>
      <c r="L1613" s="163" t="s">
        <v>38</v>
      </c>
      <c r="M1613" s="163" t="s">
        <v>37</v>
      </c>
      <c r="N1613" s="163" t="s">
        <v>37</v>
      </c>
      <c r="O1613" s="163" t="s">
        <v>38</v>
      </c>
      <c r="P1613" s="163" t="s">
        <v>39</v>
      </c>
      <c r="Q1613" s="33">
        <v>46050</v>
      </c>
      <c r="R1613" s="45"/>
      <c r="S1613" s="45"/>
      <c r="T1613" s="45"/>
      <c r="U1613" s="45"/>
      <c r="V161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4" spans="1:22">
      <c r="A1614" s="156">
        <v>46048</v>
      </c>
      <c r="B1614" s="45" t="s">
        <v>2281</v>
      </c>
      <c r="C1614" s="45" t="s">
        <v>621</v>
      </c>
      <c r="D1614" s="45" t="s">
        <v>24</v>
      </c>
      <c r="E1614" s="45">
        <v>85310</v>
      </c>
      <c r="F1614" s="45" t="s">
        <v>3982</v>
      </c>
      <c r="G1614" s="158" t="s">
        <v>3972</v>
      </c>
      <c r="H1614" s="162" t="s">
        <v>6089</v>
      </c>
      <c r="I1614" s="163" t="s">
        <v>36</v>
      </c>
      <c r="J1614" s="163" t="s">
        <v>37</v>
      </c>
      <c r="K1614" s="163" t="s">
        <v>37</v>
      </c>
      <c r="L1614" s="163" t="s">
        <v>38</v>
      </c>
      <c r="M1614" s="163" t="s">
        <v>37</v>
      </c>
      <c r="N1614" s="163" t="s">
        <v>37</v>
      </c>
      <c r="O1614" s="163" t="s">
        <v>38</v>
      </c>
      <c r="P1614" s="163" t="s">
        <v>39</v>
      </c>
      <c r="Q1614" s="33">
        <v>46050</v>
      </c>
      <c r="R1614" s="45"/>
      <c r="S1614" s="45"/>
      <c r="T1614" s="45"/>
      <c r="U1614" s="45"/>
      <c r="V161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5" spans="1:22">
      <c r="A1615" s="156">
        <v>46048</v>
      </c>
      <c r="B1615" s="45" t="s">
        <v>366</v>
      </c>
      <c r="C1615" s="45" t="s">
        <v>3983</v>
      </c>
      <c r="D1615" s="45" t="s">
        <v>63</v>
      </c>
      <c r="E1615" s="45">
        <v>85043</v>
      </c>
      <c r="F1615" s="45" t="s">
        <v>3984</v>
      </c>
      <c r="G1615" s="158" t="s">
        <v>3985</v>
      </c>
      <c r="H1615" s="162" t="s">
        <v>27</v>
      </c>
      <c r="I1615" s="163"/>
      <c r="J1615" s="163"/>
      <c r="K1615" s="163"/>
      <c r="L1615" s="163"/>
      <c r="M1615" s="163"/>
      <c r="N1615" s="163"/>
      <c r="O1615" s="163"/>
      <c r="P1615" s="163"/>
      <c r="Q1615" s="18"/>
      <c r="R1615" s="45"/>
      <c r="S1615" s="45"/>
      <c r="T1615" s="45"/>
      <c r="U1615" s="45"/>
      <c r="V161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6" spans="1:22">
      <c r="A1616" s="156">
        <v>46048</v>
      </c>
      <c r="B1616" s="45" t="s">
        <v>3986</v>
      </c>
      <c r="C1616" s="45" t="s">
        <v>933</v>
      </c>
      <c r="D1616" s="45" t="s">
        <v>68</v>
      </c>
      <c r="E1616" s="45">
        <v>85331</v>
      </c>
      <c r="F1616" s="45" t="s">
        <v>3987</v>
      </c>
      <c r="G1616" s="158" t="s">
        <v>3985</v>
      </c>
      <c r="H1616" s="162" t="s">
        <v>6477</v>
      </c>
      <c r="I1616" s="163" t="s">
        <v>538</v>
      </c>
      <c r="J1616" s="163" t="s">
        <v>37</v>
      </c>
      <c r="K1616" s="163" t="s">
        <v>37</v>
      </c>
      <c r="L1616" s="163" t="s">
        <v>387</v>
      </c>
      <c r="M1616" s="163" t="s">
        <v>37</v>
      </c>
      <c r="N1616" s="163" t="s">
        <v>37</v>
      </c>
      <c r="O1616" s="163" t="s">
        <v>38</v>
      </c>
      <c r="P1616" s="163" t="s">
        <v>39</v>
      </c>
      <c r="Q1616" s="33">
        <v>46050</v>
      </c>
      <c r="R1616" s="45"/>
      <c r="S1616" s="45"/>
      <c r="T1616" s="45"/>
      <c r="U1616" s="45"/>
      <c r="V161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7" spans="1:23">
      <c r="A1617" s="156">
        <v>46048</v>
      </c>
      <c r="B1617" s="45" t="s">
        <v>3988</v>
      </c>
      <c r="C1617" s="45" t="s">
        <v>270</v>
      </c>
      <c r="D1617" s="45" t="s">
        <v>3632</v>
      </c>
      <c r="E1617" s="45">
        <v>85029</v>
      </c>
      <c r="F1617" s="45" t="s">
        <v>3989</v>
      </c>
      <c r="G1617" s="158" t="s">
        <v>3985</v>
      </c>
      <c r="H1617" s="162" t="s">
        <v>273</v>
      </c>
      <c r="I1617" s="163" t="s">
        <v>73</v>
      </c>
      <c r="J1617" s="163" t="s">
        <v>37</v>
      </c>
      <c r="K1617" s="163" t="s">
        <v>37</v>
      </c>
      <c r="L1617" s="163" t="s">
        <v>38</v>
      </c>
      <c r="M1617" s="163" t="s">
        <v>37</v>
      </c>
      <c r="N1617" s="163" t="s">
        <v>37</v>
      </c>
      <c r="O1617" s="163" t="s">
        <v>38</v>
      </c>
      <c r="P1617" s="163" t="s">
        <v>39</v>
      </c>
      <c r="Q1617" s="33">
        <v>46050</v>
      </c>
      <c r="R1617" s="45" t="s">
        <v>3990</v>
      </c>
      <c r="S1617" s="45"/>
      <c r="T1617" s="45"/>
      <c r="U1617" s="45"/>
      <c r="V161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8" spans="1:23">
      <c r="A1618" s="156">
        <v>46049</v>
      </c>
      <c r="B1618" s="45" t="s">
        <v>3991</v>
      </c>
      <c r="C1618" s="45" t="s">
        <v>545</v>
      </c>
      <c r="D1618" s="45" t="s">
        <v>63</v>
      </c>
      <c r="E1618" s="45">
        <v>85003</v>
      </c>
      <c r="F1618" s="45" t="s">
        <v>3992</v>
      </c>
      <c r="G1618" s="158" t="s">
        <v>3993</v>
      </c>
      <c r="H1618" s="162" t="s">
        <v>6130</v>
      </c>
      <c r="I1618" s="163" t="s">
        <v>196</v>
      </c>
      <c r="J1618" s="163" t="s">
        <v>37</v>
      </c>
      <c r="K1618" s="163" t="s">
        <v>37</v>
      </c>
      <c r="L1618" s="163" t="s">
        <v>3887</v>
      </c>
      <c r="M1618" s="163" t="s">
        <v>37</v>
      </c>
      <c r="N1618" s="163" t="s">
        <v>37</v>
      </c>
      <c r="O1618" s="163" t="s">
        <v>38</v>
      </c>
      <c r="P1618" s="163" t="s">
        <v>39</v>
      </c>
      <c r="Q1618" s="33">
        <v>46050</v>
      </c>
      <c r="R1618" s="45"/>
      <c r="S1618" s="45"/>
      <c r="T1618" s="45"/>
      <c r="U1618" s="45"/>
      <c r="V161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19" spans="1:23">
      <c r="A1619" s="156">
        <v>46049</v>
      </c>
      <c r="B1619" s="45" t="s">
        <v>3994</v>
      </c>
      <c r="C1619" s="45" t="s">
        <v>2166</v>
      </c>
      <c r="D1619" s="45" t="s">
        <v>2207</v>
      </c>
      <c r="E1619" s="45">
        <v>85087</v>
      </c>
      <c r="F1619" s="45" t="s">
        <v>3995</v>
      </c>
      <c r="G1619" s="158" t="s">
        <v>3993</v>
      </c>
      <c r="H1619" s="162" t="s">
        <v>3996</v>
      </c>
      <c r="I1619" s="163" t="s">
        <v>73</v>
      </c>
      <c r="J1619" s="163" t="s">
        <v>37</v>
      </c>
      <c r="K1619" s="163" t="s">
        <v>37</v>
      </c>
      <c r="L1619" s="163" t="s">
        <v>38</v>
      </c>
      <c r="M1619" s="163" t="s">
        <v>37</v>
      </c>
      <c r="N1619" s="163" t="s">
        <v>37</v>
      </c>
      <c r="O1619" s="163" t="s">
        <v>38</v>
      </c>
      <c r="P1619" s="163" t="s">
        <v>39</v>
      </c>
      <c r="Q1619" s="33">
        <v>46050</v>
      </c>
      <c r="R1619" s="45"/>
      <c r="S1619" s="45"/>
      <c r="T1619" s="45"/>
      <c r="U1619" s="45"/>
      <c r="V161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0" spans="1:23">
      <c r="A1620" s="156">
        <v>46049</v>
      </c>
      <c r="B1620" s="45" t="s">
        <v>1770</v>
      </c>
      <c r="C1620" s="45" t="s">
        <v>1859</v>
      </c>
      <c r="D1620" s="45" t="s">
        <v>261</v>
      </c>
      <c r="E1620" s="45">
        <v>86315</v>
      </c>
      <c r="F1620" s="45" t="s">
        <v>3997</v>
      </c>
      <c r="G1620" s="158" t="s">
        <v>3993</v>
      </c>
      <c r="H1620" s="162" t="s">
        <v>6131</v>
      </c>
      <c r="I1620" s="163" t="s">
        <v>57</v>
      </c>
      <c r="J1620" s="163" t="s">
        <v>37</v>
      </c>
      <c r="K1620" s="163" t="s">
        <v>37</v>
      </c>
      <c r="L1620" s="163" t="s">
        <v>3887</v>
      </c>
      <c r="M1620" s="163" t="s">
        <v>37</v>
      </c>
      <c r="N1620" s="163" t="s">
        <v>37</v>
      </c>
      <c r="O1620" s="163" t="s">
        <v>38</v>
      </c>
      <c r="P1620" s="163" t="s">
        <v>39</v>
      </c>
      <c r="Q1620" s="41">
        <v>46050</v>
      </c>
      <c r="R1620" s="45" t="s">
        <v>3998</v>
      </c>
      <c r="S1620" s="45"/>
      <c r="T1620" s="45"/>
      <c r="U1620" s="45"/>
      <c r="V162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1" spans="1:23">
      <c r="A1621" s="156">
        <v>46049</v>
      </c>
      <c r="B1621" s="45" t="s">
        <v>3999</v>
      </c>
      <c r="C1621" s="45" t="s">
        <v>1602</v>
      </c>
      <c r="D1621" s="45" t="s">
        <v>63</v>
      </c>
      <c r="E1621" s="45">
        <v>85034</v>
      </c>
      <c r="F1621" s="45" t="s">
        <v>4000</v>
      </c>
      <c r="G1621" s="158" t="s">
        <v>4001</v>
      </c>
      <c r="H1621" s="162" t="s">
        <v>6478</v>
      </c>
      <c r="I1621" s="163" t="s">
        <v>126</v>
      </c>
      <c r="J1621" s="163" t="s">
        <v>38</v>
      </c>
      <c r="K1621" s="163" t="s">
        <v>37</v>
      </c>
      <c r="L1621" s="163" t="s">
        <v>38</v>
      </c>
      <c r="M1621" s="163" t="s">
        <v>37</v>
      </c>
      <c r="N1621" s="163" t="s">
        <v>37</v>
      </c>
      <c r="O1621" s="163" t="s">
        <v>38</v>
      </c>
      <c r="P1621" s="163"/>
      <c r="Q1621" s="41">
        <v>46050</v>
      </c>
      <c r="R1621" s="45" t="s">
        <v>4002</v>
      </c>
      <c r="S1621" s="45"/>
      <c r="T1621" s="45"/>
      <c r="U1621" s="45"/>
      <c r="V162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2" spans="1:23">
      <c r="A1622" s="156">
        <v>46049</v>
      </c>
      <c r="B1622" s="45" t="s">
        <v>3256</v>
      </c>
      <c r="C1622" s="45" t="s">
        <v>230</v>
      </c>
      <c r="D1622" s="45" t="s">
        <v>63</v>
      </c>
      <c r="E1622" s="45">
        <v>85029</v>
      </c>
      <c r="F1622" s="45" t="s">
        <v>4003</v>
      </c>
      <c r="G1622" s="158"/>
      <c r="H1622" s="162" t="s">
        <v>3258</v>
      </c>
      <c r="I1622" s="163" t="s">
        <v>126</v>
      </c>
      <c r="J1622" s="163" t="s">
        <v>37</v>
      </c>
      <c r="K1622" s="163" t="s">
        <v>37</v>
      </c>
      <c r="L1622" s="163" t="s">
        <v>38</v>
      </c>
      <c r="M1622" s="163" t="s">
        <v>37</v>
      </c>
      <c r="N1622" s="163" t="s">
        <v>37</v>
      </c>
      <c r="O1622" s="163" t="s">
        <v>38</v>
      </c>
      <c r="P1622" s="163" t="s">
        <v>39</v>
      </c>
      <c r="Q1622" s="33">
        <v>46050</v>
      </c>
      <c r="R1622" s="45"/>
      <c r="S1622" s="45"/>
      <c r="T1622" s="45"/>
      <c r="U1622" s="45"/>
      <c r="V162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3" spans="1:23">
      <c r="A1623" s="156">
        <v>46049</v>
      </c>
      <c r="B1623" s="45" t="s">
        <v>1608</v>
      </c>
      <c r="C1623" s="45" t="s">
        <v>156</v>
      </c>
      <c r="D1623" s="45" t="s">
        <v>30</v>
      </c>
      <c r="E1623" s="45" t="s">
        <v>4004</v>
      </c>
      <c r="F1623" s="45" t="s">
        <v>4005</v>
      </c>
      <c r="G1623" s="158" t="s">
        <v>4006</v>
      </c>
      <c r="H1623" s="162" t="s">
        <v>27</v>
      </c>
      <c r="I1623" s="163"/>
      <c r="J1623" s="163"/>
      <c r="K1623" s="163"/>
      <c r="L1623" s="163"/>
      <c r="M1623" s="163"/>
      <c r="N1623" s="163"/>
      <c r="O1623" s="163"/>
      <c r="P1623" s="163"/>
      <c r="Q1623" s="18"/>
      <c r="R1623" s="45" t="s">
        <v>3707</v>
      </c>
      <c r="S1623" s="45"/>
      <c r="T1623" s="45"/>
      <c r="U1623" s="45"/>
      <c r="V162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4" spans="1:23">
      <c r="A1624" s="156">
        <v>46049</v>
      </c>
      <c r="B1624" s="45" t="s">
        <v>2980</v>
      </c>
      <c r="C1624" s="45" t="s">
        <v>420</v>
      </c>
      <c r="D1624" s="45" t="s">
        <v>30</v>
      </c>
      <c r="E1624" s="45" t="s">
        <v>4004</v>
      </c>
      <c r="F1624" s="45" t="s">
        <v>4005</v>
      </c>
      <c r="G1624" s="158" t="s">
        <v>4006</v>
      </c>
      <c r="H1624" s="162" t="s">
        <v>27</v>
      </c>
      <c r="I1624" s="163"/>
      <c r="J1624" s="163"/>
      <c r="K1624" s="163"/>
      <c r="L1624" s="163"/>
      <c r="M1624" s="163"/>
      <c r="N1624" s="163"/>
      <c r="O1624" s="163"/>
      <c r="P1624" s="163"/>
      <c r="Q1624" s="18"/>
      <c r="R1624" s="45" t="s">
        <v>3707</v>
      </c>
      <c r="S1624" s="45"/>
      <c r="T1624" s="45"/>
      <c r="U1624" s="45"/>
      <c r="V162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5" spans="1:23">
      <c r="A1625" s="156">
        <v>46050</v>
      </c>
      <c r="B1625" s="45" t="s">
        <v>1039</v>
      </c>
      <c r="C1625" s="45" t="s">
        <v>4007</v>
      </c>
      <c r="D1625" s="45" t="s">
        <v>202</v>
      </c>
      <c r="E1625" s="45">
        <v>85345</v>
      </c>
      <c r="F1625" s="45" t="s">
        <v>4008</v>
      </c>
      <c r="G1625" s="158" t="s">
        <v>4009</v>
      </c>
      <c r="H1625" s="162" t="s">
        <v>4010</v>
      </c>
      <c r="I1625" s="163" t="s">
        <v>196</v>
      </c>
      <c r="J1625" s="163" t="s">
        <v>37</v>
      </c>
      <c r="K1625" s="163" t="s">
        <v>37</v>
      </c>
      <c r="L1625" s="163" t="s">
        <v>4011</v>
      </c>
      <c r="M1625" s="163" t="s">
        <v>37</v>
      </c>
      <c r="N1625" s="163" t="s">
        <v>37</v>
      </c>
      <c r="O1625" s="163" t="s">
        <v>38</v>
      </c>
      <c r="P1625" s="163"/>
      <c r="Q1625" s="41">
        <v>46051</v>
      </c>
      <c r="R1625" s="45" t="s">
        <v>4012</v>
      </c>
      <c r="S1625" s="45"/>
      <c r="T1625" s="45"/>
      <c r="U1625" s="45"/>
      <c r="V1625" s="166">
        <f>IF(
  OR(
    ISNUMBER(SEARCH("unable to locate acct", tblDocketedComments[[#This Row],[Docketed Consumer Comments]])),
    ISNUMBER(SEARCH("unknown", tblDocketedComments[[#This Row],[Docketed Consumer Comments]])),
    ISNUMBER(SEARCH("inactive", tblDocketedComments[[#This Row],[Docketed Consumer Comments]]))
  ),
  0,
  1
)</f>
        <v>1</v>
      </c>
      <c r="W1625" s="32"/>
    </row>
    <row r="1626" spans="1:23">
      <c r="A1626" s="156">
        <v>46050</v>
      </c>
      <c r="B1626" s="45" t="s">
        <v>4013</v>
      </c>
      <c r="C1626" s="45" t="s">
        <v>2464</v>
      </c>
      <c r="D1626" s="45" t="s">
        <v>616</v>
      </c>
      <c r="E1626" s="45">
        <v>85364</v>
      </c>
      <c r="F1626" s="45" t="s">
        <v>3335</v>
      </c>
      <c r="G1626" s="158" t="s">
        <v>4014</v>
      </c>
      <c r="H1626" s="162" t="s">
        <v>4015</v>
      </c>
      <c r="I1626" s="163" t="s">
        <v>196</v>
      </c>
      <c r="J1626" s="163" t="s">
        <v>37</v>
      </c>
      <c r="K1626" s="163" t="s">
        <v>37</v>
      </c>
      <c r="L1626" s="163" t="s">
        <v>4016</v>
      </c>
      <c r="M1626" s="163" t="s">
        <v>37</v>
      </c>
      <c r="N1626" s="163" t="s">
        <v>37</v>
      </c>
      <c r="O1626" s="163" t="s">
        <v>38</v>
      </c>
      <c r="P1626" s="163"/>
      <c r="Q1626" s="2">
        <v>46051</v>
      </c>
      <c r="R1626" s="45"/>
      <c r="S1626" s="45"/>
      <c r="T1626" s="45"/>
      <c r="U1626" s="45"/>
      <c r="V162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7" spans="1:23">
      <c r="A1627" s="156">
        <v>46050</v>
      </c>
      <c r="B1627" s="45" t="s">
        <v>3735</v>
      </c>
      <c r="C1627" s="45" t="s">
        <v>133</v>
      </c>
      <c r="D1627" s="45" t="s">
        <v>30</v>
      </c>
      <c r="E1627" s="45" t="s">
        <v>30</v>
      </c>
      <c r="F1627" s="45" t="s">
        <v>4017</v>
      </c>
      <c r="G1627" s="158" t="s">
        <v>4014</v>
      </c>
      <c r="H1627" s="162" t="s">
        <v>27</v>
      </c>
      <c r="I1627" s="163"/>
      <c r="J1627" s="163"/>
      <c r="K1627" s="163"/>
      <c r="L1627" s="163"/>
      <c r="M1627" s="163"/>
      <c r="N1627" s="163"/>
      <c r="O1627" s="163"/>
      <c r="P1627" s="163"/>
      <c r="R1627" s="45"/>
      <c r="S1627" s="45"/>
      <c r="T1627" s="45"/>
      <c r="U1627" s="45"/>
      <c r="V162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8" spans="1:23">
      <c r="A1628" s="156">
        <v>46050</v>
      </c>
      <c r="B1628" s="45" t="s">
        <v>4018</v>
      </c>
      <c r="C1628" s="45" t="s">
        <v>2943</v>
      </c>
      <c r="D1628" s="45" t="s">
        <v>807</v>
      </c>
      <c r="E1628" s="45">
        <v>86301</v>
      </c>
      <c r="F1628" s="45" t="s">
        <v>4019</v>
      </c>
      <c r="G1628" s="158" t="s">
        <v>4020</v>
      </c>
      <c r="H1628" s="162" t="s">
        <v>6479</v>
      </c>
      <c r="I1628" s="163" t="s">
        <v>73</v>
      </c>
      <c r="J1628" s="163" t="s">
        <v>37</v>
      </c>
      <c r="K1628" s="163" t="s">
        <v>37</v>
      </c>
      <c r="L1628" s="163" t="s">
        <v>38</v>
      </c>
      <c r="M1628" s="163" t="s">
        <v>37</v>
      </c>
      <c r="N1628" s="163" t="s">
        <v>37</v>
      </c>
      <c r="O1628" s="163" t="s">
        <v>38</v>
      </c>
      <c r="P1628" s="163" t="s">
        <v>39</v>
      </c>
      <c r="Q1628" s="2">
        <v>46051</v>
      </c>
      <c r="R1628" s="45" t="s">
        <v>3990</v>
      </c>
      <c r="S1628" s="45"/>
      <c r="T1628" s="45"/>
      <c r="U1628" s="45"/>
      <c r="V162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29" spans="1:23">
      <c r="A1629" s="156">
        <v>46050</v>
      </c>
      <c r="B1629" s="45" t="s">
        <v>4021</v>
      </c>
      <c r="C1629" s="45" t="s">
        <v>133</v>
      </c>
      <c r="D1629" s="45" t="s">
        <v>1173</v>
      </c>
      <c r="E1629" s="45">
        <v>85390</v>
      </c>
      <c r="F1629" s="45" t="s">
        <v>4022</v>
      </c>
      <c r="G1629" s="158" t="s">
        <v>4020</v>
      </c>
      <c r="H1629" s="162" t="s">
        <v>4023</v>
      </c>
      <c r="I1629" s="163" t="s">
        <v>73</v>
      </c>
      <c r="J1629" s="163" t="s">
        <v>37</v>
      </c>
      <c r="K1629" s="163" t="s">
        <v>37</v>
      </c>
      <c r="L1629" s="163" t="s">
        <v>38</v>
      </c>
      <c r="M1629" s="163" t="s">
        <v>37</v>
      </c>
      <c r="N1629" s="163" t="s">
        <v>37</v>
      </c>
      <c r="O1629" s="163" t="s">
        <v>38</v>
      </c>
      <c r="P1629" s="163" t="s">
        <v>39</v>
      </c>
      <c r="Q1629" s="2">
        <v>46051</v>
      </c>
      <c r="R1629" s="45"/>
      <c r="S1629" s="45"/>
      <c r="T1629" s="45"/>
      <c r="U1629" s="45"/>
      <c r="V162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0" spans="1:23">
      <c r="A1630" s="156">
        <v>46050</v>
      </c>
      <c r="B1630" s="45" t="s">
        <v>4024</v>
      </c>
      <c r="C1630" s="45" t="s">
        <v>225</v>
      </c>
      <c r="D1630" s="45" t="s">
        <v>1173</v>
      </c>
      <c r="E1630" s="45">
        <v>85390</v>
      </c>
      <c r="F1630" s="45" t="s">
        <v>4025</v>
      </c>
      <c r="G1630" s="158" t="s">
        <v>4020</v>
      </c>
      <c r="H1630" s="162" t="s">
        <v>4026</v>
      </c>
      <c r="I1630" s="163" t="s">
        <v>196</v>
      </c>
      <c r="J1630" s="163" t="s">
        <v>37</v>
      </c>
      <c r="K1630" s="163" t="s">
        <v>37</v>
      </c>
      <c r="L1630" s="163" t="s">
        <v>4016</v>
      </c>
      <c r="M1630" s="163" t="s">
        <v>37</v>
      </c>
      <c r="N1630" s="163" t="s">
        <v>37</v>
      </c>
      <c r="O1630" s="163" t="s">
        <v>38</v>
      </c>
      <c r="P1630" s="163" t="s">
        <v>39</v>
      </c>
      <c r="Q1630" s="2">
        <v>46051</v>
      </c>
      <c r="R1630" s="45"/>
      <c r="S1630" s="45"/>
      <c r="T1630" s="45"/>
      <c r="U1630" s="45"/>
      <c r="V163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1" spans="1:23">
      <c r="A1631" s="156">
        <v>46050</v>
      </c>
      <c r="B1631" s="45" t="s">
        <v>4027</v>
      </c>
      <c r="C1631" s="45" t="s">
        <v>822</v>
      </c>
      <c r="D1631" s="45" t="s">
        <v>63</v>
      </c>
      <c r="E1631" s="45">
        <v>85040</v>
      </c>
      <c r="F1631" s="45" t="s">
        <v>4028</v>
      </c>
      <c r="G1631" s="158" t="s">
        <v>4020</v>
      </c>
      <c r="H1631" s="162" t="s">
        <v>27</v>
      </c>
      <c r="I1631" s="163"/>
      <c r="J1631" s="163"/>
      <c r="K1631" s="163"/>
      <c r="L1631" s="163"/>
      <c r="M1631" s="163"/>
      <c r="N1631" s="163"/>
      <c r="O1631" s="163"/>
      <c r="P1631" s="163"/>
      <c r="R1631" s="45"/>
      <c r="S1631" s="45"/>
      <c r="T1631" s="45"/>
      <c r="U1631" s="45"/>
      <c r="V163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2" spans="1:23">
      <c r="A1632" s="156">
        <v>46050</v>
      </c>
      <c r="B1632" s="45" t="s">
        <v>891</v>
      </c>
      <c r="C1632" s="45" t="s">
        <v>4029</v>
      </c>
      <c r="D1632" s="45" t="s">
        <v>695</v>
      </c>
      <c r="E1632" s="45">
        <v>85375</v>
      </c>
      <c r="F1632" s="45" t="s">
        <v>4030</v>
      </c>
      <c r="G1632" s="158" t="s">
        <v>4020</v>
      </c>
      <c r="H1632" s="162" t="s">
        <v>27</v>
      </c>
      <c r="I1632" s="163"/>
      <c r="J1632" s="163"/>
      <c r="K1632" s="163"/>
      <c r="L1632" s="163"/>
      <c r="M1632" s="163"/>
      <c r="N1632" s="163"/>
      <c r="O1632" s="163"/>
      <c r="P1632" s="163"/>
      <c r="R1632" s="45"/>
      <c r="S1632" s="45"/>
      <c r="T1632" s="45"/>
      <c r="U1632" s="45"/>
      <c r="V163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3" spans="1:23">
      <c r="A1633" s="156">
        <v>46050</v>
      </c>
      <c r="B1633" s="45" t="s">
        <v>683</v>
      </c>
      <c r="C1633" s="45" t="s">
        <v>4031</v>
      </c>
      <c r="D1633" s="45" t="s">
        <v>1173</v>
      </c>
      <c r="E1633" s="45">
        <v>85390</v>
      </c>
      <c r="F1633" s="45" t="s">
        <v>4032</v>
      </c>
      <c r="G1633" s="158" t="s">
        <v>4020</v>
      </c>
      <c r="H1633" s="162" t="s">
        <v>4033</v>
      </c>
      <c r="I1633" s="163" t="s">
        <v>36</v>
      </c>
      <c r="J1633" s="163" t="s">
        <v>37</v>
      </c>
      <c r="K1633" s="163" t="s">
        <v>37</v>
      </c>
      <c r="L1633" s="163" t="s">
        <v>38</v>
      </c>
      <c r="M1633" s="163" t="s">
        <v>37</v>
      </c>
      <c r="N1633" s="163" t="s">
        <v>37</v>
      </c>
      <c r="O1633" s="163" t="s">
        <v>38</v>
      </c>
      <c r="P1633" s="163" t="s">
        <v>39</v>
      </c>
      <c r="Q1633" s="2">
        <v>46051</v>
      </c>
      <c r="R1633" s="45"/>
      <c r="S1633" s="45"/>
      <c r="T1633" s="45"/>
      <c r="U1633" s="45"/>
      <c r="V163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4" spans="1:23">
      <c r="A1634" s="156">
        <v>46050</v>
      </c>
      <c r="B1634" s="45" t="s">
        <v>4034</v>
      </c>
      <c r="C1634" s="45" t="s">
        <v>478</v>
      </c>
      <c r="D1634" s="45" t="s">
        <v>261</v>
      </c>
      <c r="E1634" s="45">
        <v>86314</v>
      </c>
      <c r="F1634" s="45" t="s">
        <v>4035</v>
      </c>
      <c r="G1634" s="158" t="s">
        <v>4020</v>
      </c>
      <c r="H1634" s="162" t="s">
        <v>4036</v>
      </c>
      <c r="I1634" s="163" t="s">
        <v>250</v>
      </c>
      <c r="J1634" s="163" t="s">
        <v>38</v>
      </c>
      <c r="K1634" s="163" t="s">
        <v>37</v>
      </c>
      <c r="L1634" s="163" t="s">
        <v>4037</v>
      </c>
      <c r="M1634" s="163" t="s">
        <v>37</v>
      </c>
      <c r="N1634" s="163" t="s">
        <v>37</v>
      </c>
      <c r="O1634" s="163" t="s">
        <v>38</v>
      </c>
      <c r="P1634" s="163"/>
      <c r="Q1634" s="41">
        <v>46051</v>
      </c>
      <c r="R1634" s="45" t="s">
        <v>3474</v>
      </c>
      <c r="S1634" s="45"/>
      <c r="T1634" s="45"/>
      <c r="U1634" s="45"/>
      <c r="V1634" s="166">
        <f>IF(
  OR(
    ISNUMBER(SEARCH("unable to locate acct", tblDocketedComments[[#This Row],[Docketed Consumer Comments]])),
    ISNUMBER(SEARCH("unknown", tblDocketedComments[[#This Row],[Docketed Consumer Comments]])),
    ISNUMBER(SEARCH("inactive", tblDocketedComments[[#This Row],[Docketed Consumer Comments]]))
  ),
  0,
  1
)</f>
        <v>1</v>
      </c>
      <c r="W1634" s="32"/>
    </row>
    <row r="1635" spans="1:23">
      <c r="A1635" s="156">
        <v>46050</v>
      </c>
      <c r="B1635" s="45" t="s">
        <v>4038</v>
      </c>
      <c r="C1635" s="45" t="s">
        <v>3910</v>
      </c>
      <c r="D1635" s="45" t="s">
        <v>63</v>
      </c>
      <c r="E1635" s="45">
        <v>85020</v>
      </c>
      <c r="F1635" s="45" t="s">
        <v>4039</v>
      </c>
      <c r="G1635" s="158" t="s">
        <v>4020</v>
      </c>
      <c r="H1635" s="162" t="s">
        <v>4040</v>
      </c>
      <c r="I1635" s="163" t="s">
        <v>4041</v>
      </c>
      <c r="J1635" s="163" t="s">
        <v>37</v>
      </c>
      <c r="K1635" s="163" t="s">
        <v>37</v>
      </c>
      <c r="L1635" s="163" t="s">
        <v>4042</v>
      </c>
      <c r="M1635" s="163" t="s">
        <v>37</v>
      </c>
      <c r="N1635" s="163" t="s">
        <v>37</v>
      </c>
      <c r="O1635" s="163" t="s">
        <v>38</v>
      </c>
      <c r="P1635" s="163"/>
      <c r="Q1635" s="41">
        <v>46051</v>
      </c>
      <c r="R1635" s="45" t="s">
        <v>3474</v>
      </c>
      <c r="S1635" s="45"/>
      <c r="T1635" s="45"/>
      <c r="U1635" s="45"/>
      <c r="V1635" s="166">
        <f>IF(
  OR(
    ISNUMBER(SEARCH("unable to locate acct", tblDocketedComments[[#This Row],[Docketed Consumer Comments]])),
    ISNUMBER(SEARCH("unknown", tblDocketedComments[[#This Row],[Docketed Consumer Comments]])),
    ISNUMBER(SEARCH("inactive", tblDocketedComments[[#This Row],[Docketed Consumer Comments]]))
  ),
  0,
  1
)</f>
        <v>1</v>
      </c>
      <c r="W1635" s="32"/>
    </row>
    <row r="1636" spans="1:23">
      <c r="A1636" s="156">
        <v>46051</v>
      </c>
      <c r="B1636" s="45" t="s">
        <v>4043</v>
      </c>
      <c r="C1636" s="45" t="s">
        <v>1705</v>
      </c>
      <c r="D1636" s="45" t="s">
        <v>93</v>
      </c>
      <c r="E1636" s="45">
        <v>85351</v>
      </c>
      <c r="F1636" s="45" t="s">
        <v>4044</v>
      </c>
      <c r="G1636" s="158" t="s">
        <v>4045</v>
      </c>
      <c r="H1636" s="162" t="s">
        <v>4046</v>
      </c>
      <c r="I1636" s="163" t="s">
        <v>36</v>
      </c>
      <c r="J1636" s="163" t="s">
        <v>37</v>
      </c>
      <c r="K1636" s="163" t="s">
        <v>37</v>
      </c>
      <c r="L1636" s="163" t="s">
        <v>38</v>
      </c>
      <c r="M1636" s="163" t="s">
        <v>37</v>
      </c>
      <c r="N1636" s="163" t="s">
        <v>37</v>
      </c>
      <c r="O1636" s="163" t="s">
        <v>38</v>
      </c>
      <c r="P1636" s="163" t="s">
        <v>39</v>
      </c>
      <c r="Q1636" s="2">
        <v>46052</v>
      </c>
      <c r="R1636" s="45"/>
      <c r="S1636" s="45"/>
      <c r="T1636" s="45"/>
      <c r="U1636" s="45"/>
      <c r="V163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7" spans="1:23">
      <c r="A1637" s="156">
        <v>46051</v>
      </c>
      <c r="B1637" s="45" t="s">
        <v>4047</v>
      </c>
      <c r="C1637" s="45" t="s">
        <v>4048</v>
      </c>
      <c r="D1637" s="45" t="s">
        <v>261</v>
      </c>
      <c r="E1637" s="45">
        <v>86314</v>
      </c>
      <c r="F1637" s="45" t="s">
        <v>4049</v>
      </c>
      <c r="G1637" s="158" t="s">
        <v>4045</v>
      </c>
      <c r="H1637" s="162" t="s">
        <v>4050</v>
      </c>
      <c r="I1637" s="163" t="s">
        <v>3779</v>
      </c>
      <c r="J1637" s="163" t="s">
        <v>37</v>
      </c>
      <c r="K1637" s="163" t="s">
        <v>37</v>
      </c>
      <c r="L1637" s="163" t="s">
        <v>38</v>
      </c>
      <c r="M1637" s="163" t="s">
        <v>37</v>
      </c>
      <c r="N1637" s="163" t="s">
        <v>37</v>
      </c>
      <c r="O1637" s="163" t="s">
        <v>38</v>
      </c>
      <c r="P1637" s="163" t="s">
        <v>39</v>
      </c>
      <c r="Q1637" s="2">
        <v>46052</v>
      </c>
      <c r="R1637" s="45"/>
      <c r="S1637" s="45"/>
      <c r="T1637" s="45"/>
      <c r="U1637" s="45"/>
      <c r="V163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38" spans="1:23">
      <c r="A1638" s="156">
        <v>46051</v>
      </c>
      <c r="B1638" s="45" t="s">
        <v>227</v>
      </c>
      <c r="C1638" s="45" t="s">
        <v>4051</v>
      </c>
      <c r="D1638" s="45" t="s">
        <v>202</v>
      </c>
      <c r="E1638" s="45">
        <v>85383</v>
      </c>
      <c r="F1638" s="45" t="s">
        <v>4052</v>
      </c>
      <c r="G1638" s="158" t="s">
        <v>4045</v>
      </c>
      <c r="H1638" s="162" t="s">
        <v>4053</v>
      </c>
      <c r="I1638" s="163" t="s">
        <v>36</v>
      </c>
      <c r="J1638" s="163" t="s">
        <v>37</v>
      </c>
      <c r="K1638" s="163" t="s">
        <v>37</v>
      </c>
      <c r="L1638" s="163" t="s">
        <v>38</v>
      </c>
      <c r="M1638" s="163" t="s">
        <v>37</v>
      </c>
      <c r="N1638" s="163" t="s">
        <v>37</v>
      </c>
      <c r="O1638" s="163" t="s">
        <v>38</v>
      </c>
      <c r="P1638" s="163"/>
      <c r="Q1638" s="41">
        <v>46052</v>
      </c>
      <c r="R1638" s="45" t="s">
        <v>4002</v>
      </c>
      <c r="S1638" s="45"/>
      <c r="T1638" s="45"/>
      <c r="U1638" s="45"/>
      <c r="V1638" s="166">
        <f>IF(
  OR(
    ISNUMBER(SEARCH("unable to locate acct", tblDocketedComments[[#This Row],[Docketed Consumer Comments]])),
    ISNUMBER(SEARCH("unknown", tblDocketedComments[[#This Row],[Docketed Consumer Comments]])),
    ISNUMBER(SEARCH("inactive", tblDocketedComments[[#This Row],[Docketed Consumer Comments]]))
  ),
  0,
  1
)</f>
        <v>1</v>
      </c>
      <c r="W1638" s="32"/>
    </row>
    <row r="1639" spans="1:23">
      <c r="A1639" s="156">
        <v>46051</v>
      </c>
      <c r="B1639" s="45" t="s">
        <v>4054</v>
      </c>
      <c r="C1639" s="45" t="s">
        <v>4055</v>
      </c>
      <c r="D1639" s="45" t="s">
        <v>63</v>
      </c>
      <c r="E1639" s="45">
        <v>85053</v>
      </c>
      <c r="F1639" s="45" t="s">
        <v>4056</v>
      </c>
      <c r="G1639" s="158" t="s">
        <v>4045</v>
      </c>
      <c r="H1639" s="162" t="s">
        <v>4057</v>
      </c>
      <c r="I1639" s="163" t="s">
        <v>36</v>
      </c>
      <c r="J1639" s="163" t="s">
        <v>38</v>
      </c>
      <c r="K1639" s="163" t="s">
        <v>37</v>
      </c>
      <c r="L1639" s="163" t="s">
        <v>38</v>
      </c>
      <c r="M1639" s="163" t="s">
        <v>38</v>
      </c>
      <c r="N1639" s="165">
        <v>2316.81</v>
      </c>
      <c r="O1639" s="163" t="s">
        <v>38</v>
      </c>
      <c r="P1639" s="163"/>
      <c r="Q1639" s="41">
        <v>46052</v>
      </c>
      <c r="R1639" s="45" t="s">
        <v>4002</v>
      </c>
      <c r="S1639" s="45"/>
      <c r="T1639" s="45"/>
      <c r="U1639" s="45"/>
      <c r="V1639" s="166">
        <f>IF(
  OR(
    ISNUMBER(SEARCH("unable to locate acct", tblDocketedComments[[#This Row],[Docketed Consumer Comments]])),
    ISNUMBER(SEARCH("unknown", tblDocketedComments[[#This Row],[Docketed Consumer Comments]])),
    ISNUMBER(SEARCH("inactive", tblDocketedComments[[#This Row],[Docketed Consumer Comments]]))
  ),
  0,
  1
)</f>
        <v>1</v>
      </c>
      <c r="W1639" s="32"/>
    </row>
    <row r="1640" spans="1:23">
      <c r="A1640" s="156">
        <v>46051</v>
      </c>
      <c r="B1640" s="45" t="s">
        <v>4058</v>
      </c>
      <c r="C1640" s="45" t="s">
        <v>1705</v>
      </c>
      <c r="D1640" s="45" t="s">
        <v>125</v>
      </c>
      <c r="E1640" s="45">
        <v>85254</v>
      </c>
      <c r="F1640" s="45" t="s">
        <v>4059</v>
      </c>
      <c r="G1640" s="158" t="s">
        <v>4060</v>
      </c>
      <c r="H1640" s="162" t="s">
        <v>4061</v>
      </c>
      <c r="I1640" s="163" t="s">
        <v>36</v>
      </c>
      <c r="J1640" s="163" t="s">
        <v>37</v>
      </c>
      <c r="K1640" s="163" t="s">
        <v>37</v>
      </c>
      <c r="L1640" s="163" t="s">
        <v>38</v>
      </c>
      <c r="M1640" s="163" t="s">
        <v>37</v>
      </c>
      <c r="N1640" s="163" t="s">
        <v>37</v>
      </c>
      <c r="O1640" s="163" t="s">
        <v>38</v>
      </c>
      <c r="P1640" s="163" t="s">
        <v>39</v>
      </c>
      <c r="Q1640" s="2">
        <v>46052</v>
      </c>
      <c r="R1640" s="45"/>
      <c r="S1640" s="45"/>
      <c r="T1640" s="45"/>
      <c r="U1640" s="45"/>
      <c r="V16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1" spans="1:23">
      <c r="A1641" s="156">
        <v>46051</v>
      </c>
      <c r="B1641" s="45" t="s">
        <v>4062</v>
      </c>
      <c r="C1641" s="45" t="s">
        <v>1115</v>
      </c>
      <c r="D1641" s="45" t="s">
        <v>63</v>
      </c>
      <c r="E1641" s="45">
        <v>85032</v>
      </c>
      <c r="F1641" s="45" t="s">
        <v>4063</v>
      </c>
      <c r="G1641" s="158" t="s">
        <v>4060</v>
      </c>
      <c r="H1641" s="162" t="s">
        <v>6132</v>
      </c>
      <c r="I1641" s="163" t="s">
        <v>126</v>
      </c>
      <c r="J1641" s="163" t="s">
        <v>37</v>
      </c>
      <c r="K1641" s="163" t="s">
        <v>37</v>
      </c>
      <c r="L1641" s="163" t="s">
        <v>4016</v>
      </c>
      <c r="M1641" s="163" t="s">
        <v>37</v>
      </c>
      <c r="N1641" s="163" t="s">
        <v>37</v>
      </c>
      <c r="O1641" s="163" t="s">
        <v>38</v>
      </c>
      <c r="P1641" s="163"/>
      <c r="Q1641" s="2">
        <v>46052</v>
      </c>
      <c r="R1641" s="45" t="s">
        <v>4064</v>
      </c>
      <c r="S1641" s="45"/>
      <c r="T1641" s="45"/>
      <c r="U1641" s="45"/>
      <c r="V16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2" spans="1:23">
      <c r="A1642" s="156">
        <v>46051</v>
      </c>
      <c r="B1642" s="45" t="s">
        <v>4065</v>
      </c>
      <c r="C1642" s="45" t="s">
        <v>1956</v>
      </c>
      <c r="D1642" s="45" t="s">
        <v>24</v>
      </c>
      <c r="E1642" s="45">
        <v>85308</v>
      </c>
      <c r="F1642" s="45" t="s">
        <v>4066</v>
      </c>
      <c r="G1642" s="158" t="s">
        <v>4060</v>
      </c>
      <c r="H1642" s="162" t="s">
        <v>90</v>
      </c>
      <c r="I1642" s="163"/>
      <c r="J1642" s="163"/>
      <c r="K1642" s="163"/>
      <c r="L1642" s="163"/>
      <c r="M1642" s="163"/>
      <c r="N1642" s="163"/>
      <c r="O1642" s="163"/>
      <c r="P1642" s="163"/>
      <c r="R1642" s="45"/>
      <c r="S1642" s="45"/>
      <c r="T1642" s="45"/>
      <c r="U1642" s="45"/>
      <c r="V16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3" spans="1:23">
      <c r="A1643" s="156">
        <v>46052</v>
      </c>
      <c r="B1643" s="45" t="s">
        <v>4067</v>
      </c>
      <c r="C1643" s="45" t="s">
        <v>4068</v>
      </c>
      <c r="D1643" s="45" t="s">
        <v>125</v>
      </c>
      <c r="E1643" s="45">
        <v>85254</v>
      </c>
      <c r="F1643" s="45" t="s">
        <v>4069</v>
      </c>
      <c r="G1643" s="158" t="s">
        <v>4070</v>
      </c>
      <c r="H1643" s="162" t="s">
        <v>4071</v>
      </c>
      <c r="I1643" s="163" t="s">
        <v>36</v>
      </c>
      <c r="J1643" s="163" t="s">
        <v>37</v>
      </c>
      <c r="K1643" s="163" t="s">
        <v>37</v>
      </c>
      <c r="L1643" s="163" t="s">
        <v>38</v>
      </c>
      <c r="M1643" s="163" t="s">
        <v>37</v>
      </c>
      <c r="N1643" s="163" t="s">
        <v>37</v>
      </c>
      <c r="O1643" s="163" t="s">
        <v>38</v>
      </c>
      <c r="P1643" s="163" t="s">
        <v>39</v>
      </c>
      <c r="Q1643" s="2">
        <v>46057</v>
      </c>
      <c r="R1643" s="45"/>
      <c r="S1643" s="45"/>
      <c r="T1643" s="45"/>
      <c r="U1643" s="45"/>
      <c r="V16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4" spans="1:23">
      <c r="A1644" s="156">
        <v>46052</v>
      </c>
      <c r="B1644" s="45" t="s">
        <v>4072</v>
      </c>
      <c r="C1644" s="45" t="s">
        <v>1838</v>
      </c>
      <c r="D1644" s="45" t="s">
        <v>695</v>
      </c>
      <c r="E1644" s="45">
        <v>85375</v>
      </c>
      <c r="F1644" s="45" t="s">
        <v>4073</v>
      </c>
      <c r="G1644" s="158" t="s">
        <v>4070</v>
      </c>
      <c r="H1644" s="162" t="s">
        <v>4074</v>
      </c>
      <c r="I1644" s="163" t="s">
        <v>46</v>
      </c>
      <c r="J1644" s="163" t="s">
        <v>37</v>
      </c>
      <c r="K1644" s="163" t="s">
        <v>37</v>
      </c>
      <c r="L1644" s="163" t="s">
        <v>38</v>
      </c>
      <c r="M1644" s="163" t="s">
        <v>38</v>
      </c>
      <c r="N1644" s="164">
        <v>72.2</v>
      </c>
      <c r="O1644" s="163" t="s">
        <v>38</v>
      </c>
      <c r="P1644" s="163" t="s">
        <v>39</v>
      </c>
      <c r="Q1644" s="2">
        <v>46057</v>
      </c>
      <c r="R1644" s="45"/>
      <c r="S1644" s="45"/>
      <c r="T1644" s="45"/>
      <c r="U1644" s="45"/>
      <c r="V16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5" spans="1:23">
      <c r="A1645" s="156">
        <v>46049</v>
      </c>
      <c r="B1645" s="45" t="s">
        <v>564</v>
      </c>
      <c r="C1645" s="45" t="s">
        <v>4075</v>
      </c>
      <c r="D1645" s="45" t="s">
        <v>446</v>
      </c>
      <c r="E1645" s="45">
        <v>85361</v>
      </c>
      <c r="F1645" s="45" t="s">
        <v>4076</v>
      </c>
      <c r="G1645" s="158" t="s">
        <v>4077</v>
      </c>
      <c r="H1645" s="162" t="s">
        <v>27</v>
      </c>
      <c r="I1645" s="163"/>
      <c r="J1645" s="163"/>
      <c r="K1645" s="163"/>
      <c r="L1645" s="163"/>
      <c r="M1645" s="163"/>
      <c r="N1645" s="163"/>
      <c r="O1645" s="163"/>
      <c r="P1645" s="163"/>
      <c r="R1645" s="45"/>
      <c r="S1645" s="45"/>
      <c r="T1645" s="45"/>
      <c r="U1645" s="45"/>
      <c r="V16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6" spans="1:23">
      <c r="A1646" s="156">
        <v>46049</v>
      </c>
      <c r="B1646" s="45" t="s">
        <v>4078</v>
      </c>
      <c r="C1646" s="45" t="s">
        <v>4079</v>
      </c>
      <c r="D1646" s="45" t="s">
        <v>63</v>
      </c>
      <c r="E1646" s="45">
        <v>85083</v>
      </c>
      <c r="F1646" s="45" t="s">
        <v>4080</v>
      </c>
      <c r="G1646" s="158" t="s">
        <v>4077</v>
      </c>
      <c r="H1646" s="162" t="s">
        <v>4081</v>
      </c>
      <c r="I1646" s="163" t="s">
        <v>36</v>
      </c>
      <c r="J1646" s="163" t="s">
        <v>37</v>
      </c>
      <c r="K1646" s="163" t="s">
        <v>37</v>
      </c>
      <c r="L1646" s="163" t="s">
        <v>38</v>
      </c>
      <c r="M1646" s="163" t="s">
        <v>37</v>
      </c>
      <c r="N1646" s="163" t="s">
        <v>37</v>
      </c>
      <c r="O1646" s="163" t="s">
        <v>38</v>
      </c>
      <c r="P1646" s="163" t="s">
        <v>39</v>
      </c>
      <c r="Q1646" s="2">
        <v>46057</v>
      </c>
      <c r="R1646" s="45"/>
      <c r="S1646" s="45"/>
      <c r="T1646" s="45"/>
      <c r="U1646" s="45"/>
      <c r="V16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7" spans="1:23">
      <c r="A1647" s="156">
        <v>46049</v>
      </c>
      <c r="B1647" s="45" t="s">
        <v>4082</v>
      </c>
      <c r="C1647" s="45" t="s">
        <v>469</v>
      </c>
      <c r="D1647" s="45" t="s">
        <v>261</v>
      </c>
      <c r="E1647" s="45">
        <v>86314</v>
      </c>
      <c r="F1647" s="45" t="s">
        <v>4083</v>
      </c>
      <c r="G1647" s="158" t="s">
        <v>4077</v>
      </c>
      <c r="H1647" s="162" t="s">
        <v>4084</v>
      </c>
      <c r="I1647" s="163" t="s">
        <v>126</v>
      </c>
      <c r="J1647" s="163" t="s">
        <v>37</v>
      </c>
      <c r="K1647" s="163" t="s">
        <v>37</v>
      </c>
      <c r="L1647" s="163" t="s">
        <v>38</v>
      </c>
      <c r="M1647" s="163" t="s">
        <v>37</v>
      </c>
      <c r="N1647" s="163" t="s">
        <v>37</v>
      </c>
      <c r="O1647" s="163" t="s">
        <v>38</v>
      </c>
      <c r="P1647" s="163" t="s">
        <v>39</v>
      </c>
      <c r="Q1647" s="2">
        <v>46057</v>
      </c>
      <c r="R1647" s="45"/>
      <c r="S1647" s="45"/>
      <c r="T1647" s="45"/>
      <c r="U1647" s="45"/>
      <c r="V164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8" spans="1:23">
      <c r="A1648" s="156">
        <v>46049</v>
      </c>
      <c r="B1648" s="45" t="s">
        <v>4085</v>
      </c>
      <c r="C1648" s="45" t="s">
        <v>4086</v>
      </c>
      <c r="D1648" s="45" t="s">
        <v>616</v>
      </c>
      <c r="E1648" s="45">
        <v>85364</v>
      </c>
      <c r="F1648" s="45" t="s">
        <v>4087</v>
      </c>
      <c r="G1648" s="158" t="s">
        <v>4077</v>
      </c>
      <c r="H1648" s="162" t="s">
        <v>27</v>
      </c>
      <c r="I1648" s="163"/>
      <c r="J1648" s="163"/>
      <c r="K1648" s="163"/>
      <c r="L1648" s="163"/>
      <c r="M1648" s="163"/>
      <c r="N1648" s="163"/>
      <c r="O1648" s="163"/>
      <c r="P1648" s="163"/>
      <c r="R1648" s="45"/>
      <c r="S1648" s="45"/>
      <c r="T1648" s="45"/>
      <c r="U1648" s="45"/>
      <c r="V16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49" spans="1:23">
      <c r="A1649" s="156">
        <v>46049</v>
      </c>
      <c r="B1649" s="45" t="s">
        <v>4088</v>
      </c>
      <c r="C1649" s="45" t="s">
        <v>312</v>
      </c>
      <c r="D1649" s="45" t="s">
        <v>410</v>
      </c>
      <c r="E1649" s="45">
        <v>85123</v>
      </c>
      <c r="F1649" s="45" t="s">
        <v>4089</v>
      </c>
      <c r="G1649" s="158" t="s">
        <v>4077</v>
      </c>
      <c r="H1649" s="162" t="s">
        <v>4090</v>
      </c>
      <c r="I1649" s="163" t="s">
        <v>36</v>
      </c>
      <c r="J1649" s="163" t="s">
        <v>37</v>
      </c>
      <c r="K1649" s="163" t="s">
        <v>37</v>
      </c>
      <c r="L1649" s="163" t="s">
        <v>38</v>
      </c>
      <c r="M1649" s="163" t="s">
        <v>38</v>
      </c>
      <c r="N1649" s="164">
        <v>309.8</v>
      </c>
      <c r="O1649" s="163" t="s">
        <v>38</v>
      </c>
      <c r="P1649" s="163"/>
      <c r="Q1649" s="41">
        <v>46057</v>
      </c>
      <c r="R1649" s="45" t="s">
        <v>4002</v>
      </c>
      <c r="S1649" s="45"/>
      <c r="T1649" s="45"/>
      <c r="U1649" s="45"/>
      <c r="V1649" s="166">
        <f>IF(
  OR(
    ISNUMBER(SEARCH("unable to locate acct", tblDocketedComments[[#This Row],[Docketed Consumer Comments]])),
    ISNUMBER(SEARCH("unknown", tblDocketedComments[[#This Row],[Docketed Consumer Comments]])),
    ISNUMBER(SEARCH("inactive", tblDocketedComments[[#This Row],[Docketed Consumer Comments]]))
  ),
  0,
  1
)</f>
        <v>1</v>
      </c>
      <c r="W1649" s="32"/>
    </row>
    <row r="1650" spans="1:23">
      <c r="A1650" s="156">
        <v>46049</v>
      </c>
      <c r="B1650" s="45" t="s">
        <v>3322</v>
      </c>
      <c r="C1650" s="45" t="s">
        <v>4091</v>
      </c>
      <c r="D1650" s="45" t="s">
        <v>63</v>
      </c>
      <c r="E1650" s="45">
        <v>85023</v>
      </c>
      <c r="F1650" s="45" t="s">
        <v>4092</v>
      </c>
      <c r="G1650" s="158" t="s">
        <v>4077</v>
      </c>
      <c r="H1650" s="162" t="s">
        <v>4093</v>
      </c>
      <c r="I1650" s="163" t="s">
        <v>73</v>
      </c>
      <c r="J1650" s="163" t="s">
        <v>37</v>
      </c>
      <c r="K1650" s="163" t="s">
        <v>37</v>
      </c>
      <c r="L1650" s="163" t="s">
        <v>38</v>
      </c>
      <c r="M1650" s="163" t="s">
        <v>38</v>
      </c>
      <c r="N1650" s="164">
        <v>202.33</v>
      </c>
      <c r="O1650" s="163" t="s">
        <v>38</v>
      </c>
      <c r="P1650" s="163"/>
      <c r="Q1650" s="41">
        <v>46057</v>
      </c>
      <c r="R1650" s="45" t="s">
        <v>4002</v>
      </c>
      <c r="S1650" s="45"/>
      <c r="T1650" s="45"/>
      <c r="U1650" s="45"/>
      <c r="V1650" s="166">
        <f>IF(
  OR(
    ISNUMBER(SEARCH("unable to locate acct", tblDocketedComments[[#This Row],[Docketed Consumer Comments]])),
    ISNUMBER(SEARCH("unknown", tblDocketedComments[[#This Row],[Docketed Consumer Comments]])),
    ISNUMBER(SEARCH("inactive", tblDocketedComments[[#This Row],[Docketed Consumer Comments]]))
  ),
  0,
  1
)</f>
        <v>1</v>
      </c>
      <c r="W1650" s="32"/>
    </row>
    <row r="1651" spans="1:23">
      <c r="A1651" s="156">
        <v>46049</v>
      </c>
      <c r="B1651" s="45" t="s">
        <v>4094</v>
      </c>
      <c r="C1651" s="45" t="s">
        <v>4095</v>
      </c>
      <c r="D1651" s="45" t="s">
        <v>63</v>
      </c>
      <c r="E1651" s="45">
        <v>85023</v>
      </c>
      <c r="F1651" s="45" t="s">
        <v>4096</v>
      </c>
      <c r="G1651" s="158" t="s">
        <v>4077</v>
      </c>
      <c r="H1651" s="162" t="s">
        <v>4097</v>
      </c>
      <c r="I1651" s="163" t="s">
        <v>46</v>
      </c>
      <c r="J1651" s="163" t="s">
        <v>37</v>
      </c>
      <c r="K1651" s="163" t="s">
        <v>37</v>
      </c>
      <c r="L1651" s="163" t="s">
        <v>38</v>
      </c>
      <c r="M1651" s="163" t="s">
        <v>37</v>
      </c>
      <c r="N1651" s="163" t="s">
        <v>37</v>
      </c>
      <c r="O1651" s="163" t="s">
        <v>38</v>
      </c>
      <c r="P1651" s="163" t="s">
        <v>39</v>
      </c>
      <c r="Q1651" s="2">
        <v>46057</v>
      </c>
      <c r="R1651" s="45" t="s">
        <v>4098</v>
      </c>
      <c r="S1651" s="45"/>
      <c r="T1651" s="45"/>
      <c r="U1651" s="45"/>
      <c r="V165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2" spans="1:23">
      <c r="A1652" s="156">
        <v>46049</v>
      </c>
      <c r="B1652" s="45" t="s">
        <v>333</v>
      </c>
      <c r="C1652" s="45" t="s">
        <v>3702</v>
      </c>
      <c r="D1652" s="45" t="s">
        <v>112</v>
      </c>
      <c r="E1652" s="45">
        <v>85374</v>
      </c>
      <c r="F1652" s="45" t="s">
        <v>4099</v>
      </c>
      <c r="G1652" s="158" t="s">
        <v>4077</v>
      </c>
      <c r="H1652" s="162" t="s">
        <v>4100</v>
      </c>
      <c r="I1652" s="163" t="s">
        <v>73</v>
      </c>
      <c r="J1652" s="163" t="s">
        <v>38</v>
      </c>
      <c r="K1652" s="163" t="s">
        <v>37</v>
      </c>
      <c r="L1652" s="163" t="s">
        <v>38</v>
      </c>
      <c r="M1652" s="163" t="s">
        <v>37</v>
      </c>
      <c r="N1652" s="163" t="s">
        <v>37</v>
      </c>
      <c r="O1652" s="163" t="s">
        <v>38</v>
      </c>
      <c r="P1652" s="163" t="s">
        <v>39</v>
      </c>
      <c r="Q1652" s="2">
        <v>46057</v>
      </c>
      <c r="R1652" s="45"/>
      <c r="S1652" s="45"/>
      <c r="T1652" s="45"/>
      <c r="U1652" s="45"/>
      <c r="V165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3" spans="1:23">
      <c r="A1653" s="156">
        <v>46049</v>
      </c>
      <c r="B1653" s="45" t="s">
        <v>4101</v>
      </c>
      <c r="C1653" s="45" t="s">
        <v>4102</v>
      </c>
      <c r="D1653" s="45" t="s">
        <v>616</v>
      </c>
      <c r="E1653" s="45">
        <v>85364</v>
      </c>
      <c r="F1653" s="45" t="s">
        <v>4103</v>
      </c>
      <c r="G1653" s="158" t="s">
        <v>4077</v>
      </c>
      <c r="H1653" s="162" t="s">
        <v>27</v>
      </c>
      <c r="I1653" s="163"/>
      <c r="J1653" s="163"/>
      <c r="K1653" s="163"/>
      <c r="L1653" s="163"/>
      <c r="M1653" s="163"/>
      <c r="N1653" s="163"/>
      <c r="O1653" s="163"/>
      <c r="P1653" s="163"/>
      <c r="R1653" s="45"/>
      <c r="S1653" s="45"/>
      <c r="T1653" s="45"/>
      <c r="U1653" s="45"/>
      <c r="V165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4" spans="1:23">
      <c r="A1654" s="156">
        <v>46049</v>
      </c>
      <c r="B1654" s="45" t="s">
        <v>167</v>
      </c>
      <c r="C1654" s="45" t="s">
        <v>4104</v>
      </c>
      <c r="D1654" s="45" t="s">
        <v>202</v>
      </c>
      <c r="E1654" s="45">
        <v>85345</v>
      </c>
      <c r="F1654" s="45" t="s">
        <v>4105</v>
      </c>
      <c r="G1654" s="158" t="s">
        <v>4077</v>
      </c>
      <c r="H1654" s="162" t="s">
        <v>4106</v>
      </c>
      <c r="I1654" s="163" t="s">
        <v>126</v>
      </c>
      <c r="J1654" s="163" t="s">
        <v>37</v>
      </c>
      <c r="K1654" s="163" t="s">
        <v>37</v>
      </c>
      <c r="L1654" s="163" t="s">
        <v>38</v>
      </c>
      <c r="M1654" s="163" t="s">
        <v>37</v>
      </c>
      <c r="N1654" s="163" t="s">
        <v>37</v>
      </c>
      <c r="O1654" s="163" t="s">
        <v>38</v>
      </c>
      <c r="P1654" s="163" t="s">
        <v>39</v>
      </c>
      <c r="Q1654" s="2">
        <v>46057</v>
      </c>
      <c r="R1654" s="45"/>
      <c r="S1654" s="45"/>
      <c r="T1654" s="45"/>
      <c r="U1654" s="45"/>
      <c r="V165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5" spans="1:23">
      <c r="A1655" s="156">
        <v>46049</v>
      </c>
      <c r="B1655" s="45" t="s">
        <v>4107</v>
      </c>
      <c r="C1655" s="45" t="s">
        <v>4108</v>
      </c>
      <c r="D1655" s="45" t="s">
        <v>410</v>
      </c>
      <c r="E1655" s="45">
        <v>85123</v>
      </c>
      <c r="F1655" s="45" t="s">
        <v>4109</v>
      </c>
      <c r="G1655" s="158" t="s">
        <v>4077</v>
      </c>
      <c r="H1655" s="162" t="s">
        <v>4110</v>
      </c>
      <c r="I1655" s="163" t="s">
        <v>3779</v>
      </c>
      <c r="J1655" s="163" t="s">
        <v>37</v>
      </c>
      <c r="K1655" s="163" t="s">
        <v>37</v>
      </c>
      <c r="L1655" s="163" t="s">
        <v>38</v>
      </c>
      <c r="M1655" s="163" t="s">
        <v>37</v>
      </c>
      <c r="N1655" s="163" t="s">
        <v>37</v>
      </c>
      <c r="O1655" s="163" t="s">
        <v>38</v>
      </c>
      <c r="P1655" s="163" t="s">
        <v>39</v>
      </c>
      <c r="Q1655" s="2">
        <v>46057</v>
      </c>
      <c r="R1655" s="45"/>
      <c r="S1655" s="45"/>
      <c r="T1655" s="45"/>
      <c r="U1655" s="45"/>
      <c r="V165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6" spans="1:23">
      <c r="A1656" s="156">
        <v>46049</v>
      </c>
      <c r="B1656" s="45" t="s">
        <v>4111</v>
      </c>
      <c r="C1656" s="45" t="s">
        <v>4112</v>
      </c>
      <c r="D1656" s="45" t="s">
        <v>240</v>
      </c>
      <c r="E1656" s="45">
        <v>85340</v>
      </c>
      <c r="F1656" s="45" t="s">
        <v>4113</v>
      </c>
      <c r="G1656" s="158" t="s">
        <v>4077</v>
      </c>
      <c r="H1656" s="162" t="s">
        <v>4114</v>
      </c>
      <c r="I1656" s="163" t="s">
        <v>4115</v>
      </c>
      <c r="J1656" s="163" t="s">
        <v>37</v>
      </c>
      <c r="K1656" s="163" t="s">
        <v>37</v>
      </c>
      <c r="L1656" s="163" t="s">
        <v>3549</v>
      </c>
      <c r="M1656" s="163" t="s">
        <v>37</v>
      </c>
      <c r="N1656" s="163" t="s">
        <v>37</v>
      </c>
      <c r="O1656" s="163" t="s">
        <v>38</v>
      </c>
      <c r="P1656" s="163" t="s">
        <v>39</v>
      </c>
      <c r="Q1656" s="2">
        <v>46057</v>
      </c>
      <c r="R1656" s="45"/>
      <c r="S1656" s="45"/>
      <c r="T1656" s="45"/>
      <c r="U1656" s="45"/>
      <c r="V165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7" spans="1:23">
      <c r="A1657" s="156">
        <v>46049</v>
      </c>
      <c r="B1657" s="45" t="s">
        <v>4116</v>
      </c>
      <c r="C1657" s="45" t="s">
        <v>2001</v>
      </c>
      <c r="D1657" s="45" t="s">
        <v>63</v>
      </c>
      <c r="E1657" s="45">
        <v>85029</v>
      </c>
      <c r="F1657" s="45" t="s">
        <v>4117</v>
      </c>
      <c r="G1657" s="158" t="s">
        <v>4077</v>
      </c>
      <c r="H1657" s="162" t="s">
        <v>4118</v>
      </c>
      <c r="I1657" s="163" t="s">
        <v>538</v>
      </c>
      <c r="J1657" s="163" t="s">
        <v>37</v>
      </c>
      <c r="K1657" s="163" t="s">
        <v>37</v>
      </c>
      <c r="L1657" s="163" t="s">
        <v>3549</v>
      </c>
      <c r="M1657" s="163" t="s">
        <v>38</v>
      </c>
      <c r="N1657" s="164">
        <v>125.36</v>
      </c>
      <c r="O1657" s="163" t="s">
        <v>38</v>
      </c>
      <c r="P1657" s="163" t="s">
        <v>39</v>
      </c>
      <c r="Q1657" s="2">
        <v>46057</v>
      </c>
      <c r="R1657" s="45"/>
      <c r="S1657" s="45"/>
      <c r="T1657" s="45"/>
      <c r="U1657" s="45"/>
      <c r="V165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8" spans="1:23">
      <c r="A1658" s="156">
        <v>46049</v>
      </c>
      <c r="B1658" s="45" t="s">
        <v>4119</v>
      </c>
      <c r="C1658" s="45" t="s">
        <v>312</v>
      </c>
      <c r="D1658" s="45" t="s">
        <v>112</v>
      </c>
      <c r="E1658" s="45">
        <v>85379</v>
      </c>
      <c r="F1658" s="45" t="s">
        <v>4120</v>
      </c>
      <c r="G1658" s="158" t="s">
        <v>4077</v>
      </c>
      <c r="H1658" s="162" t="s">
        <v>4121</v>
      </c>
      <c r="I1658" s="163" t="s">
        <v>196</v>
      </c>
      <c r="J1658" s="163" t="s">
        <v>38</v>
      </c>
      <c r="K1658" s="163" t="s">
        <v>37</v>
      </c>
      <c r="L1658" s="163" t="s">
        <v>38</v>
      </c>
      <c r="M1658" s="163" t="s">
        <v>37</v>
      </c>
      <c r="N1658" s="163" t="s">
        <v>37</v>
      </c>
      <c r="O1658" s="163" t="s">
        <v>38</v>
      </c>
      <c r="P1658" s="163" t="s">
        <v>39</v>
      </c>
      <c r="Q1658" s="2">
        <v>46057</v>
      </c>
      <c r="R1658" s="45"/>
      <c r="S1658" s="45"/>
      <c r="T1658" s="45"/>
      <c r="U1658" s="45"/>
      <c r="V165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59" spans="1:23">
      <c r="A1659" s="156">
        <v>46049</v>
      </c>
      <c r="B1659" s="45" t="s">
        <v>4122</v>
      </c>
      <c r="C1659" s="45" t="s">
        <v>4123</v>
      </c>
      <c r="D1659" s="45" t="s">
        <v>63</v>
      </c>
      <c r="E1659" s="45">
        <v>85006</v>
      </c>
      <c r="F1659" s="45" t="s">
        <v>4124</v>
      </c>
      <c r="G1659" s="158" t="s">
        <v>4077</v>
      </c>
      <c r="H1659" s="162" t="s">
        <v>4125</v>
      </c>
      <c r="I1659" s="163" t="s">
        <v>196</v>
      </c>
      <c r="J1659" s="163" t="s">
        <v>37</v>
      </c>
      <c r="K1659" s="163" t="s">
        <v>37</v>
      </c>
      <c r="L1659" s="163" t="s">
        <v>38</v>
      </c>
      <c r="M1659" s="163" t="s">
        <v>37</v>
      </c>
      <c r="N1659" s="163" t="s">
        <v>37</v>
      </c>
      <c r="O1659" s="163" t="s">
        <v>38</v>
      </c>
      <c r="P1659" s="163" t="s">
        <v>39</v>
      </c>
      <c r="Q1659" s="2">
        <v>46057</v>
      </c>
      <c r="R1659" s="45"/>
      <c r="S1659" s="45"/>
      <c r="T1659" s="45"/>
      <c r="U1659" s="45"/>
      <c r="V165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0" spans="1:23">
      <c r="A1660" s="156">
        <v>46049</v>
      </c>
      <c r="B1660" s="45" t="s">
        <v>525</v>
      </c>
      <c r="C1660" s="45" t="s">
        <v>4126</v>
      </c>
      <c r="D1660" s="45" t="s">
        <v>4127</v>
      </c>
      <c r="E1660" s="45">
        <v>85339</v>
      </c>
      <c r="F1660" s="45" t="s">
        <v>4128</v>
      </c>
      <c r="G1660" s="158" t="s">
        <v>4077</v>
      </c>
      <c r="H1660" s="162" t="s">
        <v>27</v>
      </c>
      <c r="I1660" s="163"/>
      <c r="J1660" s="163"/>
      <c r="K1660" s="163"/>
      <c r="L1660" s="163"/>
      <c r="M1660" s="163"/>
      <c r="N1660" s="163"/>
      <c r="O1660" s="163"/>
      <c r="P1660" s="163"/>
      <c r="R1660" s="45"/>
      <c r="S1660" s="45"/>
      <c r="T1660" s="45"/>
      <c r="U1660" s="45"/>
      <c r="V166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1" spans="1:23">
      <c r="A1661" s="156">
        <v>46049</v>
      </c>
      <c r="B1661" s="45" t="s">
        <v>3337</v>
      </c>
      <c r="C1661" s="45" t="s">
        <v>4129</v>
      </c>
      <c r="D1661" s="45" t="s">
        <v>1819</v>
      </c>
      <c r="E1661" s="45">
        <v>86327</v>
      </c>
      <c r="F1661" s="45" t="s">
        <v>4130</v>
      </c>
      <c r="G1661" s="158" t="s">
        <v>4077</v>
      </c>
      <c r="H1661" s="162" t="s">
        <v>27</v>
      </c>
      <c r="I1661" s="163"/>
      <c r="J1661" s="163"/>
      <c r="K1661" s="163"/>
      <c r="L1661" s="163"/>
      <c r="M1661" s="163"/>
      <c r="N1661" s="163"/>
      <c r="O1661" s="163"/>
      <c r="P1661" s="163"/>
      <c r="R1661" s="45"/>
      <c r="S1661" s="45"/>
      <c r="T1661" s="45"/>
      <c r="U1661" s="45"/>
      <c r="V166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2" spans="1:23">
      <c r="A1662" s="156">
        <v>46049</v>
      </c>
      <c r="B1662" s="45" t="s">
        <v>4131</v>
      </c>
      <c r="C1662" s="45" t="s">
        <v>4132</v>
      </c>
      <c r="D1662" s="45" t="s">
        <v>1098</v>
      </c>
      <c r="E1662" s="45">
        <v>85355</v>
      </c>
      <c r="F1662" s="45" t="s">
        <v>4133</v>
      </c>
      <c r="G1662" s="158" t="s">
        <v>4077</v>
      </c>
      <c r="H1662" s="162" t="s">
        <v>4134</v>
      </c>
      <c r="I1662" s="163" t="s">
        <v>36</v>
      </c>
      <c r="J1662" s="163" t="s">
        <v>37</v>
      </c>
      <c r="K1662" s="163" t="s">
        <v>37</v>
      </c>
      <c r="L1662" s="163" t="s">
        <v>38</v>
      </c>
      <c r="M1662" s="163" t="s">
        <v>37</v>
      </c>
      <c r="N1662" s="163" t="s">
        <v>37</v>
      </c>
      <c r="O1662" s="163" t="s">
        <v>38</v>
      </c>
      <c r="P1662" s="163" t="s">
        <v>39</v>
      </c>
      <c r="Q1662" s="2">
        <v>46057</v>
      </c>
      <c r="R1662" s="45"/>
      <c r="S1662" s="45"/>
      <c r="T1662" s="45"/>
      <c r="U1662" s="45"/>
      <c r="V166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3" spans="1:23">
      <c r="A1663" s="156">
        <v>46049</v>
      </c>
      <c r="B1663" s="45" t="s">
        <v>1026</v>
      </c>
      <c r="C1663" s="45" t="s">
        <v>4135</v>
      </c>
      <c r="D1663" s="45" t="s">
        <v>63</v>
      </c>
      <c r="E1663" s="45">
        <v>85023</v>
      </c>
      <c r="F1663" s="45" t="s">
        <v>4136</v>
      </c>
      <c r="G1663" s="158" t="s">
        <v>4077</v>
      </c>
      <c r="H1663" s="162" t="s">
        <v>4137</v>
      </c>
      <c r="I1663" s="163" t="s">
        <v>73</v>
      </c>
      <c r="J1663" s="163" t="s">
        <v>37</v>
      </c>
      <c r="K1663" s="163" t="s">
        <v>37</v>
      </c>
      <c r="L1663" s="163" t="s">
        <v>38</v>
      </c>
      <c r="M1663" s="163"/>
      <c r="N1663" s="163"/>
      <c r="O1663" s="163"/>
      <c r="P1663" s="163"/>
      <c r="R1663" s="45"/>
      <c r="S1663" s="45"/>
      <c r="T1663" s="45"/>
      <c r="U1663" s="45"/>
      <c r="V166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4" spans="1:23">
      <c r="A1664" s="156">
        <v>46049</v>
      </c>
      <c r="B1664" s="45" t="s">
        <v>4138</v>
      </c>
      <c r="C1664" s="45" t="s">
        <v>2219</v>
      </c>
      <c r="D1664" s="45" t="s">
        <v>63</v>
      </c>
      <c r="E1664" s="45">
        <v>85013</v>
      </c>
      <c r="F1664" s="45" t="s">
        <v>4139</v>
      </c>
      <c r="G1664" s="158" t="s">
        <v>4077</v>
      </c>
      <c r="H1664" s="162" t="s">
        <v>4140</v>
      </c>
      <c r="I1664" s="163" t="s">
        <v>36</v>
      </c>
      <c r="J1664" s="163" t="s">
        <v>38</v>
      </c>
      <c r="K1664" s="163" t="s">
        <v>37</v>
      </c>
      <c r="L1664" s="163" t="s">
        <v>38</v>
      </c>
      <c r="M1664" s="163" t="s">
        <v>37</v>
      </c>
      <c r="N1664" s="163" t="s">
        <v>37</v>
      </c>
      <c r="O1664" s="163" t="s">
        <v>38</v>
      </c>
      <c r="P1664" s="163" t="s">
        <v>39</v>
      </c>
      <c r="Q1664" s="2">
        <v>46057</v>
      </c>
      <c r="R1664" s="45"/>
      <c r="S1664" s="45"/>
      <c r="T1664" s="45"/>
      <c r="U1664" s="45"/>
      <c r="V166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5" spans="1:23">
      <c r="A1665" s="156">
        <v>46049</v>
      </c>
      <c r="B1665" s="45" t="s">
        <v>4141</v>
      </c>
      <c r="C1665" s="45" t="s">
        <v>307</v>
      </c>
      <c r="D1665" s="45" t="s">
        <v>202</v>
      </c>
      <c r="E1665" s="45">
        <v>85345</v>
      </c>
      <c r="F1665" s="45" t="s">
        <v>4142</v>
      </c>
      <c r="G1665" s="158" t="s">
        <v>4077</v>
      </c>
      <c r="H1665" s="162" t="s">
        <v>4143</v>
      </c>
      <c r="I1665" s="163" t="s">
        <v>36</v>
      </c>
      <c r="J1665" s="163" t="s">
        <v>37</v>
      </c>
      <c r="K1665" s="163" t="s">
        <v>37</v>
      </c>
      <c r="L1665" s="163" t="s">
        <v>38</v>
      </c>
      <c r="M1665" s="163" t="s">
        <v>37</v>
      </c>
      <c r="N1665" s="163" t="s">
        <v>37</v>
      </c>
      <c r="O1665" s="163" t="s">
        <v>38</v>
      </c>
      <c r="P1665" s="163" t="s">
        <v>39</v>
      </c>
      <c r="Q1665" s="2">
        <v>46057</v>
      </c>
      <c r="R1665" s="45"/>
      <c r="S1665" s="45"/>
      <c r="T1665" s="45"/>
      <c r="U1665" s="45"/>
      <c r="V166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6" spans="1:23">
      <c r="A1666" s="156">
        <v>46049</v>
      </c>
      <c r="B1666" s="45" t="s">
        <v>4144</v>
      </c>
      <c r="C1666" s="45" t="s">
        <v>4145</v>
      </c>
      <c r="D1666" s="45" t="s">
        <v>63</v>
      </c>
      <c r="E1666" s="45">
        <v>85053</v>
      </c>
      <c r="F1666" s="45" t="s">
        <v>4146</v>
      </c>
      <c r="G1666" s="158" t="s">
        <v>4077</v>
      </c>
      <c r="H1666" s="162" t="s">
        <v>4147</v>
      </c>
      <c r="I1666" s="163" t="s">
        <v>36</v>
      </c>
      <c r="J1666" s="163" t="s">
        <v>37</v>
      </c>
      <c r="K1666" s="163" t="s">
        <v>37</v>
      </c>
      <c r="L1666" s="163" t="s">
        <v>38</v>
      </c>
      <c r="M1666" s="163" t="s">
        <v>37</v>
      </c>
      <c r="N1666" s="163" t="s">
        <v>37</v>
      </c>
      <c r="O1666" s="163" t="s">
        <v>38</v>
      </c>
      <c r="P1666" s="163" t="s">
        <v>39</v>
      </c>
      <c r="Q1666" s="2">
        <v>46057</v>
      </c>
      <c r="R1666" s="45"/>
      <c r="S1666" s="45"/>
      <c r="T1666" s="45"/>
      <c r="U1666" s="45"/>
      <c r="V166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7" spans="1:23">
      <c r="A1667" s="156">
        <v>46049</v>
      </c>
      <c r="B1667" s="45" t="s">
        <v>4148</v>
      </c>
      <c r="C1667" s="45" t="s">
        <v>1327</v>
      </c>
      <c r="D1667" s="45" t="s">
        <v>24</v>
      </c>
      <c r="E1667" s="45">
        <v>85307</v>
      </c>
      <c r="F1667" s="157" t="s">
        <v>4149</v>
      </c>
      <c r="G1667" s="158" t="s">
        <v>4077</v>
      </c>
      <c r="H1667" s="162" t="s">
        <v>27</v>
      </c>
      <c r="I1667" s="163"/>
      <c r="J1667" s="163"/>
      <c r="K1667" s="163"/>
      <c r="L1667" s="163"/>
      <c r="M1667" s="163"/>
      <c r="N1667" s="163"/>
      <c r="O1667" s="163"/>
      <c r="P1667" s="163"/>
      <c r="R1667" s="45" t="s">
        <v>4150</v>
      </c>
      <c r="S1667" s="45"/>
      <c r="T1667" s="45"/>
      <c r="U1667" s="45"/>
      <c r="V166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8" spans="1:23">
      <c r="A1668" s="156">
        <v>46049</v>
      </c>
      <c r="B1668" s="45" t="s">
        <v>4151</v>
      </c>
      <c r="C1668" s="45" t="s">
        <v>4152</v>
      </c>
      <c r="D1668" s="45" t="s">
        <v>63</v>
      </c>
      <c r="E1668" s="45">
        <v>85050</v>
      </c>
      <c r="F1668" s="45" t="s">
        <v>4153</v>
      </c>
      <c r="G1668" s="158" t="s">
        <v>4077</v>
      </c>
      <c r="H1668" s="162" t="s">
        <v>27</v>
      </c>
      <c r="I1668" s="163"/>
      <c r="J1668" s="163"/>
      <c r="K1668" s="163"/>
      <c r="L1668" s="163"/>
      <c r="M1668" s="163"/>
      <c r="N1668" s="163"/>
      <c r="O1668" s="163"/>
      <c r="P1668" s="163"/>
      <c r="R1668" s="45"/>
      <c r="S1668" s="45"/>
      <c r="T1668" s="45"/>
      <c r="U1668" s="45"/>
      <c r="V166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69" spans="1:23">
      <c r="A1669" s="156">
        <v>46049</v>
      </c>
      <c r="B1669" s="45" t="s">
        <v>4154</v>
      </c>
      <c r="C1669" s="45" t="s">
        <v>3618</v>
      </c>
      <c r="D1669" s="45" t="s">
        <v>695</v>
      </c>
      <c r="E1669" s="45">
        <v>85375</v>
      </c>
      <c r="F1669" s="45" t="s">
        <v>4155</v>
      </c>
      <c r="G1669" s="158" t="s">
        <v>4077</v>
      </c>
      <c r="H1669" s="162" t="s">
        <v>4156</v>
      </c>
      <c r="I1669" s="163" t="s">
        <v>57</v>
      </c>
      <c r="J1669" s="163" t="s">
        <v>37</v>
      </c>
      <c r="K1669" s="163" t="s">
        <v>37</v>
      </c>
      <c r="L1669" s="163" t="s">
        <v>4157</v>
      </c>
      <c r="M1669" s="163" t="s">
        <v>37</v>
      </c>
      <c r="N1669" s="163" t="s">
        <v>37</v>
      </c>
      <c r="O1669" s="163" t="s">
        <v>38</v>
      </c>
      <c r="P1669" s="163"/>
      <c r="Q1669" s="41">
        <v>46057</v>
      </c>
      <c r="R1669" s="45" t="s">
        <v>3474</v>
      </c>
      <c r="S1669" s="45"/>
      <c r="T1669" s="45"/>
      <c r="U1669" s="45"/>
      <c r="V1669" s="166">
        <f>IF(
  OR(
    ISNUMBER(SEARCH("unable to locate acct", tblDocketedComments[[#This Row],[Docketed Consumer Comments]])),
    ISNUMBER(SEARCH("unknown", tblDocketedComments[[#This Row],[Docketed Consumer Comments]])),
    ISNUMBER(SEARCH("inactive", tblDocketedComments[[#This Row],[Docketed Consumer Comments]]))
  ),
  0,
  1
)</f>
        <v>1</v>
      </c>
      <c r="W1669" s="32"/>
    </row>
    <row r="1670" spans="1:23">
      <c r="A1670" s="156">
        <v>46049</v>
      </c>
      <c r="B1670" s="45" t="s">
        <v>4158</v>
      </c>
      <c r="C1670" s="45" t="s">
        <v>2538</v>
      </c>
      <c r="D1670" s="45" t="s">
        <v>202</v>
      </c>
      <c r="E1670" s="45">
        <v>85345</v>
      </c>
      <c r="F1670" s="45" t="s">
        <v>4159</v>
      </c>
      <c r="G1670" s="158" t="s">
        <v>4077</v>
      </c>
      <c r="H1670" s="162" t="s">
        <v>4160</v>
      </c>
      <c r="I1670" s="163" t="s">
        <v>73</v>
      </c>
      <c r="J1670" s="163" t="s">
        <v>38</v>
      </c>
      <c r="K1670" s="163" t="s">
        <v>37</v>
      </c>
      <c r="L1670" s="163" t="s">
        <v>38</v>
      </c>
      <c r="M1670" s="163" t="s">
        <v>37</v>
      </c>
      <c r="N1670" s="163" t="s">
        <v>37</v>
      </c>
      <c r="O1670" s="163" t="s">
        <v>38</v>
      </c>
      <c r="P1670" s="163" t="s">
        <v>39</v>
      </c>
      <c r="Q1670" s="2">
        <v>46057</v>
      </c>
      <c r="R1670" s="45"/>
      <c r="S1670" s="45"/>
      <c r="T1670" s="45"/>
      <c r="U1670" s="45"/>
      <c r="V167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1" spans="1:23">
      <c r="A1671" s="156">
        <v>46049</v>
      </c>
      <c r="B1671" s="45" t="s">
        <v>4161</v>
      </c>
      <c r="C1671" s="45" t="s">
        <v>4162</v>
      </c>
      <c r="D1671" s="45" t="s">
        <v>2052</v>
      </c>
      <c r="E1671" s="45">
        <v>85132</v>
      </c>
      <c r="F1671" s="45" t="s">
        <v>4163</v>
      </c>
      <c r="G1671" s="158" t="s">
        <v>4077</v>
      </c>
      <c r="H1671" s="162" t="s">
        <v>27</v>
      </c>
      <c r="I1671" s="163"/>
      <c r="J1671" s="163"/>
      <c r="K1671" s="163"/>
      <c r="L1671" s="163"/>
      <c r="M1671" s="163"/>
      <c r="N1671" s="163"/>
      <c r="O1671" s="163"/>
      <c r="P1671" s="163"/>
      <c r="R1671" s="45"/>
      <c r="S1671" s="45"/>
      <c r="T1671" s="45"/>
      <c r="U1671" s="45"/>
      <c r="V167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2" spans="1:23">
      <c r="A1672" s="156">
        <v>46049</v>
      </c>
      <c r="B1672" s="45" t="s">
        <v>4164</v>
      </c>
      <c r="C1672" s="45" t="s">
        <v>381</v>
      </c>
      <c r="D1672" s="45" t="s">
        <v>4165</v>
      </c>
      <c r="E1672" s="45">
        <v>85332</v>
      </c>
      <c r="F1672" s="45" t="s">
        <v>4166</v>
      </c>
      <c r="G1672" s="158" t="s">
        <v>4077</v>
      </c>
      <c r="H1672" s="162" t="s">
        <v>4167</v>
      </c>
      <c r="I1672" s="163" t="s">
        <v>46</v>
      </c>
      <c r="J1672" s="163" t="s">
        <v>37</v>
      </c>
      <c r="K1672" s="163" t="s">
        <v>37</v>
      </c>
      <c r="L1672" s="163" t="s">
        <v>38</v>
      </c>
      <c r="M1672" s="163" t="s">
        <v>38</v>
      </c>
      <c r="N1672" s="164">
        <v>472.66</v>
      </c>
      <c r="O1672" s="163" t="s">
        <v>38</v>
      </c>
      <c r="P1672" s="163"/>
      <c r="Q1672" s="41">
        <v>46057</v>
      </c>
      <c r="R1672" s="45" t="s">
        <v>4002</v>
      </c>
      <c r="S1672" s="45"/>
      <c r="T1672" s="45"/>
      <c r="U1672" s="45"/>
      <c r="V1672" s="166">
        <f>IF(
  OR(
    ISNUMBER(SEARCH("unable to locate acct", tblDocketedComments[[#This Row],[Docketed Consumer Comments]])),
    ISNUMBER(SEARCH("unknown", tblDocketedComments[[#This Row],[Docketed Consumer Comments]])),
    ISNUMBER(SEARCH("inactive", tblDocketedComments[[#This Row],[Docketed Consumer Comments]]))
  ),
  0,
  1
)</f>
        <v>1</v>
      </c>
      <c r="W1672" s="32"/>
    </row>
    <row r="1673" spans="1:23">
      <c r="A1673" s="156">
        <v>46049</v>
      </c>
      <c r="B1673" s="45" t="s">
        <v>49</v>
      </c>
      <c r="C1673" s="45" t="s">
        <v>312</v>
      </c>
      <c r="D1673" s="45" t="s">
        <v>63</v>
      </c>
      <c r="E1673" s="45">
        <v>85086</v>
      </c>
      <c r="F1673" s="45" t="s">
        <v>4168</v>
      </c>
      <c r="G1673" s="158" t="s">
        <v>4077</v>
      </c>
      <c r="H1673" s="162" t="s">
        <v>27</v>
      </c>
      <c r="I1673" s="163"/>
      <c r="J1673" s="163"/>
      <c r="K1673" s="163"/>
      <c r="L1673" s="163"/>
      <c r="M1673" s="163"/>
      <c r="N1673" s="163"/>
      <c r="O1673" s="163"/>
      <c r="P1673" s="163"/>
      <c r="R1673" s="45"/>
      <c r="S1673" s="45"/>
      <c r="T1673" s="45"/>
      <c r="U1673" s="45"/>
      <c r="V167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4" spans="1:23">
      <c r="A1674" s="156">
        <v>46049</v>
      </c>
      <c r="B1674" s="45" t="s">
        <v>4169</v>
      </c>
      <c r="C1674" s="45" t="s">
        <v>225</v>
      </c>
      <c r="D1674" s="45" t="s">
        <v>93</v>
      </c>
      <c r="E1674" s="45">
        <v>85373</v>
      </c>
      <c r="F1674" s="45" t="s">
        <v>4170</v>
      </c>
      <c r="G1674" s="158" t="s">
        <v>4077</v>
      </c>
      <c r="H1674" s="162" t="s">
        <v>4171</v>
      </c>
      <c r="I1674" s="163" t="s">
        <v>126</v>
      </c>
      <c r="J1674" s="163" t="s">
        <v>38</v>
      </c>
      <c r="K1674" s="163" t="s">
        <v>37</v>
      </c>
      <c r="L1674" s="163" t="s">
        <v>4016</v>
      </c>
      <c r="M1674" s="163" t="s">
        <v>37</v>
      </c>
      <c r="N1674" s="163" t="s">
        <v>37</v>
      </c>
      <c r="O1674" s="163" t="s">
        <v>38</v>
      </c>
      <c r="P1674" s="163"/>
      <c r="Q1674" s="2">
        <v>46057</v>
      </c>
      <c r="R1674" s="45"/>
      <c r="S1674" s="45"/>
      <c r="T1674" s="45"/>
      <c r="U1674" s="45"/>
      <c r="V167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5" spans="1:23">
      <c r="A1675" s="156">
        <v>46049</v>
      </c>
      <c r="B1675" s="45" t="s">
        <v>2544</v>
      </c>
      <c r="C1675" s="45" t="s">
        <v>4172</v>
      </c>
      <c r="D1675" s="45" t="s">
        <v>2860</v>
      </c>
      <c r="E1675" s="45">
        <v>86322</v>
      </c>
      <c r="F1675" s="45" t="s">
        <v>4173</v>
      </c>
      <c r="G1675" s="158" t="s">
        <v>4077</v>
      </c>
      <c r="H1675" s="162" t="s">
        <v>4174</v>
      </c>
      <c r="I1675" s="163" t="s">
        <v>46</v>
      </c>
      <c r="J1675" s="163" t="s">
        <v>38</v>
      </c>
      <c r="K1675" s="163" t="s">
        <v>37</v>
      </c>
      <c r="L1675" s="163" t="s">
        <v>38</v>
      </c>
      <c r="M1675" s="163" t="s">
        <v>37</v>
      </c>
      <c r="N1675" s="163" t="s">
        <v>37</v>
      </c>
      <c r="O1675" s="163" t="s">
        <v>38</v>
      </c>
      <c r="P1675" s="163" t="s">
        <v>39</v>
      </c>
      <c r="Q1675" s="2">
        <v>46057</v>
      </c>
      <c r="R1675" s="45"/>
      <c r="S1675" s="45"/>
      <c r="T1675" s="45"/>
      <c r="U1675" s="45"/>
      <c r="V167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6" spans="1:23">
      <c r="A1676" s="156">
        <v>46049</v>
      </c>
      <c r="B1676" s="45" t="s">
        <v>4175</v>
      </c>
      <c r="C1676" s="45" t="s">
        <v>4176</v>
      </c>
      <c r="D1676" s="45" t="s">
        <v>410</v>
      </c>
      <c r="E1676" s="45">
        <v>85124</v>
      </c>
      <c r="F1676" s="45" t="s">
        <v>4177</v>
      </c>
      <c r="G1676" s="158" t="s">
        <v>4077</v>
      </c>
      <c r="H1676" s="162" t="s">
        <v>27</v>
      </c>
      <c r="I1676" s="163"/>
      <c r="J1676" s="163"/>
      <c r="K1676" s="163"/>
      <c r="L1676" s="163"/>
      <c r="M1676" s="163"/>
      <c r="N1676" s="163"/>
      <c r="O1676" s="163"/>
      <c r="P1676" s="163"/>
      <c r="R1676" s="45"/>
      <c r="S1676" s="45"/>
      <c r="T1676" s="45"/>
      <c r="U1676" s="45"/>
      <c r="V167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7" spans="1:23">
      <c r="A1677" s="156">
        <v>46049</v>
      </c>
      <c r="B1677" s="45" t="s">
        <v>4178</v>
      </c>
      <c r="C1677" s="45" t="s">
        <v>883</v>
      </c>
      <c r="D1677" s="45" t="s">
        <v>63</v>
      </c>
      <c r="E1677" s="45">
        <v>85020</v>
      </c>
      <c r="F1677" s="45" t="s">
        <v>4179</v>
      </c>
      <c r="G1677" s="158" t="s">
        <v>4077</v>
      </c>
      <c r="H1677" s="162" t="s">
        <v>4180</v>
      </c>
      <c r="I1677" s="163" t="s">
        <v>36</v>
      </c>
      <c r="J1677" s="163" t="s">
        <v>37</v>
      </c>
      <c r="K1677" s="163" t="s">
        <v>37</v>
      </c>
      <c r="L1677" s="163" t="s">
        <v>38</v>
      </c>
      <c r="M1677" s="163" t="s">
        <v>38</v>
      </c>
      <c r="N1677" s="164">
        <v>178.5</v>
      </c>
      <c r="O1677" s="163" t="s">
        <v>38</v>
      </c>
      <c r="P1677" s="163"/>
      <c r="Q1677" s="41">
        <v>46057</v>
      </c>
      <c r="R1677" s="45" t="s">
        <v>4002</v>
      </c>
      <c r="S1677" s="45"/>
      <c r="T1677" s="45"/>
      <c r="U1677" s="45"/>
      <c r="V1677" s="166">
        <f>IF(
  OR(
    ISNUMBER(SEARCH("unable to locate acct", tblDocketedComments[[#This Row],[Docketed Consumer Comments]])),
    ISNUMBER(SEARCH("unknown", tblDocketedComments[[#This Row],[Docketed Consumer Comments]])),
    ISNUMBER(SEARCH("inactive", tblDocketedComments[[#This Row],[Docketed Consumer Comments]]))
  ),
  0,
  1
)</f>
        <v>1</v>
      </c>
      <c r="W1677" s="32"/>
    </row>
    <row r="1678" spans="1:23">
      <c r="A1678" s="156">
        <v>46049</v>
      </c>
      <c r="B1678" s="45" t="s">
        <v>4181</v>
      </c>
      <c r="C1678" s="45" t="s">
        <v>476</v>
      </c>
      <c r="D1678" s="45" t="s">
        <v>63</v>
      </c>
      <c r="E1678" s="45">
        <v>85032</v>
      </c>
      <c r="F1678" s="45" t="s">
        <v>4182</v>
      </c>
      <c r="G1678" s="158" t="s">
        <v>4077</v>
      </c>
      <c r="H1678" s="162" t="s">
        <v>4183</v>
      </c>
      <c r="I1678" s="163" t="s">
        <v>3682</v>
      </c>
      <c r="J1678" s="163" t="s">
        <v>37</v>
      </c>
      <c r="K1678" s="163" t="s">
        <v>37</v>
      </c>
      <c r="L1678" s="163" t="s">
        <v>3549</v>
      </c>
      <c r="M1678" s="163" t="s">
        <v>37</v>
      </c>
      <c r="N1678" s="163" t="s">
        <v>37</v>
      </c>
      <c r="O1678" s="163" t="s">
        <v>38</v>
      </c>
      <c r="P1678" s="163" t="s">
        <v>39</v>
      </c>
      <c r="Q1678" s="2">
        <v>46057</v>
      </c>
      <c r="R1678" s="45"/>
      <c r="S1678" s="45"/>
      <c r="T1678" s="45"/>
      <c r="U1678" s="45"/>
      <c r="V167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79" spans="1:23">
      <c r="A1679" s="156">
        <v>46049</v>
      </c>
      <c r="B1679" s="45" t="s">
        <v>1039</v>
      </c>
      <c r="C1679" s="45" t="s">
        <v>4184</v>
      </c>
      <c r="D1679" s="45" t="s">
        <v>93</v>
      </c>
      <c r="E1679" s="45">
        <v>85351</v>
      </c>
      <c r="F1679" s="45" t="s">
        <v>4185</v>
      </c>
      <c r="G1679" s="158" t="s">
        <v>4077</v>
      </c>
      <c r="H1679" s="162" t="s">
        <v>4186</v>
      </c>
      <c r="I1679" s="163" t="s">
        <v>46</v>
      </c>
      <c r="J1679" s="163" t="s">
        <v>38</v>
      </c>
      <c r="K1679" s="163" t="s">
        <v>37</v>
      </c>
      <c r="L1679" s="163" t="s">
        <v>4187</v>
      </c>
      <c r="M1679" s="163" t="s">
        <v>37</v>
      </c>
      <c r="N1679" s="163" t="s">
        <v>37</v>
      </c>
      <c r="O1679" s="163" t="s">
        <v>38</v>
      </c>
      <c r="P1679" s="163" t="s">
        <v>39</v>
      </c>
      <c r="Q1679" s="2">
        <v>46057</v>
      </c>
      <c r="R1679" s="45"/>
      <c r="S1679" s="45"/>
      <c r="T1679" s="45"/>
      <c r="U1679" s="45"/>
      <c r="V167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0" spans="1:23">
      <c r="A1680" s="156">
        <v>46049</v>
      </c>
      <c r="B1680" s="45" t="s">
        <v>4188</v>
      </c>
      <c r="C1680" s="45" t="s">
        <v>478</v>
      </c>
      <c r="D1680" s="45" t="s">
        <v>63</v>
      </c>
      <c r="E1680" s="45">
        <v>85027</v>
      </c>
      <c r="F1680" s="45" t="s">
        <v>4189</v>
      </c>
      <c r="G1680" s="158" t="s">
        <v>4077</v>
      </c>
      <c r="H1680" s="162" t="s">
        <v>90</v>
      </c>
      <c r="I1680" s="163"/>
      <c r="J1680" s="163"/>
      <c r="K1680" s="163"/>
      <c r="L1680" s="163"/>
      <c r="M1680" s="163"/>
      <c r="N1680" s="163"/>
      <c r="O1680" s="163"/>
      <c r="P1680" s="163"/>
      <c r="R1680" s="45"/>
      <c r="S1680" s="45"/>
      <c r="T1680" s="45"/>
      <c r="U1680" s="45"/>
      <c r="V168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1" spans="1:23">
      <c r="A1681" s="156">
        <v>46049</v>
      </c>
      <c r="B1681" s="45" t="s">
        <v>4190</v>
      </c>
      <c r="C1681" s="45" t="s">
        <v>2759</v>
      </c>
      <c r="D1681" s="45" t="s">
        <v>695</v>
      </c>
      <c r="E1681" s="45">
        <v>85375</v>
      </c>
      <c r="F1681" s="45" t="s">
        <v>4191</v>
      </c>
      <c r="G1681" s="158" t="s">
        <v>4077</v>
      </c>
      <c r="H1681" s="162" t="s">
        <v>27</v>
      </c>
      <c r="I1681" s="163"/>
      <c r="J1681" s="163"/>
      <c r="K1681" s="163"/>
      <c r="L1681" s="163"/>
      <c r="M1681" s="163"/>
      <c r="N1681" s="163"/>
      <c r="O1681" s="163"/>
      <c r="P1681" s="163"/>
      <c r="R1681" s="45"/>
      <c r="S1681" s="45"/>
      <c r="T1681" s="45"/>
      <c r="U1681" s="45"/>
      <c r="V168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2" spans="1:23">
      <c r="A1682" s="156">
        <v>46049</v>
      </c>
      <c r="B1682" s="45" t="s">
        <v>4192</v>
      </c>
      <c r="C1682" s="45" t="s">
        <v>3585</v>
      </c>
      <c r="D1682" s="45" t="s">
        <v>63</v>
      </c>
      <c r="E1682" s="45">
        <v>85015</v>
      </c>
      <c r="F1682" s="45" t="s">
        <v>4193</v>
      </c>
      <c r="G1682" s="158" t="s">
        <v>4077</v>
      </c>
      <c r="H1682" s="162" t="s">
        <v>27</v>
      </c>
      <c r="I1682" s="163"/>
      <c r="J1682" s="163"/>
      <c r="K1682" s="163"/>
      <c r="L1682" s="163"/>
      <c r="M1682" s="163"/>
      <c r="N1682" s="163"/>
      <c r="O1682" s="163"/>
      <c r="P1682" s="163"/>
      <c r="R1682" s="45"/>
      <c r="S1682" s="45"/>
      <c r="T1682" s="45"/>
      <c r="U1682" s="45"/>
      <c r="V168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3" spans="1:23">
      <c r="A1683" s="156">
        <v>46049</v>
      </c>
      <c r="B1683" s="45" t="s">
        <v>4194</v>
      </c>
      <c r="C1683" s="45" t="s">
        <v>877</v>
      </c>
      <c r="D1683" s="45" t="s">
        <v>63</v>
      </c>
      <c r="E1683" s="45">
        <v>85009</v>
      </c>
      <c r="F1683" s="45" t="s">
        <v>4195</v>
      </c>
      <c r="G1683" s="158" t="s">
        <v>4077</v>
      </c>
      <c r="H1683" s="162" t="s">
        <v>4196</v>
      </c>
      <c r="I1683" s="163" t="s">
        <v>36</v>
      </c>
      <c r="J1683" s="163" t="s">
        <v>37</v>
      </c>
      <c r="K1683" s="163" t="s">
        <v>37</v>
      </c>
      <c r="L1683" s="163" t="s">
        <v>38</v>
      </c>
      <c r="M1683" s="163" t="s">
        <v>37</v>
      </c>
      <c r="N1683" s="163" t="s">
        <v>37</v>
      </c>
      <c r="O1683" s="163" t="s">
        <v>38</v>
      </c>
      <c r="P1683" s="163" t="s">
        <v>39</v>
      </c>
      <c r="Q1683" s="2">
        <v>46057</v>
      </c>
      <c r="R1683" s="45"/>
      <c r="S1683" s="45"/>
      <c r="T1683" s="45"/>
      <c r="U1683" s="45"/>
      <c r="V168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4" spans="1:23">
      <c r="A1684" s="156">
        <v>46049</v>
      </c>
      <c r="B1684" s="45" t="s">
        <v>4197</v>
      </c>
      <c r="C1684" s="45" t="s">
        <v>4198</v>
      </c>
      <c r="D1684" s="45" t="s">
        <v>63</v>
      </c>
      <c r="E1684" s="45">
        <v>85022</v>
      </c>
      <c r="F1684" s="45" t="s">
        <v>4199</v>
      </c>
      <c r="G1684" s="158" t="s">
        <v>4077</v>
      </c>
      <c r="H1684" s="162" t="s">
        <v>27</v>
      </c>
      <c r="I1684" s="163"/>
      <c r="J1684" s="163"/>
      <c r="K1684" s="163"/>
      <c r="L1684" s="163"/>
      <c r="M1684" s="163"/>
      <c r="N1684" s="163"/>
      <c r="O1684" s="163"/>
      <c r="P1684" s="163"/>
      <c r="R1684" s="45"/>
      <c r="S1684" s="45"/>
      <c r="T1684" s="45"/>
      <c r="U1684" s="45"/>
      <c r="V168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5" spans="1:23">
      <c r="A1685" s="156">
        <v>46049</v>
      </c>
      <c r="B1685" s="45" t="s">
        <v>2088</v>
      </c>
      <c r="C1685" s="45" t="s">
        <v>145</v>
      </c>
      <c r="D1685" s="45" t="s">
        <v>112</v>
      </c>
      <c r="E1685" s="45">
        <v>85374</v>
      </c>
      <c r="F1685" s="45" t="s">
        <v>4200</v>
      </c>
      <c r="G1685" s="158" t="s">
        <v>4077</v>
      </c>
      <c r="H1685" s="162" t="s">
        <v>4201</v>
      </c>
      <c r="I1685" s="163" t="s">
        <v>73</v>
      </c>
      <c r="J1685" s="163" t="s">
        <v>38</v>
      </c>
      <c r="K1685" s="163" t="s">
        <v>37</v>
      </c>
      <c r="L1685" s="163" t="s">
        <v>38</v>
      </c>
      <c r="M1685" s="163" t="s">
        <v>37</v>
      </c>
      <c r="N1685" s="163" t="s">
        <v>37</v>
      </c>
      <c r="O1685" s="163" t="s">
        <v>38</v>
      </c>
      <c r="P1685" s="163" t="s">
        <v>39</v>
      </c>
      <c r="Q1685" s="2">
        <v>46057</v>
      </c>
      <c r="R1685" s="45"/>
      <c r="S1685" s="45"/>
      <c r="T1685" s="45"/>
      <c r="U1685" s="45"/>
      <c r="V168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6" spans="1:23">
      <c r="A1686" s="156">
        <v>46049</v>
      </c>
      <c r="B1686" s="45" t="s">
        <v>806</v>
      </c>
      <c r="C1686" s="45" t="s">
        <v>1006</v>
      </c>
      <c r="D1686" s="45" t="s">
        <v>112</v>
      </c>
      <c r="E1686" s="45">
        <v>85379</v>
      </c>
      <c r="F1686" s="45" t="s">
        <v>4202</v>
      </c>
      <c r="G1686" s="158" t="s">
        <v>4077</v>
      </c>
      <c r="H1686" s="162" t="s">
        <v>27</v>
      </c>
      <c r="I1686" s="163"/>
      <c r="J1686" s="163"/>
      <c r="K1686" s="163"/>
      <c r="L1686" s="163"/>
      <c r="M1686" s="163"/>
      <c r="N1686" s="163"/>
      <c r="O1686" s="163"/>
      <c r="P1686" s="163"/>
      <c r="R1686" s="45"/>
      <c r="S1686" s="45"/>
      <c r="T1686" s="45"/>
      <c r="U1686" s="45"/>
      <c r="V168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7" spans="1:23">
      <c r="A1687" s="156">
        <v>46049</v>
      </c>
      <c r="B1687" s="45" t="s">
        <v>1225</v>
      </c>
      <c r="C1687" s="45" t="s">
        <v>362</v>
      </c>
      <c r="D1687" s="45" t="s">
        <v>63</v>
      </c>
      <c r="E1687" s="45">
        <v>85044</v>
      </c>
      <c r="F1687" s="45" t="s">
        <v>4203</v>
      </c>
      <c r="G1687" s="158" t="s">
        <v>4077</v>
      </c>
      <c r="H1687" s="162" t="s">
        <v>27</v>
      </c>
      <c r="I1687" s="163"/>
      <c r="J1687" s="163"/>
      <c r="K1687" s="163"/>
      <c r="L1687" s="163"/>
      <c r="M1687" s="163"/>
      <c r="N1687" s="163"/>
      <c r="O1687" s="163"/>
      <c r="P1687" s="163"/>
      <c r="R1687" s="45"/>
      <c r="S1687" s="45"/>
      <c r="T1687" s="45"/>
      <c r="U1687" s="45"/>
      <c r="V168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8" spans="1:23">
      <c r="A1688" s="156">
        <v>46049</v>
      </c>
      <c r="B1688" s="45" t="s">
        <v>4204</v>
      </c>
      <c r="C1688" s="45" t="s">
        <v>4205</v>
      </c>
      <c r="D1688" s="45" t="s">
        <v>3073</v>
      </c>
      <c r="E1688" s="45">
        <v>86337</v>
      </c>
      <c r="F1688" s="45" t="s">
        <v>4206</v>
      </c>
      <c r="G1688" s="158" t="s">
        <v>4077</v>
      </c>
      <c r="H1688" s="162" t="s">
        <v>4207</v>
      </c>
      <c r="I1688" s="163" t="s">
        <v>36</v>
      </c>
      <c r="J1688" s="163" t="s">
        <v>37</v>
      </c>
      <c r="K1688" s="163" t="s">
        <v>37</v>
      </c>
      <c r="L1688" s="163" t="s">
        <v>38</v>
      </c>
      <c r="M1688" s="163" t="s">
        <v>37</v>
      </c>
      <c r="N1688" s="163" t="s">
        <v>37</v>
      </c>
      <c r="O1688" s="163" t="s">
        <v>38</v>
      </c>
      <c r="P1688" s="163" t="s">
        <v>39</v>
      </c>
      <c r="Q1688" s="2">
        <v>46057</v>
      </c>
      <c r="R1688" s="45"/>
      <c r="S1688" s="45"/>
      <c r="T1688" s="45"/>
      <c r="U1688" s="45"/>
      <c r="V168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89" spans="1:23">
      <c r="A1689" s="156">
        <v>46049</v>
      </c>
      <c r="B1689" s="45" t="s">
        <v>4208</v>
      </c>
      <c r="C1689" s="45" t="s">
        <v>307</v>
      </c>
      <c r="D1689" s="45" t="s">
        <v>2002</v>
      </c>
      <c r="E1689" s="45">
        <v>86335</v>
      </c>
      <c r="F1689" s="45" t="s">
        <v>4209</v>
      </c>
      <c r="G1689" s="158" t="s">
        <v>4077</v>
      </c>
      <c r="H1689" s="162" t="s">
        <v>4210</v>
      </c>
      <c r="I1689" s="163" t="s">
        <v>73</v>
      </c>
      <c r="J1689" s="163" t="s">
        <v>37</v>
      </c>
      <c r="K1689" s="163" t="s">
        <v>37</v>
      </c>
      <c r="L1689" s="163" t="s">
        <v>38</v>
      </c>
      <c r="M1689" s="163" t="s">
        <v>37</v>
      </c>
      <c r="N1689" s="163" t="s">
        <v>37</v>
      </c>
      <c r="O1689" s="163" t="s">
        <v>38</v>
      </c>
      <c r="P1689" s="163" t="s">
        <v>39</v>
      </c>
      <c r="Q1689" s="41">
        <v>46057</v>
      </c>
      <c r="R1689" s="45"/>
      <c r="S1689" s="45"/>
      <c r="T1689" s="45"/>
      <c r="U1689" s="45"/>
      <c r="V1689" s="166">
        <f>IF(
  OR(
    ISNUMBER(SEARCH("unable to locate acct", tblDocketedComments[[#This Row],[Docketed Consumer Comments]])),
    ISNUMBER(SEARCH("unknown", tblDocketedComments[[#This Row],[Docketed Consumer Comments]])),
    ISNUMBER(SEARCH("inactive", tblDocketedComments[[#This Row],[Docketed Consumer Comments]]))
  ),
  0,
  1
)</f>
        <v>1</v>
      </c>
      <c r="W1689" s="32"/>
    </row>
    <row r="1690" spans="1:23">
      <c r="A1690" s="156">
        <v>46049</v>
      </c>
      <c r="B1690" s="45" t="s">
        <v>4211</v>
      </c>
      <c r="C1690" s="45" t="s">
        <v>4212</v>
      </c>
      <c r="D1690" s="45" t="s">
        <v>1819</v>
      </c>
      <c r="E1690" s="45">
        <v>86327</v>
      </c>
      <c r="F1690" s="45" t="s">
        <v>4213</v>
      </c>
      <c r="G1690" s="158" t="s">
        <v>4077</v>
      </c>
      <c r="H1690" s="162" t="s">
        <v>4214</v>
      </c>
      <c r="I1690" s="163" t="s">
        <v>36</v>
      </c>
      <c r="J1690" s="163" t="s">
        <v>37</v>
      </c>
      <c r="K1690" s="163" t="s">
        <v>37</v>
      </c>
      <c r="L1690" s="163" t="s">
        <v>4215</v>
      </c>
      <c r="M1690" s="163" t="s">
        <v>37</v>
      </c>
      <c r="N1690" s="163" t="s">
        <v>37</v>
      </c>
      <c r="O1690" s="163" t="s">
        <v>38</v>
      </c>
      <c r="P1690" s="163"/>
      <c r="Q1690" s="41">
        <v>46057</v>
      </c>
      <c r="R1690" s="45" t="s">
        <v>3474</v>
      </c>
      <c r="S1690" s="45"/>
      <c r="T1690" s="45"/>
      <c r="U1690" s="45"/>
      <c r="V1690" s="166">
        <f>IF(
  OR(
    ISNUMBER(SEARCH("unable to locate acct", tblDocketedComments[[#This Row],[Docketed Consumer Comments]])),
    ISNUMBER(SEARCH("unknown", tblDocketedComments[[#This Row],[Docketed Consumer Comments]])),
    ISNUMBER(SEARCH("inactive", tblDocketedComments[[#This Row],[Docketed Consumer Comments]]))
  ),
  0,
  1
)</f>
        <v>1</v>
      </c>
      <c r="W1690" s="32"/>
    </row>
    <row r="1691" spans="1:23">
      <c r="A1691" s="156">
        <v>46049</v>
      </c>
      <c r="B1691" s="45" t="s">
        <v>4216</v>
      </c>
      <c r="C1691" s="45" t="s">
        <v>572</v>
      </c>
      <c r="D1691" s="45" t="s">
        <v>2002</v>
      </c>
      <c r="E1691" s="45">
        <v>86335</v>
      </c>
      <c r="F1691" s="45" t="s">
        <v>4217</v>
      </c>
      <c r="G1691" s="158" t="s">
        <v>4077</v>
      </c>
      <c r="H1691" s="162" t="s">
        <v>90</v>
      </c>
      <c r="I1691" s="163"/>
      <c r="J1691" s="163"/>
      <c r="K1691" s="163"/>
      <c r="L1691" s="163"/>
      <c r="M1691" s="163"/>
      <c r="N1691" s="163"/>
      <c r="O1691" s="163"/>
      <c r="P1691" s="163"/>
      <c r="R1691" s="45"/>
      <c r="S1691" s="45"/>
      <c r="T1691" s="45"/>
      <c r="U1691" s="45"/>
      <c r="V169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2" spans="1:23">
      <c r="A1692" s="156">
        <v>46049</v>
      </c>
      <c r="B1692" s="45" t="s">
        <v>4218</v>
      </c>
      <c r="C1692" s="45" t="s">
        <v>4219</v>
      </c>
      <c r="D1692" s="45" t="s">
        <v>63</v>
      </c>
      <c r="E1692" s="45">
        <v>85006</v>
      </c>
      <c r="F1692" s="45" t="s">
        <v>4220</v>
      </c>
      <c r="G1692" s="158" t="s">
        <v>4077</v>
      </c>
      <c r="H1692" s="162" t="s">
        <v>27</v>
      </c>
      <c r="I1692" s="163"/>
      <c r="J1692" s="163"/>
      <c r="K1692" s="163"/>
      <c r="L1692" s="163"/>
      <c r="M1692" s="163"/>
      <c r="N1692" s="163"/>
      <c r="O1692" s="163"/>
      <c r="P1692" s="163"/>
      <c r="R1692" s="45"/>
      <c r="S1692" s="45"/>
      <c r="T1692" s="45"/>
      <c r="U1692" s="45"/>
      <c r="V169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3" spans="1:23">
      <c r="A1693" s="156">
        <v>46049</v>
      </c>
      <c r="B1693" s="45" t="s">
        <v>4221</v>
      </c>
      <c r="C1693" s="45" t="s">
        <v>1165</v>
      </c>
      <c r="D1693" s="45" t="s">
        <v>169</v>
      </c>
      <c r="E1693" s="45">
        <v>85338</v>
      </c>
      <c r="F1693" s="45" t="s">
        <v>4222</v>
      </c>
      <c r="G1693" s="158" t="s">
        <v>4077</v>
      </c>
      <c r="H1693" s="162" t="s">
        <v>4223</v>
      </c>
      <c r="I1693" s="163" t="s">
        <v>4224</v>
      </c>
      <c r="J1693" s="163" t="s">
        <v>37</v>
      </c>
      <c r="K1693" s="163" t="s">
        <v>37</v>
      </c>
      <c r="L1693" s="163" t="s">
        <v>3549</v>
      </c>
      <c r="M1693" s="163" t="s">
        <v>37</v>
      </c>
      <c r="N1693" s="163" t="s">
        <v>37</v>
      </c>
      <c r="O1693" s="163" t="s">
        <v>38</v>
      </c>
      <c r="P1693" s="163" t="s">
        <v>39</v>
      </c>
      <c r="Q1693" s="2">
        <v>46057</v>
      </c>
      <c r="R1693" s="45"/>
      <c r="S1693" s="45"/>
      <c r="T1693" s="45"/>
      <c r="U1693" s="45"/>
      <c r="V169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4" spans="1:23">
      <c r="A1694" s="156">
        <v>46049</v>
      </c>
      <c r="B1694" s="45" t="s">
        <v>3032</v>
      </c>
      <c r="C1694" s="45" t="s">
        <v>4225</v>
      </c>
      <c r="D1694" s="45" t="s">
        <v>63</v>
      </c>
      <c r="E1694" s="45">
        <v>85027</v>
      </c>
      <c r="F1694" s="45" t="s">
        <v>4226</v>
      </c>
      <c r="G1694" s="158" t="s">
        <v>4077</v>
      </c>
      <c r="H1694" s="162" t="s">
        <v>90</v>
      </c>
      <c r="I1694" s="163"/>
      <c r="J1694" s="163"/>
      <c r="K1694" s="163"/>
      <c r="L1694" s="163"/>
      <c r="M1694" s="163"/>
      <c r="N1694" s="163"/>
      <c r="O1694" s="163"/>
      <c r="P1694" s="163"/>
      <c r="R1694" s="45" t="s">
        <v>4227</v>
      </c>
      <c r="S1694" s="45"/>
      <c r="T1694" s="45"/>
      <c r="U1694" s="45"/>
      <c r="V169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5" spans="1:23">
      <c r="A1695" s="156">
        <v>46049</v>
      </c>
      <c r="B1695" s="45" t="s">
        <v>649</v>
      </c>
      <c r="C1695" s="45" t="s">
        <v>4228</v>
      </c>
      <c r="D1695" s="45" t="s">
        <v>112</v>
      </c>
      <c r="E1695" s="45">
        <v>85379</v>
      </c>
      <c r="F1695" s="45" t="s">
        <v>4229</v>
      </c>
      <c r="G1695" s="158" t="s">
        <v>4077</v>
      </c>
      <c r="H1695" s="162" t="s">
        <v>4230</v>
      </c>
      <c r="I1695" s="163" t="s">
        <v>4224</v>
      </c>
      <c r="J1695" s="163" t="s">
        <v>37</v>
      </c>
      <c r="K1695" s="163" t="s">
        <v>37</v>
      </c>
      <c r="L1695" s="163" t="s">
        <v>3549</v>
      </c>
      <c r="M1695" s="163" t="s">
        <v>37</v>
      </c>
      <c r="N1695" s="163" t="s">
        <v>37</v>
      </c>
      <c r="O1695" s="163" t="s">
        <v>38</v>
      </c>
      <c r="P1695" s="163" t="s">
        <v>39</v>
      </c>
      <c r="Q1695" s="2">
        <v>46057</v>
      </c>
      <c r="R1695" s="45"/>
      <c r="S1695" s="45"/>
      <c r="T1695" s="45"/>
      <c r="U1695" s="45"/>
      <c r="V169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6" spans="1:23">
      <c r="A1696" s="156">
        <v>46049</v>
      </c>
      <c r="B1696" s="45" t="s">
        <v>4231</v>
      </c>
      <c r="C1696" s="45" t="s">
        <v>774</v>
      </c>
      <c r="D1696" s="45" t="s">
        <v>63</v>
      </c>
      <c r="E1696" s="45">
        <v>85032</v>
      </c>
      <c r="F1696" s="45" t="s">
        <v>4232</v>
      </c>
      <c r="G1696" s="158" t="s">
        <v>4077</v>
      </c>
      <c r="H1696" s="162" t="s">
        <v>4233</v>
      </c>
      <c r="I1696" s="163" t="s">
        <v>36</v>
      </c>
      <c r="J1696" s="163" t="s">
        <v>38</v>
      </c>
      <c r="K1696" s="163" t="s">
        <v>37</v>
      </c>
      <c r="L1696" s="163" t="s">
        <v>4234</v>
      </c>
      <c r="M1696" s="163" t="s">
        <v>38</v>
      </c>
      <c r="N1696" s="164">
        <v>1183.6600000000001</v>
      </c>
      <c r="O1696" s="163" t="s">
        <v>38</v>
      </c>
      <c r="P1696" s="163"/>
      <c r="Q1696" s="41">
        <v>46057</v>
      </c>
      <c r="R1696" s="45" t="s">
        <v>4002</v>
      </c>
      <c r="S1696" s="45"/>
      <c r="T1696" s="45"/>
      <c r="U1696" s="45"/>
      <c r="V1696" s="166">
        <f>IF(
  OR(
    ISNUMBER(SEARCH("unable to locate acct", tblDocketedComments[[#This Row],[Docketed Consumer Comments]])),
    ISNUMBER(SEARCH("unknown", tblDocketedComments[[#This Row],[Docketed Consumer Comments]])),
    ISNUMBER(SEARCH("inactive", tblDocketedComments[[#This Row],[Docketed Consumer Comments]]))
  ),
  0,
  1
)</f>
        <v>1</v>
      </c>
      <c r="W1696" s="32"/>
    </row>
    <row r="1697" spans="1:23">
      <c r="A1697" s="156">
        <v>46049</v>
      </c>
      <c r="B1697" s="45" t="s">
        <v>4235</v>
      </c>
      <c r="C1697" s="45" t="s">
        <v>4236</v>
      </c>
      <c r="D1697" s="45" t="s">
        <v>616</v>
      </c>
      <c r="E1697" s="45">
        <v>85365</v>
      </c>
      <c r="F1697" s="45" t="s">
        <v>4237</v>
      </c>
      <c r="G1697" s="158" t="s">
        <v>4077</v>
      </c>
      <c r="H1697" s="162" t="s">
        <v>4238</v>
      </c>
      <c r="I1697" s="163" t="s">
        <v>250</v>
      </c>
      <c r="J1697" s="163" t="s">
        <v>37</v>
      </c>
      <c r="K1697" s="163" t="s">
        <v>37</v>
      </c>
      <c r="L1697" s="163" t="s">
        <v>38</v>
      </c>
      <c r="M1697" s="163" t="s">
        <v>37</v>
      </c>
      <c r="N1697" s="163" t="s">
        <v>37</v>
      </c>
      <c r="O1697" s="163" t="s">
        <v>38</v>
      </c>
      <c r="P1697" s="163" t="s">
        <v>39</v>
      </c>
      <c r="Q1697" s="2">
        <v>46057</v>
      </c>
      <c r="R1697" s="45"/>
      <c r="S1697" s="45"/>
      <c r="T1697" s="45"/>
      <c r="U1697" s="45"/>
      <c r="V169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698" spans="1:23">
      <c r="A1698" s="156">
        <v>46049</v>
      </c>
      <c r="B1698" s="45" t="s">
        <v>4239</v>
      </c>
      <c r="C1698" s="45" t="s">
        <v>4240</v>
      </c>
      <c r="D1698" s="45" t="s">
        <v>112</v>
      </c>
      <c r="E1698" s="45">
        <v>85387</v>
      </c>
      <c r="F1698" s="45" t="s">
        <v>4241</v>
      </c>
      <c r="G1698" s="158" t="s">
        <v>4077</v>
      </c>
      <c r="H1698" s="162" t="s">
        <v>4242</v>
      </c>
      <c r="I1698" s="163" t="s">
        <v>36</v>
      </c>
      <c r="J1698" s="163" t="s">
        <v>37</v>
      </c>
      <c r="K1698" s="163" t="s">
        <v>37</v>
      </c>
      <c r="L1698" s="163" t="s">
        <v>3887</v>
      </c>
      <c r="M1698" s="163" t="s">
        <v>38</v>
      </c>
      <c r="N1698" s="164">
        <v>361.81</v>
      </c>
      <c r="O1698" s="163" t="s">
        <v>38</v>
      </c>
      <c r="P1698" s="163"/>
      <c r="Q1698" s="41">
        <v>46057</v>
      </c>
      <c r="R1698" s="45" t="s">
        <v>4002</v>
      </c>
      <c r="S1698" s="45"/>
      <c r="T1698" s="45"/>
      <c r="U1698" s="45"/>
      <c r="V1698" s="166">
        <f>IF(
  OR(
    ISNUMBER(SEARCH("unable to locate acct", tblDocketedComments[[#This Row],[Docketed Consumer Comments]])),
    ISNUMBER(SEARCH("unknown", tblDocketedComments[[#This Row],[Docketed Consumer Comments]])),
    ISNUMBER(SEARCH("inactive", tblDocketedComments[[#This Row],[Docketed Consumer Comments]]))
  ),
  0,
  1
)</f>
        <v>1</v>
      </c>
      <c r="W1698" s="32"/>
    </row>
    <row r="1699" spans="1:23">
      <c r="A1699" s="156">
        <v>46049</v>
      </c>
      <c r="B1699" s="45" t="s">
        <v>2271</v>
      </c>
      <c r="C1699" s="45" t="s">
        <v>1468</v>
      </c>
      <c r="D1699" s="45" t="s">
        <v>63</v>
      </c>
      <c r="E1699" s="45">
        <v>85022</v>
      </c>
      <c r="F1699" s="45" t="s">
        <v>4243</v>
      </c>
      <c r="G1699" s="158" t="s">
        <v>4077</v>
      </c>
      <c r="H1699" s="162" t="s">
        <v>4244</v>
      </c>
      <c r="I1699" s="163" t="s">
        <v>36</v>
      </c>
      <c r="J1699" s="163" t="s">
        <v>38</v>
      </c>
      <c r="K1699" s="163" t="s">
        <v>37</v>
      </c>
      <c r="L1699" s="163" t="s">
        <v>4245</v>
      </c>
      <c r="M1699" s="163" t="s">
        <v>37</v>
      </c>
      <c r="N1699" s="163" t="s">
        <v>37</v>
      </c>
      <c r="O1699" s="163" t="s">
        <v>38</v>
      </c>
      <c r="P1699" s="163" t="s">
        <v>39</v>
      </c>
      <c r="Q1699" s="2">
        <v>46057</v>
      </c>
      <c r="R1699" s="45"/>
      <c r="S1699" s="45"/>
      <c r="T1699" s="45"/>
      <c r="U1699" s="45"/>
      <c r="V169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0" spans="1:23">
      <c r="A1700" s="156">
        <v>46049</v>
      </c>
      <c r="B1700" s="45" t="s">
        <v>4246</v>
      </c>
      <c r="C1700" s="45" t="s">
        <v>4205</v>
      </c>
      <c r="D1700" s="45" t="s">
        <v>112</v>
      </c>
      <c r="E1700" s="45">
        <v>85387</v>
      </c>
      <c r="F1700" s="45" t="s">
        <v>4247</v>
      </c>
      <c r="G1700" s="158" t="s">
        <v>4077</v>
      </c>
      <c r="H1700" s="162" t="s">
        <v>4248</v>
      </c>
      <c r="I1700" s="163" t="s">
        <v>36</v>
      </c>
      <c r="J1700" s="163" t="s">
        <v>38</v>
      </c>
      <c r="K1700" s="163" t="s">
        <v>37</v>
      </c>
      <c r="L1700" s="163" t="s">
        <v>38</v>
      </c>
      <c r="M1700" s="163" t="s">
        <v>38</v>
      </c>
      <c r="N1700" s="164">
        <v>563.04</v>
      </c>
      <c r="O1700" s="163" t="s">
        <v>38</v>
      </c>
      <c r="P1700" s="163"/>
      <c r="Q1700" s="41">
        <v>46057</v>
      </c>
      <c r="R1700" s="45" t="s">
        <v>4002</v>
      </c>
      <c r="S1700" s="45"/>
      <c r="T1700" s="45"/>
      <c r="U1700" s="45"/>
      <c r="V1700" s="166">
        <f>IF(
  OR(
    ISNUMBER(SEARCH("unable to locate acct", tblDocketedComments[[#This Row],[Docketed Consumer Comments]])),
    ISNUMBER(SEARCH("unknown", tblDocketedComments[[#This Row],[Docketed Consumer Comments]])),
    ISNUMBER(SEARCH("inactive", tblDocketedComments[[#This Row],[Docketed Consumer Comments]]))
  ),
  0,
  1
)</f>
        <v>1</v>
      </c>
      <c r="W1700" s="32"/>
    </row>
    <row r="1701" spans="1:23">
      <c r="A1701" s="156">
        <v>46049</v>
      </c>
      <c r="B1701" s="45" t="s">
        <v>4249</v>
      </c>
      <c r="C1701" s="45" t="s">
        <v>4250</v>
      </c>
      <c r="D1701" s="45" t="s">
        <v>112</v>
      </c>
      <c r="E1701" s="45">
        <v>85387</v>
      </c>
      <c r="F1701" s="45" t="s">
        <v>4251</v>
      </c>
      <c r="G1701" s="158" t="s">
        <v>4077</v>
      </c>
      <c r="H1701" s="162" t="s">
        <v>4252</v>
      </c>
      <c r="I1701" s="163" t="s">
        <v>36</v>
      </c>
      <c r="J1701" s="163" t="s">
        <v>37</v>
      </c>
      <c r="K1701" s="163" t="s">
        <v>37</v>
      </c>
      <c r="L1701" s="163" t="s">
        <v>38</v>
      </c>
      <c r="M1701" s="163" t="s">
        <v>37</v>
      </c>
      <c r="N1701" s="163" t="s">
        <v>37</v>
      </c>
      <c r="O1701" s="163" t="s">
        <v>38</v>
      </c>
      <c r="P1701" s="163" t="s">
        <v>39</v>
      </c>
      <c r="Q1701" s="2">
        <v>46057</v>
      </c>
      <c r="R1701" s="45"/>
      <c r="S1701" s="45"/>
      <c r="T1701" s="45"/>
      <c r="U1701" s="45"/>
      <c r="V170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2" spans="1:23">
      <c r="A1702" s="156">
        <v>46049</v>
      </c>
      <c r="B1702" s="45" t="s">
        <v>2878</v>
      </c>
      <c r="C1702" s="45" t="s">
        <v>307</v>
      </c>
      <c r="D1702" s="45" t="s">
        <v>24</v>
      </c>
      <c r="E1702" s="45">
        <v>85304</v>
      </c>
      <c r="F1702" s="45" t="s">
        <v>4253</v>
      </c>
      <c r="G1702" s="158" t="s">
        <v>4077</v>
      </c>
      <c r="H1702" s="162" t="s">
        <v>4254</v>
      </c>
      <c r="I1702" s="163" t="s">
        <v>4255</v>
      </c>
      <c r="J1702" s="163" t="s">
        <v>37</v>
      </c>
      <c r="K1702" s="163" t="s">
        <v>37</v>
      </c>
      <c r="L1702" s="163" t="s">
        <v>38</v>
      </c>
      <c r="M1702" s="163" t="s">
        <v>37</v>
      </c>
      <c r="N1702" s="163" t="s">
        <v>37</v>
      </c>
      <c r="O1702" s="163" t="s">
        <v>38</v>
      </c>
      <c r="P1702" s="163" t="s">
        <v>39</v>
      </c>
      <c r="Q1702" s="2">
        <v>46057</v>
      </c>
      <c r="R1702" s="45"/>
      <c r="S1702" s="45"/>
      <c r="T1702" s="45"/>
      <c r="U1702" s="45"/>
      <c r="V170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3" spans="1:23">
      <c r="A1703" s="156">
        <v>46049</v>
      </c>
      <c r="B1703" s="45" t="s">
        <v>4256</v>
      </c>
      <c r="C1703" s="45" t="s">
        <v>230</v>
      </c>
      <c r="D1703" s="45" t="s">
        <v>2630</v>
      </c>
      <c r="E1703" s="45">
        <v>85901</v>
      </c>
      <c r="F1703" s="45" t="s">
        <v>4257</v>
      </c>
      <c r="G1703" s="158" t="s">
        <v>4077</v>
      </c>
      <c r="H1703" s="162" t="s">
        <v>4258</v>
      </c>
      <c r="I1703" s="163" t="s">
        <v>36</v>
      </c>
      <c r="J1703" s="163" t="s">
        <v>37</v>
      </c>
      <c r="K1703" s="163" t="s">
        <v>37</v>
      </c>
      <c r="L1703" s="163" t="s">
        <v>38</v>
      </c>
      <c r="M1703" s="163" t="s">
        <v>37</v>
      </c>
      <c r="N1703" s="163" t="s">
        <v>37</v>
      </c>
      <c r="O1703" s="163" t="s">
        <v>38</v>
      </c>
      <c r="P1703" s="163" t="s">
        <v>39</v>
      </c>
      <c r="Q1703" s="2">
        <v>46057</v>
      </c>
      <c r="R1703" s="45"/>
      <c r="S1703" s="45"/>
      <c r="T1703" s="45"/>
      <c r="U1703" s="45"/>
      <c r="V170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4" spans="1:23">
      <c r="A1704" s="156">
        <v>46049</v>
      </c>
      <c r="B1704" s="45" t="s">
        <v>555</v>
      </c>
      <c r="C1704" s="45" t="s">
        <v>4259</v>
      </c>
      <c r="D1704" s="45" t="s">
        <v>112</v>
      </c>
      <c r="E1704" s="45">
        <v>85388</v>
      </c>
      <c r="F1704" s="45" t="s">
        <v>4260</v>
      </c>
      <c r="G1704" s="158" t="s">
        <v>4077</v>
      </c>
      <c r="H1704" s="162" t="s">
        <v>4261</v>
      </c>
      <c r="I1704" s="163" t="s">
        <v>36</v>
      </c>
      <c r="J1704" s="163" t="s">
        <v>37</v>
      </c>
      <c r="K1704" s="163" t="s">
        <v>37</v>
      </c>
      <c r="L1704" s="163" t="s">
        <v>38</v>
      </c>
      <c r="M1704" s="163" t="s">
        <v>37</v>
      </c>
      <c r="N1704" s="163" t="s">
        <v>37</v>
      </c>
      <c r="O1704" s="163" t="s">
        <v>38</v>
      </c>
      <c r="P1704" s="163" t="s">
        <v>39</v>
      </c>
      <c r="Q1704" s="2">
        <v>46057</v>
      </c>
      <c r="R1704" s="45"/>
      <c r="S1704" s="45"/>
      <c r="T1704" s="45"/>
      <c r="U1704" s="45"/>
      <c r="V170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5" spans="1:23">
      <c r="A1705" s="156">
        <v>46049</v>
      </c>
      <c r="B1705" s="45" t="s">
        <v>4262</v>
      </c>
      <c r="C1705" s="45" t="s">
        <v>3925</v>
      </c>
      <c r="D1705" s="45" t="s">
        <v>520</v>
      </c>
      <c r="E1705" s="45">
        <v>85323</v>
      </c>
      <c r="F1705" s="45" t="s">
        <v>4263</v>
      </c>
      <c r="G1705" s="158" t="s">
        <v>4077</v>
      </c>
      <c r="H1705" s="162" t="s">
        <v>27</v>
      </c>
      <c r="I1705" s="163"/>
      <c r="J1705" s="163"/>
      <c r="K1705" s="163"/>
      <c r="L1705" s="163"/>
      <c r="M1705" s="163"/>
      <c r="N1705" s="163"/>
      <c r="O1705" s="163"/>
      <c r="P1705" s="163"/>
      <c r="R1705" s="45"/>
      <c r="S1705" s="45"/>
      <c r="T1705" s="45"/>
      <c r="U1705" s="45"/>
      <c r="V170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6" spans="1:23">
      <c r="A1706" s="156">
        <v>46049</v>
      </c>
      <c r="B1706" s="45" t="s">
        <v>4264</v>
      </c>
      <c r="C1706" s="45" t="s">
        <v>572</v>
      </c>
      <c r="D1706" s="45" t="s">
        <v>89</v>
      </c>
      <c r="E1706" s="45">
        <v>86336</v>
      </c>
      <c r="F1706" s="45" t="s">
        <v>4265</v>
      </c>
      <c r="G1706" s="158" t="s">
        <v>4077</v>
      </c>
      <c r="H1706" s="162" t="s">
        <v>27</v>
      </c>
      <c r="I1706" s="163"/>
      <c r="J1706" s="163"/>
      <c r="K1706" s="163"/>
      <c r="L1706" s="163"/>
      <c r="M1706" s="163"/>
      <c r="N1706" s="163"/>
      <c r="O1706" s="163"/>
      <c r="P1706" s="163"/>
      <c r="R1706" s="45"/>
      <c r="S1706" s="45"/>
      <c r="T1706" s="45"/>
      <c r="U1706" s="45"/>
      <c r="V170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7" spans="1:23">
      <c r="A1707" s="156">
        <v>46049</v>
      </c>
      <c r="B1707" s="45" t="s">
        <v>4266</v>
      </c>
      <c r="C1707" s="45" t="s">
        <v>75</v>
      </c>
      <c r="D1707" s="45" t="s">
        <v>24</v>
      </c>
      <c r="E1707" s="45">
        <v>85308</v>
      </c>
      <c r="F1707" s="45" t="s">
        <v>4267</v>
      </c>
      <c r="G1707" s="158" t="s">
        <v>4077</v>
      </c>
      <c r="H1707" s="162" t="s">
        <v>4268</v>
      </c>
      <c r="I1707" s="163" t="s">
        <v>36</v>
      </c>
      <c r="J1707" s="163" t="s">
        <v>37</v>
      </c>
      <c r="K1707" s="163" t="s">
        <v>37</v>
      </c>
      <c r="L1707" s="163" t="s">
        <v>38</v>
      </c>
      <c r="M1707" s="163" t="s">
        <v>37</v>
      </c>
      <c r="N1707" s="163" t="s">
        <v>37</v>
      </c>
      <c r="O1707" s="163" t="s">
        <v>38</v>
      </c>
      <c r="P1707" s="163" t="s">
        <v>39</v>
      </c>
      <c r="Q1707" s="2">
        <v>46057</v>
      </c>
      <c r="R1707" s="45"/>
      <c r="S1707" s="45"/>
      <c r="T1707" s="45"/>
      <c r="U1707" s="45"/>
      <c r="V170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8" spans="1:23">
      <c r="A1708" s="156">
        <v>46049</v>
      </c>
      <c r="B1708" s="45" t="s">
        <v>1581</v>
      </c>
      <c r="C1708" s="45" t="s">
        <v>307</v>
      </c>
      <c r="D1708" s="45" t="s">
        <v>4269</v>
      </c>
      <c r="E1708" s="45">
        <v>85363</v>
      </c>
      <c r="F1708" s="45" t="s">
        <v>4270</v>
      </c>
      <c r="G1708" s="158" t="s">
        <v>4077</v>
      </c>
      <c r="H1708" s="162" t="s">
        <v>27</v>
      </c>
      <c r="I1708" s="163"/>
      <c r="J1708" s="163"/>
      <c r="K1708" s="163"/>
      <c r="L1708" s="163"/>
      <c r="M1708" s="163"/>
      <c r="N1708" s="163"/>
      <c r="O1708" s="163"/>
      <c r="P1708" s="163"/>
      <c r="R1708" s="45"/>
      <c r="S1708" s="45"/>
      <c r="T1708" s="45"/>
      <c r="U1708" s="45"/>
      <c r="V170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09" spans="1:23">
      <c r="A1709" s="156">
        <v>46049</v>
      </c>
      <c r="B1709" s="45" t="s">
        <v>4271</v>
      </c>
      <c r="C1709" s="45" t="s">
        <v>2232</v>
      </c>
      <c r="D1709" s="45" t="s">
        <v>261</v>
      </c>
      <c r="E1709" s="45">
        <v>86315</v>
      </c>
      <c r="F1709" s="45" t="s">
        <v>4272</v>
      </c>
      <c r="G1709" s="158" t="s">
        <v>4077</v>
      </c>
      <c r="H1709" s="162" t="s">
        <v>27</v>
      </c>
      <c r="I1709" s="163"/>
      <c r="J1709" s="163"/>
      <c r="K1709" s="163"/>
      <c r="L1709" s="163"/>
      <c r="M1709" s="163"/>
      <c r="N1709" s="163"/>
      <c r="O1709" s="163"/>
      <c r="P1709" s="163"/>
      <c r="R1709" s="45"/>
      <c r="S1709" s="45"/>
      <c r="T1709" s="45"/>
      <c r="U1709" s="45"/>
      <c r="V170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0" spans="1:23">
      <c r="A1710" s="156">
        <v>46049</v>
      </c>
      <c r="B1710" s="45" t="s">
        <v>4273</v>
      </c>
      <c r="C1710" s="45" t="s">
        <v>225</v>
      </c>
      <c r="D1710" s="45" t="s">
        <v>63</v>
      </c>
      <c r="E1710" s="45">
        <v>85053</v>
      </c>
      <c r="F1710" s="45" t="s">
        <v>4274</v>
      </c>
      <c r="G1710" s="158" t="s">
        <v>4077</v>
      </c>
      <c r="H1710" s="162" t="s">
        <v>4275</v>
      </c>
      <c r="I1710" s="163" t="s">
        <v>196</v>
      </c>
      <c r="J1710" s="163" t="s">
        <v>38</v>
      </c>
      <c r="K1710" s="163" t="s">
        <v>37</v>
      </c>
      <c r="L1710" s="163" t="s">
        <v>38</v>
      </c>
      <c r="M1710" s="163" t="s">
        <v>38</v>
      </c>
      <c r="N1710" s="164">
        <v>4114.0200000000004</v>
      </c>
      <c r="O1710" s="163" t="s">
        <v>38</v>
      </c>
      <c r="P1710" s="163"/>
      <c r="Q1710" s="41">
        <v>46057</v>
      </c>
      <c r="R1710" s="45" t="s">
        <v>4002</v>
      </c>
      <c r="S1710" s="45"/>
      <c r="T1710" s="45"/>
      <c r="U1710" s="45"/>
      <c r="V1710" s="166">
        <f>IF(
  OR(
    ISNUMBER(SEARCH("unable to locate acct", tblDocketedComments[[#This Row],[Docketed Consumer Comments]])),
    ISNUMBER(SEARCH("unknown", tblDocketedComments[[#This Row],[Docketed Consumer Comments]])),
    ISNUMBER(SEARCH("inactive", tblDocketedComments[[#This Row],[Docketed Consumer Comments]]))
  ),
  0,
  1
)</f>
        <v>1</v>
      </c>
      <c r="W1710" s="32"/>
    </row>
    <row r="1711" spans="1:23">
      <c r="A1711" s="156">
        <v>46049</v>
      </c>
      <c r="B1711" s="45" t="s">
        <v>4112</v>
      </c>
      <c r="C1711" s="45" t="s">
        <v>153</v>
      </c>
      <c r="D1711" s="45" t="s">
        <v>93</v>
      </c>
      <c r="E1711" s="45">
        <v>85351</v>
      </c>
      <c r="F1711" s="45" t="s">
        <v>4276</v>
      </c>
      <c r="G1711" s="158" t="s">
        <v>4077</v>
      </c>
      <c r="H1711" s="162" t="s">
        <v>4277</v>
      </c>
      <c r="I1711" s="163" t="s">
        <v>538</v>
      </c>
      <c r="J1711" s="163" t="s">
        <v>37</v>
      </c>
      <c r="K1711" s="163" t="s">
        <v>37</v>
      </c>
      <c r="L1711" s="163" t="s">
        <v>3549</v>
      </c>
      <c r="M1711" s="163" t="s">
        <v>37</v>
      </c>
      <c r="N1711" s="163" t="s">
        <v>37</v>
      </c>
      <c r="O1711" s="163" t="s">
        <v>38</v>
      </c>
      <c r="P1711" s="163" t="s">
        <v>39</v>
      </c>
      <c r="Q1711" s="2">
        <v>46057</v>
      </c>
      <c r="R1711" s="45"/>
      <c r="S1711" s="45"/>
      <c r="T1711" s="45"/>
      <c r="U1711" s="45"/>
      <c r="V171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2" spans="1:23">
      <c r="A1712" s="156">
        <v>46049</v>
      </c>
      <c r="B1712" s="45" t="s">
        <v>4278</v>
      </c>
      <c r="C1712" s="45" t="s">
        <v>131</v>
      </c>
      <c r="D1712" s="45" t="s">
        <v>63</v>
      </c>
      <c r="E1712" s="45">
        <v>85029</v>
      </c>
      <c r="F1712" s="45" t="s">
        <v>4279</v>
      </c>
      <c r="G1712" s="158" t="s">
        <v>4077</v>
      </c>
      <c r="H1712" s="162" t="s">
        <v>27</v>
      </c>
      <c r="I1712" s="163"/>
      <c r="J1712" s="163"/>
      <c r="K1712" s="163"/>
      <c r="L1712" s="163"/>
      <c r="M1712" s="163"/>
      <c r="N1712" s="163"/>
      <c r="O1712" s="163"/>
      <c r="P1712" s="163"/>
      <c r="R1712" s="45"/>
      <c r="S1712" s="45"/>
      <c r="T1712" s="45"/>
      <c r="U1712" s="45"/>
      <c r="V171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3" spans="1:23">
      <c r="A1713" s="156">
        <v>46049</v>
      </c>
      <c r="B1713" s="45" t="s">
        <v>4280</v>
      </c>
      <c r="C1713" s="45" t="s">
        <v>320</v>
      </c>
      <c r="D1713" s="45" t="s">
        <v>501</v>
      </c>
      <c r="E1713" s="45">
        <v>86004</v>
      </c>
      <c r="F1713" s="157" t="s">
        <v>4281</v>
      </c>
      <c r="G1713" s="158" t="s">
        <v>4077</v>
      </c>
      <c r="H1713" s="162" t="s">
        <v>4282</v>
      </c>
      <c r="I1713" s="163" t="s">
        <v>196</v>
      </c>
      <c r="J1713" s="163" t="s">
        <v>38</v>
      </c>
      <c r="K1713" s="163" t="s">
        <v>37</v>
      </c>
      <c r="L1713" s="163" t="s">
        <v>4016</v>
      </c>
      <c r="M1713" s="163" t="s">
        <v>38</v>
      </c>
      <c r="N1713" s="164">
        <v>325</v>
      </c>
      <c r="O1713" s="163" t="s">
        <v>38</v>
      </c>
      <c r="P1713" s="163"/>
      <c r="Q1713" s="41">
        <v>46057</v>
      </c>
      <c r="R1713" s="45" t="s">
        <v>4002</v>
      </c>
      <c r="S1713" s="45"/>
      <c r="T1713" s="45"/>
      <c r="U1713" s="45"/>
      <c r="V1713" s="166">
        <f>IF(
  OR(
    ISNUMBER(SEARCH("unable to locate acct", tblDocketedComments[[#This Row],[Docketed Consumer Comments]])),
    ISNUMBER(SEARCH("unknown", tblDocketedComments[[#This Row],[Docketed Consumer Comments]])),
    ISNUMBER(SEARCH("inactive", tblDocketedComments[[#This Row],[Docketed Consumer Comments]]))
  ),
  0,
  1
)</f>
        <v>1</v>
      </c>
      <c r="W1713" s="32"/>
    </row>
    <row r="1714" spans="1:23">
      <c r="A1714" s="156">
        <v>46049</v>
      </c>
      <c r="B1714" s="45" t="s">
        <v>2552</v>
      </c>
      <c r="C1714" s="45" t="s">
        <v>858</v>
      </c>
      <c r="D1714" s="45" t="s">
        <v>656</v>
      </c>
      <c r="E1714" s="45">
        <v>85350</v>
      </c>
      <c r="F1714" s="45" t="s">
        <v>4283</v>
      </c>
      <c r="G1714" s="158" t="s">
        <v>4077</v>
      </c>
      <c r="H1714" s="162" t="s">
        <v>27</v>
      </c>
      <c r="I1714" s="163"/>
      <c r="J1714" s="163"/>
      <c r="K1714" s="163"/>
      <c r="L1714" s="163"/>
      <c r="M1714" s="163"/>
      <c r="N1714" s="163"/>
      <c r="O1714" s="163"/>
      <c r="P1714" s="163"/>
      <c r="R1714" s="45"/>
      <c r="S1714" s="45"/>
      <c r="T1714" s="45"/>
      <c r="U1714" s="45"/>
      <c r="V171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5" spans="1:23">
      <c r="A1715" s="156">
        <v>46049</v>
      </c>
      <c r="B1715" s="45" t="s">
        <v>4284</v>
      </c>
      <c r="C1715" s="45" t="s">
        <v>572</v>
      </c>
      <c r="D1715" s="45" t="s">
        <v>807</v>
      </c>
      <c r="E1715" s="45">
        <v>86303</v>
      </c>
      <c r="F1715" s="45" t="s">
        <v>4285</v>
      </c>
      <c r="G1715" s="158" t="s">
        <v>4077</v>
      </c>
      <c r="H1715" s="162" t="s">
        <v>4286</v>
      </c>
      <c r="I1715" s="163" t="s">
        <v>73</v>
      </c>
      <c r="J1715" s="163" t="s">
        <v>37</v>
      </c>
      <c r="K1715" s="163" t="s">
        <v>37</v>
      </c>
      <c r="L1715" s="163" t="s">
        <v>38</v>
      </c>
      <c r="M1715" s="163" t="s">
        <v>37</v>
      </c>
      <c r="N1715" s="163" t="s">
        <v>37</v>
      </c>
      <c r="O1715" s="163" t="s">
        <v>38</v>
      </c>
      <c r="P1715" s="163" t="s">
        <v>39</v>
      </c>
      <c r="Q1715" s="2">
        <v>46057</v>
      </c>
      <c r="R1715" s="45"/>
      <c r="S1715" s="45"/>
      <c r="T1715" s="45"/>
      <c r="U1715" s="45"/>
      <c r="V171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6" spans="1:23">
      <c r="A1716" s="156">
        <v>46049</v>
      </c>
      <c r="B1716" s="45" t="s">
        <v>3032</v>
      </c>
      <c r="C1716" s="45" t="s">
        <v>4287</v>
      </c>
      <c r="D1716" s="45" t="s">
        <v>63</v>
      </c>
      <c r="E1716" s="45">
        <v>85032</v>
      </c>
      <c r="F1716" s="45" t="s">
        <v>4288</v>
      </c>
      <c r="G1716" s="158" t="s">
        <v>4077</v>
      </c>
      <c r="H1716" s="162" t="s">
        <v>4289</v>
      </c>
      <c r="I1716" s="163" t="s">
        <v>36</v>
      </c>
      <c r="J1716" s="163" t="s">
        <v>38</v>
      </c>
      <c r="K1716" s="163" t="s">
        <v>37</v>
      </c>
      <c r="L1716" s="163" t="s">
        <v>38</v>
      </c>
      <c r="M1716" s="163" t="s">
        <v>37</v>
      </c>
      <c r="N1716" s="163" t="s">
        <v>37</v>
      </c>
      <c r="O1716" s="163" t="s">
        <v>38</v>
      </c>
      <c r="P1716" s="163" t="s">
        <v>39</v>
      </c>
      <c r="Q1716" s="2">
        <v>46057</v>
      </c>
      <c r="R1716" s="45" t="s">
        <v>4227</v>
      </c>
      <c r="S1716" s="45"/>
      <c r="T1716" s="45"/>
      <c r="U1716" s="45"/>
      <c r="V171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7" spans="1:23">
      <c r="A1717" s="156">
        <v>46049</v>
      </c>
      <c r="B1717" s="45" t="s">
        <v>4290</v>
      </c>
      <c r="C1717" s="45" t="s">
        <v>4291</v>
      </c>
      <c r="D1717" s="45" t="s">
        <v>169</v>
      </c>
      <c r="E1717" s="45">
        <v>85338</v>
      </c>
      <c r="F1717" s="45" t="s">
        <v>4292</v>
      </c>
      <c r="G1717" s="158" t="s">
        <v>4077</v>
      </c>
      <c r="H1717" s="162" t="s">
        <v>90</v>
      </c>
      <c r="I1717" s="163"/>
      <c r="J1717" s="163"/>
      <c r="K1717" s="163"/>
      <c r="L1717" s="163"/>
      <c r="M1717" s="163"/>
      <c r="N1717" s="163"/>
      <c r="O1717" s="163"/>
      <c r="P1717" s="163"/>
      <c r="R1717" s="45"/>
      <c r="S1717" s="45"/>
      <c r="T1717" s="45"/>
      <c r="U1717" s="45"/>
      <c r="V171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8" spans="1:23">
      <c r="A1718" s="156">
        <v>46049</v>
      </c>
      <c r="B1718" s="45" t="s">
        <v>4293</v>
      </c>
      <c r="C1718" s="45" t="s">
        <v>4294</v>
      </c>
      <c r="D1718" s="45" t="s">
        <v>63</v>
      </c>
      <c r="E1718" s="45">
        <v>85029</v>
      </c>
      <c r="F1718" s="45" t="s">
        <v>4295</v>
      </c>
      <c r="G1718" s="158" t="s">
        <v>4077</v>
      </c>
      <c r="H1718" s="162" t="s">
        <v>4296</v>
      </c>
      <c r="I1718" s="163" t="s">
        <v>73</v>
      </c>
      <c r="J1718" s="163" t="s">
        <v>37</v>
      </c>
      <c r="K1718" s="163" t="s">
        <v>37</v>
      </c>
      <c r="L1718" s="163" t="s">
        <v>38</v>
      </c>
      <c r="M1718" s="163" t="s">
        <v>37</v>
      </c>
      <c r="N1718" s="163" t="s">
        <v>37</v>
      </c>
      <c r="O1718" s="163" t="s">
        <v>38</v>
      </c>
      <c r="P1718" s="163" t="s">
        <v>39</v>
      </c>
      <c r="Q1718" s="2">
        <v>46057</v>
      </c>
      <c r="R1718" s="45"/>
      <c r="S1718" s="45"/>
      <c r="T1718" s="45"/>
      <c r="U1718" s="45"/>
      <c r="V171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19" spans="1:23">
      <c r="A1719" s="156">
        <v>46049</v>
      </c>
      <c r="B1719" s="45" t="s">
        <v>3235</v>
      </c>
      <c r="C1719" s="45" t="s">
        <v>4297</v>
      </c>
      <c r="D1719" s="45" t="s">
        <v>63</v>
      </c>
      <c r="E1719" s="45">
        <v>85050</v>
      </c>
      <c r="F1719" s="45" t="s">
        <v>4298</v>
      </c>
      <c r="G1719" s="158" t="s">
        <v>4077</v>
      </c>
      <c r="H1719" s="162" t="s">
        <v>27</v>
      </c>
      <c r="I1719" s="163"/>
      <c r="J1719" s="163"/>
      <c r="K1719" s="163"/>
      <c r="L1719" s="163"/>
      <c r="M1719" s="163"/>
      <c r="N1719" s="163"/>
      <c r="O1719" s="163"/>
      <c r="P1719" s="163"/>
      <c r="R1719" s="45"/>
      <c r="S1719" s="45"/>
      <c r="T1719" s="45"/>
      <c r="U1719" s="45"/>
      <c r="V171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0" spans="1:23">
      <c r="A1720" s="156">
        <v>46049</v>
      </c>
      <c r="B1720" s="45" t="s">
        <v>4299</v>
      </c>
      <c r="C1720" s="45" t="s">
        <v>553</v>
      </c>
      <c r="D1720" s="45" t="s">
        <v>169</v>
      </c>
      <c r="E1720" s="45">
        <v>85395</v>
      </c>
      <c r="F1720" s="45" t="s">
        <v>4300</v>
      </c>
      <c r="G1720" s="158" t="s">
        <v>4077</v>
      </c>
      <c r="H1720" s="162" t="s">
        <v>4301</v>
      </c>
      <c r="I1720" s="163" t="s">
        <v>538</v>
      </c>
      <c r="J1720" s="163" t="s">
        <v>37</v>
      </c>
      <c r="K1720" s="163" t="s">
        <v>37</v>
      </c>
      <c r="L1720" s="163" t="s">
        <v>3549</v>
      </c>
      <c r="M1720" s="163" t="s">
        <v>4302</v>
      </c>
      <c r="N1720" s="163" t="s">
        <v>37</v>
      </c>
      <c r="O1720" s="163" t="s">
        <v>38</v>
      </c>
      <c r="P1720" s="163" t="s">
        <v>39</v>
      </c>
      <c r="Q1720" s="2">
        <v>45692</v>
      </c>
      <c r="R1720" s="45"/>
      <c r="S1720" s="45"/>
      <c r="T1720" s="45"/>
      <c r="U1720" s="45"/>
      <c r="V172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1" spans="1:23">
      <c r="A1721" s="156">
        <v>46049</v>
      </c>
      <c r="B1721" s="45" t="s">
        <v>2544</v>
      </c>
      <c r="C1721" s="45" t="s">
        <v>4303</v>
      </c>
      <c r="D1721" s="45" t="s">
        <v>169</v>
      </c>
      <c r="E1721" s="45">
        <v>85395</v>
      </c>
      <c r="F1721" s="45" t="s">
        <v>4304</v>
      </c>
      <c r="G1721" s="158" t="s">
        <v>4077</v>
      </c>
      <c r="H1721" s="162" t="s">
        <v>4305</v>
      </c>
      <c r="I1721" s="163" t="s">
        <v>196</v>
      </c>
      <c r="J1721" s="163" t="s">
        <v>37</v>
      </c>
      <c r="K1721" s="163" t="s">
        <v>37</v>
      </c>
      <c r="L1721" s="163" t="s">
        <v>38</v>
      </c>
      <c r="M1721" s="163" t="s">
        <v>37</v>
      </c>
      <c r="N1721" s="163" t="s">
        <v>37</v>
      </c>
      <c r="O1721" s="163" t="s">
        <v>38</v>
      </c>
      <c r="P1721" s="163" t="s">
        <v>39</v>
      </c>
      <c r="Q1721" s="2">
        <v>46057</v>
      </c>
      <c r="R1721" s="45"/>
      <c r="S1721" s="45"/>
      <c r="T1721" s="45"/>
      <c r="U1721" s="45"/>
      <c r="V172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2" spans="1:23">
      <c r="A1722" s="156">
        <v>46049</v>
      </c>
      <c r="B1722" s="45" t="s">
        <v>4306</v>
      </c>
      <c r="C1722" s="45" t="s">
        <v>483</v>
      </c>
      <c r="D1722" s="45" t="s">
        <v>886</v>
      </c>
      <c r="E1722" s="45">
        <v>85501</v>
      </c>
      <c r="F1722" s="45" t="s">
        <v>4307</v>
      </c>
      <c r="G1722" s="158" t="s">
        <v>4077</v>
      </c>
      <c r="H1722" s="162" t="s">
        <v>4308</v>
      </c>
      <c r="I1722" s="163" t="s">
        <v>73</v>
      </c>
      <c r="J1722" s="163" t="s">
        <v>37</v>
      </c>
      <c r="K1722" s="163" t="s">
        <v>37</v>
      </c>
      <c r="L1722" s="163" t="s">
        <v>38</v>
      </c>
      <c r="M1722" s="163" t="s">
        <v>37</v>
      </c>
      <c r="N1722" s="163" t="s">
        <v>37</v>
      </c>
      <c r="O1722" s="163" t="s">
        <v>38</v>
      </c>
      <c r="P1722" s="163" t="s">
        <v>39</v>
      </c>
      <c r="Q1722" s="2">
        <v>46057</v>
      </c>
      <c r="R1722" s="45"/>
      <c r="S1722" s="45"/>
      <c r="T1722" s="45"/>
      <c r="U1722" s="45"/>
      <c r="V172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3" spans="1:23">
      <c r="A1723" s="156">
        <v>46049</v>
      </c>
      <c r="B1723" s="45" t="s">
        <v>2534</v>
      </c>
      <c r="C1723" s="45" t="s">
        <v>225</v>
      </c>
      <c r="D1723" s="45" t="s">
        <v>24</v>
      </c>
      <c r="E1723" s="45">
        <v>85304</v>
      </c>
      <c r="F1723" s="45" t="s">
        <v>4309</v>
      </c>
      <c r="G1723" s="158" t="s">
        <v>4077</v>
      </c>
      <c r="H1723" s="162" t="s">
        <v>4310</v>
      </c>
      <c r="I1723" s="163" t="s">
        <v>3682</v>
      </c>
      <c r="J1723" s="163" t="s">
        <v>38</v>
      </c>
      <c r="K1723" s="163" t="s">
        <v>37</v>
      </c>
      <c r="L1723" s="163" t="s">
        <v>3549</v>
      </c>
      <c r="M1723" s="163" t="s">
        <v>37</v>
      </c>
      <c r="N1723" s="163" t="s">
        <v>37</v>
      </c>
      <c r="O1723" s="163" t="s">
        <v>38</v>
      </c>
      <c r="P1723" s="163" t="s">
        <v>39</v>
      </c>
      <c r="Q1723" s="2">
        <v>46057</v>
      </c>
      <c r="R1723" s="45"/>
      <c r="S1723" s="45"/>
      <c r="T1723" s="45"/>
      <c r="U1723" s="45"/>
      <c r="V172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4" spans="1:23">
      <c r="A1724" s="156">
        <v>46049</v>
      </c>
      <c r="B1724" s="45" t="s">
        <v>2544</v>
      </c>
      <c r="C1724" s="45" t="s">
        <v>4311</v>
      </c>
      <c r="D1724" s="45" t="s">
        <v>63</v>
      </c>
      <c r="E1724" s="45">
        <v>85032</v>
      </c>
      <c r="F1724" s="45" t="s">
        <v>4312</v>
      </c>
      <c r="G1724" s="158" t="s">
        <v>4077</v>
      </c>
      <c r="H1724" s="162" t="s">
        <v>90</v>
      </c>
      <c r="I1724" s="163"/>
      <c r="J1724" s="163"/>
      <c r="K1724" s="163"/>
      <c r="L1724" s="163"/>
      <c r="M1724" s="163"/>
      <c r="N1724" s="163"/>
      <c r="O1724" s="163"/>
      <c r="P1724" s="163"/>
      <c r="R1724" s="45" t="s">
        <v>4227</v>
      </c>
      <c r="S1724" s="45"/>
      <c r="T1724" s="45"/>
      <c r="U1724" s="45"/>
      <c r="V172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5" spans="1:23">
      <c r="A1725" s="156">
        <v>46049</v>
      </c>
      <c r="B1725" s="45" t="s">
        <v>4313</v>
      </c>
      <c r="C1725" s="45" t="s">
        <v>184</v>
      </c>
      <c r="D1725" s="45" t="s">
        <v>125</v>
      </c>
      <c r="E1725" s="45">
        <v>85254</v>
      </c>
      <c r="F1725" s="45" t="s">
        <v>4314</v>
      </c>
      <c r="G1725" s="158" t="s">
        <v>4077</v>
      </c>
      <c r="H1725" s="162" t="s">
        <v>4315</v>
      </c>
      <c r="I1725" s="163" t="s">
        <v>196</v>
      </c>
      <c r="J1725" s="163" t="s">
        <v>37</v>
      </c>
      <c r="K1725" s="163" t="s">
        <v>37</v>
      </c>
      <c r="L1725" s="163" t="s">
        <v>4316</v>
      </c>
      <c r="M1725" s="163" t="s">
        <v>37</v>
      </c>
      <c r="N1725" s="163" t="s">
        <v>37</v>
      </c>
      <c r="O1725" s="163" t="s">
        <v>38</v>
      </c>
      <c r="P1725" s="163"/>
      <c r="Q1725" s="41">
        <v>46057</v>
      </c>
      <c r="R1725" s="45" t="s">
        <v>3474</v>
      </c>
      <c r="S1725" s="45"/>
      <c r="T1725" s="45"/>
      <c r="U1725" s="45"/>
      <c r="V1725" s="166">
        <f>IF(
  OR(
    ISNUMBER(SEARCH("unable to locate acct", tblDocketedComments[[#This Row],[Docketed Consumer Comments]])),
    ISNUMBER(SEARCH("unknown", tblDocketedComments[[#This Row],[Docketed Consumer Comments]])),
    ISNUMBER(SEARCH("inactive", tblDocketedComments[[#This Row],[Docketed Consumer Comments]]))
  ),
  0,
  1
)</f>
        <v>1</v>
      </c>
      <c r="W1725" s="32"/>
    </row>
    <row r="1726" spans="1:23">
      <c r="A1726" s="156">
        <v>46049</v>
      </c>
      <c r="B1726" s="45" t="s">
        <v>4317</v>
      </c>
      <c r="C1726" s="45" t="s">
        <v>4318</v>
      </c>
      <c r="D1726" s="45" t="s">
        <v>202</v>
      </c>
      <c r="E1726" s="45">
        <v>85345</v>
      </c>
      <c r="F1726" s="45" t="s">
        <v>4319</v>
      </c>
      <c r="G1726" s="158" t="s">
        <v>4077</v>
      </c>
      <c r="H1726" s="162" t="s">
        <v>4320</v>
      </c>
      <c r="I1726" s="163" t="s">
        <v>538</v>
      </c>
      <c r="J1726" s="163" t="s">
        <v>37</v>
      </c>
      <c r="K1726" s="163" t="s">
        <v>37</v>
      </c>
      <c r="L1726" s="163" t="s">
        <v>3549</v>
      </c>
      <c r="M1726" s="163" t="s">
        <v>37</v>
      </c>
      <c r="N1726" s="163" t="s">
        <v>37</v>
      </c>
      <c r="O1726" s="163" t="s">
        <v>38</v>
      </c>
      <c r="P1726" s="163" t="s">
        <v>39</v>
      </c>
      <c r="Q1726" s="2">
        <v>46057</v>
      </c>
      <c r="R1726" s="45"/>
      <c r="S1726" s="45"/>
      <c r="T1726" s="45"/>
      <c r="U1726" s="45"/>
      <c r="V172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7" spans="1:23">
      <c r="A1727" s="156">
        <v>46049</v>
      </c>
      <c r="B1727" s="45" t="s">
        <v>4321</v>
      </c>
      <c r="C1727" s="45" t="s">
        <v>4322</v>
      </c>
      <c r="D1727" s="45" t="s">
        <v>63</v>
      </c>
      <c r="E1727" s="45">
        <v>85029</v>
      </c>
      <c r="F1727" s="45" t="s">
        <v>4323</v>
      </c>
      <c r="G1727" s="158" t="s">
        <v>4077</v>
      </c>
      <c r="H1727" s="162" t="s">
        <v>27</v>
      </c>
      <c r="I1727" s="163"/>
      <c r="J1727" s="163"/>
      <c r="K1727" s="163"/>
      <c r="L1727" s="163"/>
      <c r="M1727" s="163"/>
      <c r="N1727" s="163"/>
      <c r="O1727" s="163"/>
      <c r="P1727" s="163"/>
      <c r="R1727" s="45"/>
      <c r="S1727" s="45"/>
      <c r="T1727" s="45"/>
      <c r="U1727" s="45"/>
      <c r="V172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8" spans="1:23">
      <c r="A1728" s="156">
        <v>46049</v>
      </c>
      <c r="B1728" s="45" t="s">
        <v>4324</v>
      </c>
      <c r="C1728" s="45" t="s">
        <v>4325</v>
      </c>
      <c r="D1728" s="45" t="s">
        <v>2002</v>
      </c>
      <c r="E1728" s="45">
        <v>86335</v>
      </c>
      <c r="F1728" s="45" t="s">
        <v>4326</v>
      </c>
      <c r="G1728" s="158" t="s">
        <v>4077</v>
      </c>
      <c r="H1728" s="162" t="s">
        <v>4327</v>
      </c>
      <c r="I1728" s="163" t="s">
        <v>196</v>
      </c>
      <c r="J1728" s="163" t="s">
        <v>37</v>
      </c>
      <c r="K1728" s="163" t="s">
        <v>37</v>
      </c>
      <c r="L1728" s="163" t="s">
        <v>4328</v>
      </c>
      <c r="M1728" s="163" t="s">
        <v>37</v>
      </c>
      <c r="N1728" s="163" t="s">
        <v>37</v>
      </c>
      <c r="O1728" s="163" t="s">
        <v>38</v>
      </c>
      <c r="P1728" s="163" t="s">
        <v>39</v>
      </c>
      <c r="Q1728" s="2">
        <v>46057</v>
      </c>
      <c r="R1728" s="45"/>
      <c r="S1728" s="45"/>
      <c r="T1728" s="45"/>
      <c r="U1728" s="45"/>
      <c r="V172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29" spans="1:23">
      <c r="A1729" s="156">
        <v>46049</v>
      </c>
      <c r="B1729" s="45" t="s">
        <v>4329</v>
      </c>
      <c r="C1729" s="45" t="s">
        <v>2017</v>
      </c>
      <c r="D1729" s="45" t="s">
        <v>63</v>
      </c>
      <c r="E1729" s="45">
        <v>85022</v>
      </c>
      <c r="F1729" s="45" t="s">
        <v>4330</v>
      </c>
      <c r="G1729" s="158" t="s">
        <v>4077</v>
      </c>
      <c r="H1729" s="162" t="s">
        <v>4331</v>
      </c>
      <c r="I1729" s="163" t="s">
        <v>3682</v>
      </c>
      <c r="J1729" s="163" t="s">
        <v>37</v>
      </c>
      <c r="K1729" s="163" t="s">
        <v>37</v>
      </c>
      <c r="L1729" s="163" t="s">
        <v>3549</v>
      </c>
      <c r="M1729" s="163" t="s">
        <v>37</v>
      </c>
      <c r="N1729" s="163" t="s">
        <v>37</v>
      </c>
      <c r="O1729" s="163" t="s">
        <v>38</v>
      </c>
      <c r="P1729" s="163" t="s">
        <v>39</v>
      </c>
      <c r="Q1729" s="2">
        <v>46057</v>
      </c>
      <c r="R1729" s="45"/>
      <c r="S1729" s="45"/>
      <c r="T1729" s="45"/>
      <c r="U1729" s="45"/>
      <c r="V172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0" spans="1:23">
      <c r="A1730" s="156">
        <v>46049</v>
      </c>
      <c r="B1730" s="45" t="s">
        <v>2640</v>
      </c>
      <c r="C1730" s="45" t="s">
        <v>397</v>
      </c>
      <c r="D1730" s="45" t="s">
        <v>264</v>
      </c>
      <c r="E1730" s="45">
        <v>85541</v>
      </c>
      <c r="F1730" s="45" t="s">
        <v>4332</v>
      </c>
      <c r="G1730" s="158" t="s">
        <v>4077</v>
      </c>
      <c r="H1730" s="162" t="s">
        <v>4333</v>
      </c>
      <c r="I1730" s="163" t="s">
        <v>196</v>
      </c>
      <c r="J1730" s="163" t="s">
        <v>37</v>
      </c>
      <c r="K1730" s="163" t="s">
        <v>37</v>
      </c>
      <c r="L1730" s="163" t="s">
        <v>4334</v>
      </c>
      <c r="M1730" s="163" t="s">
        <v>37</v>
      </c>
      <c r="N1730" s="163" t="s">
        <v>37</v>
      </c>
      <c r="O1730" s="163" t="s">
        <v>38</v>
      </c>
      <c r="P1730" s="163"/>
      <c r="Q1730" s="41">
        <v>46057</v>
      </c>
      <c r="R1730" s="45" t="s">
        <v>3474</v>
      </c>
      <c r="S1730" s="45"/>
      <c r="T1730" s="45"/>
      <c r="U1730" s="45"/>
      <c r="V1730" s="166">
        <f>IF(
  OR(
    ISNUMBER(SEARCH("unable to locate acct", tblDocketedComments[[#This Row],[Docketed Consumer Comments]])),
    ISNUMBER(SEARCH("unknown", tblDocketedComments[[#This Row],[Docketed Consumer Comments]])),
    ISNUMBER(SEARCH("inactive", tblDocketedComments[[#This Row],[Docketed Consumer Comments]]))
  ),
  0,
  1
)</f>
        <v>1</v>
      </c>
      <c r="W1730" s="32"/>
    </row>
    <row r="1731" spans="1:23">
      <c r="A1731" s="156">
        <v>46049</v>
      </c>
      <c r="B1731" s="45" t="s">
        <v>4335</v>
      </c>
      <c r="C1731" s="45" t="s">
        <v>2069</v>
      </c>
      <c r="D1731" s="45" t="s">
        <v>63</v>
      </c>
      <c r="E1731" s="45">
        <v>85053</v>
      </c>
      <c r="F1731" s="45" t="s">
        <v>4336</v>
      </c>
      <c r="G1731" s="158" t="s">
        <v>4077</v>
      </c>
      <c r="H1731" s="162" t="s">
        <v>4337</v>
      </c>
      <c r="I1731" s="163" t="s">
        <v>46</v>
      </c>
      <c r="J1731" s="163" t="s">
        <v>37</v>
      </c>
      <c r="K1731" s="163" t="s">
        <v>37</v>
      </c>
      <c r="L1731" s="163" t="s">
        <v>38</v>
      </c>
      <c r="M1731" s="163" t="s">
        <v>37</v>
      </c>
      <c r="N1731" s="163" t="s">
        <v>37</v>
      </c>
      <c r="O1731" s="163" t="s">
        <v>38</v>
      </c>
      <c r="P1731" s="163" t="s">
        <v>39</v>
      </c>
      <c r="Q1731" s="2">
        <v>46057</v>
      </c>
      <c r="R1731" s="45"/>
      <c r="S1731" s="45"/>
      <c r="T1731" s="45"/>
      <c r="U1731" s="45"/>
      <c r="V173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2" spans="1:23">
      <c r="A1732" s="156">
        <v>46049</v>
      </c>
      <c r="B1732" s="45" t="s">
        <v>4338</v>
      </c>
      <c r="C1732" s="45" t="s">
        <v>4339</v>
      </c>
      <c r="D1732" s="45" t="s">
        <v>202</v>
      </c>
      <c r="E1732" s="45">
        <v>85345</v>
      </c>
      <c r="F1732" s="45" t="s">
        <v>4340</v>
      </c>
      <c r="G1732" s="158" t="s">
        <v>4077</v>
      </c>
      <c r="H1732" s="162" t="s">
        <v>4341</v>
      </c>
      <c r="I1732" s="163" t="s">
        <v>3682</v>
      </c>
      <c r="J1732" s="163" t="s">
        <v>37</v>
      </c>
      <c r="K1732" s="163" t="s">
        <v>37</v>
      </c>
      <c r="L1732" s="163" t="s">
        <v>3549</v>
      </c>
      <c r="M1732" s="163" t="s">
        <v>37</v>
      </c>
      <c r="N1732" s="163" t="s">
        <v>37</v>
      </c>
      <c r="O1732" s="163" t="s">
        <v>38</v>
      </c>
      <c r="P1732" s="163" t="s">
        <v>39</v>
      </c>
      <c r="Q1732" s="2">
        <v>46057</v>
      </c>
      <c r="R1732" s="45"/>
      <c r="S1732" s="45"/>
      <c r="T1732" s="45"/>
      <c r="U1732" s="45"/>
      <c r="V173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3" spans="1:23">
      <c r="A1733" s="156">
        <v>46049</v>
      </c>
      <c r="B1733" s="45" t="s">
        <v>4342</v>
      </c>
      <c r="C1733" s="45" t="s">
        <v>117</v>
      </c>
      <c r="D1733" s="45" t="s">
        <v>63</v>
      </c>
      <c r="E1733" s="45">
        <v>85032</v>
      </c>
      <c r="F1733" s="45" t="s">
        <v>4343</v>
      </c>
      <c r="G1733" s="158" t="s">
        <v>4077</v>
      </c>
      <c r="H1733" s="162" t="s">
        <v>6480</v>
      </c>
      <c r="I1733" s="163" t="s">
        <v>36</v>
      </c>
      <c r="J1733" s="163" t="s">
        <v>37</v>
      </c>
      <c r="K1733" s="163" t="s">
        <v>37</v>
      </c>
      <c r="L1733" s="163" t="s">
        <v>38</v>
      </c>
      <c r="M1733" s="163" t="s">
        <v>37</v>
      </c>
      <c r="N1733" s="163" t="s">
        <v>37</v>
      </c>
      <c r="O1733" s="163" t="s">
        <v>38</v>
      </c>
      <c r="P1733" s="163" t="s">
        <v>39</v>
      </c>
      <c r="Q1733" s="2">
        <v>46057</v>
      </c>
      <c r="R1733" s="45"/>
      <c r="S1733" s="45"/>
      <c r="T1733" s="45"/>
      <c r="U1733" s="45"/>
      <c r="V173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4" spans="1:23">
      <c r="A1734" s="156">
        <v>46049</v>
      </c>
      <c r="B1734" s="45" t="s">
        <v>4344</v>
      </c>
      <c r="C1734" s="45" t="s">
        <v>4225</v>
      </c>
      <c r="D1734" s="45" t="s">
        <v>426</v>
      </c>
      <c r="E1734" s="45">
        <v>85335</v>
      </c>
      <c r="F1734" s="45" t="s">
        <v>4345</v>
      </c>
      <c r="G1734" s="158" t="s">
        <v>4077</v>
      </c>
      <c r="H1734" s="162" t="s">
        <v>4346</v>
      </c>
      <c r="I1734" s="163" t="s">
        <v>4255</v>
      </c>
      <c r="J1734" s="163" t="s">
        <v>38</v>
      </c>
      <c r="K1734" s="163" t="s">
        <v>37</v>
      </c>
      <c r="L1734" s="163" t="s">
        <v>38</v>
      </c>
      <c r="M1734" s="163" t="s">
        <v>37</v>
      </c>
      <c r="N1734" s="163" t="s">
        <v>37</v>
      </c>
      <c r="O1734" s="163" t="s">
        <v>38</v>
      </c>
      <c r="P1734" s="163" t="s">
        <v>39</v>
      </c>
      <c r="Q1734" s="2">
        <v>46057</v>
      </c>
      <c r="R1734" s="45"/>
      <c r="S1734" s="45"/>
      <c r="T1734" s="45"/>
      <c r="U1734" s="45"/>
      <c r="V173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5" spans="1:23">
      <c r="A1735" s="156">
        <v>46049</v>
      </c>
      <c r="B1735" s="45" t="s">
        <v>417</v>
      </c>
      <c r="C1735" s="45" t="s">
        <v>4347</v>
      </c>
      <c r="D1735" s="45" t="s">
        <v>63</v>
      </c>
      <c r="E1735" s="45">
        <v>85050</v>
      </c>
      <c r="F1735" s="45" t="s">
        <v>4348</v>
      </c>
      <c r="G1735" s="158" t="s">
        <v>4077</v>
      </c>
      <c r="H1735" s="162" t="s">
        <v>27</v>
      </c>
      <c r="I1735" s="163"/>
      <c r="J1735" s="163"/>
      <c r="K1735" s="163"/>
      <c r="L1735" s="163"/>
      <c r="M1735" s="163"/>
      <c r="N1735" s="163"/>
      <c r="O1735" s="163"/>
      <c r="P1735" s="163"/>
      <c r="R1735" s="45"/>
      <c r="S1735" s="45"/>
      <c r="T1735" s="45"/>
      <c r="U1735" s="45"/>
      <c r="V173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6" spans="1:23">
      <c r="A1736" s="156">
        <v>46049</v>
      </c>
      <c r="B1736" s="45" t="s">
        <v>1663</v>
      </c>
      <c r="C1736" s="45" t="s">
        <v>173</v>
      </c>
      <c r="D1736" s="45" t="s">
        <v>616</v>
      </c>
      <c r="E1736" s="45">
        <v>85367</v>
      </c>
      <c r="F1736" s="45" t="s">
        <v>4349</v>
      </c>
      <c r="G1736" s="158" t="s">
        <v>4077</v>
      </c>
      <c r="H1736" s="162" t="s">
        <v>4350</v>
      </c>
      <c r="I1736" s="163" t="s">
        <v>46</v>
      </c>
      <c r="J1736" s="163" t="s">
        <v>37</v>
      </c>
      <c r="K1736" s="163" t="s">
        <v>37</v>
      </c>
      <c r="L1736" s="163" t="s">
        <v>38</v>
      </c>
      <c r="M1736" s="163" t="s">
        <v>37</v>
      </c>
      <c r="N1736" s="163" t="s">
        <v>37</v>
      </c>
      <c r="O1736" s="163" t="s">
        <v>38</v>
      </c>
      <c r="P1736" s="163" t="s">
        <v>39</v>
      </c>
      <c r="Q1736" s="2">
        <v>46057</v>
      </c>
      <c r="R1736" s="45"/>
      <c r="S1736" s="45"/>
      <c r="T1736" s="45"/>
      <c r="U1736" s="45"/>
      <c r="V173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7" spans="1:23">
      <c r="A1737" s="156">
        <v>46049</v>
      </c>
      <c r="B1737" s="45" t="s">
        <v>4351</v>
      </c>
      <c r="C1737" s="45" t="s">
        <v>2637</v>
      </c>
      <c r="D1737" s="45" t="s">
        <v>695</v>
      </c>
      <c r="E1737" s="45">
        <v>85375</v>
      </c>
      <c r="F1737" s="45" t="s">
        <v>4352</v>
      </c>
      <c r="G1737" s="158" t="s">
        <v>4077</v>
      </c>
      <c r="H1737" s="162" t="s">
        <v>4353</v>
      </c>
      <c r="I1737" s="163" t="s">
        <v>46</v>
      </c>
      <c r="J1737" s="163" t="s">
        <v>37</v>
      </c>
      <c r="K1737" s="163" t="s">
        <v>37</v>
      </c>
      <c r="L1737" s="163" t="s">
        <v>38</v>
      </c>
      <c r="M1737" s="163" t="s">
        <v>37</v>
      </c>
      <c r="N1737" s="163" t="s">
        <v>37</v>
      </c>
      <c r="O1737" s="163" t="s">
        <v>38</v>
      </c>
      <c r="P1737" s="163" t="s">
        <v>39</v>
      </c>
      <c r="Q1737" s="2">
        <v>46057</v>
      </c>
      <c r="R1737" s="45"/>
      <c r="S1737" s="45"/>
      <c r="T1737" s="45"/>
      <c r="U1737" s="45"/>
      <c r="V173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8" spans="1:23">
      <c r="A1738" s="156">
        <v>46049</v>
      </c>
      <c r="B1738" s="45" t="s">
        <v>4354</v>
      </c>
      <c r="C1738" s="45" t="s">
        <v>2547</v>
      </c>
      <c r="D1738" s="45" t="s">
        <v>4355</v>
      </c>
      <c r="E1738" s="45">
        <v>85379</v>
      </c>
      <c r="F1738" s="45" t="s">
        <v>4356</v>
      </c>
      <c r="G1738" s="158" t="s">
        <v>4077</v>
      </c>
      <c r="H1738" s="162" t="s">
        <v>4357</v>
      </c>
      <c r="I1738" s="163" t="s">
        <v>36</v>
      </c>
      <c r="J1738" s="163" t="s">
        <v>37</v>
      </c>
      <c r="K1738" s="163" t="s">
        <v>37</v>
      </c>
      <c r="L1738" s="163" t="s">
        <v>38</v>
      </c>
      <c r="M1738" s="163" t="s">
        <v>37</v>
      </c>
      <c r="N1738" s="163" t="s">
        <v>37</v>
      </c>
      <c r="O1738" s="163" t="s">
        <v>38</v>
      </c>
      <c r="P1738" s="163" t="s">
        <v>39</v>
      </c>
      <c r="Q1738" s="2">
        <v>46057</v>
      </c>
      <c r="R1738" s="45"/>
      <c r="S1738" s="45"/>
      <c r="T1738" s="45"/>
      <c r="U1738" s="45"/>
      <c r="V173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39" spans="1:23">
      <c r="A1739" s="156">
        <v>46049</v>
      </c>
      <c r="B1739" s="45" t="s">
        <v>4358</v>
      </c>
      <c r="C1739" s="45" t="s">
        <v>208</v>
      </c>
      <c r="D1739" s="45" t="s">
        <v>264</v>
      </c>
      <c r="E1739" s="45">
        <v>85541</v>
      </c>
      <c r="F1739" s="45" t="s">
        <v>4359</v>
      </c>
      <c r="G1739" s="158" t="s">
        <v>4077</v>
      </c>
      <c r="H1739" s="162" t="s">
        <v>4360</v>
      </c>
      <c r="I1739" s="163" t="s">
        <v>36</v>
      </c>
      <c r="J1739" s="163" t="s">
        <v>38</v>
      </c>
      <c r="K1739" s="163" t="s">
        <v>37</v>
      </c>
      <c r="L1739" s="163" t="s">
        <v>38</v>
      </c>
      <c r="M1739" s="163" t="s">
        <v>38</v>
      </c>
      <c r="N1739" s="164">
        <v>502.83</v>
      </c>
      <c r="O1739" s="163" t="s">
        <v>38</v>
      </c>
      <c r="P1739" s="163"/>
      <c r="Q1739" s="41">
        <v>46057</v>
      </c>
      <c r="R1739" s="45" t="s">
        <v>4002</v>
      </c>
      <c r="S1739" s="45"/>
      <c r="T1739" s="45"/>
      <c r="U1739" s="45"/>
      <c r="V1739" s="166">
        <f>IF(
  OR(
    ISNUMBER(SEARCH("unable to locate acct", tblDocketedComments[[#This Row],[Docketed Consumer Comments]])),
    ISNUMBER(SEARCH("unknown", tblDocketedComments[[#This Row],[Docketed Consumer Comments]])),
    ISNUMBER(SEARCH("inactive", tblDocketedComments[[#This Row],[Docketed Consumer Comments]]))
  ),
  0,
  1
)</f>
        <v>1</v>
      </c>
      <c r="W1739" s="32"/>
    </row>
    <row r="1740" spans="1:23">
      <c r="A1740" s="156">
        <v>46049</v>
      </c>
      <c r="B1740" s="45" t="s">
        <v>4361</v>
      </c>
      <c r="C1740" s="45" t="s">
        <v>1287</v>
      </c>
      <c r="D1740" s="45" t="s">
        <v>112</v>
      </c>
      <c r="E1740" s="45">
        <v>85374</v>
      </c>
      <c r="F1740" s="45" t="s">
        <v>4362</v>
      </c>
      <c r="G1740" s="158" t="s">
        <v>4077</v>
      </c>
      <c r="H1740" s="162" t="s">
        <v>4363</v>
      </c>
      <c r="I1740" s="163" t="s">
        <v>36</v>
      </c>
      <c r="J1740" s="163" t="s">
        <v>38</v>
      </c>
      <c r="K1740" s="163" t="s">
        <v>37</v>
      </c>
      <c r="L1740" s="163" t="s">
        <v>38</v>
      </c>
      <c r="M1740" s="163" t="s">
        <v>38</v>
      </c>
      <c r="N1740" s="164">
        <v>2005.59</v>
      </c>
      <c r="O1740" s="163" t="s">
        <v>38</v>
      </c>
      <c r="P1740" s="163"/>
      <c r="Q1740" s="2">
        <v>46057</v>
      </c>
      <c r="R1740" s="45" t="s">
        <v>4002</v>
      </c>
      <c r="S1740" s="45"/>
      <c r="T1740" s="45"/>
      <c r="U1740" s="45"/>
      <c r="V17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1" spans="1:23">
      <c r="A1741" s="156">
        <v>46049</v>
      </c>
      <c r="B1741" s="45" t="s">
        <v>2904</v>
      </c>
      <c r="C1741" s="45" t="s">
        <v>4029</v>
      </c>
      <c r="D1741" s="45" t="s">
        <v>1093</v>
      </c>
      <c r="E1741" s="45">
        <v>85607</v>
      </c>
      <c r="F1741" s="45" t="s">
        <v>4364</v>
      </c>
      <c r="G1741" s="158" t="s">
        <v>4077</v>
      </c>
      <c r="H1741" s="162" t="s">
        <v>27</v>
      </c>
      <c r="I1741" s="163"/>
      <c r="J1741" s="163"/>
      <c r="K1741" s="163"/>
      <c r="L1741" s="163"/>
      <c r="M1741" s="163"/>
      <c r="N1741" s="163"/>
      <c r="O1741" s="163"/>
      <c r="P1741" s="163"/>
      <c r="R1741" s="45"/>
      <c r="S1741" s="45"/>
      <c r="T1741" s="45"/>
      <c r="U1741" s="45"/>
      <c r="V17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2" spans="1:23">
      <c r="A1742" s="156">
        <v>46049</v>
      </c>
      <c r="B1742" s="45" t="s">
        <v>133</v>
      </c>
      <c r="C1742" s="45" t="s">
        <v>362</v>
      </c>
      <c r="D1742" s="45" t="s">
        <v>426</v>
      </c>
      <c r="E1742" s="45">
        <v>85335</v>
      </c>
      <c r="F1742" s="45" t="s">
        <v>4365</v>
      </c>
      <c r="G1742" s="158" t="s">
        <v>4077</v>
      </c>
      <c r="H1742" s="162" t="s">
        <v>4366</v>
      </c>
      <c r="I1742" s="163" t="s">
        <v>46</v>
      </c>
      <c r="J1742" s="163" t="s">
        <v>38</v>
      </c>
      <c r="K1742" s="163" t="s">
        <v>37</v>
      </c>
      <c r="L1742" s="163" t="s">
        <v>38</v>
      </c>
      <c r="M1742" s="163" t="s">
        <v>37</v>
      </c>
      <c r="N1742" s="163" t="s">
        <v>37</v>
      </c>
      <c r="O1742" s="163" t="s">
        <v>38</v>
      </c>
      <c r="P1742" s="163" t="s">
        <v>39</v>
      </c>
      <c r="Q1742" s="2">
        <v>46057</v>
      </c>
      <c r="R1742" s="45"/>
      <c r="S1742" s="45"/>
      <c r="T1742" s="45"/>
      <c r="U1742" s="45"/>
      <c r="V17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3" spans="1:23">
      <c r="A1743" s="156">
        <v>46049</v>
      </c>
      <c r="B1743" s="45" t="s">
        <v>366</v>
      </c>
      <c r="C1743" s="45" t="s">
        <v>366</v>
      </c>
      <c r="D1743" s="45" t="s">
        <v>112</v>
      </c>
      <c r="E1743" s="45">
        <v>85378</v>
      </c>
      <c r="F1743" s="45" t="s">
        <v>4367</v>
      </c>
      <c r="G1743" s="158" t="s">
        <v>4077</v>
      </c>
      <c r="H1743" s="162" t="s">
        <v>27</v>
      </c>
      <c r="I1743" s="163"/>
      <c r="J1743" s="163"/>
      <c r="K1743" s="163"/>
      <c r="L1743" s="163"/>
      <c r="M1743" s="163"/>
      <c r="N1743" s="163"/>
      <c r="O1743" s="163"/>
      <c r="P1743" s="163"/>
      <c r="R1743" s="45"/>
      <c r="S1743" s="45"/>
      <c r="T1743" s="45"/>
      <c r="U1743" s="45"/>
      <c r="V17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4" spans="1:23">
      <c r="A1744" s="156">
        <v>46049</v>
      </c>
      <c r="B1744" s="45" t="s">
        <v>3032</v>
      </c>
      <c r="C1744" s="45" t="s">
        <v>4368</v>
      </c>
      <c r="D1744" s="45" t="s">
        <v>2002</v>
      </c>
      <c r="E1744" s="45">
        <v>86335</v>
      </c>
      <c r="F1744" s="45" t="s">
        <v>4369</v>
      </c>
      <c r="G1744" s="158" t="s">
        <v>4077</v>
      </c>
      <c r="H1744" s="162" t="s">
        <v>4370</v>
      </c>
      <c r="I1744" s="163" t="s">
        <v>196</v>
      </c>
      <c r="J1744" s="163" t="s">
        <v>37</v>
      </c>
      <c r="K1744" s="163" t="s">
        <v>37</v>
      </c>
      <c r="L1744" s="163" t="s">
        <v>38</v>
      </c>
      <c r="M1744" s="163" t="s">
        <v>37</v>
      </c>
      <c r="N1744" s="163" t="s">
        <v>37</v>
      </c>
      <c r="O1744" s="163" t="s">
        <v>38</v>
      </c>
      <c r="P1744" s="163" t="s">
        <v>39</v>
      </c>
      <c r="Q1744" s="2">
        <v>46057</v>
      </c>
      <c r="R1744" s="45"/>
      <c r="S1744" s="45"/>
      <c r="T1744" s="45"/>
      <c r="U1744" s="45"/>
      <c r="V17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5" spans="1:23">
      <c r="A1745" s="156">
        <v>46049</v>
      </c>
      <c r="B1745" s="45" t="s">
        <v>4371</v>
      </c>
      <c r="C1745" s="45" t="s">
        <v>4372</v>
      </c>
      <c r="D1745" s="45" t="s">
        <v>63</v>
      </c>
      <c r="E1745" s="45">
        <v>85024</v>
      </c>
      <c r="F1745" s="45" t="s">
        <v>4373</v>
      </c>
      <c r="G1745" s="158" t="s">
        <v>4077</v>
      </c>
      <c r="H1745" s="162" t="s">
        <v>4374</v>
      </c>
      <c r="I1745" s="163" t="s">
        <v>36</v>
      </c>
      <c r="J1745" s="163" t="s">
        <v>37</v>
      </c>
      <c r="K1745" s="163" t="s">
        <v>37</v>
      </c>
      <c r="L1745" s="163" t="s">
        <v>38</v>
      </c>
      <c r="M1745" s="163" t="s">
        <v>37</v>
      </c>
      <c r="N1745" s="163" t="s">
        <v>37</v>
      </c>
      <c r="O1745" s="163" t="s">
        <v>38</v>
      </c>
      <c r="P1745" s="163" t="s">
        <v>39</v>
      </c>
      <c r="Q1745" s="2">
        <v>46057</v>
      </c>
      <c r="R1745" s="45"/>
      <c r="S1745" s="45"/>
      <c r="T1745" s="45"/>
      <c r="U1745" s="45"/>
      <c r="V17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6" spans="1:23">
      <c r="A1746" s="156">
        <v>46049</v>
      </c>
      <c r="B1746" s="45" t="s">
        <v>1573</v>
      </c>
      <c r="C1746" s="45" t="s">
        <v>1365</v>
      </c>
      <c r="D1746" s="45" t="s">
        <v>63</v>
      </c>
      <c r="E1746" s="45">
        <v>85015</v>
      </c>
      <c r="F1746" s="45" t="s">
        <v>4375</v>
      </c>
      <c r="G1746" s="158" t="s">
        <v>4077</v>
      </c>
      <c r="H1746" s="162" t="s">
        <v>27</v>
      </c>
      <c r="I1746" s="163"/>
      <c r="J1746" s="163"/>
      <c r="K1746" s="163"/>
      <c r="L1746" s="163"/>
      <c r="M1746" s="163"/>
      <c r="N1746" s="163"/>
      <c r="O1746" s="163"/>
      <c r="P1746" s="163"/>
      <c r="R1746" s="45"/>
      <c r="S1746" s="45"/>
      <c r="T1746" s="45"/>
      <c r="U1746" s="45"/>
      <c r="V17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7" spans="1:23">
      <c r="A1747" s="156">
        <v>46049</v>
      </c>
      <c r="B1747" s="45" t="s">
        <v>4376</v>
      </c>
      <c r="C1747" s="45" t="s">
        <v>4377</v>
      </c>
      <c r="D1747" s="45" t="s">
        <v>3648</v>
      </c>
      <c r="E1747" s="45">
        <v>86047</v>
      </c>
      <c r="F1747" s="45" t="s">
        <v>4378</v>
      </c>
      <c r="G1747" s="158" t="s">
        <v>4077</v>
      </c>
      <c r="H1747" s="162" t="s">
        <v>4379</v>
      </c>
      <c r="I1747" s="163" t="s">
        <v>73</v>
      </c>
      <c r="J1747" s="163" t="s">
        <v>37</v>
      </c>
      <c r="K1747" s="163" t="s">
        <v>37</v>
      </c>
      <c r="L1747" s="163" t="s">
        <v>4380</v>
      </c>
      <c r="M1747" s="163" t="s">
        <v>37</v>
      </c>
      <c r="N1747" s="163" t="s">
        <v>37</v>
      </c>
      <c r="O1747" s="163" t="s">
        <v>38</v>
      </c>
      <c r="P1747" s="163"/>
      <c r="Q1747" s="41">
        <v>46057</v>
      </c>
      <c r="R1747" s="45" t="s">
        <v>3474</v>
      </c>
      <c r="S1747" s="45"/>
      <c r="T1747" s="45"/>
      <c r="U1747" s="45"/>
      <c r="V1747" s="166">
        <f>IF(
  OR(
    ISNUMBER(SEARCH("unable to locate acct", tblDocketedComments[[#This Row],[Docketed Consumer Comments]])),
    ISNUMBER(SEARCH("unknown", tblDocketedComments[[#This Row],[Docketed Consumer Comments]])),
    ISNUMBER(SEARCH("inactive", tblDocketedComments[[#This Row],[Docketed Consumer Comments]]))
  ),
  0,
  1
)</f>
        <v>1</v>
      </c>
      <c r="W1747" s="32"/>
    </row>
    <row r="1748" spans="1:23">
      <c r="A1748" s="156">
        <v>46049</v>
      </c>
      <c r="B1748" s="45" t="s">
        <v>4381</v>
      </c>
      <c r="C1748" s="45" t="s">
        <v>774</v>
      </c>
      <c r="D1748" s="45" t="s">
        <v>169</v>
      </c>
      <c r="E1748" s="45">
        <v>85338</v>
      </c>
      <c r="F1748" s="45" t="s">
        <v>4382</v>
      </c>
      <c r="G1748" s="158" t="s">
        <v>4077</v>
      </c>
      <c r="H1748" s="162" t="s">
        <v>4383</v>
      </c>
      <c r="I1748" s="163" t="s">
        <v>36</v>
      </c>
      <c r="J1748" s="163" t="s">
        <v>37</v>
      </c>
      <c r="K1748" s="163" t="s">
        <v>37</v>
      </c>
      <c r="L1748" s="163" t="s">
        <v>38</v>
      </c>
      <c r="M1748" s="163" t="s">
        <v>37</v>
      </c>
      <c r="N1748" s="163" t="s">
        <v>37</v>
      </c>
      <c r="O1748" s="163" t="s">
        <v>38</v>
      </c>
      <c r="P1748" s="163" t="s">
        <v>39</v>
      </c>
      <c r="Q1748" s="2">
        <v>46058</v>
      </c>
      <c r="R1748" s="45"/>
      <c r="S1748" s="45"/>
      <c r="T1748" s="45"/>
      <c r="U1748" s="45"/>
      <c r="V17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49" spans="1:23">
      <c r="A1749" s="156">
        <v>46049</v>
      </c>
      <c r="B1749" s="45" t="s">
        <v>4384</v>
      </c>
      <c r="C1749" s="45" t="s">
        <v>3025</v>
      </c>
      <c r="D1749" s="45" t="s">
        <v>125</v>
      </c>
      <c r="E1749" s="45">
        <v>85254</v>
      </c>
      <c r="F1749" s="45" t="s">
        <v>4385</v>
      </c>
      <c r="G1749" s="158" t="s">
        <v>4077</v>
      </c>
      <c r="H1749" s="162" t="s">
        <v>4386</v>
      </c>
      <c r="I1749" s="163" t="s">
        <v>36</v>
      </c>
      <c r="J1749" s="163" t="s">
        <v>37</v>
      </c>
      <c r="K1749" s="163" t="s">
        <v>37</v>
      </c>
      <c r="L1749" s="163" t="s">
        <v>38</v>
      </c>
      <c r="M1749" s="163" t="s">
        <v>37</v>
      </c>
      <c r="N1749" s="163" t="s">
        <v>37</v>
      </c>
      <c r="O1749" s="163" t="s">
        <v>38</v>
      </c>
      <c r="P1749" s="163" t="s">
        <v>39</v>
      </c>
      <c r="Q1749" s="2">
        <v>46058</v>
      </c>
      <c r="R1749" s="45"/>
      <c r="S1749" s="45"/>
      <c r="T1749" s="45"/>
      <c r="U1749" s="45"/>
      <c r="V174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0" spans="1:23">
      <c r="A1750" s="156">
        <v>46049</v>
      </c>
      <c r="B1750" s="45" t="s">
        <v>4387</v>
      </c>
      <c r="C1750" s="45" t="s">
        <v>3483</v>
      </c>
      <c r="D1750" s="45" t="s">
        <v>616</v>
      </c>
      <c r="E1750" s="45">
        <v>85364</v>
      </c>
      <c r="F1750" s="45" t="s">
        <v>4388</v>
      </c>
      <c r="G1750" s="158" t="s">
        <v>4077</v>
      </c>
      <c r="H1750" s="162" t="s">
        <v>4389</v>
      </c>
      <c r="I1750" s="163" t="s">
        <v>538</v>
      </c>
      <c r="J1750" s="163" t="s">
        <v>37</v>
      </c>
      <c r="K1750" s="163" t="s">
        <v>37</v>
      </c>
      <c r="L1750" s="163" t="s">
        <v>3549</v>
      </c>
      <c r="M1750" s="163" t="s">
        <v>37</v>
      </c>
      <c r="N1750" s="163" t="s">
        <v>37</v>
      </c>
      <c r="O1750" s="163" t="s">
        <v>38</v>
      </c>
      <c r="P1750" s="163" t="s">
        <v>39</v>
      </c>
      <c r="Q1750" s="2">
        <v>46058</v>
      </c>
      <c r="R1750" s="45"/>
      <c r="S1750" s="45"/>
      <c r="T1750" s="45"/>
      <c r="U1750" s="45"/>
      <c r="V175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1" spans="1:23">
      <c r="A1751" s="156">
        <v>46049</v>
      </c>
      <c r="B1751" s="45" t="s">
        <v>891</v>
      </c>
      <c r="C1751" s="45" t="s">
        <v>4390</v>
      </c>
      <c r="D1751" s="45" t="s">
        <v>24</v>
      </c>
      <c r="E1751" s="45">
        <v>85304</v>
      </c>
      <c r="F1751" s="45" t="s">
        <v>4391</v>
      </c>
      <c r="G1751" s="158" t="s">
        <v>4077</v>
      </c>
      <c r="H1751" s="162" t="s">
        <v>4392</v>
      </c>
      <c r="I1751" s="163" t="s">
        <v>36</v>
      </c>
      <c r="J1751" s="163" t="s">
        <v>37</v>
      </c>
      <c r="K1751" s="163" t="s">
        <v>37</v>
      </c>
      <c r="L1751" s="163" t="s">
        <v>38</v>
      </c>
      <c r="M1751" s="163" t="s">
        <v>37</v>
      </c>
      <c r="N1751" s="163" t="s">
        <v>37</v>
      </c>
      <c r="O1751" s="163" t="s">
        <v>38</v>
      </c>
      <c r="P1751" s="163" t="s">
        <v>39</v>
      </c>
      <c r="Q1751" s="2">
        <v>46058</v>
      </c>
      <c r="R1751" s="45"/>
      <c r="S1751" s="45"/>
      <c r="T1751" s="45"/>
      <c r="U1751" s="45"/>
      <c r="V175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2" spans="1:23">
      <c r="A1752" s="156">
        <v>46049</v>
      </c>
      <c r="B1752" s="45" t="s">
        <v>4393</v>
      </c>
      <c r="C1752" s="45" t="s">
        <v>4394</v>
      </c>
      <c r="D1752" s="45" t="s">
        <v>174</v>
      </c>
      <c r="E1752" s="45">
        <v>85326</v>
      </c>
      <c r="F1752" s="45" t="s">
        <v>4395</v>
      </c>
      <c r="G1752" s="158" t="s">
        <v>4077</v>
      </c>
      <c r="H1752" s="162" t="s">
        <v>27</v>
      </c>
      <c r="I1752" s="163"/>
      <c r="J1752" s="163"/>
      <c r="K1752" s="163"/>
      <c r="L1752" s="163"/>
      <c r="M1752" s="163"/>
      <c r="N1752" s="163"/>
      <c r="O1752" s="163"/>
      <c r="P1752" s="163"/>
      <c r="R1752" s="45"/>
      <c r="S1752" s="45"/>
      <c r="T1752" s="45"/>
      <c r="U1752" s="45"/>
      <c r="V175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3" spans="1:23">
      <c r="A1753" s="156">
        <v>46049</v>
      </c>
      <c r="B1753" s="45" t="s">
        <v>4396</v>
      </c>
      <c r="C1753" s="45" t="s">
        <v>131</v>
      </c>
      <c r="D1753" s="45" t="s">
        <v>63</v>
      </c>
      <c r="E1753" s="45">
        <v>85020</v>
      </c>
      <c r="F1753" s="45" t="s">
        <v>4397</v>
      </c>
      <c r="G1753" s="158" t="s">
        <v>4077</v>
      </c>
      <c r="H1753" s="162" t="s">
        <v>4398</v>
      </c>
      <c r="I1753" s="163" t="s">
        <v>36</v>
      </c>
      <c r="J1753" s="163" t="s">
        <v>37</v>
      </c>
      <c r="K1753" s="163" t="s">
        <v>37</v>
      </c>
      <c r="L1753" s="163" t="s">
        <v>38</v>
      </c>
      <c r="M1753" s="163" t="s">
        <v>38</v>
      </c>
      <c r="N1753" s="164">
        <v>393.41</v>
      </c>
      <c r="O1753" s="163" t="s">
        <v>38</v>
      </c>
      <c r="P1753" s="163"/>
      <c r="Q1753" s="41">
        <v>46058</v>
      </c>
      <c r="R1753" s="45" t="s">
        <v>4002</v>
      </c>
      <c r="S1753" s="45"/>
      <c r="T1753" s="45"/>
      <c r="U1753" s="45"/>
      <c r="V1753" s="166">
        <f>IF(
  OR(
    ISNUMBER(SEARCH("unable to locate acct", tblDocketedComments[[#This Row],[Docketed Consumer Comments]])),
    ISNUMBER(SEARCH("unknown", tblDocketedComments[[#This Row],[Docketed Consumer Comments]])),
    ISNUMBER(SEARCH("inactive", tblDocketedComments[[#This Row],[Docketed Consumer Comments]]))
  ),
  0,
  1
)</f>
        <v>1</v>
      </c>
      <c r="W1753" s="32"/>
    </row>
    <row r="1754" spans="1:23">
      <c r="A1754" s="156">
        <v>46049</v>
      </c>
      <c r="B1754" s="45" t="s">
        <v>4399</v>
      </c>
      <c r="C1754" s="45" t="s">
        <v>42</v>
      </c>
      <c r="D1754" s="45" t="s">
        <v>3073</v>
      </c>
      <c r="E1754" s="45">
        <v>86337</v>
      </c>
      <c r="F1754" s="45" t="s">
        <v>4400</v>
      </c>
      <c r="G1754" s="158" t="s">
        <v>4077</v>
      </c>
      <c r="H1754" s="162" t="s">
        <v>27</v>
      </c>
      <c r="I1754" s="163"/>
      <c r="J1754" s="163"/>
      <c r="K1754" s="163"/>
      <c r="L1754" s="163"/>
      <c r="M1754" s="163"/>
      <c r="N1754" s="163"/>
      <c r="O1754" s="163"/>
      <c r="P1754" s="163"/>
      <c r="R1754" s="45"/>
      <c r="S1754" s="45"/>
      <c r="T1754" s="45"/>
      <c r="U1754" s="45"/>
      <c r="V175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5" spans="1:23">
      <c r="A1755" s="156">
        <v>46049</v>
      </c>
      <c r="B1755" s="45" t="s">
        <v>4401</v>
      </c>
      <c r="C1755" s="45" t="s">
        <v>1555</v>
      </c>
      <c r="D1755" s="45" t="s">
        <v>63</v>
      </c>
      <c r="E1755" s="45">
        <v>85028</v>
      </c>
      <c r="F1755" s="45" t="s">
        <v>4402</v>
      </c>
      <c r="G1755" s="158" t="s">
        <v>4077</v>
      </c>
      <c r="H1755" s="162" t="s">
        <v>4403</v>
      </c>
      <c r="I1755" s="163" t="s">
        <v>36</v>
      </c>
      <c r="J1755" s="163" t="s">
        <v>37</v>
      </c>
      <c r="K1755" s="163" t="s">
        <v>37</v>
      </c>
      <c r="L1755" s="163" t="s">
        <v>38</v>
      </c>
      <c r="M1755" s="163" t="s">
        <v>37</v>
      </c>
      <c r="N1755" s="163" t="s">
        <v>37</v>
      </c>
      <c r="O1755" s="163" t="s">
        <v>38</v>
      </c>
      <c r="P1755" s="163" t="s">
        <v>39</v>
      </c>
      <c r="Q1755" s="2">
        <v>46058</v>
      </c>
      <c r="R1755" s="45"/>
      <c r="S1755" s="45"/>
      <c r="T1755" s="45"/>
      <c r="U1755" s="45"/>
      <c r="V175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6" spans="1:23">
      <c r="A1756" s="156">
        <v>46049</v>
      </c>
      <c r="B1756" s="45" t="s">
        <v>4404</v>
      </c>
      <c r="C1756" s="45" t="s">
        <v>418</v>
      </c>
      <c r="D1756" s="45" t="s">
        <v>63</v>
      </c>
      <c r="E1756" s="45">
        <v>85022</v>
      </c>
      <c r="F1756" s="45" t="s">
        <v>4405</v>
      </c>
      <c r="G1756" s="158" t="s">
        <v>4077</v>
      </c>
      <c r="H1756" s="162" t="s">
        <v>27</v>
      </c>
      <c r="I1756" s="163"/>
      <c r="J1756" s="163"/>
      <c r="K1756" s="163"/>
      <c r="L1756" s="163"/>
      <c r="M1756" s="163"/>
      <c r="N1756" s="163"/>
      <c r="O1756" s="163"/>
      <c r="P1756" s="163"/>
      <c r="R1756" s="45"/>
      <c r="S1756" s="45"/>
      <c r="T1756" s="45"/>
      <c r="U1756" s="45"/>
      <c r="V175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7" spans="1:23">
      <c r="A1757" s="156">
        <v>46049</v>
      </c>
      <c r="B1757" s="45" t="s">
        <v>785</v>
      </c>
      <c r="C1757" s="45" t="s">
        <v>135</v>
      </c>
      <c r="D1757" s="45" t="s">
        <v>261</v>
      </c>
      <c r="E1757" s="45">
        <v>86315</v>
      </c>
      <c r="F1757" s="45" t="s">
        <v>4406</v>
      </c>
      <c r="G1757" s="158" t="s">
        <v>4077</v>
      </c>
      <c r="H1757" s="162" t="s">
        <v>6481</v>
      </c>
      <c r="I1757" s="163" t="s">
        <v>73</v>
      </c>
      <c r="J1757" s="163" t="s">
        <v>37</v>
      </c>
      <c r="K1757" s="163" t="s">
        <v>37</v>
      </c>
      <c r="L1757" s="163" t="s">
        <v>38</v>
      </c>
      <c r="M1757" s="163" t="s">
        <v>37</v>
      </c>
      <c r="N1757" s="163" t="s">
        <v>37</v>
      </c>
      <c r="O1757" s="163" t="s">
        <v>38</v>
      </c>
      <c r="P1757" s="163" t="s">
        <v>39</v>
      </c>
      <c r="Q1757" s="2">
        <v>46058</v>
      </c>
      <c r="R1757" s="45"/>
      <c r="S1757" s="45"/>
      <c r="T1757" s="45"/>
      <c r="U1757" s="45"/>
      <c r="V175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8" spans="1:23">
      <c r="A1758" s="156">
        <v>46049</v>
      </c>
      <c r="B1758" s="45" t="s">
        <v>1039</v>
      </c>
      <c r="C1758" s="45" t="s">
        <v>131</v>
      </c>
      <c r="D1758" s="45" t="s">
        <v>616</v>
      </c>
      <c r="E1758" s="45">
        <v>85365</v>
      </c>
      <c r="F1758" s="45" t="s">
        <v>4407</v>
      </c>
      <c r="G1758" s="158" t="s">
        <v>4077</v>
      </c>
      <c r="H1758" s="162" t="s">
        <v>4408</v>
      </c>
      <c r="I1758" s="163" t="s">
        <v>36</v>
      </c>
      <c r="J1758" s="163" t="s">
        <v>38</v>
      </c>
      <c r="K1758" s="163" t="s">
        <v>37</v>
      </c>
      <c r="L1758" s="163" t="s">
        <v>38</v>
      </c>
      <c r="M1758" s="163" t="s">
        <v>37</v>
      </c>
      <c r="N1758" s="163" t="s">
        <v>37</v>
      </c>
      <c r="O1758" s="163" t="s">
        <v>38</v>
      </c>
      <c r="P1758" s="163" t="s">
        <v>39</v>
      </c>
      <c r="Q1758" s="2">
        <v>46058</v>
      </c>
      <c r="R1758" s="45"/>
      <c r="S1758" s="45"/>
      <c r="T1758" s="45"/>
      <c r="U1758" s="45"/>
      <c r="V175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59" spans="1:23">
      <c r="A1759" s="156">
        <v>46049</v>
      </c>
      <c r="B1759" s="45" t="s">
        <v>4409</v>
      </c>
      <c r="C1759" s="45" t="s">
        <v>4410</v>
      </c>
      <c r="D1759" s="45" t="s">
        <v>63</v>
      </c>
      <c r="E1759" s="45">
        <v>85085</v>
      </c>
      <c r="F1759" s="45" t="s">
        <v>4411</v>
      </c>
      <c r="G1759" s="158" t="s">
        <v>4077</v>
      </c>
      <c r="H1759" s="162" t="s">
        <v>27</v>
      </c>
      <c r="I1759" s="163"/>
      <c r="J1759" s="163"/>
      <c r="K1759" s="163"/>
      <c r="L1759" s="163"/>
      <c r="M1759" s="163"/>
      <c r="N1759" s="163"/>
      <c r="O1759" s="163"/>
      <c r="P1759" s="163"/>
      <c r="R1759" s="45"/>
      <c r="S1759" s="45"/>
      <c r="T1759" s="45"/>
      <c r="U1759" s="45"/>
      <c r="V175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0" spans="1:23">
      <c r="A1760" s="156">
        <v>46049</v>
      </c>
      <c r="B1760" s="45" t="s">
        <v>899</v>
      </c>
      <c r="C1760" s="45" t="s">
        <v>4412</v>
      </c>
      <c r="D1760" s="45" t="s">
        <v>1903</v>
      </c>
      <c r="E1760" s="45">
        <v>85321</v>
      </c>
      <c r="F1760" s="45" t="s">
        <v>4413</v>
      </c>
      <c r="G1760" s="158" t="s">
        <v>4077</v>
      </c>
      <c r="H1760" s="162" t="s">
        <v>4414</v>
      </c>
      <c r="I1760" s="163" t="s">
        <v>73</v>
      </c>
      <c r="J1760" s="163" t="s">
        <v>37</v>
      </c>
      <c r="K1760" s="163" t="s">
        <v>37</v>
      </c>
      <c r="L1760" s="163" t="s">
        <v>38</v>
      </c>
      <c r="M1760" s="163" t="s">
        <v>37</v>
      </c>
      <c r="N1760" s="163" t="s">
        <v>37</v>
      </c>
      <c r="O1760" s="163" t="s">
        <v>38</v>
      </c>
      <c r="P1760" s="163" t="s">
        <v>39</v>
      </c>
      <c r="Q1760" s="2">
        <v>46058</v>
      </c>
      <c r="R1760" s="45"/>
      <c r="S1760" s="45"/>
      <c r="T1760" s="45"/>
      <c r="U1760" s="45"/>
      <c r="V176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1" spans="1:23">
      <c r="A1761" s="156">
        <v>46049</v>
      </c>
      <c r="B1761" s="45" t="s">
        <v>4415</v>
      </c>
      <c r="C1761" s="45" t="s">
        <v>2885</v>
      </c>
      <c r="D1761" s="45" t="s">
        <v>410</v>
      </c>
      <c r="E1761" s="45">
        <v>85123</v>
      </c>
      <c r="F1761" s="45" t="s">
        <v>4416</v>
      </c>
      <c r="G1761" s="158" t="s">
        <v>4077</v>
      </c>
      <c r="H1761" s="162" t="s">
        <v>6482</v>
      </c>
      <c r="I1761" s="163" t="s">
        <v>36</v>
      </c>
      <c r="J1761" s="163" t="s">
        <v>37</v>
      </c>
      <c r="K1761" s="163" t="s">
        <v>37</v>
      </c>
      <c r="L1761" s="163" t="s">
        <v>38</v>
      </c>
      <c r="M1761" s="163" t="s">
        <v>37</v>
      </c>
      <c r="N1761" s="163" t="s">
        <v>37</v>
      </c>
      <c r="O1761" s="163" t="s">
        <v>38</v>
      </c>
      <c r="P1761" s="163" t="s">
        <v>39</v>
      </c>
      <c r="Q1761" s="2">
        <v>46058</v>
      </c>
      <c r="R1761" s="45"/>
      <c r="S1761" s="45"/>
      <c r="T1761" s="45"/>
      <c r="U1761" s="45"/>
      <c r="V176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2" spans="1:23">
      <c r="A1762" s="156">
        <v>46049</v>
      </c>
      <c r="B1762" s="45" t="s">
        <v>891</v>
      </c>
      <c r="C1762" s="45" t="s">
        <v>2547</v>
      </c>
      <c r="D1762" s="45" t="s">
        <v>112</v>
      </c>
      <c r="E1762" s="45">
        <v>85379</v>
      </c>
      <c r="F1762" s="45" t="s">
        <v>4417</v>
      </c>
      <c r="G1762" s="158" t="s">
        <v>4077</v>
      </c>
      <c r="H1762" s="162" t="s">
        <v>4418</v>
      </c>
      <c r="I1762" s="163" t="s">
        <v>36</v>
      </c>
      <c r="J1762" s="163" t="s">
        <v>37</v>
      </c>
      <c r="K1762" s="163" t="s">
        <v>37</v>
      </c>
      <c r="L1762" s="163" t="s">
        <v>38</v>
      </c>
      <c r="M1762" s="163" t="s">
        <v>37</v>
      </c>
      <c r="N1762" s="163" t="s">
        <v>37</v>
      </c>
      <c r="O1762" s="163" t="s">
        <v>38</v>
      </c>
      <c r="P1762" s="163" t="s">
        <v>39</v>
      </c>
      <c r="Q1762" s="2">
        <v>46058</v>
      </c>
      <c r="R1762" s="45"/>
      <c r="S1762" s="45"/>
      <c r="T1762" s="45"/>
      <c r="U1762" s="45"/>
      <c r="V176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3" spans="1:23">
      <c r="A1763" s="156">
        <v>46049</v>
      </c>
      <c r="B1763" s="45" t="s">
        <v>2495</v>
      </c>
      <c r="C1763" s="45" t="s">
        <v>2592</v>
      </c>
      <c r="D1763" s="45" t="s">
        <v>4419</v>
      </c>
      <c r="E1763" s="45">
        <v>86334</v>
      </c>
      <c r="F1763" s="45" t="s">
        <v>4420</v>
      </c>
      <c r="G1763" s="158" t="s">
        <v>4077</v>
      </c>
      <c r="H1763" s="162" t="s">
        <v>4421</v>
      </c>
      <c r="I1763" s="163" t="s">
        <v>46</v>
      </c>
      <c r="J1763" s="163" t="s">
        <v>37</v>
      </c>
      <c r="K1763" s="163" t="s">
        <v>37</v>
      </c>
      <c r="L1763" s="163" t="s">
        <v>38</v>
      </c>
      <c r="M1763" s="163" t="s">
        <v>37</v>
      </c>
      <c r="N1763" s="163" t="s">
        <v>37</v>
      </c>
      <c r="O1763" s="163" t="s">
        <v>38</v>
      </c>
      <c r="P1763" s="163" t="s">
        <v>39</v>
      </c>
      <c r="Q1763" s="2">
        <v>46058</v>
      </c>
      <c r="R1763" s="45"/>
      <c r="S1763" s="45"/>
      <c r="T1763" s="45"/>
      <c r="U1763" s="45"/>
      <c r="V176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4" spans="1:23">
      <c r="A1764" s="156">
        <v>46049</v>
      </c>
      <c r="B1764" s="45" t="s">
        <v>1702</v>
      </c>
      <c r="C1764" s="45" t="s">
        <v>4422</v>
      </c>
      <c r="D1764" s="45" t="s">
        <v>63</v>
      </c>
      <c r="E1764" s="45">
        <v>85023</v>
      </c>
      <c r="F1764" s="45" t="s">
        <v>4423</v>
      </c>
      <c r="G1764" s="158" t="s">
        <v>4077</v>
      </c>
      <c r="H1764" s="162" t="s">
        <v>4424</v>
      </c>
      <c r="I1764" s="163" t="s">
        <v>36</v>
      </c>
      <c r="J1764" s="163" t="s">
        <v>38</v>
      </c>
      <c r="K1764" s="163" t="s">
        <v>37</v>
      </c>
      <c r="L1764" s="163" t="s">
        <v>38</v>
      </c>
      <c r="M1764" s="163" t="s">
        <v>37</v>
      </c>
      <c r="N1764" s="163" t="s">
        <v>37</v>
      </c>
      <c r="O1764" s="163" t="s">
        <v>38</v>
      </c>
      <c r="P1764" s="163" t="s">
        <v>39</v>
      </c>
      <c r="Q1764" s="2">
        <v>46058</v>
      </c>
      <c r="R1764" s="45"/>
      <c r="S1764" s="45"/>
      <c r="T1764" s="45"/>
      <c r="U1764" s="45"/>
      <c r="V176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5" spans="1:23">
      <c r="A1765" s="156">
        <v>46049</v>
      </c>
      <c r="B1765" s="45" t="s">
        <v>4425</v>
      </c>
      <c r="C1765" s="45" t="s">
        <v>4426</v>
      </c>
      <c r="D1765" s="45" t="s">
        <v>125</v>
      </c>
      <c r="E1765" s="45">
        <v>85260</v>
      </c>
      <c r="F1765" s="45" t="s">
        <v>4427</v>
      </c>
      <c r="G1765" s="158" t="s">
        <v>4077</v>
      </c>
      <c r="H1765" s="162" t="s">
        <v>27</v>
      </c>
      <c r="I1765" s="163"/>
      <c r="J1765" s="163"/>
      <c r="K1765" s="163"/>
      <c r="L1765" s="163"/>
      <c r="M1765" s="163"/>
      <c r="N1765" s="163"/>
      <c r="O1765" s="163"/>
      <c r="P1765" s="163"/>
      <c r="R1765" s="45"/>
      <c r="S1765" s="45"/>
      <c r="T1765" s="45"/>
      <c r="U1765" s="45"/>
      <c r="V176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6" spans="1:23">
      <c r="A1766" s="156">
        <v>46049</v>
      </c>
      <c r="B1766" s="45" t="s">
        <v>2833</v>
      </c>
      <c r="C1766" s="45" t="s">
        <v>694</v>
      </c>
      <c r="D1766" s="45" t="s">
        <v>2947</v>
      </c>
      <c r="E1766" s="45">
        <v>86324</v>
      </c>
      <c r="F1766" s="45" t="s">
        <v>4428</v>
      </c>
      <c r="G1766" s="158" t="s">
        <v>4077</v>
      </c>
      <c r="H1766" s="162" t="s">
        <v>27</v>
      </c>
      <c r="I1766" s="163"/>
      <c r="J1766" s="163"/>
      <c r="K1766" s="163"/>
      <c r="L1766" s="163"/>
      <c r="M1766" s="163"/>
      <c r="N1766" s="163"/>
      <c r="O1766" s="163"/>
      <c r="P1766" s="163"/>
      <c r="R1766" s="45"/>
      <c r="S1766" s="45"/>
      <c r="T1766" s="45"/>
      <c r="U1766" s="45"/>
      <c r="V176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7" spans="1:23">
      <c r="A1767" s="156">
        <v>46049</v>
      </c>
      <c r="B1767" s="45" t="s">
        <v>4429</v>
      </c>
      <c r="C1767" s="45" t="s">
        <v>4430</v>
      </c>
      <c r="D1767" s="45" t="s">
        <v>112</v>
      </c>
      <c r="E1767" s="45">
        <v>85388</v>
      </c>
      <c r="F1767" s="45" t="s">
        <v>4431</v>
      </c>
      <c r="G1767" s="158" t="s">
        <v>4077</v>
      </c>
      <c r="H1767" s="162" t="s">
        <v>4432</v>
      </c>
      <c r="I1767" s="163" t="s">
        <v>36</v>
      </c>
      <c r="J1767" s="163" t="s">
        <v>37</v>
      </c>
      <c r="K1767" s="163" t="s">
        <v>37</v>
      </c>
      <c r="L1767" s="163" t="s">
        <v>38</v>
      </c>
      <c r="M1767" s="163" t="s">
        <v>37</v>
      </c>
      <c r="N1767" s="163" t="s">
        <v>37</v>
      </c>
      <c r="O1767" s="163" t="s">
        <v>38</v>
      </c>
      <c r="P1767" s="163" t="s">
        <v>39</v>
      </c>
      <c r="Q1767" s="2">
        <v>46058</v>
      </c>
      <c r="R1767" s="45"/>
      <c r="S1767" s="45"/>
      <c r="T1767" s="45"/>
      <c r="U1767" s="45"/>
      <c r="V176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8" spans="1:23">
      <c r="A1768" s="156">
        <v>46049</v>
      </c>
      <c r="B1768" s="45" t="s">
        <v>2319</v>
      </c>
      <c r="C1768" s="45" t="s">
        <v>4433</v>
      </c>
      <c r="D1768" s="45" t="s">
        <v>978</v>
      </c>
      <c r="E1768" s="45">
        <v>85268</v>
      </c>
      <c r="F1768" s="45" t="s">
        <v>4434</v>
      </c>
      <c r="G1768" s="158" t="s">
        <v>4077</v>
      </c>
      <c r="H1768" s="162" t="s">
        <v>27</v>
      </c>
      <c r="I1768" s="163"/>
      <c r="J1768" s="163"/>
      <c r="K1768" s="163"/>
      <c r="L1768" s="163"/>
      <c r="M1768" s="163"/>
      <c r="N1768" s="163"/>
      <c r="O1768" s="163"/>
      <c r="P1768" s="163"/>
      <c r="R1768" s="45"/>
      <c r="S1768" s="45"/>
      <c r="T1768" s="45"/>
      <c r="U1768" s="45"/>
      <c r="V176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69" spans="1:23">
      <c r="A1769" s="156">
        <v>46049</v>
      </c>
      <c r="B1769" s="45" t="s">
        <v>4435</v>
      </c>
      <c r="C1769" s="45" t="s">
        <v>4436</v>
      </c>
      <c r="D1769" s="45" t="s">
        <v>264</v>
      </c>
      <c r="E1769" s="45">
        <v>85541</v>
      </c>
      <c r="F1769" s="45" t="s">
        <v>4437</v>
      </c>
      <c r="G1769" s="158" t="s">
        <v>4077</v>
      </c>
      <c r="H1769" s="162" t="s">
        <v>27</v>
      </c>
      <c r="I1769" s="163"/>
      <c r="J1769" s="163"/>
      <c r="K1769" s="163"/>
      <c r="L1769" s="163"/>
      <c r="M1769" s="163"/>
      <c r="N1769" s="163"/>
      <c r="O1769" s="163"/>
      <c r="P1769" s="163"/>
      <c r="R1769" s="45"/>
      <c r="S1769" s="45"/>
      <c r="T1769" s="45"/>
      <c r="U1769" s="45"/>
      <c r="V176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0" spans="1:23">
      <c r="A1770" s="156">
        <v>46049</v>
      </c>
      <c r="B1770" s="45" t="s">
        <v>4438</v>
      </c>
      <c r="C1770" s="45" t="s">
        <v>933</v>
      </c>
      <c r="D1770" s="45" t="s">
        <v>24</v>
      </c>
      <c r="E1770" s="45">
        <v>85303</v>
      </c>
      <c r="F1770" s="45" t="s">
        <v>4439</v>
      </c>
      <c r="G1770" s="158" t="s">
        <v>4077</v>
      </c>
      <c r="H1770" s="162" t="s">
        <v>27</v>
      </c>
      <c r="I1770" s="163"/>
      <c r="J1770" s="163"/>
      <c r="K1770" s="163"/>
      <c r="L1770" s="163"/>
      <c r="M1770" s="163"/>
      <c r="N1770" s="163"/>
      <c r="O1770" s="163"/>
      <c r="P1770" s="163"/>
      <c r="R1770" s="45"/>
      <c r="S1770" s="45"/>
      <c r="T1770" s="45"/>
      <c r="U1770" s="45"/>
      <c r="V177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1" spans="1:23">
      <c r="A1771" s="156">
        <v>46049</v>
      </c>
      <c r="B1771" s="45" t="s">
        <v>3658</v>
      </c>
      <c r="C1771" s="45" t="s">
        <v>3750</v>
      </c>
      <c r="D1771" s="45" t="s">
        <v>93</v>
      </c>
      <c r="E1771" s="45">
        <v>85351</v>
      </c>
      <c r="F1771" s="45" t="s">
        <v>4440</v>
      </c>
      <c r="G1771" s="158" t="s">
        <v>4077</v>
      </c>
      <c r="H1771" s="162" t="s">
        <v>4441</v>
      </c>
      <c r="I1771" s="163" t="s">
        <v>3682</v>
      </c>
      <c r="J1771" s="163" t="s">
        <v>37</v>
      </c>
      <c r="K1771" s="163" t="s">
        <v>37</v>
      </c>
      <c r="L1771" s="163" t="s">
        <v>3549</v>
      </c>
      <c r="M1771" s="163" t="s">
        <v>37</v>
      </c>
      <c r="N1771" s="163" t="s">
        <v>37</v>
      </c>
      <c r="O1771" s="163" t="s">
        <v>38</v>
      </c>
      <c r="P1771" s="163" t="s">
        <v>39</v>
      </c>
      <c r="Q1771" s="2">
        <v>46058</v>
      </c>
      <c r="R1771" s="45"/>
      <c r="S1771" s="45"/>
      <c r="T1771" s="45"/>
      <c r="U1771" s="45"/>
      <c r="V177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2" spans="1:23">
      <c r="A1772" s="156">
        <v>46049</v>
      </c>
      <c r="B1772" s="45" t="s">
        <v>4442</v>
      </c>
      <c r="C1772" s="45" t="s">
        <v>483</v>
      </c>
      <c r="D1772" s="45" t="s">
        <v>3632</v>
      </c>
      <c r="E1772" s="45">
        <v>85086</v>
      </c>
      <c r="F1772" s="45" t="s">
        <v>4443</v>
      </c>
      <c r="G1772" s="158" t="s">
        <v>4077</v>
      </c>
      <c r="H1772" s="162" t="s">
        <v>4444</v>
      </c>
      <c r="I1772" s="163" t="s">
        <v>36</v>
      </c>
      <c r="J1772" s="163" t="s">
        <v>37</v>
      </c>
      <c r="K1772" s="163" t="s">
        <v>37</v>
      </c>
      <c r="L1772" s="163" t="s">
        <v>38</v>
      </c>
      <c r="M1772" s="163" t="s">
        <v>37</v>
      </c>
      <c r="N1772" s="163" t="s">
        <v>37</v>
      </c>
      <c r="O1772" s="163" t="s">
        <v>38</v>
      </c>
      <c r="P1772" s="163" t="s">
        <v>39</v>
      </c>
      <c r="Q1772" s="2">
        <v>46058</v>
      </c>
      <c r="R1772" s="45"/>
      <c r="S1772" s="45"/>
      <c r="T1772" s="45"/>
      <c r="U1772" s="45"/>
      <c r="V177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3" spans="1:23">
      <c r="A1773" s="156">
        <v>46049</v>
      </c>
      <c r="B1773" s="45" t="s">
        <v>3852</v>
      </c>
      <c r="C1773" s="45" t="s">
        <v>4445</v>
      </c>
      <c r="D1773" s="45" t="s">
        <v>501</v>
      </c>
      <c r="E1773" s="45">
        <v>86004</v>
      </c>
      <c r="F1773" s="45" t="s">
        <v>4446</v>
      </c>
      <c r="G1773" s="158" t="s">
        <v>4077</v>
      </c>
      <c r="H1773" s="162" t="s">
        <v>6483</v>
      </c>
      <c r="I1773" s="163" t="s">
        <v>73</v>
      </c>
      <c r="J1773" s="163" t="s">
        <v>38</v>
      </c>
      <c r="K1773" s="163" t="s">
        <v>37</v>
      </c>
      <c r="L1773" s="163" t="s">
        <v>38</v>
      </c>
      <c r="M1773" s="163" t="s">
        <v>37</v>
      </c>
      <c r="N1773" s="163" t="s">
        <v>37</v>
      </c>
      <c r="O1773" s="163" t="s">
        <v>38</v>
      </c>
      <c r="P1773" s="163" t="s">
        <v>39</v>
      </c>
      <c r="Q1773" s="2">
        <v>46058</v>
      </c>
      <c r="R1773" s="45"/>
      <c r="S1773" s="45"/>
      <c r="T1773" s="45"/>
      <c r="U1773" s="45"/>
      <c r="V177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4" spans="1:23">
      <c r="A1774" s="156">
        <v>46049</v>
      </c>
      <c r="B1774" s="45" t="s">
        <v>4447</v>
      </c>
      <c r="C1774" s="45" t="s">
        <v>4448</v>
      </c>
      <c r="D1774" s="45" t="s">
        <v>616</v>
      </c>
      <c r="E1774" s="45">
        <v>85364</v>
      </c>
      <c r="F1774" s="45" t="s">
        <v>4449</v>
      </c>
      <c r="G1774" s="158" t="s">
        <v>4077</v>
      </c>
      <c r="H1774" s="162" t="s">
        <v>27</v>
      </c>
      <c r="I1774" s="163"/>
      <c r="J1774" s="163"/>
      <c r="K1774" s="163"/>
      <c r="L1774" s="163"/>
      <c r="M1774" s="163"/>
      <c r="N1774" s="163"/>
      <c r="O1774" s="163"/>
      <c r="P1774" s="163"/>
      <c r="Q1774" s="18"/>
      <c r="R1774" s="45"/>
      <c r="S1774" s="45"/>
      <c r="T1774" s="45"/>
      <c r="U1774" s="45"/>
      <c r="V1774" s="166">
        <f>IF(
  OR(
    ISNUMBER(SEARCH("unable to locate acct", tblDocketedComments[[#This Row],[Docketed Consumer Comments]])),
    ISNUMBER(SEARCH("unknown", tblDocketedComments[[#This Row],[Docketed Consumer Comments]])),
    ISNUMBER(SEARCH("inactive", tblDocketedComments[[#This Row],[Docketed Consumer Comments]]))
  ),
  0,
  1
)</f>
        <v>1</v>
      </c>
      <c r="W1774" s="34"/>
    </row>
    <row r="1775" spans="1:23">
      <c r="A1775" s="156">
        <v>46049</v>
      </c>
      <c r="B1775" s="45" t="s">
        <v>4450</v>
      </c>
      <c r="C1775" s="45" t="s">
        <v>2592</v>
      </c>
      <c r="D1775" s="45" t="s">
        <v>93</v>
      </c>
      <c r="E1775" s="45">
        <v>85373</v>
      </c>
      <c r="F1775" s="45" t="s">
        <v>4451</v>
      </c>
      <c r="G1775" s="158" t="s">
        <v>4077</v>
      </c>
      <c r="H1775" s="162" t="s">
        <v>4452</v>
      </c>
      <c r="I1775" s="163" t="s">
        <v>3357</v>
      </c>
      <c r="J1775" s="163" t="s">
        <v>38</v>
      </c>
      <c r="K1775" s="163" t="s">
        <v>37</v>
      </c>
      <c r="L1775" s="163" t="s">
        <v>3549</v>
      </c>
      <c r="M1775" s="163" t="s">
        <v>37</v>
      </c>
      <c r="N1775" s="163" t="s">
        <v>37</v>
      </c>
      <c r="O1775" s="163" t="s">
        <v>38</v>
      </c>
      <c r="P1775" s="163" t="s">
        <v>39</v>
      </c>
      <c r="Q1775" s="2">
        <v>46058</v>
      </c>
      <c r="R1775" s="45"/>
      <c r="S1775" s="45"/>
      <c r="T1775" s="45"/>
      <c r="U1775" s="45"/>
      <c r="V177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6" spans="1:23">
      <c r="A1776" s="156">
        <v>46049</v>
      </c>
      <c r="B1776" s="45" t="s">
        <v>4453</v>
      </c>
      <c r="C1776" s="45" t="s">
        <v>4454</v>
      </c>
      <c r="D1776" s="45" t="s">
        <v>85</v>
      </c>
      <c r="E1776" s="45">
        <v>86323</v>
      </c>
      <c r="F1776" s="45" t="s">
        <v>4455</v>
      </c>
      <c r="G1776" s="158" t="s">
        <v>4077</v>
      </c>
      <c r="H1776" s="162" t="s">
        <v>4456</v>
      </c>
      <c r="I1776" s="163" t="s">
        <v>36</v>
      </c>
      <c r="J1776" s="163" t="s">
        <v>38</v>
      </c>
      <c r="K1776" s="163" t="s">
        <v>37</v>
      </c>
      <c r="L1776" s="163" t="s">
        <v>38</v>
      </c>
      <c r="M1776" s="163" t="s">
        <v>38</v>
      </c>
      <c r="N1776" s="164">
        <v>1048.1600000000001</v>
      </c>
      <c r="O1776" s="163" t="s">
        <v>38</v>
      </c>
      <c r="P1776" s="163"/>
      <c r="Q1776" s="41">
        <v>46058</v>
      </c>
      <c r="R1776" s="45" t="s">
        <v>4457</v>
      </c>
      <c r="S1776" s="45"/>
      <c r="T1776" s="45"/>
      <c r="U1776" s="45"/>
      <c r="V1776" s="166">
        <f>IF(
  OR(
    ISNUMBER(SEARCH("unable to locate acct", tblDocketedComments[[#This Row],[Docketed Consumer Comments]])),
    ISNUMBER(SEARCH("unknown", tblDocketedComments[[#This Row],[Docketed Consumer Comments]])),
    ISNUMBER(SEARCH("inactive", tblDocketedComments[[#This Row],[Docketed Consumer Comments]]))
  ),
  0,
  1
)</f>
        <v>1</v>
      </c>
      <c r="W1776" s="32"/>
    </row>
    <row r="1777" spans="1:22">
      <c r="A1777" s="156">
        <v>46049</v>
      </c>
      <c r="B1777" s="45" t="s">
        <v>555</v>
      </c>
      <c r="C1777" s="45" t="s">
        <v>655</v>
      </c>
      <c r="D1777" s="45" t="s">
        <v>112</v>
      </c>
      <c r="E1777" s="45">
        <v>85388</v>
      </c>
      <c r="F1777" s="45" t="s">
        <v>4458</v>
      </c>
      <c r="G1777" s="158" t="s">
        <v>4077</v>
      </c>
      <c r="H1777" s="162" t="s">
        <v>4459</v>
      </c>
      <c r="I1777" s="163" t="s">
        <v>36</v>
      </c>
      <c r="J1777" s="163" t="s">
        <v>37</v>
      </c>
      <c r="K1777" s="163" t="s">
        <v>37</v>
      </c>
      <c r="L1777" s="163" t="s">
        <v>38</v>
      </c>
      <c r="M1777" s="163" t="s">
        <v>37</v>
      </c>
      <c r="N1777" s="163" t="s">
        <v>37</v>
      </c>
      <c r="O1777" s="163" t="s">
        <v>38</v>
      </c>
      <c r="P1777" s="163" t="s">
        <v>39</v>
      </c>
      <c r="Q1777" s="2">
        <v>46058</v>
      </c>
      <c r="R1777" s="45" t="s">
        <v>4460</v>
      </c>
      <c r="S1777" s="45"/>
      <c r="T1777" s="45"/>
      <c r="U1777" s="45"/>
      <c r="V177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8" spans="1:22">
      <c r="A1778" s="156">
        <v>46049</v>
      </c>
      <c r="B1778" s="45" t="s">
        <v>2366</v>
      </c>
      <c r="C1778" s="45" t="s">
        <v>1007</v>
      </c>
      <c r="D1778" s="45" t="s">
        <v>174</v>
      </c>
      <c r="E1778" s="45">
        <v>85396</v>
      </c>
      <c r="F1778" s="45" t="s">
        <v>4461</v>
      </c>
      <c r="G1778" s="158" t="s">
        <v>4077</v>
      </c>
      <c r="H1778" s="162" t="s">
        <v>4462</v>
      </c>
      <c r="I1778" s="163" t="s">
        <v>3682</v>
      </c>
      <c r="J1778" s="163" t="s">
        <v>37</v>
      </c>
      <c r="K1778" s="163" t="s">
        <v>37</v>
      </c>
      <c r="L1778" s="163" t="s">
        <v>3549</v>
      </c>
      <c r="M1778" s="163" t="s">
        <v>37</v>
      </c>
      <c r="N1778" s="163" t="s">
        <v>37</v>
      </c>
      <c r="O1778" s="163" t="s">
        <v>38</v>
      </c>
      <c r="P1778" s="163" t="s">
        <v>39</v>
      </c>
      <c r="Q1778" s="2">
        <v>46058</v>
      </c>
      <c r="R1778" s="45"/>
      <c r="S1778" s="45"/>
      <c r="T1778" s="45"/>
      <c r="U1778" s="45"/>
      <c r="V177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79" spans="1:22">
      <c r="A1779" s="156">
        <v>46049</v>
      </c>
      <c r="B1779" s="45" t="s">
        <v>357</v>
      </c>
      <c r="C1779" s="45" t="s">
        <v>4463</v>
      </c>
      <c r="D1779" s="45" t="s">
        <v>129</v>
      </c>
      <c r="E1779" s="45">
        <v>85233</v>
      </c>
      <c r="F1779" s="45" t="s">
        <v>4464</v>
      </c>
      <c r="G1779" s="158" t="s">
        <v>4077</v>
      </c>
      <c r="H1779" s="162" t="s">
        <v>90</v>
      </c>
      <c r="I1779" s="163"/>
      <c r="J1779" s="163"/>
      <c r="K1779" s="163"/>
      <c r="L1779" s="163"/>
      <c r="M1779" s="163"/>
      <c r="N1779" s="163"/>
      <c r="O1779" s="163"/>
      <c r="P1779" s="163"/>
      <c r="R1779" s="45" t="s">
        <v>4227</v>
      </c>
      <c r="S1779" s="45"/>
      <c r="T1779" s="45"/>
      <c r="U1779" s="45"/>
      <c r="V177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0" spans="1:22">
      <c r="A1780" s="156">
        <v>46049</v>
      </c>
      <c r="B1780" s="45" t="s">
        <v>4465</v>
      </c>
      <c r="C1780" s="45" t="s">
        <v>4466</v>
      </c>
      <c r="D1780" s="45" t="s">
        <v>63</v>
      </c>
      <c r="E1780" s="45">
        <v>85029</v>
      </c>
      <c r="F1780" s="45" t="s">
        <v>4467</v>
      </c>
      <c r="G1780" s="158" t="s">
        <v>4077</v>
      </c>
      <c r="H1780" s="162" t="s">
        <v>27</v>
      </c>
      <c r="I1780" s="163"/>
      <c r="J1780" s="163"/>
      <c r="K1780" s="163"/>
      <c r="L1780" s="163"/>
      <c r="M1780" s="163"/>
      <c r="N1780" s="163"/>
      <c r="O1780" s="163"/>
      <c r="P1780" s="163"/>
      <c r="R1780" s="45"/>
      <c r="S1780" s="45"/>
      <c r="T1780" s="45"/>
      <c r="U1780" s="45"/>
      <c r="V178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1" spans="1:22">
      <c r="A1781" s="156">
        <v>46049</v>
      </c>
      <c r="B1781" s="45" t="s">
        <v>4468</v>
      </c>
      <c r="C1781" s="45" t="s">
        <v>67</v>
      </c>
      <c r="D1781" s="45" t="s">
        <v>112</v>
      </c>
      <c r="E1781" s="45">
        <v>85374</v>
      </c>
      <c r="F1781" s="45" t="s">
        <v>4469</v>
      </c>
      <c r="G1781" s="158" t="s">
        <v>4077</v>
      </c>
      <c r="H1781" s="162" t="s">
        <v>4470</v>
      </c>
      <c r="I1781" s="163" t="s">
        <v>46</v>
      </c>
      <c r="J1781" s="163" t="s">
        <v>37</v>
      </c>
      <c r="K1781" s="163" t="s">
        <v>37</v>
      </c>
      <c r="L1781" s="163" t="s">
        <v>38</v>
      </c>
      <c r="M1781" s="163" t="s">
        <v>37</v>
      </c>
      <c r="N1781" s="163" t="s">
        <v>37</v>
      </c>
      <c r="O1781" s="163" t="s">
        <v>38</v>
      </c>
      <c r="P1781" s="163" t="s">
        <v>39</v>
      </c>
      <c r="Q1781" s="2">
        <v>46058</v>
      </c>
      <c r="R1781" s="45"/>
      <c r="S1781" s="45"/>
      <c r="T1781" s="45"/>
      <c r="U1781" s="45"/>
      <c r="V178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2" spans="1:22">
      <c r="A1782" s="156">
        <v>46049</v>
      </c>
      <c r="B1782" s="45" t="s">
        <v>4471</v>
      </c>
      <c r="C1782" s="45" t="s">
        <v>135</v>
      </c>
      <c r="D1782" s="45" t="s">
        <v>174</v>
      </c>
      <c r="E1782" s="45">
        <v>85326</v>
      </c>
      <c r="F1782" s="45" t="s">
        <v>4472</v>
      </c>
      <c r="G1782" s="158" t="s">
        <v>4077</v>
      </c>
      <c r="H1782" s="162" t="s">
        <v>27</v>
      </c>
      <c r="I1782" s="163"/>
      <c r="J1782" s="163"/>
      <c r="K1782" s="163"/>
      <c r="L1782" s="163"/>
      <c r="M1782" s="163"/>
      <c r="N1782" s="163"/>
      <c r="O1782" s="163"/>
      <c r="P1782" s="163"/>
      <c r="R1782" s="45" t="s">
        <v>4227</v>
      </c>
      <c r="S1782" s="45"/>
      <c r="T1782" s="45"/>
      <c r="U1782" s="45"/>
      <c r="V178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3" spans="1:22">
      <c r="A1783" s="156">
        <v>46049</v>
      </c>
      <c r="B1783" s="45" t="s">
        <v>4473</v>
      </c>
      <c r="C1783" s="45" t="s">
        <v>1189</v>
      </c>
      <c r="D1783" s="45" t="s">
        <v>446</v>
      </c>
      <c r="E1783" s="45">
        <v>85361</v>
      </c>
      <c r="F1783" s="45" t="s">
        <v>4474</v>
      </c>
      <c r="G1783" s="158" t="s">
        <v>4077</v>
      </c>
      <c r="H1783" s="162" t="s">
        <v>90</v>
      </c>
      <c r="I1783" s="163"/>
      <c r="J1783" s="163"/>
      <c r="K1783" s="163"/>
      <c r="L1783" s="163"/>
      <c r="M1783" s="163"/>
      <c r="N1783" s="163"/>
      <c r="O1783" s="163"/>
      <c r="P1783" s="163"/>
      <c r="R1783" s="45"/>
      <c r="S1783" s="45"/>
      <c r="T1783" s="45"/>
      <c r="U1783" s="45"/>
      <c r="V178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4" spans="1:22">
      <c r="A1784" s="156">
        <v>46049</v>
      </c>
      <c r="B1784" s="45" t="s">
        <v>2123</v>
      </c>
      <c r="C1784" s="45" t="s">
        <v>3867</v>
      </c>
      <c r="D1784" s="45" t="s">
        <v>63</v>
      </c>
      <c r="E1784" s="45">
        <v>85032</v>
      </c>
      <c r="F1784" s="45" t="s">
        <v>4475</v>
      </c>
      <c r="G1784" s="158" t="s">
        <v>4077</v>
      </c>
      <c r="H1784" s="162" t="s">
        <v>4476</v>
      </c>
      <c r="I1784" s="163" t="s">
        <v>73</v>
      </c>
      <c r="J1784" s="163" t="s">
        <v>37</v>
      </c>
      <c r="K1784" s="163" t="s">
        <v>37</v>
      </c>
      <c r="L1784" s="163" t="s">
        <v>38</v>
      </c>
      <c r="M1784" s="163" t="s">
        <v>37</v>
      </c>
      <c r="N1784" s="163" t="s">
        <v>37</v>
      </c>
      <c r="O1784" s="163" t="s">
        <v>38</v>
      </c>
      <c r="P1784" s="163" t="s">
        <v>39</v>
      </c>
      <c r="Q1784" s="2">
        <v>46058</v>
      </c>
      <c r="R1784" s="45"/>
      <c r="S1784" s="45"/>
      <c r="T1784" s="45"/>
      <c r="U1784" s="45"/>
      <c r="V178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5" spans="1:22">
      <c r="A1785" s="156">
        <v>46049</v>
      </c>
      <c r="B1785" s="45" t="s">
        <v>306</v>
      </c>
      <c r="C1785" s="45" t="s">
        <v>4477</v>
      </c>
      <c r="D1785" s="45" t="s">
        <v>520</v>
      </c>
      <c r="E1785" s="45">
        <v>85323</v>
      </c>
      <c r="F1785" s="45" t="s">
        <v>4478</v>
      </c>
      <c r="G1785" s="158" t="s">
        <v>4077</v>
      </c>
      <c r="H1785" s="162" t="s">
        <v>4479</v>
      </c>
      <c r="I1785" s="163"/>
      <c r="J1785" s="163"/>
      <c r="K1785" s="163"/>
      <c r="L1785" s="163"/>
      <c r="M1785" s="163"/>
      <c r="N1785" s="163"/>
      <c r="O1785" s="163"/>
      <c r="P1785" s="163"/>
      <c r="R1785" s="45" t="s">
        <v>4227</v>
      </c>
      <c r="S1785" s="45"/>
      <c r="T1785" s="45"/>
      <c r="U1785" s="45"/>
      <c r="V178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6" spans="1:22">
      <c r="A1786" s="156">
        <v>46049</v>
      </c>
      <c r="B1786" s="45" t="s">
        <v>4480</v>
      </c>
      <c r="C1786" s="45" t="s">
        <v>4481</v>
      </c>
      <c r="D1786" s="45" t="s">
        <v>24</v>
      </c>
      <c r="E1786" s="45">
        <v>85308</v>
      </c>
      <c r="F1786" s="45" t="s">
        <v>4482</v>
      </c>
      <c r="G1786" s="158" t="s">
        <v>4077</v>
      </c>
      <c r="H1786" s="162" t="s">
        <v>27</v>
      </c>
      <c r="I1786" s="163"/>
      <c r="J1786" s="163"/>
      <c r="K1786" s="163"/>
      <c r="L1786" s="163"/>
      <c r="M1786" s="163"/>
      <c r="N1786" s="163"/>
      <c r="O1786" s="163"/>
      <c r="P1786" s="163"/>
      <c r="R1786" s="45"/>
      <c r="S1786" s="45"/>
      <c r="T1786" s="45"/>
      <c r="U1786" s="45"/>
      <c r="V178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7" spans="1:22">
      <c r="A1787" s="156">
        <v>46049</v>
      </c>
      <c r="B1787" s="45" t="s">
        <v>4483</v>
      </c>
      <c r="C1787" s="45" t="s">
        <v>2555</v>
      </c>
      <c r="D1787" s="45" t="s">
        <v>63</v>
      </c>
      <c r="E1787" s="45">
        <v>85017</v>
      </c>
      <c r="F1787" s="45" t="s">
        <v>4484</v>
      </c>
      <c r="G1787" s="158" t="s">
        <v>4077</v>
      </c>
      <c r="H1787" s="162" t="s">
        <v>4485</v>
      </c>
      <c r="I1787" s="163" t="s">
        <v>126</v>
      </c>
      <c r="J1787" s="163" t="s">
        <v>37</v>
      </c>
      <c r="K1787" s="163" t="s">
        <v>37</v>
      </c>
      <c r="L1787" s="163" t="s">
        <v>4486</v>
      </c>
      <c r="M1787" s="163" t="s">
        <v>37</v>
      </c>
      <c r="N1787" s="163" t="s">
        <v>37</v>
      </c>
      <c r="O1787" s="163" t="s">
        <v>38</v>
      </c>
      <c r="P1787" s="163" t="s">
        <v>39</v>
      </c>
      <c r="Q1787" s="2">
        <v>46058</v>
      </c>
      <c r="R1787" s="45"/>
      <c r="S1787" s="45"/>
      <c r="T1787" s="45"/>
      <c r="U1787" s="45"/>
      <c r="V178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8" spans="1:22">
      <c r="A1788" s="156">
        <v>46049</v>
      </c>
      <c r="B1788" s="45" t="s">
        <v>4487</v>
      </c>
      <c r="C1788" s="45" t="s">
        <v>3580</v>
      </c>
      <c r="D1788" s="45" t="s">
        <v>63</v>
      </c>
      <c r="E1788" s="45">
        <v>85032</v>
      </c>
      <c r="F1788" s="45" t="s">
        <v>4488</v>
      </c>
      <c r="G1788" s="158" t="s">
        <v>4077</v>
      </c>
      <c r="H1788" s="162" t="s">
        <v>4489</v>
      </c>
      <c r="I1788" s="163" t="s">
        <v>126</v>
      </c>
      <c r="J1788" s="163" t="s">
        <v>37</v>
      </c>
      <c r="K1788" s="163" t="s">
        <v>37</v>
      </c>
      <c r="L1788" s="163" t="s">
        <v>38</v>
      </c>
      <c r="M1788" s="163" t="s">
        <v>37</v>
      </c>
      <c r="N1788" s="163" t="s">
        <v>37</v>
      </c>
      <c r="O1788" s="163" t="s">
        <v>38</v>
      </c>
      <c r="P1788" s="163" t="s">
        <v>39</v>
      </c>
      <c r="Q1788" s="2">
        <v>46058</v>
      </c>
      <c r="R1788" s="45"/>
      <c r="S1788" s="45"/>
      <c r="T1788" s="45"/>
      <c r="U1788" s="45"/>
      <c r="V178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89" spans="1:22">
      <c r="A1789" s="156">
        <v>46049</v>
      </c>
      <c r="B1789" s="45" t="s">
        <v>4490</v>
      </c>
      <c r="C1789" s="45" t="s">
        <v>177</v>
      </c>
      <c r="D1789" s="45" t="s">
        <v>264</v>
      </c>
      <c r="E1789" s="45">
        <v>85541</v>
      </c>
      <c r="F1789" s="45" t="s">
        <v>4491</v>
      </c>
      <c r="G1789" s="158" t="s">
        <v>4077</v>
      </c>
      <c r="H1789" s="162" t="s">
        <v>4492</v>
      </c>
      <c r="I1789" s="163" t="s">
        <v>73</v>
      </c>
      <c r="J1789" s="163" t="s">
        <v>37</v>
      </c>
      <c r="K1789" s="163" t="s">
        <v>37</v>
      </c>
      <c r="L1789" s="163" t="s">
        <v>38</v>
      </c>
      <c r="M1789" s="163" t="s">
        <v>37</v>
      </c>
      <c r="N1789" s="163" t="s">
        <v>37</v>
      </c>
      <c r="O1789" s="163" t="s">
        <v>38</v>
      </c>
      <c r="P1789" s="163" t="s">
        <v>39</v>
      </c>
      <c r="Q1789" s="2">
        <v>46058</v>
      </c>
      <c r="R1789" s="45"/>
      <c r="S1789" s="45"/>
      <c r="T1789" s="45"/>
      <c r="U1789" s="45"/>
      <c r="V178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0" spans="1:22">
      <c r="A1790" s="156">
        <v>46049</v>
      </c>
      <c r="B1790" s="45" t="s">
        <v>4493</v>
      </c>
      <c r="C1790" s="45" t="s">
        <v>655</v>
      </c>
      <c r="D1790" s="45" t="s">
        <v>202</v>
      </c>
      <c r="E1790" s="45">
        <v>85382</v>
      </c>
      <c r="F1790" s="45" t="s">
        <v>4494</v>
      </c>
      <c r="G1790" s="158" t="s">
        <v>4077</v>
      </c>
      <c r="H1790" s="162" t="s">
        <v>27</v>
      </c>
      <c r="I1790" s="163"/>
      <c r="J1790" s="163"/>
      <c r="K1790" s="163"/>
      <c r="L1790" s="163"/>
      <c r="M1790" s="163"/>
      <c r="N1790" s="163"/>
      <c r="O1790" s="163"/>
      <c r="P1790" s="163"/>
      <c r="R1790" s="45"/>
      <c r="S1790" s="45"/>
      <c r="T1790" s="45"/>
      <c r="U1790" s="45"/>
      <c r="V179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1" spans="1:22">
      <c r="A1791" s="156">
        <v>46049</v>
      </c>
      <c r="B1791" s="45" t="s">
        <v>4495</v>
      </c>
      <c r="C1791" s="45" t="s">
        <v>4496</v>
      </c>
      <c r="D1791" s="45" t="s">
        <v>4497</v>
      </c>
      <c r="E1791" s="45">
        <v>85544</v>
      </c>
      <c r="F1791" s="45" t="s">
        <v>4498</v>
      </c>
      <c r="G1791" s="158" t="s">
        <v>4077</v>
      </c>
      <c r="H1791" s="162" t="s">
        <v>4499</v>
      </c>
      <c r="I1791" s="163" t="s">
        <v>36</v>
      </c>
      <c r="J1791" s="163" t="s">
        <v>38</v>
      </c>
      <c r="K1791" s="163" t="s">
        <v>37</v>
      </c>
      <c r="L1791" s="163" t="s">
        <v>4500</v>
      </c>
      <c r="M1791" s="163" t="s">
        <v>37</v>
      </c>
      <c r="N1791" s="163" t="s">
        <v>37</v>
      </c>
      <c r="O1791" s="163" t="s">
        <v>38</v>
      </c>
      <c r="P1791" s="163" t="s">
        <v>39</v>
      </c>
      <c r="Q1791" s="2">
        <v>46058</v>
      </c>
      <c r="R1791" s="45"/>
      <c r="S1791" s="45"/>
      <c r="T1791" s="45"/>
      <c r="U1791" s="45"/>
      <c r="V179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2" spans="1:22">
      <c r="A1792" s="156">
        <v>46049</v>
      </c>
      <c r="B1792" s="45" t="s">
        <v>4501</v>
      </c>
      <c r="C1792" s="45" t="s">
        <v>102</v>
      </c>
      <c r="D1792" s="45" t="s">
        <v>174</v>
      </c>
      <c r="E1792" s="45">
        <v>85326</v>
      </c>
      <c r="F1792" s="45" t="s">
        <v>4502</v>
      </c>
      <c r="G1792" s="158" t="s">
        <v>4077</v>
      </c>
      <c r="H1792" s="162" t="s">
        <v>4503</v>
      </c>
      <c r="I1792" s="163" t="s">
        <v>36</v>
      </c>
      <c r="J1792" s="163" t="s">
        <v>37</v>
      </c>
      <c r="K1792" s="163" t="s">
        <v>37</v>
      </c>
      <c r="L1792" s="163" t="s">
        <v>38</v>
      </c>
      <c r="M1792" s="163" t="s">
        <v>37</v>
      </c>
      <c r="N1792" s="163" t="s">
        <v>37</v>
      </c>
      <c r="O1792" s="163" t="s">
        <v>38</v>
      </c>
      <c r="P1792" s="163" t="s">
        <v>39</v>
      </c>
      <c r="Q1792" s="2">
        <v>46058</v>
      </c>
      <c r="R1792" s="45"/>
      <c r="S1792" s="45"/>
      <c r="T1792" s="45"/>
      <c r="U1792" s="45"/>
      <c r="V179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3" spans="1:23">
      <c r="A1793" s="156">
        <v>46049</v>
      </c>
      <c r="B1793" s="45" t="s">
        <v>4504</v>
      </c>
      <c r="C1793" s="45" t="s">
        <v>4505</v>
      </c>
      <c r="D1793" s="45" t="s">
        <v>63</v>
      </c>
      <c r="E1793" s="45">
        <v>85029</v>
      </c>
      <c r="F1793" s="45" t="s">
        <v>4506</v>
      </c>
      <c r="G1793" s="158" t="s">
        <v>4077</v>
      </c>
      <c r="H1793" s="162" t="s">
        <v>27</v>
      </c>
      <c r="I1793" s="163"/>
      <c r="J1793" s="163"/>
      <c r="K1793" s="163"/>
      <c r="L1793" s="163"/>
      <c r="M1793" s="163"/>
      <c r="N1793" s="163"/>
      <c r="O1793" s="163"/>
      <c r="P1793" s="163"/>
      <c r="R1793" s="45"/>
      <c r="S1793" s="45"/>
      <c r="T1793" s="45"/>
      <c r="U1793" s="45"/>
      <c r="V179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4" spans="1:23">
      <c r="A1794" s="156">
        <v>46049</v>
      </c>
      <c r="B1794" s="45" t="s">
        <v>366</v>
      </c>
      <c r="C1794" s="45" t="s">
        <v>4507</v>
      </c>
      <c r="D1794" s="45" t="s">
        <v>695</v>
      </c>
      <c r="E1794" s="45">
        <v>85375</v>
      </c>
      <c r="F1794" s="45" t="s">
        <v>4508</v>
      </c>
      <c r="G1794" s="158" t="s">
        <v>4077</v>
      </c>
      <c r="H1794" s="162" t="s">
        <v>4509</v>
      </c>
      <c r="I1794" s="163" t="s">
        <v>538</v>
      </c>
      <c r="J1794" s="163" t="s">
        <v>37</v>
      </c>
      <c r="K1794" s="163" t="s">
        <v>37</v>
      </c>
      <c r="L1794" s="163" t="s">
        <v>3549</v>
      </c>
      <c r="M1794" s="163" t="s">
        <v>37</v>
      </c>
      <c r="N1794" s="163" t="s">
        <v>37</v>
      </c>
      <c r="O1794" s="163" t="s">
        <v>38</v>
      </c>
      <c r="P1794" s="163" t="s">
        <v>39</v>
      </c>
      <c r="Q1794" s="2">
        <v>46058</v>
      </c>
      <c r="R1794" s="45"/>
      <c r="S1794" s="45"/>
      <c r="T1794" s="45"/>
      <c r="U1794" s="45"/>
      <c r="V179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5" spans="1:23">
      <c r="A1795" s="156">
        <v>46049</v>
      </c>
      <c r="B1795" s="45" t="s">
        <v>4510</v>
      </c>
      <c r="C1795" s="45" t="s">
        <v>124</v>
      </c>
      <c r="D1795" s="45" t="s">
        <v>63</v>
      </c>
      <c r="E1795" s="45">
        <v>85032</v>
      </c>
      <c r="F1795" s="45" t="s">
        <v>4511</v>
      </c>
      <c r="G1795" s="158" t="s">
        <v>4077</v>
      </c>
      <c r="H1795" s="162" t="s">
        <v>4512</v>
      </c>
      <c r="I1795" s="163" t="s">
        <v>57</v>
      </c>
      <c r="J1795" s="163" t="s">
        <v>37</v>
      </c>
      <c r="K1795" s="163" t="s">
        <v>37</v>
      </c>
      <c r="L1795" s="163" t="s">
        <v>3887</v>
      </c>
      <c r="M1795" s="163" t="s">
        <v>37</v>
      </c>
      <c r="N1795" s="163" t="s">
        <v>37</v>
      </c>
      <c r="O1795" s="163" t="s">
        <v>38</v>
      </c>
      <c r="P1795" s="163" t="s">
        <v>39</v>
      </c>
      <c r="Q1795" s="2">
        <v>46058</v>
      </c>
      <c r="R1795" s="45"/>
      <c r="S1795" s="45"/>
      <c r="T1795" s="45"/>
      <c r="U1795" s="45"/>
      <c r="V179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6" spans="1:23">
      <c r="A1796" s="156">
        <v>46049</v>
      </c>
      <c r="B1796" s="45" t="s">
        <v>4513</v>
      </c>
      <c r="C1796" s="45" t="s">
        <v>2538</v>
      </c>
      <c r="D1796" s="45" t="s">
        <v>63</v>
      </c>
      <c r="E1796" s="45">
        <v>85024</v>
      </c>
      <c r="F1796" s="45" t="s">
        <v>4514</v>
      </c>
      <c r="G1796" s="158" t="s">
        <v>4077</v>
      </c>
      <c r="H1796" s="162" t="s">
        <v>4515</v>
      </c>
      <c r="I1796" s="163" t="s">
        <v>36</v>
      </c>
      <c r="J1796" s="163" t="s">
        <v>37</v>
      </c>
      <c r="K1796" s="163" t="s">
        <v>37</v>
      </c>
      <c r="L1796" s="163" t="s">
        <v>38</v>
      </c>
      <c r="M1796" s="163" t="s">
        <v>37</v>
      </c>
      <c r="N1796" s="163" t="s">
        <v>37</v>
      </c>
      <c r="O1796" s="163" t="s">
        <v>38</v>
      </c>
      <c r="P1796" s="163" t="s">
        <v>39</v>
      </c>
      <c r="Q1796" s="2">
        <v>46058</v>
      </c>
      <c r="R1796" s="45"/>
      <c r="S1796" s="45"/>
      <c r="T1796" s="45"/>
      <c r="U1796" s="45"/>
      <c r="V179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7" spans="1:23">
      <c r="A1797" s="156">
        <v>46049</v>
      </c>
      <c r="B1797" s="45" t="s">
        <v>4516</v>
      </c>
      <c r="C1797" s="45" t="s">
        <v>4091</v>
      </c>
      <c r="D1797" s="45" t="s">
        <v>1681</v>
      </c>
      <c r="E1797" s="45">
        <v>85201</v>
      </c>
      <c r="F1797" s="45" t="s">
        <v>4517</v>
      </c>
      <c r="G1797" s="158" t="s">
        <v>4077</v>
      </c>
      <c r="H1797" s="162" t="s">
        <v>27</v>
      </c>
      <c r="I1797" s="163"/>
      <c r="J1797" s="163"/>
      <c r="K1797" s="163"/>
      <c r="L1797" s="163"/>
      <c r="M1797" s="163"/>
      <c r="N1797" s="163"/>
      <c r="O1797" s="163"/>
      <c r="P1797" s="163"/>
      <c r="R1797" s="45"/>
      <c r="S1797" s="45"/>
      <c r="T1797" s="45"/>
      <c r="U1797" s="45"/>
      <c r="V179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8" spans="1:23">
      <c r="A1798" s="156">
        <v>46049</v>
      </c>
      <c r="B1798" s="45" t="s">
        <v>4518</v>
      </c>
      <c r="C1798" s="45" t="s">
        <v>328</v>
      </c>
      <c r="D1798" s="45" t="s">
        <v>1681</v>
      </c>
      <c r="E1798" s="45">
        <v>85207</v>
      </c>
      <c r="F1798" s="45" t="s">
        <v>4519</v>
      </c>
      <c r="G1798" s="158" t="s">
        <v>4077</v>
      </c>
      <c r="H1798" s="162" t="s">
        <v>27</v>
      </c>
      <c r="I1798" s="163"/>
      <c r="J1798" s="163"/>
      <c r="K1798" s="163"/>
      <c r="L1798" s="163"/>
      <c r="M1798" s="163"/>
      <c r="N1798" s="163"/>
      <c r="O1798" s="163"/>
      <c r="P1798" s="163"/>
      <c r="R1798" s="45"/>
      <c r="S1798" s="45"/>
      <c r="T1798" s="45"/>
      <c r="U1798" s="45"/>
      <c r="V179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799" spans="1:23">
      <c r="A1799" s="156">
        <v>46049</v>
      </c>
      <c r="B1799" s="45" t="s">
        <v>4520</v>
      </c>
      <c r="C1799" s="45" t="s">
        <v>4075</v>
      </c>
      <c r="D1799" s="45" t="s">
        <v>24</v>
      </c>
      <c r="E1799" s="45">
        <v>85302</v>
      </c>
      <c r="F1799" s="45" t="s">
        <v>4521</v>
      </c>
      <c r="G1799" s="158" t="s">
        <v>4077</v>
      </c>
      <c r="H1799" s="162" t="s">
        <v>27</v>
      </c>
      <c r="I1799" s="163"/>
      <c r="J1799" s="163"/>
      <c r="K1799" s="163"/>
      <c r="L1799" s="163"/>
      <c r="M1799" s="163"/>
      <c r="N1799" s="163"/>
      <c r="O1799" s="163"/>
      <c r="P1799" s="163"/>
      <c r="R1799" s="45"/>
      <c r="S1799" s="45"/>
      <c r="T1799" s="45"/>
      <c r="U1799" s="45"/>
      <c r="V179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0" spans="1:23">
      <c r="A1800" s="156">
        <v>46049</v>
      </c>
      <c r="B1800" s="45" t="s">
        <v>4522</v>
      </c>
      <c r="C1800" s="45" t="s">
        <v>744</v>
      </c>
      <c r="D1800" s="45" t="s">
        <v>695</v>
      </c>
      <c r="E1800" s="45">
        <v>85375</v>
      </c>
      <c r="F1800" s="45" t="s">
        <v>4523</v>
      </c>
      <c r="G1800" s="158" t="s">
        <v>4077</v>
      </c>
      <c r="H1800" s="162" t="s">
        <v>4524</v>
      </c>
      <c r="I1800" s="163" t="s">
        <v>46</v>
      </c>
      <c r="J1800" s="163" t="s">
        <v>38</v>
      </c>
      <c r="K1800" s="163" t="s">
        <v>37</v>
      </c>
      <c r="L1800" s="163" t="s">
        <v>38</v>
      </c>
      <c r="M1800" s="163" t="s">
        <v>37</v>
      </c>
      <c r="N1800" s="163" t="s">
        <v>37</v>
      </c>
      <c r="O1800" s="163" t="s">
        <v>38</v>
      </c>
      <c r="P1800" s="163" t="s">
        <v>39</v>
      </c>
      <c r="Q1800" s="2">
        <v>46058</v>
      </c>
      <c r="R1800" s="45"/>
      <c r="S1800" s="45"/>
      <c r="T1800" s="45"/>
      <c r="U1800" s="45"/>
      <c r="V180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1" spans="1:23">
      <c r="A1801" s="156">
        <v>46049</v>
      </c>
      <c r="B1801" s="45" t="s">
        <v>4525</v>
      </c>
      <c r="C1801" s="45" t="s">
        <v>131</v>
      </c>
      <c r="D1801" s="45" t="s">
        <v>85</v>
      </c>
      <c r="E1801" s="45">
        <v>86323</v>
      </c>
      <c r="F1801" s="45" t="s">
        <v>4526</v>
      </c>
      <c r="G1801" s="158" t="s">
        <v>4077</v>
      </c>
      <c r="H1801" s="162" t="s">
        <v>4527</v>
      </c>
      <c r="I1801" s="163" t="s">
        <v>73</v>
      </c>
      <c r="J1801" s="163" t="s">
        <v>38</v>
      </c>
      <c r="K1801" s="163" t="s">
        <v>37</v>
      </c>
      <c r="L1801" s="163" t="s">
        <v>38</v>
      </c>
      <c r="M1801" s="163" t="s">
        <v>37</v>
      </c>
      <c r="N1801" s="163" t="s">
        <v>37</v>
      </c>
      <c r="O1801" s="163" t="s">
        <v>38</v>
      </c>
      <c r="P1801" s="163" t="s">
        <v>39</v>
      </c>
      <c r="Q1801" s="33">
        <v>46058</v>
      </c>
      <c r="R1801" s="45"/>
      <c r="S1801" s="45"/>
      <c r="T1801" s="45"/>
      <c r="U1801" s="45"/>
      <c r="V1801" s="166">
        <f>IF(
  OR(
    ISNUMBER(SEARCH("unable to locate acct", tblDocketedComments[[#This Row],[Docketed Consumer Comments]])),
    ISNUMBER(SEARCH("unknown", tblDocketedComments[[#This Row],[Docketed Consumer Comments]])),
    ISNUMBER(SEARCH("inactive", tblDocketedComments[[#This Row],[Docketed Consumer Comments]]))
  ),
  0,
  1
)</f>
        <v>1</v>
      </c>
      <c r="W1801" s="34"/>
    </row>
    <row r="1802" spans="1:23">
      <c r="A1802" s="156">
        <v>46049</v>
      </c>
      <c r="B1802" s="45" t="s">
        <v>4528</v>
      </c>
      <c r="C1802" s="45" t="s">
        <v>594</v>
      </c>
      <c r="D1802" s="45" t="s">
        <v>369</v>
      </c>
      <c r="E1802" s="45">
        <v>85225</v>
      </c>
      <c r="F1802" s="45" t="s">
        <v>4529</v>
      </c>
      <c r="G1802" s="158" t="s">
        <v>4077</v>
      </c>
      <c r="H1802" s="162" t="s">
        <v>27</v>
      </c>
      <c r="I1802" s="163"/>
      <c r="J1802" s="163"/>
      <c r="K1802" s="163"/>
      <c r="L1802" s="163"/>
      <c r="M1802" s="163"/>
      <c r="N1802" s="163"/>
      <c r="O1802" s="163"/>
      <c r="P1802" s="163"/>
      <c r="R1802" s="45"/>
      <c r="S1802" s="45"/>
      <c r="T1802" s="45"/>
      <c r="U1802" s="45"/>
      <c r="V180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3" spans="1:23">
      <c r="A1803" s="156">
        <v>46049</v>
      </c>
      <c r="B1803" s="45" t="s">
        <v>4530</v>
      </c>
      <c r="C1803" s="45" t="s">
        <v>177</v>
      </c>
      <c r="D1803" s="45" t="s">
        <v>24</v>
      </c>
      <c r="E1803" s="45">
        <v>85308</v>
      </c>
      <c r="F1803" s="45" t="s">
        <v>4531</v>
      </c>
      <c r="G1803" s="158" t="s">
        <v>4077</v>
      </c>
      <c r="H1803" s="162" t="s">
        <v>27</v>
      </c>
      <c r="I1803" s="163"/>
      <c r="J1803" s="163"/>
      <c r="K1803" s="163"/>
      <c r="L1803" s="163"/>
      <c r="M1803" s="163"/>
      <c r="N1803" s="163"/>
      <c r="O1803" s="163"/>
      <c r="P1803" s="163"/>
      <c r="R1803" s="45"/>
      <c r="S1803" s="45"/>
      <c r="T1803" s="45"/>
      <c r="U1803" s="45"/>
      <c r="V180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4" spans="1:23">
      <c r="A1804" s="156">
        <v>46049</v>
      </c>
      <c r="B1804" s="45" t="s">
        <v>4532</v>
      </c>
      <c r="C1804" s="45" t="s">
        <v>4533</v>
      </c>
      <c r="D1804" s="45" t="s">
        <v>202</v>
      </c>
      <c r="E1804" s="45">
        <v>85383</v>
      </c>
      <c r="F1804" s="45" t="s">
        <v>4534</v>
      </c>
      <c r="G1804" s="158" t="s">
        <v>4077</v>
      </c>
      <c r="H1804" s="162" t="s">
        <v>27</v>
      </c>
      <c r="I1804" s="163"/>
      <c r="J1804" s="163"/>
      <c r="K1804" s="163"/>
      <c r="L1804" s="163"/>
      <c r="M1804" s="163"/>
      <c r="N1804" s="163"/>
      <c r="O1804" s="163"/>
      <c r="P1804" s="163"/>
      <c r="R1804" s="45"/>
      <c r="S1804" s="45"/>
      <c r="T1804" s="45"/>
      <c r="U1804" s="45"/>
      <c r="V180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5" spans="1:23">
      <c r="A1805" s="156">
        <v>46049</v>
      </c>
      <c r="B1805" s="45" t="s">
        <v>4085</v>
      </c>
      <c r="C1805" s="45" t="s">
        <v>4535</v>
      </c>
      <c r="D1805" s="45" t="s">
        <v>3632</v>
      </c>
      <c r="E1805" s="45">
        <v>85043</v>
      </c>
      <c r="F1805" s="45" t="s">
        <v>4536</v>
      </c>
      <c r="G1805" s="158" t="s">
        <v>4077</v>
      </c>
      <c r="H1805" s="162" t="s">
        <v>27</v>
      </c>
      <c r="I1805" s="163"/>
      <c r="J1805" s="163"/>
      <c r="K1805" s="163"/>
      <c r="L1805" s="163"/>
      <c r="M1805" s="163"/>
      <c r="N1805" s="163"/>
      <c r="O1805" s="163"/>
      <c r="P1805" s="163"/>
      <c r="R1805" s="45"/>
      <c r="S1805" s="45"/>
      <c r="T1805" s="45"/>
      <c r="U1805" s="45"/>
      <c r="V180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6" spans="1:23">
      <c r="A1806" s="156">
        <v>46049</v>
      </c>
      <c r="B1806" s="45" t="s">
        <v>4537</v>
      </c>
      <c r="C1806" s="45" t="s">
        <v>2596</v>
      </c>
      <c r="D1806" s="45" t="s">
        <v>24</v>
      </c>
      <c r="E1806" s="45">
        <v>85306</v>
      </c>
      <c r="F1806" s="45" t="s">
        <v>4538</v>
      </c>
      <c r="G1806" s="158" t="s">
        <v>4077</v>
      </c>
      <c r="H1806" s="162" t="s">
        <v>27</v>
      </c>
      <c r="I1806" s="163"/>
      <c r="J1806" s="163"/>
      <c r="K1806" s="163"/>
      <c r="L1806" s="163"/>
      <c r="M1806" s="163"/>
      <c r="N1806" s="163"/>
      <c r="O1806" s="163"/>
      <c r="P1806" s="163"/>
      <c r="R1806" s="45"/>
      <c r="S1806" s="45"/>
      <c r="T1806" s="45"/>
      <c r="U1806" s="45"/>
      <c r="V180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7" spans="1:23">
      <c r="A1807" s="156">
        <v>46049</v>
      </c>
      <c r="B1807" s="45" t="s">
        <v>4539</v>
      </c>
      <c r="C1807" s="45" t="s">
        <v>225</v>
      </c>
      <c r="D1807" s="45" t="s">
        <v>129</v>
      </c>
      <c r="E1807" s="45">
        <v>85233</v>
      </c>
      <c r="F1807" s="45" t="s">
        <v>4540</v>
      </c>
      <c r="G1807" s="158" t="s">
        <v>4077</v>
      </c>
      <c r="H1807" s="162" t="s">
        <v>4541</v>
      </c>
      <c r="I1807" s="163" t="s">
        <v>538</v>
      </c>
      <c r="J1807" s="163" t="s">
        <v>37</v>
      </c>
      <c r="K1807" s="163" t="s">
        <v>37</v>
      </c>
      <c r="L1807" s="163" t="s">
        <v>3549</v>
      </c>
      <c r="M1807" s="163" t="s">
        <v>37</v>
      </c>
      <c r="N1807" s="163" t="s">
        <v>37</v>
      </c>
      <c r="O1807" s="163" t="s">
        <v>38</v>
      </c>
      <c r="P1807" s="163" t="s">
        <v>39</v>
      </c>
      <c r="Q1807" s="2">
        <v>46058</v>
      </c>
      <c r="R1807" s="45"/>
      <c r="S1807" s="45"/>
      <c r="T1807" s="45"/>
      <c r="U1807" s="45"/>
      <c r="V180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8" spans="1:23">
      <c r="A1808" s="156">
        <v>46049</v>
      </c>
      <c r="B1808" s="45" t="s">
        <v>4542</v>
      </c>
      <c r="C1808" s="45" t="s">
        <v>4543</v>
      </c>
      <c r="D1808" s="45" t="s">
        <v>1816</v>
      </c>
      <c r="E1808" s="45">
        <v>85128</v>
      </c>
      <c r="F1808" s="45" t="s">
        <v>4544</v>
      </c>
      <c r="G1808" s="158" t="s">
        <v>4077</v>
      </c>
      <c r="H1808" s="162" t="s">
        <v>4545</v>
      </c>
      <c r="I1808" s="163" t="s">
        <v>46</v>
      </c>
      <c r="J1808" s="163" t="s">
        <v>37</v>
      </c>
      <c r="K1808" s="163" t="s">
        <v>37</v>
      </c>
      <c r="L1808" s="163" t="s">
        <v>38</v>
      </c>
      <c r="M1808" s="163" t="s">
        <v>37</v>
      </c>
      <c r="N1808" s="163" t="s">
        <v>37</v>
      </c>
      <c r="O1808" s="163" t="s">
        <v>38</v>
      </c>
      <c r="P1808" s="163" t="s">
        <v>39</v>
      </c>
      <c r="Q1808" s="2">
        <v>46058</v>
      </c>
      <c r="R1808" s="45"/>
      <c r="S1808" s="45"/>
      <c r="T1808" s="45"/>
      <c r="U1808" s="45"/>
      <c r="V180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09" spans="1:23">
      <c r="A1809" s="156">
        <v>46049</v>
      </c>
      <c r="B1809" s="45" t="s">
        <v>4387</v>
      </c>
      <c r="C1809" s="45" t="s">
        <v>3483</v>
      </c>
      <c r="D1809" s="45" t="s">
        <v>616</v>
      </c>
      <c r="E1809" s="45">
        <v>85364</v>
      </c>
      <c r="F1809" s="45" t="s">
        <v>4546</v>
      </c>
      <c r="G1809" s="158" t="s">
        <v>4077</v>
      </c>
      <c r="H1809" s="162" t="s">
        <v>4389</v>
      </c>
      <c r="I1809" s="163" t="s">
        <v>538</v>
      </c>
      <c r="J1809" s="163" t="s">
        <v>37</v>
      </c>
      <c r="K1809" s="163" t="s">
        <v>37</v>
      </c>
      <c r="L1809" s="163" t="s">
        <v>3549</v>
      </c>
      <c r="M1809" s="163" t="s">
        <v>37</v>
      </c>
      <c r="N1809" s="163" t="s">
        <v>37</v>
      </c>
      <c r="O1809" s="163" t="s">
        <v>38</v>
      </c>
      <c r="P1809" s="163" t="s">
        <v>39</v>
      </c>
      <c r="Q1809" s="2">
        <v>46058</v>
      </c>
      <c r="R1809" s="45"/>
      <c r="S1809" s="45"/>
      <c r="T1809" s="45"/>
      <c r="U1809" s="45"/>
      <c r="V180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0" spans="1:23">
      <c r="A1810" s="156">
        <v>46049</v>
      </c>
      <c r="B1810" s="45" t="s">
        <v>4547</v>
      </c>
      <c r="C1810" s="45" t="s">
        <v>4548</v>
      </c>
      <c r="D1810" s="45" t="s">
        <v>63</v>
      </c>
      <c r="E1810" s="45">
        <v>85015</v>
      </c>
      <c r="F1810" s="45" t="s">
        <v>4549</v>
      </c>
      <c r="G1810" s="158" t="s">
        <v>4077</v>
      </c>
      <c r="H1810" s="162" t="s">
        <v>27</v>
      </c>
      <c r="I1810" s="163"/>
      <c r="J1810" s="163"/>
      <c r="K1810" s="163"/>
      <c r="L1810" s="163"/>
      <c r="M1810" s="163"/>
      <c r="N1810" s="163"/>
      <c r="O1810" s="163"/>
      <c r="P1810" s="163"/>
      <c r="R1810" s="45"/>
      <c r="S1810" s="45"/>
      <c r="T1810" s="45"/>
      <c r="U1810" s="45"/>
      <c r="V181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1" spans="1:23">
      <c r="A1811" s="156">
        <v>46048</v>
      </c>
      <c r="B1811" s="45" t="s">
        <v>4550</v>
      </c>
      <c r="C1811" s="45" t="s">
        <v>4551</v>
      </c>
      <c r="D1811" s="45" t="s">
        <v>410</v>
      </c>
      <c r="E1811" s="45">
        <v>85123</v>
      </c>
      <c r="F1811" s="45" t="s">
        <v>4552</v>
      </c>
      <c r="G1811" s="158" t="s">
        <v>4077</v>
      </c>
      <c r="H1811" s="162" t="s">
        <v>4553</v>
      </c>
      <c r="I1811" s="163" t="s">
        <v>36</v>
      </c>
      <c r="J1811" s="163" t="s">
        <v>37</v>
      </c>
      <c r="K1811" s="163" t="s">
        <v>37</v>
      </c>
      <c r="L1811" s="163" t="s">
        <v>38</v>
      </c>
      <c r="M1811" s="163" t="s">
        <v>37</v>
      </c>
      <c r="N1811" s="163" t="s">
        <v>37</v>
      </c>
      <c r="O1811" s="163" t="s">
        <v>38</v>
      </c>
      <c r="P1811" s="163" t="s">
        <v>39</v>
      </c>
      <c r="Q1811" s="2">
        <v>46058</v>
      </c>
      <c r="R1811" s="45"/>
      <c r="S1811" s="45"/>
      <c r="T1811" s="45"/>
      <c r="U1811" s="45"/>
      <c r="V181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2" spans="1:23">
      <c r="A1812" s="156">
        <v>46055</v>
      </c>
      <c r="B1812" s="45" t="s">
        <v>2742</v>
      </c>
      <c r="C1812" s="45" t="s">
        <v>608</v>
      </c>
      <c r="D1812" s="45" t="s">
        <v>63</v>
      </c>
      <c r="E1812" s="45">
        <v>85022</v>
      </c>
      <c r="F1812" s="45" t="s">
        <v>4554</v>
      </c>
      <c r="G1812" s="158" t="s">
        <v>4555</v>
      </c>
      <c r="H1812" s="162" t="s">
        <v>2744</v>
      </c>
      <c r="I1812" s="163" t="s">
        <v>36</v>
      </c>
      <c r="J1812" s="163" t="s">
        <v>37</v>
      </c>
      <c r="K1812" s="163" t="s">
        <v>37</v>
      </c>
      <c r="L1812" s="163" t="s">
        <v>38</v>
      </c>
      <c r="M1812" s="163" t="s">
        <v>37</v>
      </c>
      <c r="N1812" s="163" t="s">
        <v>37</v>
      </c>
      <c r="O1812" s="163" t="s">
        <v>38</v>
      </c>
      <c r="P1812" s="163" t="s">
        <v>39</v>
      </c>
      <c r="Q1812" s="2">
        <v>46058</v>
      </c>
      <c r="R1812" s="45"/>
      <c r="S1812" s="45"/>
      <c r="T1812" s="45"/>
      <c r="U1812" s="45"/>
      <c r="V181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3" spans="1:23">
      <c r="A1813" s="156">
        <v>46055</v>
      </c>
      <c r="B1813" s="45" t="s">
        <v>4047</v>
      </c>
      <c r="C1813" s="45" t="s">
        <v>4048</v>
      </c>
      <c r="D1813" s="45" t="s">
        <v>261</v>
      </c>
      <c r="E1813" s="45">
        <v>86314</v>
      </c>
      <c r="F1813" s="45" t="s">
        <v>4556</v>
      </c>
      <c r="G1813" s="158" t="s">
        <v>4555</v>
      </c>
      <c r="H1813" s="162" t="s">
        <v>4050</v>
      </c>
      <c r="I1813" s="163" t="s">
        <v>46</v>
      </c>
      <c r="J1813" s="163" t="s">
        <v>37</v>
      </c>
      <c r="K1813" s="163" t="s">
        <v>37</v>
      </c>
      <c r="L1813" s="163" t="s">
        <v>38</v>
      </c>
      <c r="M1813" s="163" t="s">
        <v>37</v>
      </c>
      <c r="N1813" s="163" t="s">
        <v>37</v>
      </c>
      <c r="O1813" s="163" t="s">
        <v>38</v>
      </c>
      <c r="P1813" s="163" t="s">
        <v>39</v>
      </c>
      <c r="Q1813" s="2">
        <v>46058</v>
      </c>
      <c r="R1813" s="45"/>
      <c r="S1813" s="45"/>
      <c r="T1813" s="45"/>
      <c r="U1813" s="45"/>
      <c r="V181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4" spans="1:23">
      <c r="A1814" s="156">
        <v>46055</v>
      </c>
      <c r="B1814" s="45" t="s">
        <v>4043</v>
      </c>
      <c r="C1814" s="45" t="s">
        <v>1705</v>
      </c>
      <c r="D1814" s="45" t="s">
        <v>93</v>
      </c>
      <c r="E1814" s="45">
        <v>85351</v>
      </c>
      <c r="F1814" s="45" t="s">
        <v>4557</v>
      </c>
      <c r="G1814" s="158" t="s">
        <v>4555</v>
      </c>
      <c r="H1814" s="162" t="s">
        <v>4046</v>
      </c>
      <c r="I1814" s="163" t="s">
        <v>36</v>
      </c>
      <c r="J1814" s="163" t="s">
        <v>37</v>
      </c>
      <c r="K1814" s="163" t="s">
        <v>37</v>
      </c>
      <c r="L1814" s="163" t="s">
        <v>38</v>
      </c>
      <c r="M1814" s="163" t="s">
        <v>37</v>
      </c>
      <c r="N1814" s="163" t="s">
        <v>37</v>
      </c>
      <c r="O1814" s="163" t="s">
        <v>38</v>
      </c>
      <c r="P1814" s="163" t="s">
        <v>39</v>
      </c>
      <c r="Q1814" s="2">
        <v>46058</v>
      </c>
      <c r="R1814" s="45"/>
      <c r="S1814" s="45"/>
      <c r="T1814" s="45"/>
      <c r="U1814" s="45"/>
      <c r="V181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5" spans="1:23">
      <c r="A1815" s="156">
        <v>46055</v>
      </c>
      <c r="B1815" s="45" t="s">
        <v>208</v>
      </c>
      <c r="C1815" s="45" t="s">
        <v>1614</v>
      </c>
      <c r="D1815" s="45" t="s">
        <v>63</v>
      </c>
      <c r="E1815" s="45">
        <v>85023</v>
      </c>
      <c r="F1815" s="45" t="s">
        <v>4558</v>
      </c>
      <c r="G1815" s="158" t="s">
        <v>4555</v>
      </c>
      <c r="H1815" s="162" t="s">
        <v>4559</v>
      </c>
      <c r="I1815" s="163" t="s">
        <v>36</v>
      </c>
      <c r="J1815" s="163" t="s">
        <v>37</v>
      </c>
      <c r="K1815" s="163" t="s">
        <v>37</v>
      </c>
      <c r="L1815" s="163" t="s">
        <v>38</v>
      </c>
      <c r="M1815" s="163" t="s">
        <v>37</v>
      </c>
      <c r="N1815" s="163" t="s">
        <v>37</v>
      </c>
      <c r="O1815" s="163" t="s">
        <v>38</v>
      </c>
      <c r="P1815" s="163" t="s">
        <v>39</v>
      </c>
      <c r="Q1815" s="2">
        <v>46058</v>
      </c>
      <c r="R1815" s="45"/>
      <c r="S1815" s="45"/>
      <c r="T1815" s="45"/>
      <c r="U1815" s="45"/>
      <c r="V181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6" spans="1:23">
      <c r="A1816" s="156">
        <v>46055</v>
      </c>
      <c r="B1816" s="45" t="s">
        <v>4560</v>
      </c>
      <c r="C1816" s="45" t="s">
        <v>4561</v>
      </c>
      <c r="D1816" s="45" t="s">
        <v>616</v>
      </c>
      <c r="E1816" s="45">
        <v>85364</v>
      </c>
      <c r="F1816" s="45" t="s">
        <v>4562</v>
      </c>
      <c r="G1816" s="158" t="s">
        <v>4555</v>
      </c>
      <c r="H1816" s="162" t="s">
        <v>4563</v>
      </c>
      <c r="I1816" s="163" t="s">
        <v>196</v>
      </c>
      <c r="J1816" s="163" t="s">
        <v>38</v>
      </c>
      <c r="K1816" s="163" t="s">
        <v>37</v>
      </c>
      <c r="L1816" s="163" t="s">
        <v>4564</v>
      </c>
      <c r="M1816" s="163" t="s">
        <v>38</v>
      </c>
      <c r="N1816" s="164">
        <v>163.08000000000001</v>
      </c>
      <c r="O1816" s="163" t="s">
        <v>38</v>
      </c>
      <c r="P1816" s="163"/>
      <c r="Q1816" s="41">
        <v>46058</v>
      </c>
      <c r="R1816" s="45" t="s">
        <v>4565</v>
      </c>
      <c r="S1816" s="45"/>
      <c r="T1816" s="45"/>
      <c r="U1816" s="45"/>
      <c r="V1816" s="166">
        <f>IF(
  OR(
    ISNUMBER(SEARCH("unable to locate acct", tblDocketedComments[[#This Row],[Docketed Consumer Comments]])),
    ISNUMBER(SEARCH("unknown", tblDocketedComments[[#This Row],[Docketed Consumer Comments]])),
    ISNUMBER(SEARCH("inactive", tblDocketedComments[[#This Row],[Docketed Consumer Comments]]))
  ),
  0,
  1
)</f>
        <v>1</v>
      </c>
      <c r="W1816" s="32"/>
    </row>
    <row r="1817" spans="1:23">
      <c r="A1817" s="156">
        <v>46055</v>
      </c>
      <c r="B1817" s="45" t="s">
        <v>2278</v>
      </c>
      <c r="C1817" s="45" t="s">
        <v>199</v>
      </c>
      <c r="D1817" s="45" t="s">
        <v>501</v>
      </c>
      <c r="E1817" s="45">
        <v>86001</v>
      </c>
      <c r="F1817" s="45" t="s">
        <v>4566</v>
      </c>
      <c r="G1817" s="158" t="s">
        <v>4555</v>
      </c>
      <c r="H1817" s="162" t="s">
        <v>90</v>
      </c>
      <c r="I1817" s="163"/>
      <c r="J1817" s="163"/>
      <c r="K1817" s="163"/>
      <c r="L1817" s="163"/>
      <c r="M1817" s="163"/>
      <c r="N1817" s="163"/>
      <c r="O1817" s="163"/>
      <c r="P1817" s="163"/>
      <c r="R1817" s="45"/>
      <c r="S1817" s="45"/>
      <c r="T1817" s="45"/>
      <c r="U1817" s="45"/>
      <c r="V181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8" spans="1:23">
      <c r="A1818" s="156">
        <v>46055</v>
      </c>
      <c r="B1818" s="45" t="s">
        <v>4567</v>
      </c>
      <c r="C1818" s="45" t="s">
        <v>540</v>
      </c>
      <c r="D1818" s="45" t="s">
        <v>501</v>
      </c>
      <c r="E1818" s="45">
        <v>86001</v>
      </c>
      <c r="F1818" s="45" t="s">
        <v>4568</v>
      </c>
      <c r="G1818" s="158" t="s">
        <v>4555</v>
      </c>
      <c r="H1818" s="162" t="s">
        <v>4569</v>
      </c>
      <c r="I1818" s="163" t="s">
        <v>196</v>
      </c>
      <c r="J1818" s="163" t="s">
        <v>37</v>
      </c>
      <c r="K1818" s="163" t="s">
        <v>37</v>
      </c>
      <c r="L1818" s="163" t="s">
        <v>38</v>
      </c>
      <c r="M1818" s="163" t="s">
        <v>37</v>
      </c>
      <c r="N1818" s="163" t="s">
        <v>37</v>
      </c>
      <c r="O1818" s="163" t="s">
        <v>38</v>
      </c>
      <c r="P1818" s="163" t="s">
        <v>39</v>
      </c>
      <c r="Q1818" s="2">
        <v>46058</v>
      </c>
      <c r="R1818" s="45"/>
      <c r="S1818" s="45"/>
      <c r="T1818" s="45"/>
      <c r="U1818" s="45"/>
      <c r="V181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19" spans="1:23">
      <c r="A1819" s="156">
        <v>46055</v>
      </c>
      <c r="B1819" s="45" t="s">
        <v>465</v>
      </c>
      <c r="C1819" s="45" t="s">
        <v>256</v>
      </c>
      <c r="D1819" s="45" t="s">
        <v>202</v>
      </c>
      <c r="E1819" s="45">
        <v>85345</v>
      </c>
      <c r="F1819" s="45" t="s">
        <v>4570</v>
      </c>
      <c r="G1819" s="158" t="s">
        <v>4555</v>
      </c>
      <c r="H1819" s="162" t="s">
        <v>27</v>
      </c>
      <c r="I1819" s="163"/>
      <c r="J1819" s="163"/>
      <c r="K1819" s="163"/>
      <c r="L1819" s="163"/>
      <c r="M1819" s="163"/>
      <c r="N1819" s="163"/>
      <c r="O1819" s="163"/>
      <c r="P1819" s="163"/>
      <c r="R1819" s="45"/>
      <c r="S1819" s="45"/>
      <c r="T1819" s="45"/>
      <c r="U1819" s="45"/>
      <c r="V181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0" spans="1:23">
      <c r="A1820" s="156">
        <v>46055</v>
      </c>
      <c r="B1820" s="45" t="s">
        <v>465</v>
      </c>
      <c r="C1820" s="45" t="s">
        <v>765</v>
      </c>
      <c r="D1820" s="45" t="s">
        <v>202</v>
      </c>
      <c r="E1820" s="45">
        <v>85345</v>
      </c>
      <c r="F1820" s="45" t="s">
        <v>4571</v>
      </c>
      <c r="G1820" s="158" t="s">
        <v>4555</v>
      </c>
      <c r="H1820" s="162" t="s">
        <v>27</v>
      </c>
      <c r="I1820" s="163"/>
      <c r="J1820" s="163"/>
      <c r="K1820" s="163"/>
      <c r="L1820" s="163"/>
      <c r="M1820" s="163"/>
      <c r="N1820" s="163"/>
      <c r="O1820" s="163"/>
      <c r="P1820" s="163"/>
      <c r="R1820" s="45"/>
      <c r="S1820" s="45"/>
      <c r="T1820" s="45"/>
      <c r="U1820" s="45"/>
      <c r="V182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1" spans="1:23">
      <c r="A1821" s="156">
        <v>46055</v>
      </c>
      <c r="B1821" s="45" t="s">
        <v>4572</v>
      </c>
      <c r="C1821" s="45" t="s">
        <v>594</v>
      </c>
      <c r="D1821" s="45" t="s">
        <v>63</v>
      </c>
      <c r="E1821" s="45">
        <v>85020</v>
      </c>
      <c r="F1821" s="45" t="s">
        <v>4573</v>
      </c>
      <c r="G1821" s="158" t="s">
        <v>4555</v>
      </c>
      <c r="H1821" s="162" t="s">
        <v>27</v>
      </c>
      <c r="I1821" s="163"/>
      <c r="J1821" s="163"/>
      <c r="K1821" s="163"/>
      <c r="L1821" s="163"/>
      <c r="M1821" s="163"/>
      <c r="N1821" s="163"/>
      <c r="O1821" s="163"/>
      <c r="P1821" s="163"/>
      <c r="R1821" s="45"/>
      <c r="S1821" s="45"/>
      <c r="T1821" s="45"/>
      <c r="U1821" s="45"/>
      <c r="V182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2" spans="1:23">
      <c r="A1822" s="156">
        <v>46055</v>
      </c>
      <c r="B1822" s="45" t="s">
        <v>4574</v>
      </c>
      <c r="C1822" s="45" t="s">
        <v>307</v>
      </c>
      <c r="D1822" s="45" t="s">
        <v>63</v>
      </c>
      <c r="E1822" s="45">
        <v>85029</v>
      </c>
      <c r="F1822" s="45" t="s">
        <v>4575</v>
      </c>
      <c r="G1822" s="158" t="s">
        <v>4555</v>
      </c>
      <c r="H1822" s="162" t="s">
        <v>27</v>
      </c>
      <c r="I1822" s="163"/>
      <c r="J1822" s="163"/>
      <c r="K1822" s="163"/>
      <c r="L1822" s="163"/>
      <c r="M1822" s="163"/>
      <c r="N1822" s="163"/>
      <c r="O1822" s="163"/>
      <c r="P1822" s="163"/>
      <c r="R1822" s="45"/>
      <c r="S1822" s="45"/>
      <c r="T1822" s="45"/>
      <c r="U1822" s="45"/>
      <c r="V182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3" spans="1:23">
      <c r="A1823" s="156">
        <v>46055</v>
      </c>
      <c r="B1823" s="45" t="s">
        <v>1960</v>
      </c>
      <c r="C1823" s="45" t="s">
        <v>1608</v>
      </c>
      <c r="D1823" s="45" t="s">
        <v>63</v>
      </c>
      <c r="E1823" s="45">
        <v>85009</v>
      </c>
      <c r="F1823" s="45" t="s">
        <v>4576</v>
      </c>
      <c r="G1823" s="158" t="s">
        <v>4555</v>
      </c>
      <c r="H1823" s="162" t="s">
        <v>4577</v>
      </c>
      <c r="I1823" s="163" t="s">
        <v>73</v>
      </c>
      <c r="J1823" s="163" t="s">
        <v>38</v>
      </c>
      <c r="K1823" s="163" t="s">
        <v>37</v>
      </c>
      <c r="L1823" s="163" t="s">
        <v>38</v>
      </c>
      <c r="M1823" s="163" t="s">
        <v>37</v>
      </c>
      <c r="N1823" s="163" t="s">
        <v>37</v>
      </c>
      <c r="O1823" s="163" t="s">
        <v>38</v>
      </c>
      <c r="P1823" s="163" t="s">
        <v>39</v>
      </c>
      <c r="Q1823" s="2">
        <v>46058</v>
      </c>
      <c r="R1823" s="45"/>
      <c r="S1823" s="45"/>
      <c r="T1823" s="45"/>
      <c r="U1823" s="45"/>
      <c r="V182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4" spans="1:23">
      <c r="A1824" s="156">
        <v>46055</v>
      </c>
      <c r="B1824" s="45" t="s">
        <v>4578</v>
      </c>
      <c r="C1824" s="45" t="s">
        <v>4579</v>
      </c>
      <c r="D1824" s="45" t="s">
        <v>63</v>
      </c>
      <c r="E1824" s="45">
        <v>85023</v>
      </c>
      <c r="F1824" s="45" t="s">
        <v>4580</v>
      </c>
      <c r="G1824" s="158" t="s">
        <v>4555</v>
      </c>
      <c r="H1824" s="162" t="s">
        <v>27</v>
      </c>
      <c r="I1824" s="163"/>
      <c r="J1824" s="163"/>
      <c r="K1824" s="163"/>
      <c r="L1824" s="163"/>
      <c r="M1824" s="163"/>
      <c r="N1824" s="163"/>
      <c r="O1824" s="163"/>
      <c r="P1824" s="163"/>
      <c r="R1824" s="45"/>
      <c r="S1824" s="45"/>
      <c r="T1824" s="45"/>
      <c r="U1824" s="45"/>
      <c r="V182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5" spans="1:23">
      <c r="A1825" s="156">
        <v>46055</v>
      </c>
      <c r="B1825" s="45" t="s">
        <v>4581</v>
      </c>
      <c r="C1825" s="45" t="s">
        <v>3025</v>
      </c>
      <c r="D1825" s="45" t="s">
        <v>85</v>
      </c>
      <c r="E1825" s="45">
        <v>86323</v>
      </c>
      <c r="F1825" s="45" t="s">
        <v>4582</v>
      </c>
      <c r="G1825" s="158" t="s">
        <v>4555</v>
      </c>
      <c r="H1825" s="162" t="s">
        <v>4583</v>
      </c>
      <c r="I1825" s="163" t="s">
        <v>73</v>
      </c>
      <c r="J1825" s="163" t="s">
        <v>37</v>
      </c>
      <c r="K1825" s="163" t="s">
        <v>37</v>
      </c>
      <c r="L1825" s="163" t="s">
        <v>38</v>
      </c>
      <c r="M1825" s="163" t="s">
        <v>37</v>
      </c>
      <c r="N1825" s="163" t="s">
        <v>37</v>
      </c>
      <c r="O1825" s="163" t="s">
        <v>38</v>
      </c>
      <c r="P1825" s="163" t="s">
        <v>39</v>
      </c>
      <c r="Q1825" s="2">
        <v>46058</v>
      </c>
      <c r="R1825" s="45"/>
      <c r="S1825" s="45"/>
      <c r="T1825" s="45"/>
      <c r="U1825" s="45"/>
      <c r="V182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6" spans="1:23">
      <c r="A1826" s="156">
        <v>46055</v>
      </c>
      <c r="B1826" s="45" t="s">
        <v>4584</v>
      </c>
      <c r="C1826" s="45" t="s">
        <v>320</v>
      </c>
      <c r="D1826" s="45" t="s">
        <v>501</v>
      </c>
      <c r="E1826" s="45">
        <v>86001</v>
      </c>
      <c r="F1826" s="45" t="s">
        <v>4585</v>
      </c>
      <c r="G1826" s="158" t="s">
        <v>4555</v>
      </c>
      <c r="H1826" s="162" t="s">
        <v>4586</v>
      </c>
      <c r="I1826" s="163" t="s">
        <v>73</v>
      </c>
      <c r="J1826" s="163" t="s">
        <v>37</v>
      </c>
      <c r="K1826" s="163" t="s">
        <v>37</v>
      </c>
      <c r="L1826" s="163" t="s">
        <v>38</v>
      </c>
      <c r="M1826" s="163" t="s">
        <v>37</v>
      </c>
      <c r="N1826" s="163" t="s">
        <v>37</v>
      </c>
      <c r="O1826" s="163" t="s">
        <v>38</v>
      </c>
      <c r="P1826" s="163" t="s">
        <v>39</v>
      </c>
      <c r="Q1826" s="2">
        <v>46058</v>
      </c>
      <c r="R1826" s="45"/>
      <c r="S1826" s="45"/>
      <c r="T1826" s="45"/>
      <c r="U1826" s="45"/>
      <c r="V182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7" spans="1:23">
      <c r="A1827" s="156">
        <v>46055</v>
      </c>
      <c r="B1827" s="45" t="s">
        <v>4587</v>
      </c>
      <c r="C1827" s="45" t="s">
        <v>4588</v>
      </c>
      <c r="D1827" s="45" t="s">
        <v>125</v>
      </c>
      <c r="E1827" s="45">
        <v>85258</v>
      </c>
      <c r="F1827" s="45" t="s">
        <v>4589</v>
      </c>
      <c r="G1827" s="158" t="s">
        <v>4555</v>
      </c>
      <c r="H1827" s="162" t="s">
        <v>4590</v>
      </c>
      <c r="I1827" s="163" t="s">
        <v>196</v>
      </c>
      <c r="J1827" s="163" t="s">
        <v>37</v>
      </c>
      <c r="K1827" s="163" t="s">
        <v>37</v>
      </c>
      <c r="L1827" s="163" t="s">
        <v>38</v>
      </c>
      <c r="M1827" s="163" t="s">
        <v>37</v>
      </c>
      <c r="N1827" s="163" t="s">
        <v>37</v>
      </c>
      <c r="O1827" s="163" t="s">
        <v>38</v>
      </c>
      <c r="P1827" s="163" t="s">
        <v>39</v>
      </c>
      <c r="Q1827" s="2">
        <v>46058</v>
      </c>
      <c r="R1827" s="45"/>
      <c r="S1827" s="45"/>
      <c r="T1827" s="45"/>
      <c r="U1827" s="45"/>
      <c r="V182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8" spans="1:23">
      <c r="A1828" s="156">
        <v>46055</v>
      </c>
      <c r="B1828" s="45" t="s">
        <v>4072</v>
      </c>
      <c r="C1828" s="45" t="s">
        <v>1838</v>
      </c>
      <c r="D1828" s="45" t="s">
        <v>695</v>
      </c>
      <c r="E1828" s="45">
        <v>85375</v>
      </c>
      <c r="F1828" s="45" t="s">
        <v>4591</v>
      </c>
      <c r="G1828" s="158" t="s">
        <v>4555</v>
      </c>
      <c r="H1828" s="162" t="s">
        <v>4074</v>
      </c>
      <c r="I1828" s="163" t="s">
        <v>46</v>
      </c>
      <c r="J1828" s="163" t="s">
        <v>37</v>
      </c>
      <c r="K1828" s="163" t="s">
        <v>37</v>
      </c>
      <c r="L1828" s="163" t="s">
        <v>38</v>
      </c>
      <c r="M1828" s="163" t="s">
        <v>38</v>
      </c>
      <c r="N1828" s="164">
        <v>72.2</v>
      </c>
      <c r="O1828" s="163" t="s">
        <v>38</v>
      </c>
      <c r="P1828" s="163" t="s">
        <v>39</v>
      </c>
      <c r="Q1828" s="2">
        <v>46058</v>
      </c>
      <c r="R1828" s="45"/>
      <c r="S1828" s="45"/>
      <c r="T1828" s="45"/>
      <c r="U1828" s="45"/>
      <c r="V182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29" spans="1:23">
      <c r="A1829" s="156">
        <v>46055</v>
      </c>
      <c r="B1829" s="45" t="s">
        <v>2592</v>
      </c>
      <c r="C1829" s="45" t="s">
        <v>227</v>
      </c>
      <c r="D1829" s="45" t="s">
        <v>734</v>
      </c>
      <c r="E1829" s="45">
        <v>86326</v>
      </c>
      <c r="F1829" s="45" t="s">
        <v>4592</v>
      </c>
      <c r="G1829" s="158" t="s">
        <v>4555</v>
      </c>
      <c r="H1829" s="162" t="s">
        <v>4593</v>
      </c>
      <c r="I1829" s="163" t="s">
        <v>46</v>
      </c>
      <c r="J1829" s="163" t="s">
        <v>37</v>
      </c>
      <c r="K1829" s="163" t="s">
        <v>37</v>
      </c>
      <c r="L1829" s="163" t="s">
        <v>38</v>
      </c>
      <c r="M1829" s="163" t="s">
        <v>37</v>
      </c>
      <c r="N1829" s="163" t="s">
        <v>37</v>
      </c>
      <c r="O1829" s="163" t="s">
        <v>38</v>
      </c>
      <c r="P1829" s="163" t="s">
        <v>39</v>
      </c>
      <c r="Q1829" s="2">
        <v>46058</v>
      </c>
      <c r="R1829" s="45"/>
      <c r="S1829" s="45"/>
      <c r="T1829" s="45"/>
      <c r="U1829" s="45"/>
      <c r="V182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0" spans="1:23">
      <c r="A1830" s="156">
        <v>46055</v>
      </c>
      <c r="B1830" s="45" t="s">
        <v>4594</v>
      </c>
      <c r="C1830" s="45" t="s">
        <v>4595</v>
      </c>
      <c r="D1830" s="45" t="s">
        <v>1173</v>
      </c>
      <c r="E1830" s="45">
        <v>85390</v>
      </c>
      <c r="F1830" s="45" t="s">
        <v>4596</v>
      </c>
      <c r="G1830" s="158" t="s">
        <v>4597</v>
      </c>
      <c r="H1830" s="162" t="s">
        <v>27</v>
      </c>
      <c r="I1830" s="163"/>
      <c r="J1830" s="163"/>
      <c r="K1830" s="163"/>
      <c r="L1830" s="163"/>
      <c r="M1830" s="163"/>
      <c r="N1830" s="163"/>
      <c r="O1830" s="163"/>
      <c r="P1830" s="163"/>
      <c r="R1830" s="45"/>
      <c r="S1830" s="45"/>
      <c r="T1830" s="45"/>
      <c r="U1830" s="45"/>
      <c r="V183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1" spans="1:23">
      <c r="A1831" s="156">
        <v>46055</v>
      </c>
      <c r="B1831" s="45" t="s">
        <v>4598</v>
      </c>
      <c r="C1831" s="45" t="s">
        <v>2350</v>
      </c>
      <c r="D1831" s="45" t="s">
        <v>1098</v>
      </c>
      <c r="E1831" s="45">
        <v>85355</v>
      </c>
      <c r="F1831" s="45" t="s">
        <v>4599</v>
      </c>
      <c r="G1831" s="158" t="s">
        <v>4597</v>
      </c>
      <c r="H1831" s="162" t="s">
        <v>4600</v>
      </c>
      <c r="I1831" s="163" t="s">
        <v>36</v>
      </c>
      <c r="J1831" s="163" t="s">
        <v>37</v>
      </c>
      <c r="K1831" s="163" t="s">
        <v>37</v>
      </c>
      <c r="L1831" s="163" t="s">
        <v>38</v>
      </c>
      <c r="M1831" s="163" t="s">
        <v>37</v>
      </c>
      <c r="N1831" s="163" t="s">
        <v>37</v>
      </c>
      <c r="O1831" s="163" t="s">
        <v>38</v>
      </c>
      <c r="P1831" s="163" t="s">
        <v>39</v>
      </c>
      <c r="Q1831" s="2">
        <v>46058</v>
      </c>
      <c r="R1831" s="45"/>
      <c r="S1831" s="45"/>
      <c r="T1831" s="45"/>
      <c r="U1831" s="45"/>
      <c r="V183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2" spans="1:23">
      <c r="A1832" s="156">
        <v>46055</v>
      </c>
      <c r="B1832" s="45" t="s">
        <v>4601</v>
      </c>
      <c r="C1832" s="45" t="s">
        <v>3585</v>
      </c>
      <c r="D1832" s="45" t="s">
        <v>410</v>
      </c>
      <c r="E1832" s="45">
        <v>85123</v>
      </c>
      <c r="F1832" s="45" t="s">
        <v>4602</v>
      </c>
      <c r="G1832" s="158" t="s">
        <v>4597</v>
      </c>
      <c r="H1832" s="162" t="s">
        <v>4603</v>
      </c>
      <c r="I1832" s="163" t="s">
        <v>57</v>
      </c>
      <c r="J1832" s="163" t="s">
        <v>37</v>
      </c>
      <c r="K1832" s="163" t="s">
        <v>37</v>
      </c>
      <c r="L1832" s="163" t="s">
        <v>4604</v>
      </c>
      <c r="M1832" s="163" t="s">
        <v>37</v>
      </c>
      <c r="N1832" s="163" t="s">
        <v>37</v>
      </c>
      <c r="O1832" s="163" t="s">
        <v>38</v>
      </c>
      <c r="P1832" s="163"/>
      <c r="Q1832" s="41">
        <v>46058</v>
      </c>
      <c r="R1832" s="45" t="s">
        <v>3474</v>
      </c>
      <c r="S1832" s="45"/>
      <c r="T1832" s="45"/>
      <c r="U1832" s="45"/>
      <c r="V1832" s="166">
        <f>IF(
  OR(
    ISNUMBER(SEARCH("unable to locate acct", tblDocketedComments[[#This Row],[Docketed Consumer Comments]])),
    ISNUMBER(SEARCH("unknown", tblDocketedComments[[#This Row],[Docketed Consumer Comments]])),
    ISNUMBER(SEARCH("inactive", tblDocketedComments[[#This Row],[Docketed Consumer Comments]]))
  ),
  0,
  1
)</f>
        <v>1</v>
      </c>
      <c r="W1832" s="32"/>
    </row>
    <row r="1833" spans="1:23">
      <c r="A1833" s="156">
        <v>46055</v>
      </c>
      <c r="B1833" s="45" t="s">
        <v>227</v>
      </c>
      <c r="C1833" s="45" t="s">
        <v>4051</v>
      </c>
      <c r="D1833" s="45" t="s">
        <v>202</v>
      </c>
      <c r="E1833" s="45">
        <v>85383</v>
      </c>
      <c r="F1833" s="45" t="s">
        <v>4605</v>
      </c>
      <c r="G1833" s="158" t="s">
        <v>4597</v>
      </c>
      <c r="H1833" s="162" t="s">
        <v>4053</v>
      </c>
      <c r="I1833" s="163" t="s">
        <v>36</v>
      </c>
      <c r="J1833" s="163" t="s">
        <v>38</v>
      </c>
      <c r="K1833" s="163" t="s">
        <v>37</v>
      </c>
      <c r="L1833" s="163" t="s">
        <v>38</v>
      </c>
      <c r="M1833" s="163" t="s">
        <v>37</v>
      </c>
      <c r="N1833" s="163" t="s">
        <v>37</v>
      </c>
      <c r="O1833" s="163" t="s">
        <v>38</v>
      </c>
      <c r="P1833" s="163"/>
      <c r="Q1833" s="41">
        <v>46058</v>
      </c>
      <c r="R1833" s="45" t="s">
        <v>4002</v>
      </c>
      <c r="S1833" s="45"/>
      <c r="T1833" s="45"/>
      <c r="U1833" s="45"/>
      <c r="V1833" s="166">
        <f>IF(
  OR(
    ISNUMBER(SEARCH("unable to locate acct", tblDocketedComments[[#This Row],[Docketed Consumer Comments]])),
    ISNUMBER(SEARCH("unknown", tblDocketedComments[[#This Row],[Docketed Consumer Comments]])),
    ISNUMBER(SEARCH("inactive", tblDocketedComments[[#This Row],[Docketed Consumer Comments]]))
  ),
  0,
  1
)</f>
        <v>1</v>
      </c>
      <c r="W1833" s="32"/>
    </row>
    <row r="1834" spans="1:23">
      <c r="A1834" s="156">
        <v>46055</v>
      </c>
      <c r="B1834" s="45" t="s">
        <v>2261</v>
      </c>
      <c r="C1834" s="45" t="s">
        <v>469</v>
      </c>
      <c r="D1834" s="45" t="s">
        <v>63</v>
      </c>
      <c r="E1834" s="45">
        <v>85020</v>
      </c>
      <c r="F1834" s="45" t="s">
        <v>4606</v>
      </c>
      <c r="G1834" s="158" t="s">
        <v>4597</v>
      </c>
      <c r="H1834" s="162" t="s">
        <v>4607</v>
      </c>
      <c r="I1834" s="163" t="s">
        <v>538</v>
      </c>
      <c r="J1834" s="163" t="s">
        <v>37</v>
      </c>
      <c r="K1834" s="163" t="s">
        <v>37</v>
      </c>
      <c r="L1834" s="163" t="s">
        <v>3549</v>
      </c>
      <c r="M1834" s="163" t="s">
        <v>37</v>
      </c>
      <c r="N1834" s="163" t="s">
        <v>37</v>
      </c>
      <c r="O1834" s="163" t="s">
        <v>38</v>
      </c>
      <c r="P1834" s="163" t="s">
        <v>39</v>
      </c>
      <c r="Q1834" s="2">
        <v>46058</v>
      </c>
      <c r="R1834" s="45"/>
      <c r="S1834" s="45"/>
      <c r="T1834" s="45"/>
      <c r="U1834" s="45"/>
      <c r="V183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5" spans="1:23">
      <c r="A1835" s="156">
        <v>46055</v>
      </c>
      <c r="B1835" s="45" t="s">
        <v>4608</v>
      </c>
      <c r="C1835" s="45" t="s">
        <v>4609</v>
      </c>
      <c r="D1835" s="45" t="s">
        <v>125</v>
      </c>
      <c r="E1835" s="45">
        <v>85258</v>
      </c>
      <c r="F1835" s="45" t="s">
        <v>4610</v>
      </c>
      <c r="G1835" s="158" t="s">
        <v>4597</v>
      </c>
      <c r="H1835" s="162" t="s">
        <v>4611</v>
      </c>
      <c r="I1835" s="163" t="s">
        <v>250</v>
      </c>
      <c r="J1835" s="163" t="s">
        <v>37</v>
      </c>
      <c r="K1835" s="163" t="s">
        <v>37</v>
      </c>
      <c r="L1835" s="163" t="s">
        <v>38</v>
      </c>
      <c r="M1835" s="163" t="s">
        <v>37</v>
      </c>
      <c r="N1835" s="163" t="s">
        <v>37</v>
      </c>
      <c r="O1835" s="163" t="s">
        <v>38</v>
      </c>
      <c r="P1835" s="163" t="s">
        <v>39</v>
      </c>
      <c r="Q1835" s="2">
        <v>46058</v>
      </c>
      <c r="R1835" s="45"/>
      <c r="S1835" s="45"/>
      <c r="T1835" s="45"/>
      <c r="U1835" s="45"/>
      <c r="V183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6" spans="1:23">
      <c r="A1836" s="156">
        <v>46055</v>
      </c>
      <c r="B1836" s="45" t="s">
        <v>224</v>
      </c>
      <c r="C1836" s="45" t="s">
        <v>225</v>
      </c>
      <c r="D1836" s="45" t="s">
        <v>30</v>
      </c>
      <c r="E1836" s="45" t="s">
        <v>30</v>
      </c>
      <c r="F1836" s="45" t="s">
        <v>4612</v>
      </c>
      <c r="G1836" s="158" t="s">
        <v>4613</v>
      </c>
      <c r="H1836" s="162" t="s">
        <v>27</v>
      </c>
      <c r="I1836" s="163"/>
      <c r="J1836" s="163"/>
      <c r="K1836" s="163"/>
      <c r="L1836" s="163"/>
      <c r="M1836" s="163"/>
      <c r="N1836" s="163"/>
      <c r="O1836" s="163"/>
      <c r="P1836" s="163"/>
      <c r="R1836" s="45" t="s">
        <v>3707</v>
      </c>
      <c r="S1836" s="45"/>
      <c r="T1836" s="45"/>
      <c r="U1836" s="45"/>
      <c r="V183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7" spans="1:23">
      <c r="A1837" s="156">
        <v>46055</v>
      </c>
      <c r="B1837" s="45" t="s">
        <v>33</v>
      </c>
      <c r="C1837" s="45" t="s">
        <v>1522</v>
      </c>
      <c r="D1837" s="45" t="s">
        <v>24</v>
      </c>
      <c r="E1837" s="45">
        <v>85310</v>
      </c>
      <c r="F1837" s="45" t="s">
        <v>4614</v>
      </c>
      <c r="G1837" s="158" t="s">
        <v>4615</v>
      </c>
      <c r="H1837" s="162" t="s">
        <v>4616</v>
      </c>
      <c r="I1837" s="163" t="s">
        <v>36</v>
      </c>
      <c r="J1837" s="163" t="s">
        <v>37</v>
      </c>
      <c r="K1837" s="163" t="s">
        <v>37</v>
      </c>
      <c r="L1837" s="163" t="s">
        <v>38</v>
      </c>
      <c r="M1837" s="163" t="s">
        <v>37</v>
      </c>
      <c r="N1837" s="163" t="s">
        <v>37</v>
      </c>
      <c r="O1837" s="163" t="s">
        <v>38</v>
      </c>
      <c r="P1837" s="163" t="s">
        <v>39</v>
      </c>
      <c r="Q1837" s="2">
        <v>46058</v>
      </c>
      <c r="R1837" s="45"/>
      <c r="S1837" s="45"/>
      <c r="T1837" s="45"/>
      <c r="U1837" s="45"/>
      <c r="V183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8" spans="1:23">
      <c r="A1838" s="156">
        <v>46056</v>
      </c>
      <c r="B1838" s="45" t="s">
        <v>3558</v>
      </c>
      <c r="C1838" s="45" t="s">
        <v>4617</v>
      </c>
      <c r="D1838" s="45" t="s">
        <v>426</v>
      </c>
      <c r="E1838" s="45">
        <v>85335</v>
      </c>
      <c r="F1838" s="45" t="s">
        <v>4618</v>
      </c>
      <c r="G1838" s="158" t="s">
        <v>4619</v>
      </c>
      <c r="H1838" s="162" t="s">
        <v>27</v>
      </c>
      <c r="I1838" s="163"/>
      <c r="J1838" s="163"/>
      <c r="K1838" s="163"/>
      <c r="L1838" s="163"/>
      <c r="M1838" s="163"/>
      <c r="N1838" s="163"/>
      <c r="O1838" s="163"/>
      <c r="P1838" s="163"/>
      <c r="Q1838" s="68"/>
      <c r="R1838" s="45"/>
      <c r="S1838" s="45"/>
      <c r="T1838" s="45"/>
      <c r="U1838" s="45"/>
      <c r="V183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39" spans="1:23">
      <c r="A1839" s="156">
        <v>46056</v>
      </c>
      <c r="B1839" s="45" t="s">
        <v>4620</v>
      </c>
      <c r="C1839" s="45" t="s">
        <v>594</v>
      </c>
      <c r="D1839" s="45" t="s">
        <v>93</v>
      </c>
      <c r="E1839" s="45">
        <v>85373</v>
      </c>
      <c r="F1839" s="45" t="s">
        <v>4621</v>
      </c>
      <c r="G1839" s="158" t="s">
        <v>4619</v>
      </c>
      <c r="H1839" s="162" t="s">
        <v>27</v>
      </c>
      <c r="I1839" s="163"/>
      <c r="J1839" s="163"/>
      <c r="K1839" s="163"/>
      <c r="L1839" s="163"/>
      <c r="M1839" s="163"/>
      <c r="N1839" s="163"/>
      <c r="O1839" s="163"/>
      <c r="P1839" s="163"/>
      <c r="Q1839" s="68"/>
      <c r="R1839" s="45"/>
      <c r="S1839" s="45"/>
      <c r="T1839" s="45"/>
      <c r="U1839" s="45"/>
      <c r="V183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0" spans="1:23">
      <c r="A1840" s="156">
        <v>46056</v>
      </c>
      <c r="B1840" s="45" t="s">
        <v>2174</v>
      </c>
      <c r="C1840" s="45" t="s">
        <v>4622</v>
      </c>
      <c r="D1840" s="45" t="s">
        <v>695</v>
      </c>
      <c r="E1840" s="45">
        <v>85375</v>
      </c>
      <c r="F1840" s="45" t="s">
        <v>4623</v>
      </c>
      <c r="G1840" s="158" t="s">
        <v>4624</v>
      </c>
      <c r="H1840" s="162" t="s">
        <v>6484</v>
      </c>
      <c r="I1840" s="163" t="s">
        <v>46</v>
      </c>
      <c r="J1840" s="163" t="s">
        <v>37</v>
      </c>
      <c r="K1840" s="163" t="s">
        <v>37</v>
      </c>
      <c r="L1840" s="163" t="s">
        <v>38</v>
      </c>
      <c r="M1840" s="163" t="s">
        <v>37</v>
      </c>
      <c r="N1840" s="163" t="s">
        <v>37</v>
      </c>
      <c r="O1840" s="163" t="s">
        <v>38</v>
      </c>
      <c r="P1840" s="163" t="s">
        <v>39</v>
      </c>
      <c r="Q1840" s="69">
        <v>46062</v>
      </c>
      <c r="R1840" s="45"/>
      <c r="S1840" s="45"/>
      <c r="T1840" s="45"/>
      <c r="U1840" s="45"/>
      <c r="V18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1" spans="1:22">
      <c r="A1841" s="156">
        <v>46056</v>
      </c>
      <c r="B1841" s="45" t="s">
        <v>4625</v>
      </c>
      <c r="C1841" s="45" t="s">
        <v>233</v>
      </c>
      <c r="D1841" s="45" t="s">
        <v>63</v>
      </c>
      <c r="E1841" s="45">
        <v>85029</v>
      </c>
      <c r="F1841" s="45" t="s">
        <v>4626</v>
      </c>
      <c r="G1841" s="158" t="s">
        <v>4624</v>
      </c>
      <c r="H1841" s="162" t="s">
        <v>6164</v>
      </c>
      <c r="I1841" s="163" t="s">
        <v>36</v>
      </c>
      <c r="J1841" s="163" t="s">
        <v>37</v>
      </c>
      <c r="K1841" s="163" t="s">
        <v>37</v>
      </c>
      <c r="L1841" s="163" t="s">
        <v>38</v>
      </c>
      <c r="M1841" s="163" t="s">
        <v>38</v>
      </c>
      <c r="N1841" s="164">
        <v>450.33</v>
      </c>
      <c r="O1841" s="163" t="s">
        <v>38</v>
      </c>
      <c r="P1841" s="163"/>
      <c r="Q1841" s="71">
        <v>44966</v>
      </c>
      <c r="R1841" s="45" t="s">
        <v>4002</v>
      </c>
      <c r="S1841" s="45"/>
      <c r="T1841" s="45"/>
      <c r="U1841" s="45"/>
      <c r="V18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2" spans="1:22">
      <c r="A1842" s="156">
        <v>46056</v>
      </c>
      <c r="B1842" s="45" t="s">
        <v>4627</v>
      </c>
      <c r="C1842" s="45" t="s">
        <v>975</v>
      </c>
      <c r="D1842" s="45" t="s">
        <v>174</v>
      </c>
      <c r="E1842" s="45">
        <v>85396</v>
      </c>
      <c r="F1842" s="45" t="s">
        <v>4628</v>
      </c>
      <c r="G1842" s="158" t="s">
        <v>4624</v>
      </c>
      <c r="H1842" s="162" t="s">
        <v>6485</v>
      </c>
      <c r="I1842" s="163" t="s">
        <v>126</v>
      </c>
      <c r="J1842" s="163" t="s">
        <v>37</v>
      </c>
      <c r="K1842" s="163" t="s">
        <v>37</v>
      </c>
      <c r="L1842" s="163" t="s">
        <v>38</v>
      </c>
      <c r="M1842" s="163" t="s">
        <v>37</v>
      </c>
      <c r="N1842" s="163" t="s">
        <v>37</v>
      </c>
      <c r="O1842" s="163" t="s">
        <v>38</v>
      </c>
      <c r="P1842" s="163" t="s">
        <v>39</v>
      </c>
      <c r="Q1842" s="69">
        <v>46062</v>
      </c>
      <c r="R1842" s="45"/>
      <c r="S1842" s="45"/>
      <c r="T1842" s="45"/>
      <c r="U1842" s="45"/>
      <c r="V18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3" spans="1:22">
      <c r="A1843" s="156">
        <v>46057</v>
      </c>
      <c r="B1843" s="45" t="s">
        <v>4629</v>
      </c>
      <c r="C1843" s="45" t="s">
        <v>1339</v>
      </c>
      <c r="D1843" s="45" t="s">
        <v>4630</v>
      </c>
      <c r="E1843" s="45">
        <v>85937</v>
      </c>
      <c r="F1843" s="45" t="s">
        <v>4631</v>
      </c>
      <c r="G1843" s="158" t="s">
        <v>4632</v>
      </c>
      <c r="H1843" s="162" t="s">
        <v>27</v>
      </c>
      <c r="I1843" s="163"/>
      <c r="J1843" s="163"/>
      <c r="K1843" s="163"/>
      <c r="L1843" s="163"/>
      <c r="M1843" s="163"/>
      <c r="N1843" s="163"/>
      <c r="O1843" s="163"/>
      <c r="P1843" s="163"/>
      <c r="Q1843" s="68"/>
      <c r="R1843" s="45"/>
      <c r="S1843" s="45"/>
      <c r="T1843" s="45"/>
      <c r="U1843" s="45"/>
      <c r="V18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4" spans="1:22">
      <c r="A1844" s="156">
        <v>46057</v>
      </c>
      <c r="B1844" s="45" t="s">
        <v>4633</v>
      </c>
      <c r="C1844" s="45" t="s">
        <v>30</v>
      </c>
      <c r="D1844" s="45" t="s">
        <v>30</v>
      </c>
      <c r="E1844" s="45" t="s">
        <v>4004</v>
      </c>
      <c r="F1844" s="45" t="s">
        <v>4634</v>
      </c>
      <c r="G1844" s="158" t="s">
        <v>4635</v>
      </c>
      <c r="H1844" s="162" t="s">
        <v>27</v>
      </c>
      <c r="I1844" s="163"/>
      <c r="J1844" s="163"/>
      <c r="K1844" s="163"/>
      <c r="L1844" s="163"/>
      <c r="M1844" s="163"/>
      <c r="N1844" s="163"/>
      <c r="O1844" s="163"/>
      <c r="P1844" s="163"/>
      <c r="Q1844" s="68"/>
      <c r="R1844" s="45"/>
      <c r="S1844" s="45"/>
      <c r="T1844" s="45"/>
      <c r="U1844" s="45"/>
      <c r="V18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5" spans="1:22">
      <c r="A1845" s="156">
        <v>46058</v>
      </c>
      <c r="B1845" s="45" t="s">
        <v>4636</v>
      </c>
      <c r="C1845" s="45" t="s">
        <v>4637</v>
      </c>
      <c r="D1845" s="45" t="s">
        <v>807</v>
      </c>
      <c r="E1845" s="45">
        <v>86305</v>
      </c>
      <c r="F1845" s="45" t="s">
        <v>4638</v>
      </c>
      <c r="G1845" s="158" t="s">
        <v>4639</v>
      </c>
      <c r="H1845" s="162" t="s">
        <v>6486</v>
      </c>
      <c r="I1845" s="163" t="s">
        <v>36</v>
      </c>
      <c r="J1845" s="163" t="s">
        <v>37</v>
      </c>
      <c r="K1845" s="163" t="s">
        <v>37</v>
      </c>
      <c r="L1845" s="163" t="s">
        <v>38</v>
      </c>
      <c r="M1845" s="163" t="s">
        <v>37</v>
      </c>
      <c r="N1845" s="163" t="s">
        <v>37</v>
      </c>
      <c r="O1845" s="163" t="s">
        <v>38</v>
      </c>
      <c r="P1845" s="163" t="s">
        <v>39</v>
      </c>
      <c r="Q1845" s="69">
        <v>46062</v>
      </c>
      <c r="R1845" s="45"/>
      <c r="S1845" s="45"/>
      <c r="T1845" s="45"/>
      <c r="U1845" s="45"/>
      <c r="V18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6" spans="1:22">
      <c r="A1846" s="156">
        <v>46058</v>
      </c>
      <c r="B1846" s="45" t="s">
        <v>642</v>
      </c>
      <c r="C1846" s="45" t="s">
        <v>4640</v>
      </c>
      <c r="D1846" s="45" t="s">
        <v>656</v>
      </c>
      <c r="E1846" s="45">
        <v>85350</v>
      </c>
      <c r="F1846" s="45" t="s">
        <v>4641</v>
      </c>
      <c r="G1846" s="158" t="s">
        <v>4639</v>
      </c>
      <c r="H1846" s="162" t="s">
        <v>6487</v>
      </c>
      <c r="I1846" s="163" t="s">
        <v>538</v>
      </c>
      <c r="J1846" s="163" t="s">
        <v>37</v>
      </c>
      <c r="K1846" s="163" t="s">
        <v>37</v>
      </c>
      <c r="L1846" s="163" t="s">
        <v>3549</v>
      </c>
      <c r="M1846" s="163" t="s">
        <v>37</v>
      </c>
      <c r="N1846" s="163" t="s">
        <v>37</v>
      </c>
      <c r="O1846" s="163" t="s">
        <v>38</v>
      </c>
      <c r="P1846" s="163" t="s">
        <v>39</v>
      </c>
      <c r="Q1846" s="69">
        <v>46062</v>
      </c>
      <c r="R1846" s="45"/>
      <c r="S1846" s="45"/>
      <c r="T1846" s="45"/>
      <c r="U1846" s="45"/>
      <c r="V18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7" spans="1:22">
      <c r="A1847" s="156">
        <v>46058</v>
      </c>
      <c r="B1847" s="45" t="s">
        <v>2393</v>
      </c>
      <c r="C1847" s="45" t="s">
        <v>2547</v>
      </c>
      <c r="D1847" s="45" t="s">
        <v>169</v>
      </c>
      <c r="E1847" s="45">
        <v>85338</v>
      </c>
      <c r="F1847" s="45" t="s">
        <v>4642</v>
      </c>
      <c r="G1847" s="158" t="s">
        <v>4639</v>
      </c>
      <c r="H1847" s="162" t="s">
        <v>6133</v>
      </c>
      <c r="I1847" s="163" t="s">
        <v>46</v>
      </c>
      <c r="J1847" s="163" t="s">
        <v>37</v>
      </c>
      <c r="K1847" s="163" t="s">
        <v>37</v>
      </c>
      <c r="L1847" s="163" t="s">
        <v>4643</v>
      </c>
      <c r="M1847" s="163" t="s">
        <v>37</v>
      </c>
      <c r="N1847" s="163" t="s">
        <v>37</v>
      </c>
      <c r="O1847" s="163" t="s">
        <v>38</v>
      </c>
      <c r="P1847" s="163" t="s">
        <v>39</v>
      </c>
      <c r="Q1847" s="69">
        <v>46062</v>
      </c>
      <c r="R1847" s="45"/>
      <c r="S1847" s="45"/>
      <c r="T1847" s="45"/>
      <c r="U1847" s="45"/>
      <c r="V184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8" spans="1:22">
      <c r="A1848" s="156">
        <v>46058</v>
      </c>
      <c r="B1848" s="45" t="s">
        <v>4644</v>
      </c>
      <c r="C1848" s="45" t="s">
        <v>4645</v>
      </c>
      <c r="D1848" s="45" t="s">
        <v>63</v>
      </c>
      <c r="E1848" s="45">
        <v>85022</v>
      </c>
      <c r="F1848" s="45" t="s">
        <v>4646</v>
      </c>
      <c r="G1848" s="158" t="s">
        <v>4639</v>
      </c>
      <c r="H1848" s="162" t="s">
        <v>27</v>
      </c>
      <c r="I1848" s="163"/>
      <c r="J1848" s="163"/>
      <c r="K1848" s="163"/>
      <c r="L1848" s="163"/>
      <c r="M1848" s="163"/>
      <c r="N1848" s="163"/>
      <c r="O1848" s="163"/>
      <c r="P1848" s="163"/>
      <c r="Q1848" s="68"/>
      <c r="R1848" s="45"/>
      <c r="S1848" s="45"/>
      <c r="T1848" s="45"/>
      <c r="U1848" s="45"/>
      <c r="V18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49" spans="1:22">
      <c r="A1849" s="156">
        <v>46059</v>
      </c>
      <c r="B1849" s="45" t="s">
        <v>4647</v>
      </c>
      <c r="C1849" s="45" t="s">
        <v>2269</v>
      </c>
      <c r="D1849" s="45" t="s">
        <v>63</v>
      </c>
      <c r="E1849" s="45">
        <v>85028</v>
      </c>
      <c r="F1849" s="45" t="s">
        <v>4648</v>
      </c>
      <c r="G1849" s="158" t="s">
        <v>4649</v>
      </c>
      <c r="H1849" s="162" t="s">
        <v>6488</v>
      </c>
      <c r="I1849" s="163" t="s">
        <v>36</v>
      </c>
      <c r="J1849" s="163" t="s">
        <v>37</v>
      </c>
      <c r="K1849" s="163" t="s">
        <v>37</v>
      </c>
      <c r="L1849" s="163" t="s">
        <v>38</v>
      </c>
      <c r="M1849" s="163" t="s">
        <v>37</v>
      </c>
      <c r="N1849" s="163" t="s">
        <v>37</v>
      </c>
      <c r="O1849" s="163" t="s">
        <v>38</v>
      </c>
      <c r="P1849" s="163" t="s">
        <v>39</v>
      </c>
      <c r="Q1849" s="69">
        <v>46062</v>
      </c>
      <c r="R1849" s="45" t="s">
        <v>4650</v>
      </c>
      <c r="S1849" s="45"/>
      <c r="T1849" s="45"/>
      <c r="U1849" s="45"/>
      <c r="V184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0" spans="1:22">
      <c r="A1850" s="156">
        <v>46059</v>
      </c>
      <c r="B1850" s="45" t="s">
        <v>4651</v>
      </c>
      <c r="C1850" s="45" t="s">
        <v>4303</v>
      </c>
      <c r="D1850" s="45" t="s">
        <v>63</v>
      </c>
      <c r="E1850" s="45">
        <v>85054</v>
      </c>
      <c r="F1850" s="45" t="s">
        <v>4652</v>
      </c>
      <c r="G1850" s="158" t="s">
        <v>4649</v>
      </c>
      <c r="H1850" s="162" t="s">
        <v>27</v>
      </c>
      <c r="I1850" s="163"/>
      <c r="J1850" s="163"/>
      <c r="K1850" s="163"/>
      <c r="L1850" s="163"/>
      <c r="M1850" s="163"/>
      <c r="N1850" s="163"/>
      <c r="O1850" s="163"/>
      <c r="P1850" s="163"/>
      <c r="Q1850" s="68"/>
      <c r="R1850" s="45"/>
      <c r="S1850" s="45"/>
      <c r="T1850" s="45"/>
      <c r="U1850" s="45"/>
      <c r="V185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1" spans="1:22">
      <c r="A1851" s="156">
        <v>46062</v>
      </c>
      <c r="B1851" s="45" t="s">
        <v>1005</v>
      </c>
      <c r="C1851" s="45" t="s">
        <v>133</v>
      </c>
      <c r="D1851" s="45" t="s">
        <v>63</v>
      </c>
      <c r="E1851" s="45">
        <v>85086</v>
      </c>
      <c r="F1851" s="45" t="s">
        <v>4653</v>
      </c>
      <c r="G1851" s="158" t="s">
        <v>4654</v>
      </c>
      <c r="H1851" s="162" t="s">
        <v>90</v>
      </c>
      <c r="I1851" s="163"/>
      <c r="J1851" s="163"/>
      <c r="K1851" s="163"/>
      <c r="L1851" s="163"/>
      <c r="M1851" s="163"/>
      <c r="N1851" s="163"/>
      <c r="O1851" s="163"/>
      <c r="P1851" s="163"/>
      <c r="Q1851" s="68"/>
      <c r="R1851" s="45" t="s">
        <v>4227</v>
      </c>
      <c r="S1851" s="45"/>
      <c r="T1851" s="45"/>
      <c r="U1851" s="45"/>
      <c r="V185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2" spans="1:22">
      <c r="A1852" s="156">
        <v>46062</v>
      </c>
      <c r="B1852" s="45" t="s">
        <v>1573</v>
      </c>
      <c r="C1852" s="45" t="s">
        <v>1529</v>
      </c>
      <c r="D1852" s="45" t="s">
        <v>369</v>
      </c>
      <c r="E1852" s="45">
        <v>85225</v>
      </c>
      <c r="F1852" s="45" t="s">
        <v>4655</v>
      </c>
      <c r="G1852" s="158" t="s">
        <v>4654</v>
      </c>
      <c r="H1852" s="162" t="s">
        <v>6489</v>
      </c>
      <c r="I1852" s="163" t="s">
        <v>73</v>
      </c>
      <c r="J1852" s="163" t="s">
        <v>38</v>
      </c>
      <c r="K1852" s="163" t="s">
        <v>37</v>
      </c>
      <c r="L1852" s="163" t="s">
        <v>38</v>
      </c>
      <c r="M1852" s="163" t="s">
        <v>37</v>
      </c>
      <c r="N1852" s="163" t="s">
        <v>37</v>
      </c>
      <c r="O1852" s="163" t="s">
        <v>38</v>
      </c>
      <c r="P1852" s="163" t="s">
        <v>39</v>
      </c>
      <c r="Q1852" s="69">
        <v>46062</v>
      </c>
      <c r="R1852" s="45"/>
      <c r="S1852" s="45"/>
      <c r="T1852" s="45"/>
      <c r="U1852" s="45"/>
      <c r="V185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3" spans="1:22">
      <c r="A1853" s="156">
        <v>46062</v>
      </c>
      <c r="B1853" s="45" t="s">
        <v>4656</v>
      </c>
      <c r="C1853" s="45" t="s">
        <v>312</v>
      </c>
      <c r="D1853" s="45" t="s">
        <v>63</v>
      </c>
      <c r="E1853" s="45">
        <v>85022</v>
      </c>
      <c r="F1853" s="45" t="s">
        <v>4657</v>
      </c>
      <c r="G1853" s="158" t="s">
        <v>4654</v>
      </c>
      <c r="H1853" s="162" t="s">
        <v>6490</v>
      </c>
      <c r="I1853" s="163" t="s">
        <v>36</v>
      </c>
      <c r="J1853" s="163" t="s">
        <v>37</v>
      </c>
      <c r="K1853" s="163" t="s">
        <v>37</v>
      </c>
      <c r="L1853" s="163" t="s">
        <v>38</v>
      </c>
      <c r="M1853" s="163" t="s">
        <v>37</v>
      </c>
      <c r="N1853" s="163" t="s">
        <v>37</v>
      </c>
      <c r="O1853" s="163" t="s">
        <v>38</v>
      </c>
      <c r="P1853" s="163" t="s">
        <v>39</v>
      </c>
      <c r="Q1853" s="69">
        <v>46062</v>
      </c>
      <c r="R1853" s="45" t="s">
        <v>946</v>
      </c>
      <c r="S1853" s="45"/>
      <c r="T1853" s="45"/>
      <c r="U1853" s="45"/>
      <c r="V185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4" spans="1:22">
      <c r="A1854" s="156">
        <v>46064</v>
      </c>
      <c r="B1854" s="45" t="s">
        <v>4658</v>
      </c>
      <c r="C1854" s="45" t="s">
        <v>478</v>
      </c>
      <c r="D1854" s="45" t="s">
        <v>93</v>
      </c>
      <c r="E1854" s="45">
        <v>85351</v>
      </c>
      <c r="F1854" s="45" t="s">
        <v>4659</v>
      </c>
      <c r="G1854" s="158" t="s">
        <v>4660</v>
      </c>
      <c r="H1854" s="162" t="s">
        <v>6491</v>
      </c>
      <c r="I1854" s="163" t="s">
        <v>36</v>
      </c>
      <c r="J1854" s="163" t="s">
        <v>37</v>
      </c>
      <c r="K1854" s="163" t="s">
        <v>37</v>
      </c>
      <c r="L1854" s="163" t="s">
        <v>38</v>
      </c>
      <c r="M1854" s="163" t="s">
        <v>37</v>
      </c>
      <c r="N1854" s="163" t="s">
        <v>37</v>
      </c>
      <c r="O1854" s="163" t="s">
        <v>38</v>
      </c>
      <c r="P1854" s="163" t="s">
        <v>39</v>
      </c>
      <c r="Q1854" s="67">
        <v>46066</v>
      </c>
      <c r="R1854" s="45"/>
      <c r="S1854" s="45"/>
      <c r="T1854" s="45"/>
      <c r="U1854" s="45"/>
      <c r="V185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5" spans="1:22">
      <c r="A1855" s="156">
        <v>46064</v>
      </c>
      <c r="B1855" s="45" t="s">
        <v>4661</v>
      </c>
      <c r="C1855" s="45" t="s">
        <v>1147</v>
      </c>
      <c r="D1855" s="45" t="s">
        <v>807</v>
      </c>
      <c r="E1855" s="45">
        <v>86303</v>
      </c>
      <c r="F1855" s="45" t="s">
        <v>4662</v>
      </c>
      <c r="G1855" s="158" t="s">
        <v>4660</v>
      </c>
      <c r="H1855" s="162" t="s">
        <v>6492</v>
      </c>
      <c r="I1855" s="163" t="s">
        <v>73</v>
      </c>
      <c r="J1855" s="163" t="s">
        <v>38</v>
      </c>
      <c r="K1855" s="163" t="s">
        <v>37</v>
      </c>
      <c r="L1855" s="163" t="s">
        <v>38</v>
      </c>
      <c r="M1855" s="163" t="s">
        <v>37</v>
      </c>
      <c r="N1855" s="163" t="s">
        <v>37</v>
      </c>
      <c r="O1855" s="163" t="s">
        <v>38</v>
      </c>
      <c r="P1855" s="163" t="s">
        <v>39</v>
      </c>
      <c r="Q1855" s="67">
        <v>46066</v>
      </c>
      <c r="R1855" s="45"/>
      <c r="S1855" s="45"/>
      <c r="T1855" s="45"/>
      <c r="U1855" s="45"/>
      <c r="V185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6" spans="1:22">
      <c r="A1856" s="156">
        <v>46064</v>
      </c>
      <c r="B1856" s="45" t="s">
        <v>4663</v>
      </c>
      <c r="C1856" s="45" t="s">
        <v>780</v>
      </c>
      <c r="D1856" s="45" t="s">
        <v>63</v>
      </c>
      <c r="E1856" s="45">
        <v>85008</v>
      </c>
      <c r="F1856" s="45" t="s">
        <v>4664</v>
      </c>
      <c r="G1856" s="158" t="s">
        <v>4660</v>
      </c>
      <c r="H1856" s="162" t="s">
        <v>6134</v>
      </c>
      <c r="I1856" s="163" t="s">
        <v>196</v>
      </c>
      <c r="J1856" s="163" t="s">
        <v>37</v>
      </c>
      <c r="K1856" s="163" t="s">
        <v>37</v>
      </c>
      <c r="L1856" s="163" t="s">
        <v>4665</v>
      </c>
      <c r="M1856" s="163" t="s">
        <v>37</v>
      </c>
      <c r="N1856" s="163" t="s">
        <v>37</v>
      </c>
      <c r="O1856" s="163" t="s">
        <v>38</v>
      </c>
      <c r="P1856" s="163"/>
      <c r="Q1856" s="70">
        <v>46066</v>
      </c>
      <c r="R1856" s="45" t="s">
        <v>4666</v>
      </c>
      <c r="S1856" s="45"/>
      <c r="T1856" s="45"/>
      <c r="U1856" s="45"/>
      <c r="V185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7" spans="1:22">
      <c r="A1857" s="156">
        <v>46064</v>
      </c>
      <c r="B1857" s="45" t="s">
        <v>49</v>
      </c>
      <c r="C1857" s="45" t="s">
        <v>608</v>
      </c>
      <c r="D1857" s="45" t="s">
        <v>93</v>
      </c>
      <c r="E1857" s="45">
        <v>85351</v>
      </c>
      <c r="F1857" s="45" t="s">
        <v>4667</v>
      </c>
      <c r="G1857" s="158" t="s">
        <v>4660</v>
      </c>
      <c r="H1857" s="162" t="s">
        <v>27</v>
      </c>
      <c r="I1857" s="163"/>
      <c r="J1857" s="163"/>
      <c r="K1857" s="163"/>
      <c r="L1857" s="163"/>
      <c r="M1857" s="163"/>
      <c r="N1857" s="163"/>
      <c r="O1857" s="163"/>
      <c r="P1857" s="163"/>
      <c r="Q1857" s="35"/>
      <c r="R1857" s="45"/>
      <c r="S1857" s="45"/>
      <c r="T1857" s="45"/>
      <c r="U1857" s="45"/>
      <c r="V185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8" spans="1:22">
      <c r="A1858" s="156">
        <v>46064</v>
      </c>
      <c r="B1858" s="45" t="s">
        <v>4668</v>
      </c>
      <c r="C1858" s="45" t="s">
        <v>4669</v>
      </c>
      <c r="D1858" s="45" t="s">
        <v>93</v>
      </c>
      <c r="E1858" s="45">
        <v>85351</v>
      </c>
      <c r="F1858" s="45" t="s">
        <v>4670</v>
      </c>
      <c r="G1858" s="158" t="s">
        <v>4660</v>
      </c>
      <c r="H1858" s="162" t="s">
        <v>6493</v>
      </c>
      <c r="I1858" s="163" t="s">
        <v>1352</v>
      </c>
      <c r="J1858" s="163" t="s">
        <v>37</v>
      </c>
      <c r="K1858" s="163" t="s">
        <v>37</v>
      </c>
      <c r="L1858" s="163" t="s">
        <v>3549</v>
      </c>
      <c r="M1858" s="163" t="s">
        <v>37</v>
      </c>
      <c r="N1858" s="163" t="s">
        <v>37</v>
      </c>
      <c r="O1858" s="163" t="s">
        <v>38</v>
      </c>
      <c r="P1858" s="163" t="s">
        <v>39</v>
      </c>
      <c r="Q1858" s="67">
        <v>46066</v>
      </c>
      <c r="R1858" s="45"/>
      <c r="S1858" s="45"/>
      <c r="T1858" s="45"/>
      <c r="U1858" s="45"/>
      <c r="V185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59" spans="1:22">
      <c r="A1859" s="156">
        <v>46064</v>
      </c>
      <c r="B1859" s="45" t="s">
        <v>4671</v>
      </c>
      <c r="C1859" s="45" t="s">
        <v>4672</v>
      </c>
      <c r="D1859" s="45" t="s">
        <v>93</v>
      </c>
      <c r="E1859" s="45"/>
      <c r="F1859" s="45" t="s">
        <v>4673</v>
      </c>
      <c r="G1859" s="158" t="s">
        <v>4660</v>
      </c>
      <c r="H1859" s="162" t="s">
        <v>4892</v>
      </c>
      <c r="I1859" s="163"/>
      <c r="J1859" s="163"/>
      <c r="K1859" s="163"/>
      <c r="L1859" s="163"/>
      <c r="M1859" s="163"/>
      <c r="N1859" s="163"/>
      <c r="O1859" s="163"/>
      <c r="P1859" s="163"/>
      <c r="Q1859" s="35"/>
      <c r="R1859" s="45"/>
      <c r="S1859" s="45"/>
      <c r="T1859" s="45"/>
      <c r="U1859" s="45"/>
      <c r="V185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0" spans="1:22">
      <c r="A1860" s="156">
        <v>46064</v>
      </c>
      <c r="B1860" s="45" t="s">
        <v>4663</v>
      </c>
      <c r="C1860" s="45" t="s">
        <v>4674</v>
      </c>
      <c r="D1860" s="45" t="s">
        <v>63</v>
      </c>
      <c r="E1860" s="45">
        <v>85016</v>
      </c>
      <c r="F1860" s="45" t="s">
        <v>4675</v>
      </c>
      <c r="G1860" s="158" t="s">
        <v>4660</v>
      </c>
      <c r="H1860" s="162" t="s">
        <v>6007</v>
      </c>
      <c r="I1860" s="163" t="s">
        <v>196</v>
      </c>
      <c r="J1860" s="163" t="s">
        <v>37</v>
      </c>
      <c r="K1860" s="163" t="s">
        <v>37</v>
      </c>
      <c r="L1860" s="163" t="s">
        <v>4676</v>
      </c>
      <c r="M1860" s="163" t="s">
        <v>38</v>
      </c>
      <c r="N1860" s="164">
        <v>472.1</v>
      </c>
      <c r="O1860" s="163" t="s">
        <v>38</v>
      </c>
      <c r="P1860" s="163"/>
      <c r="Q1860" s="70">
        <v>46066</v>
      </c>
      <c r="R1860" s="45" t="s">
        <v>4565</v>
      </c>
      <c r="S1860" s="45"/>
      <c r="T1860" s="45"/>
      <c r="U1860" s="45"/>
      <c r="V186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1" spans="1:22">
      <c r="A1861" s="156">
        <v>46064</v>
      </c>
      <c r="B1861" s="45" t="s">
        <v>4663</v>
      </c>
      <c r="C1861" s="45" t="s">
        <v>4677</v>
      </c>
      <c r="D1861" s="45" t="s">
        <v>63</v>
      </c>
      <c r="E1861" s="45">
        <v>85014</v>
      </c>
      <c r="F1861" s="45" t="s">
        <v>4678</v>
      </c>
      <c r="G1861" s="158" t="s">
        <v>4660</v>
      </c>
      <c r="H1861" s="162" t="s">
        <v>27</v>
      </c>
      <c r="I1861" s="163"/>
      <c r="J1861" s="163"/>
      <c r="K1861" s="163"/>
      <c r="L1861" s="163"/>
      <c r="M1861" s="163"/>
      <c r="N1861" s="163"/>
      <c r="O1861" s="163"/>
      <c r="P1861" s="163"/>
      <c r="Q1861" s="35"/>
      <c r="R1861" s="45"/>
      <c r="S1861" s="45"/>
      <c r="T1861" s="45"/>
      <c r="U1861" s="45"/>
      <c r="V186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2" spans="1:22">
      <c r="A1862" s="156">
        <v>46064</v>
      </c>
      <c r="B1862" s="45" t="s">
        <v>4679</v>
      </c>
      <c r="C1862" s="45" t="s">
        <v>4680</v>
      </c>
      <c r="D1862" s="45"/>
      <c r="E1862" s="45"/>
      <c r="F1862" s="45" t="s">
        <v>4681</v>
      </c>
      <c r="G1862" s="158" t="s">
        <v>4660</v>
      </c>
      <c r="H1862" s="162" t="s">
        <v>27</v>
      </c>
      <c r="I1862" s="163"/>
      <c r="J1862" s="163"/>
      <c r="K1862" s="163"/>
      <c r="L1862" s="163"/>
      <c r="M1862" s="163"/>
      <c r="N1862" s="163"/>
      <c r="O1862" s="163"/>
      <c r="P1862" s="163"/>
      <c r="Q1862" s="35"/>
      <c r="R1862" s="45"/>
      <c r="S1862" s="45"/>
      <c r="T1862" s="45"/>
      <c r="U1862" s="45"/>
      <c r="V186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3" spans="1:22">
      <c r="A1863" s="156">
        <v>46064</v>
      </c>
      <c r="B1863" s="45" t="s">
        <v>4682</v>
      </c>
      <c r="C1863" s="45" t="s">
        <v>4683</v>
      </c>
      <c r="D1863" s="45" t="s">
        <v>4672</v>
      </c>
      <c r="E1863" s="45" t="s">
        <v>4684</v>
      </c>
      <c r="F1863" s="45" t="s">
        <v>4685</v>
      </c>
      <c r="G1863" s="158" t="s">
        <v>4660</v>
      </c>
      <c r="H1863" s="162" t="s">
        <v>27</v>
      </c>
      <c r="I1863" s="163"/>
      <c r="J1863" s="163"/>
      <c r="K1863" s="163"/>
      <c r="L1863" s="163"/>
      <c r="M1863" s="163"/>
      <c r="N1863" s="163"/>
      <c r="O1863" s="163"/>
      <c r="P1863" s="163"/>
      <c r="Q1863" s="35"/>
      <c r="R1863" s="45"/>
      <c r="S1863" s="45"/>
      <c r="T1863" s="45"/>
      <c r="U1863" s="45"/>
      <c r="V186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4" spans="1:22">
      <c r="A1864" s="156">
        <v>46064</v>
      </c>
      <c r="B1864" s="45" t="s">
        <v>4686</v>
      </c>
      <c r="C1864" s="45" t="s">
        <v>4687</v>
      </c>
      <c r="D1864" s="45" t="s">
        <v>734</v>
      </c>
      <c r="E1864" s="45">
        <v>86326</v>
      </c>
      <c r="F1864" s="45" t="s">
        <v>4688</v>
      </c>
      <c r="G1864" s="158" t="s">
        <v>4660</v>
      </c>
      <c r="H1864" s="162" t="s">
        <v>6494</v>
      </c>
      <c r="I1864" s="163" t="s">
        <v>3389</v>
      </c>
      <c r="J1864" s="163" t="s">
        <v>37</v>
      </c>
      <c r="K1864" s="163" t="s">
        <v>37</v>
      </c>
      <c r="L1864" s="163" t="s">
        <v>3549</v>
      </c>
      <c r="M1864" s="163" t="s">
        <v>37</v>
      </c>
      <c r="N1864" s="163" t="s">
        <v>37</v>
      </c>
      <c r="O1864" s="163" t="s">
        <v>38</v>
      </c>
      <c r="P1864" s="163" t="s">
        <v>39</v>
      </c>
      <c r="Q1864" s="67">
        <v>46066</v>
      </c>
      <c r="R1864" s="45" t="s">
        <v>260</v>
      </c>
      <c r="S1864" s="45"/>
      <c r="T1864" s="45"/>
      <c r="U1864" s="45"/>
      <c r="V186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5" spans="1:22">
      <c r="A1865" s="156">
        <v>46064</v>
      </c>
      <c r="B1865" s="45" t="s">
        <v>4689</v>
      </c>
      <c r="C1865" s="45" t="s">
        <v>4104</v>
      </c>
      <c r="D1865" s="45" t="s">
        <v>2630</v>
      </c>
      <c r="E1865" s="45">
        <v>85901</v>
      </c>
      <c r="F1865" s="45" t="s">
        <v>4690</v>
      </c>
      <c r="G1865" s="158" t="s">
        <v>4691</v>
      </c>
      <c r="H1865" s="162" t="s">
        <v>27</v>
      </c>
      <c r="I1865" s="163"/>
      <c r="J1865" s="163"/>
      <c r="K1865" s="163"/>
      <c r="L1865" s="163"/>
      <c r="M1865" s="163"/>
      <c r="N1865" s="163"/>
      <c r="O1865" s="163"/>
      <c r="P1865" s="163"/>
      <c r="Q1865" s="35"/>
      <c r="R1865" s="45"/>
      <c r="S1865" s="45"/>
      <c r="T1865" s="45"/>
      <c r="U1865" s="45"/>
      <c r="V186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6" spans="1:22">
      <c r="A1866" s="156">
        <v>46064</v>
      </c>
      <c r="B1866" s="45" t="s">
        <v>4692</v>
      </c>
      <c r="C1866" s="45" t="s">
        <v>320</v>
      </c>
      <c r="D1866" s="45" t="s">
        <v>4141</v>
      </c>
      <c r="E1866" s="45">
        <v>86018</v>
      </c>
      <c r="F1866" s="45" t="s">
        <v>4693</v>
      </c>
      <c r="G1866" s="158" t="s">
        <v>4691</v>
      </c>
      <c r="H1866" s="162" t="s">
        <v>6135</v>
      </c>
      <c r="I1866" s="163" t="s">
        <v>46</v>
      </c>
      <c r="J1866" s="163" t="s">
        <v>37</v>
      </c>
      <c r="K1866" s="163" t="s">
        <v>37</v>
      </c>
      <c r="L1866" s="163" t="s">
        <v>3887</v>
      </c>
      <c r="M1866" s="163" t="s">
        <v>37</v>
      </c>
      <c r="N1866" s="163" t="s">
        <v>37</v>
      </c>
      <c r="O1866" s="163" t="s">
        <v>38</v>
      </c>
      <c r="P1866" s="163" t="s">
        <v>39</v>
      </c>
      <c r="Q1866" s="67">
        <v>46066</v>
      </c>
      <c r="R1866" s="45"/>
      <c r="S1866" s="45"/>
      <c r="T1866" s="45"/>
      <c r="U1866" s="45"/>
      <c r="V186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7" spans="1:22">
      <c r="A1867" s="156">
        <v>46064</v>
      </c>
      <c r="B1867" s="45" t="s">
        <v>4694</v>
      </c>
      <c r="C1867" s="45" t="s">
        <v>687</v>
      </c>
      <c r="D1867" s="45" t="s">
        <v>63</v>
      </c>
      <c r="E1867" s="45">
        <v>85050</v>
      </c>
      <c r="F1867" s="45" t="s">
        <v>4695</v>
      </c>
      <c r="G1867" s="158" t="s">
        <v>4691</v>
      </c>
      <c r="H1867" s="162" t="s">
        <v>6495</v>
      </c>
      <c r="I1867" s="163" t="s">
        <v>46</v>
      </c>
      <c r="J1867" s="163" t="s">
        <v>37</v>
      </c>
      <c r="K1867" s="163" t="s">
        <v>37</v>
      </c>
      <c r="L1867" s="163" t="s">
        <v>38</v>
      </c>
      <c r="M1867" s="163" t="s">
        <v>37</v>
      </c>
      <c r="N1867" s="163" t="s">
        <v>37</v>
      </c>
      <c r="O1867" s="163" t="s">
        <v>38</v>
      </c>
      <c r="P1867" s="163" t="s">
        <v>39</v>
      </c>
      <c r="Q1867" s="67">
        <v>46066</v>
      </c>
      <c r="R1867" s="45"/>
      <c r="S1867" s="45"/>
      <c r="T1867" s="45"/>
      <c r="U1867" s="45"/>
      <c r="V186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8" spans="1:22">
      <c r="A1868" s="156">
        <v>46064</v>
      </c>
      <c r="B1868" s="45" t="s">
        <v>4696</v>
      </c>
      <c r="C1868" s="45" t="s">
        <v>135</v>
      </c>
      <c r="D1868" s="45" t="s">
        <v>2131</v>
      </c>
      <c r="E1868" s="45">
        <v>86325</v>
      </c>
      <c r="F1868" s="45" t="s">
        <v>4697</v>
      </c>
      <c r="G1868" s="158" t="s">
        <v>4691</v>
      </c>
      <c r="H1868" s="162" t="s">
        <v>90</v>
      </c>
      <c r="I1868" s="163"/>
      <c r="J1868" s="163"/>
      <c r="K1868" s="163"/>
      <c r="L1868" s="163"/>
      <c r="M1868" s="163"/>
      <c r="N1868" s="163"/>
      <c r="O1868" s="163"/>
      <c r="P1868" s="163"/>
      <c r="Q1868" s="35"/>
      <c r="R1868" s="45"/>
      <c r="S1868" s="45"/>
      <c r="T1868" s="45"/>
      <c r="U1868" s="45"/>
      <c r="V186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69" spans="1:22">
      <c r="A1869" s="156">
        <v>46064</v>
      </c>
      <c r="B1869" s="45" t="s">
        <v>4698</v>
      </c>
      <c r="C1869" s="45" t="s">
        <v>75</v>
      </c>
      <c r="D1869" s="45" t="s">
        <v>616</v>
      </c>
      <c r="E1869" s="45">
        <v>85364</v>
      </c>
      <c r="F1869" s="45" t="s">
        <v>4699</v>
      </c>
      <c r="G1869" s="158" t="s">
        <v>4700</v>
      </c>
      <c r="H1869" s="162" t="s">
        <v>6496</v>
      </c>
      <c r="I1869" s="163" t="s">
        <v>36</v>
      </c>
      <c r="J1869" s="163" t="s">
        <v>37</v>
      </c>
      <c r="K1869" s="163" t="s">
        <v>37</v>
      </c>
      <c r="L1869" s="163" t="s">
        <v>38</v>
      </c>
      <c r="M1869" s="163" t="s">
        <v>37</v>
      </c>
      <c r="N1869" s="163" t="s">
        <v>37</v>
      </c>
      <c r="O1869" s="163" t="s">
        <v>38</v>
      </c>
      <c r="P1869" s="163" t="s">
        <v>39</v>
      </c>
      <c r="Q1869" s="67">
        <v>46066</v>
      </c>
      <c r="R1869" s="45" t="s">
        <v>3707</v>
      </c>
      <c r="S1869" s="45"/>
      <c r="T1869" s="45"/>
      <c r="U1869" s="45"/>
      <c r="V186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0" spans="1:22">
      <c r="A1870" s="156">
        <v>46064</v>
      </c>
      <c r="B1870" s="45" t="s">
        <v>4701</v>
      </c>
      <c r="C1870" s="45" t="s">
        <v>230</v>
      </c>
      <c r="D1870" s="45" t="s">
        <v>174</v>
      </c>
      <c r="E1870" s="45">
        <v>85396</v>
      </c>
      <c r="F1870" s="45" t="s">
        <v>4702</v>
      </c>
      <c r="G1870" s="158" t="s">
        <v>4703</v>
      </c>
      <c r="H1870" s="162" t="s">
        <v>6497</v>
      </c>
      <c r="I1870" s="163" t="s">
        <v>46</v>
      </c>
      <c r="J1870" s="163" t="s">
        <v>37</v>
      </c>
      <c r="K1870" s="163" t="s">
        <v>37</v>
      </c>
      <c r="L1870" s="163" t="s">
        <v>38</v>
      </c>
      <c r="M1870" s="163" t="s">
        <v>37</v>
      </c>
      <c r="N1870" s="163" t="s">
        <v>37</v>
      </c>
      <c r="O1870" s="163" t="s">
        <v>38</v>
      </c>
      <c r="P1870" s="163" t="s">
        <v>39</v>
      </c>
      <c r="Q1870" s="67">
        <v>46066</v>
      </c>
      <c r="R1870" s="45"/>
      <c r="S1870" s="45"/>
      <c r="T1870" s="45"/>
      <c r="U1870" s="45"/>
      <c r="V187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1" spans="1:22">
      <c r="A1871" s="156">
        <v>46064</v>
      </c>
      <c r="B1871" s="45" t="s">
        <v>4704</v>
      </c>
      <c r="C1871" s="45" t="s">
        <v>79</v>
      </c>
      <c r="D1871" s="45" t="s">
        <v>446</v>
      </c>
      <c r="E1871" s="45">
        <v>85361</v>
      </c>
      <c r="F1871" s="45" t="s">
        <v>4705</v>
      </c>
      <c r="G1871" s="158" t="s">
        <v>4703</v>
      </c>
      <c r="H1871" s="162" t="s">
        <v>6008</v>
      </c>
      <c r="I1871" s="163" t="s">
        <v>196</v>
      </c>
      <c r="J1871" s="163" t="s">
        <v>37</v>
      </c>
      <c r="K1871" s="163" t="s">
        <v>37</v>
      </c>
      <c r="L1871" s="163" t="s">
        <v>4706</v>
      </c>
      <c r="M1871" s="163" t="s">
        <v>38</v>
      </c>
      <c r="N1871" s="164">
        <v>409.95</v>
      </c>
      <c r="O1871" s="163" t="s">
        <v>38</v>
      </c>
      <c r="P1871" s="163"/>
      <c r="Q1871" s="70">
        <v>46066</v>
      </c>
      <c r="R1871" s="45" t="s">
        <v>4707</v>
      </c>
      <c r="S1871" s="45"/>
      <c r="T1871" s="45"/>
      <c r="U1871" s="45"/>
      <c r="V187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2" spans="1:22">
      <c r="A1872" s="156">
        <v>46064</v>
      </c>
      <c r="B1872" s="45"/>
      <c r="C1872" s="45" t="s">
        <v>1395</v>
      </c>
      <c r="D1872" s="45"/>
      <c r="E1872" s="45"/>
      <c r="F1872" s="45" t="s">
        <v>4708</v>
      </c>
      <c r="G1872" s="158" t="s">
        <v>4703</v>
      </c>
      <c r="H1872" s="162" t="s">
        <v>27</v>
      </c>
      <c r="I1872" s="163"/>
      <c r="J1872" s="163"/>
      <c r="K1872" s="163"/>
      <c r="L1872" s="163"/>
      <c r="M1872" s="163"/>
      <c r="N1872" s="163"/>
      <c r="O1872" s="163"/>
      <c r="P1872" s="163"/>
      <c r="Q1872" s="35"/>
      <c r="R1872" s="45"/>
      <c r="S1872" s="45"/>
      <c r="T1872" s="45"/>
      <c r="U1872" s="45"/>
      <c r="V187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3" spans="1:22">
      <c r="A1873" s="156">
        <v>46065</v>
      </c>
      <c r="B1873" s="45" t="s">
        <v>1432</v>
      </c>
      <c r="C1873" s="45" t="s">
        <v>1859</v>
      </c>
      <c r="D1873" s="45" t="s">
        <v>63</v>
      </c>
      <c r="E1873" s="45"/>
      <c r="F1873" s="45" t="s">
        <v>4709</v>
      </c>
      <c r="G1873" s="158" t="s">
        <v>4710</v>
      </c>
      <c r="H1873" s="162" t="s">
        <v>6498</v>
      </c>
      <c r="I1873" s="163" t="s">
        <v>36</v>
      </c>
      <c r="J1873" s="163" t="s">
        <v>37</v>
      </c>
      <c r="K1873" s="163" t="s">
        <v>37</v>
      </c>
      <c r="L1873" s="163" t="s">
        <v>38</v>
      </c>
      <c r="M1873" s="163" t="s">
        <v>37</v>
      </c>
      <c r="N1873" s="163" t="s">
        <v>37</v>
      </c>
      <c r="O1873" s="163" t="s">
        <v>38</v>
      </c>
      <c r="P1873" s="163" t="s">
        <v>39</v>
      </c>
      <c r="Q1873" s="67">
        <v>46066</v>
      </c>
      <c r="R1873" s="45"/>
      <c r="S1873" s="45"/>
      <c r="T1873" s="45"/>
      <c r="U1873" s="45"/>
      <c r="V187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4" spans="1:22">
      <c r="A1874" s="156">
        <v>46065</v>
      </c>
      <c r="B1874" s="45" t="s">
        <v>1171</v>
      </c>
      <c r="C1874" s="45" t="s">
        <v>291</v>
      </c>
      <c r="D1874" s="45" t="s">
        <v>807</v>
      </c>
      <c r="E1874" s="45">
        <v>86303</v>
      </c>
      <c r="F1874" s="45" t="s">
        <v>4711</v>
      </c>
      <c r="G1874" s="158" t="s">
        <v>4710</v>
      </c>
      <c r="H1874" s="162" t="s">
        <v>6499</v>
      </c>
      <c r="I1874" s="163" t="s">
        <v>73</v>
      </c>
      <c r="J1874" s="163" t="s">
        <v>37</v>
      </c>
      <c r="K1874" s="163" t="s">
        <v>37</v>
      </c>
      <c r="L1874" s="163" t="s">
        <v>38</v>
      </c>
      <c r="M1874" s="163" t="s">
        <v>37</v>
      </c>
      <c r="N1874" s="163" t="s">
        <v>37</v>
      </c>
      <c r="O1874" s="163" t="s">
        <v>38</v>
      </c>
      <c r="P1874" s="163" t="s">
        <v>39</v>
      </c>
      <c r="Q1874" s="67">
        <v>46066</v>
      </c>
      <c r="R1874" s="45"/>
      <c r="S1874" s="45"/>
      <c r="T1874" s="45"/>
      <c r="U1874" s="45"/>
      <c r="V187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5" spans="1:22">
      <c r="A1875" s="156">
        <v>46065</v>
      </c>
      <c r="B1875" s="45" t="s">
        <v>4625</v>
      </c>
      <c r="C1875" s="45" t="s">
        <v>1525</v>
      </c>
      <c r="D1875" s="45" t="s">
        <v>125</v>
      </c>
      <c r="E1875" s="45">
        <v>85259</v>
      </c>
      <c r="F1875" s="45" t="s">
        <v>4712</v>
      </c>
      <c r="G1875" s="158" t="s">
        <v>4710</v>
      </c>
      <c r="H1875" s="162" t="s">
        <v>27</v>
      </c>
      <c r="I1875" s="163"/>
      <c r="J1875" s="163"/>
      <c r="K1875" s="163"/>
      <c r="L1875" s="163"/>
      <c r="M1875" s="163"/>
      <c r="N1875" s="163"/>
      <c r="O1875" s="163"/>
      <c r="P1875" s="163"/>
      <c r="Q1875" s="35"/>
      <c r="R1875" s="45"/>
      <c r="S1875" s="45"/>
      <c r="T1875" s="45"/>
      <c r="U1875" s="45"/>
      <c r="V187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6" spans="1:22">
      <c r="A1876" s="156">
        <v>46065</v>
      </c>
      <c r="B1876" s="45" t="s">
        <v>4713</v>
      </c>
      <c r="C1876" s="45" t="s">
        <v>2246</v>
      </c>
      <c r="D1876" s="45" t="s">
        <v>89</v>
      </c>
      <c r="E1876" s="45">
        <v>86336</v>
      </c>
      <c r="F1876" s="45" t="s">
        <v>4714</v>
      </c>
      <c r="G1876" s="158" t="s">
        <v>4715</v>
      </c>
      <c r="H1876" s="162" t="s">
        <v>6500</v>
      </c>
      <c r="I1876" s="163" t="s">
        <v>46</v>
      </c>
      <c r="J1876" s="163" t="s">
        <v>37</v>
      </c>
      <c r="K1876" s="163" t="s">
        <v>37</v>
      </c>
      <c r="L1876" s="163" t="s">
        <v>38</v>
      </c>
      <c r="M1876" s="163" t="s">
        <v>37</v>
      </c>
      <c r="N1876" s="163" t="s">
        <v>37</v>
      </c>
      <c r="O1876" s="163" t="s">
        <v>38</v>
      </c>
      <c r="P1876" s="163" t="s">
        <v>39</v>
      </c>
      <c r="Q1876" s="67">
        <v>46066</v>
      </c>
      <c r="R1876" s="45"/>
      <c r="S1876" s="45"/>
      <c r="T1876" s="45"/>
      <c r="U1876" s="45"/>
      <c r="V187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7" spans="1:22">
      <c r="A1877" s="156">
        <v>46065</v>
      </c>
      <c r="B1877" s="45" t="s">
        <v>4716</v>
      </c>
      <c r="C1877" s="45" t="s">
        <v>572</v>
      </c>
      <c r="D1877" s="45" t="s">
        <v>89</v>
      </c>
      <c r="E1877" s="45">
        <v>86336</v>
      </c>
      <c r="F1877" s="45" t="s">
        <v>4717</v>
      </c>
      <c r="G1877" s="158" t="s">
        <v>4715</v>
      </c>
      <c r="H1877" s="162" t="s">
        <v>6501</v>
      </c>
      <c r="I1877" s="163" t="s">
        <v>36</v>
      </c>
      <c r="J1877" s="163" t="s">
        <v>37</v>
      </c>
      <c r="K1877" s="163" t="s">
        <v>37</v>
      </c>
      <c r="L1877" s="163" t="s">
        <v>38</v>
      </c>
      <c r="M1877" s="163" t="s">
        <v>37</v>
      </c>
      <c r="N1877" s="163" t="s">
        <v>37</v>
      </c>
      <c r="O1877" s="163" t="s">
        <v>38</v>
      </c>
      <c r="P1877" s="163" t="s">
        <v>39</v>
      </c>
      <c r="Q1877" s="67">
        <v>46066</v>
      </c>
      <c r="R1877" s="45"/>
      <c r="S1877" s="45"/>
      <c r="T1877" s="45"/>
      <c r="U1877" s="45"/>
      <c r="V187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8" spans="1:22">
      <c r="A1878" s="156">
        <v>46065</v>
      </c>
      <c r="B1878" s="45" t="s">
        <v>4718</v>
      </c>
      <c r="C1878" s="45" t="s">
        <v>765</v>
      </c>
      <c r="D1878" s="45" t="s">
        <v>501</v>
      </c>
      <c r="E1878" s="45">
        <v>86004</v>
      </c>
      <c r="F1878" s="45" t="s">
        <v>4719</v>
      </c>
      <c r="G1878" s="158" t="s">
        <v>4715</v>
      </c>
      <c r="H1878" s="162" t="s">
        <v>6502</v>
      </c>
      <c r="I1878" s="163" t="s">
        <v>73</v>
      </c>
      <c r="J1878" s="163" t="s">
        <v>37</v>
      </c>
      <c r="K1878" s="163" t="s">
        <v>37</v>
      </c>
      <c r="L1878" s="163" t="s">
        <v>38</v>
      </c>
      <c r="M1878" s="163" t="s">
        <v>37</v>
      </c>
      <c r="N1878" s="163" t="s">
        <v>37</v>
      </c>
      <c r="O1878" s="163" t="s">
        <v>38</v>
      </c>
      <c r="P1878" s="163" t="s">
        <v>39</v>
      </c>
      <c r="Q1878" s="67">
        <v>46066</v>
      </c>
      <c r="R1878" s="45"/>
      <c r="S1878" s="45"/>
      <c r="T1878" s="45"/>
      <c r="U1878" s="45"/>
      <c r="V187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79" spans="1:22">
      <c r="A1879" s="156">
        <v>46065</v>
      </c>
      <c r="B1879" s="45" t="s">
        <v>4720</v>
      </c>
      <c r="C1879" s="45" t="s">
        <v>1525</v>
      </c>
      <c r="D1879" s="45" t="s">
        <v>129</v>
      </c>
      <c r="E1879" s="45">
        <v>85234</v>
      </c>
      <c r="F1879" s="45" t="s">
        <v>4721</v>
      </c>
      <c r="G1879" s="158" t="s">
        <v>4715</v>
      </c>
      <c r="H1879" s="162" t="s">
        <v>6503</v>
      </c>
      <c r="I1879" s="163" t="s">
        <v>538</v>
      </c>
      <c r="J1879" s="163" t="s">
        <v>37</v>
      </c>
      <c r="K1879" s="163" t="s">
        <v>37</v>
      </c>
      <c r="L1879" s="163" t="s">
        <v>3549</v>
      </c>
      <c r="M1879" s="163" t="s">
        <v>37</v>
      </c>
      <c r="N1879" s="163" t="s">
        <v>37</v>
      </c>
      <c r="O1879" s="163" t="s">
        <v>38</v>
      </c>
      <c r="P1879" s="163" t="s">
        <v>39</v>
      </c>
      <c r="Q1879" s="67">
        <v>46066</v>
      </c>
      <c r="R1879" s="45"/>
      <c r="S1879" s="45"/>
      <c r="T1879" s="45"/>
      <c r="U1879" s="45"/>
      <c r="V187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0" spans="1:22">
      <c r="A1880" s="156">
        <v>46065</v>
      </c>
      <c r="B1880" s="45" t="s">
        <v>4722</v>
      </c>
      <c r="C1880" s="45" t="s">
        <v>117</v>
      </c>
      <c r="D1880" s="45" t="s">
        <v>89</v>
      </c>
      <c r="E1880" s="45">
        <v>86336</v>
      </c>
      <c r="F1880" s="45" t="s">
        <v>4723</v>
      </c>
      <c r="G1880" s="158" t="s">
        <v>4715</v>
      </c>
      <c r="H1880" s="162" t="s">
        <v>6504</v>
      </c>
      <c r="I1880" s="163" t="s">
        <v>73</v>
      </c>
      <c r="J1880" s="163" t="s">
        <v>37</v>
      </c>
      <c r="K1880" s="163" t="s">
        <v>37</v>
      </c>
      <c r="L1880" s="163" t="s">
        <v>38</v>
      </c>
      <c r="M1880" s="163" t="s">
        <v>37</v>
      </c>
      <c r="N1880" s="163" t="s">
        <v>37</v>
      </c>
      <c r="O1880" s="163" t="s">
        <v>38</v>
      </c>
      <c r="P1880" s="163" t="s">
        <v>39</v>
      </c>
      <c r="Q1880" s="67">
        <v>46066</v>
      </c>
      <c r="R1880" s="45" t="s">
        <v>4724</v>
      </c>
      <c r="S1880" s="45"/>
      <c r="T1880" s="45"/>
      <c r="U1880" s="45"/>
      <c r="V188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1" spans="1:22">
      <c r="A1881" s="156">
        <v>46065</v>
      </c>
      <c r="B1881" s="45" t="s">
        <v>4725</v>
      </c>
      <c r="C1881" s="45" t="s">
        <v>2464</v>
      </c>
      <c r="D1881" s="45" t="s">
        <v>89</v>
      </c>
      <c r="E1881" s="45">
        <v>86336</v>
      </c>
      <c r="F1881" s="45" t="s">
        <v>4726</v>
      </c>
      <c r="G1881" s="158" t="s">
        <v>4715</v>
      </c>
      <c r="H1881" s="162" t="s">
        <v>6505</v>
      </c>
      <c r="I1881" s="163" t="s">
        <v>3779</v>
      </c>
      <c r="J1881" s="163" t="s">
        <v>37</v>
      </c>
      <c r="K1881" s="163" t="s">
        <v>37</v>
      </c>
      <c r="L1881" s="163" t="s">
        <v>38</v>
      </c>
      <c r="M1881" s="163" t="s">
        <v>37</v>
      </c>
      <c r="N1881" s="163" t="s">
        <v>37</v>
      </c>
      <c r="O1881" s="163" t="s">
        <v>38</v>
      </c>
      <c r="P1881" s="163" t="s">
        <v>39</v>
      </c>
      <c r="Q1881" s="67">
        <v>46066</v>
      </c>
      <c r="R1881" s="45"/>
      <c r="S1881" s="45"/>
      <c r="T1881" s="45"/>
      <c r="U1881" s="45"/>
      <c r="V188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2" spans="1:22">
      <c r="A1882" s="156">
        <v>46065</v>
      </c>
      <c r="B1882" s="45" t="s">
        <v>4727</v>
      </c>
      <c r="C1882" s="45"/>
      <c r="D1882" s="45"/>
      <c r="E1882" s="45"/>
      <c r="F1882" s="45" t="s">
        <v>4728</v>
      </c>
      <c r="G1882" s="158" t="s">
        <v>4729</v>
      </c>
      <c r="H1882" s="162" t="s">
        <v>4730</v>
      </c>
      <c r="I1882" s="163"/>
      <c r="J1882" s="163"/>
      <c r="K1882" s="163"/>
      <c r="L1882" s="163"/>
      <c r="M1882" s="163"/>
      <c r="N1882" s="163"/>
      <c r="O1882" s="163"/>
      <c r="P1882" s="163"/>
      <c r="Q1882" s="35"/>
      <c r="R1882" s="45"/>
      <c r="S1882" s="45"/>
      <c r="T1882" s="45"/>
      <c r="U1882" s="45"/>
      <c r="V188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3" spans="1:22" s="45" customFormat="1">
      <c r="A1883" s="156">
        <v>46070</v>
      </c>
      <c r="B1883" s="45" t="s">
        <v>4497</v>
      </c>
      <c r="C1883" s="45" t="s">
        <v>217</v>
      </c>
      <c r="D1883" s="45" t="s">
        <v>30</v>
      </c>
      <c r="E1883" s="45" t="s">
        <v>30</v>
      </c>
      <c r="F1883" s="45" t="s">
        <v>4731</v>
      </c>
      <c r="G1883" s="158" t="s">
        <v>4732</v>
      </c>
      <c r="H1883" s="162" t="s">
        <v>6136</v>
      </c>
      <c r="I1883" s="163" t="s">
        <v>46</v>
      </c>
      <c r="J1883" s="163" t="s">
        <v>37</v>
      </c>
      <c r="K1883" s="163" t="s">
        <v>37</v>
      </c>
      <c r="L1883" s="163" t="s">
        <v>3887</v>
      </c>
      <c r="M1883" s="163" t="s">
        <v>37</v>
      </c>
      <c r="N1883" s="163" t="s">
        <v>37</v>
      </c>
      <c r="O1883" s="163" t="s">
        <v>38</v>
      </c>
      <c r="P1883" s="163" t="s">
        <v>39</v>
      </c>
      <c r="Q1883" s="62">
        <v>46077</v>
      </c>
      <c r="V188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4" spans="1:22" s="45" customFormat="1">
      <c r="A1884" s="156">
        <v>46070</v>
      </c>
      <c r="B1884" s="45" t="s">
        <v>2495</v>
      </c>
      <c r="C1884" s="45" t="s">
        <v>4152</v>
      </c>
      <c r="D1884" s="45" t="s">
        <v>112</v>
      </c>
      <c r="E1884" s="45">
        <v>85374</v>
      </c>
      <c r="F1884" s="45" t="s">
        <v>4733</v>
      </c>
      <c r="G1884" s="158" t="s">
        <v>4732</v>
      </c>
      <c r="H1884" s="162" t="s">
        <v>6506</v>
      </c>
      <c r="I1884" s="163" t="s">
        <v>36</v>
      </c>
      <c r="J1884" s="163" t="s">
        <v>37</v>
      </c>
      <c r="K1884" s="163" t="s">
        <v>37</v>
      </c>
      <c r="L1884" s="163" t="s">
        <v>38</v>
      </c>
      <c r="M1884" s="163" t="s">
        <v>37</v>
      </c>
      <c r="N1884" s="163" t="s">
        <v>37</v>
      </c>
      <c r="O1884" s="163" t="s">
        <v>38</v>
      </c>
      <c r="P1884" s="163" t="s">
        <v>39</v>
      </c>
      <c r="Q1884" s="62">
        <v>46077</v>
      </c>
      <c r="V188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5" spans="1:22" s="45" customFormat="1">
      <c r="A1885" s="156">
        <v>46070</v>
      </c>
      <c r="B1885" s="45" t="s">
        <v>3554</v>
      </c>
      <c r="C1885" s="45" t="s">
        <v>3789</v>
      </c>
      <c r="D1885" s="45" t="s">
        <v>63</v>
      </c>
      <c r="E1885" s="45">
        <v>85029</v>
      </c>
      <c r="F1885" s="45" t="s">
        <v>4734</v>
      </c>
      <c r="G1885" s="158" t="s">
        <v>4735</v>
      </c>
      <c r="H1885" s="162" t="s">
        <v>6137</v>
      </c>
      <c r="I1885" s="163" t="s">
        <v>46</v>
      </c>
      <c r="J1885" s="163" t="s">
        <v>37</v>
      </c>
      <c r="K1885" s="163" t="s">
        <v>37</v>
      </c>
      <c r="L1885" s="163" t="s">
        <v>4736</v>
      </c>
      <c r="M1885" s="163" t="s">
        <v>37</v>
      </c>
      <c r="N1885" s="163" t="s">
        <v>37</v>
      </c>
      <c r="O1885" s="163" t="s">
        <v>38</v>
      </c>
      <c r="P1885" s="163" t="s">
        <v>39</v>
      </c>
      <c r="Q1885" s="62">
        <v>46077</v>
      </c>
      <c r="V188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6" spans="1:22" s="45" customFormat="1">
      <c r="A1886" s="156">
        <v>46070</v>
      </c>
      <c r="B1886" s="45" t="s">
        <v>4737</v>
      </c>
      <c r="C1886" s="45" t="s">
        <v>4738</v>
      </c>
      <c r="D1886" s="45" t="s">
        <v>24</v>
      </c>
      <c r="E1886" s="45">
        <v>85303</v>
      </c>
      <c r="F1886" s="45" t="s">
        <v>4739</v>
      </c>
      <c r="G1886" s="158" t="s">
        <v>4735</v>
      </c>
      <c r="H1886" s="162" t="s">
        <v>27</v>
      </c>
      <c r="I1886" s="163"/>
      <c r="J1886" s="163"/>
      <c r="K1886" s="163"/>
      <c r="L1886" s="163"/>
      <c r="M1886" s="163"/>
      <c r="N1886" s="163"/>
      <c r="O1886" s="163"/>
      <c r="P1886" s="163"/>
      <c r="Q1886" s="63"/>
      <c r="V188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7" spans="1:22" s="45" customFormat="1">
      <c r="A1887" s="156">
        <v>46070</v>
      </c>
      <c r="B1887" s="45" t="s">
        <v>4740</v>
      </c>
      <c r="C1887" s="45" t="s">
        <v>774</v>
      </c>
      <c r="D1887" s="45" t="s">
        <v>3009</v>
      </c>
      <c r="E1887" s="45">
        <v>85742</v>
      </c>
      <c r="F1887" s="45" t="s">
        <v>4741</v>
      </c>
      <c r="G1887" s="158" t="s">
        <v>4735</v>
      </c>
      <c r="H1887" s="162" t="s">
        <v>27</v>
      </c>
      <c r="I1887" s="163"/>
      <c r="J1887" s="163"/>
      <c r="K1887" s="163"/>
      <c r="L1887" s="163"/>
      <c r="M1887" s="163"/>
      <c r="N1887" s="163"/>
      <c r="O1887" s="163"/>
      <c r="P1887" s="163"/>
      <c r="Q1887" s="63"/>
      <c r="V188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8" spans="1:22" s="45" customFormat="1">
      <c r="A1888" s="156">
        <v>46070</v>
      </c>
      <c r="B1888" s="45" t="s">
        <v>4742</v>
      </c>
      <c r="C1888" s="45" t="s">
        <v>4743</v>
      </c>
      <c r="D1888" s="45" t="s">
        <v>112</v>
      </c>
      <c r="E1888" s="45">
        <v>85374</v>
      </c>
      <c r="F1888" s="45" t="s">
        <v>4744</v>
      </c>
      <c r="G1888" s="158" t="s">
        <v>4735</v>
      </c>
      <c r="H1888" s="162" t="s">
        <v>6507</v>
      </c>
      <c r="I1888" s="163" t="s">
        <v>46</v>
      </c>
      <c r="J1888" s="163" t="s">
        <v>37</v>
      </c>
      <c r="K1888" s="163" t="s">
        <v>38</v>
      </c>
      <c r="L1888" s="163" t="s">
        <v>38</v>
      </c>
      <c r="M1888" s="163" t="s">
        <v>37</v>
      </c>
      <c r="N1888" s="163" t="s">
        <v>37</v>
      </c>
      <c r="O1888" s="163" t="s">
        <v>38</v>
      </c>
      <c r="P1888" s="163" t="s">
        <v>39</v>
      </c>
      <c r="Q1888" s="62">
        <v>46077</v>
      </c>
      <c r="V188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89" spans="1:22" s="45" customFormat="1">
      <c r="A1889" s="156">
        <v>46070</v>
      </c>
      <c r="B1889" s="45" t="s">
        <v>4745</v>
      </c>
      <c r="C1889" s="45" t="s">
        <v>478</v>
      </c>
      <c r="D1889" s="45" t="s">
        <v>501</v>
      </c>
      <c r="E1889" s="45">
        <v>86001</v>
      </c>
      <c r="F1889" s="45" t="s">
        <v>4746</v>
      </c>
      <c r="G1889" s="158" t="s">
        <v>4735</v>
      </c>
      <c r="H1889" s="162" t="s">
        <v>6508</v>
      </c>
      <c r="I1889" s="163" t="s">
        <v>250</v>
      </c>
      <c r="J1889" s="163" t="s">
        <v>37</v>
      </c>
      <c r="K1889" s="163" t="s">
        <v>37</v>
      </c>
      <c r="L1889" s="163" t="s">
        <v>38</v>
      </c>
      <c r="M1889" s="163" t="s">
        <v>37</v>
      </c>
      <c r="N1889" s="163" t="s">
        <v>37</v>
      </c>
      <c r="O1889" s="163" t="s">
        <v>38</v>
      </c>
      <c r="P1889" s="163" t="s">
        <v>39</v>
      </c>
      <c r="Q1889" s="62">
        <v>46077</v>
      </c>
      <c r="V188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0" spans="1:22" s="45" customFormat="1">
      <c r="A1890" s="156">
        <v>46070</v>
      </c>
      <c r="B1890" s="45" t="s">
        <v>4747</v>
      </c>
      <c r="C1890" s="45" t="s">
        <v>1602</v>
      </c>
      <c r="D1890" s="45" t="s">
        <v>63</v>
      </c>
      <c r="E1890" s="45">
        <v>85029</v>
      </c>
      <c r="F1890" s="45" t="s">
        <v>4748</v>
      </c>
      <c r="G1890" s="158" t="s">
        <v>4735</v>
      </c>
      <c r="H1890" s="162" t="s">
        <v>27</v>
      </c>
      <c r="I1890" s="163"/>
      <c r="J1890" s="163"/>
      <c r="K1890" s="163"/>
      <c r="L1890" s="163"/>
      <c r="M1890" s="163"/>
      <c r="N1890" s="163"/>
      <c r="O1890" s="163"/>
      <c r="P1890" s="163"/>
      <c r="Q1890" s="63"/>
      <c r="V189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1" spans="1:22" s="45" customFormat="1">
      <c r="A1891" s="156">
        <v>46070</v>
      </c>
      <c r="B1891" s="45" t="s">
        <v>683</v>
      </c>
      <c r="C1891" s="45" t="s">
        <v>153</v>
      </c>
      <c r="D1891" s="45" t="s">
        <v>24</v>
      </c>
      <c r="E1891" s="45">
        <v>85308</v>
      </c>
      <c r="F1891" s="45" t="s">
        <v>4749</v>
      </c>
      <c r="G1891" s="158" t="s">
        <v>4735</v>
      </c>
      <c r="H1891" s="162" t="s">
        <v>6509</v>
      </c>
      <c r="I1891" s="163" t="s">
        <v>3357</v>
      </c>
      <c r="J1891" s="163" t="s">
        <v>37</v>
      </c>
      <c r="K1891" s="163" t="s">
        <v>37</v>
      </c>
      <c r="L1891" s="163" t="s">
        <v>3549</v>
      </c>
      <c r="M1891" s="163" t="s">
        <v>37</v>
      </c>
      <c r="N1891" s="163" t="s">
        <v>37</v>
      </c>
      <c r="O1891" s="163" t="s">
        <v>38</v>
      </c>
      <c r="P1891" s="163" t="s">
        <v>39</v>
      </c>
      <c r="Q1891" s="62">
        <v>46077</v>
      </c>
      <c r="V189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2" spans="1:22" s="45" customFormat="1">
      <c r="A1892" s="156">
        <v>46070</v>
      </c>
      <c r="B1892" s="45" t="s">
        <v>4750</v>
      </c>
      <c r="C1892" s="45" t="s">
        <v>4751</v>
      </c>
      <c r="D1892" s="45" t="s">
        <v>536</v>
      </c>
      <c r="E1892" s="45">
        <v>85122</v>
      </c>
      <c r="F1892" s="45" t="s">
        <v>4752</v>
      </c>
      <c r="G1892" s="158" t="s">
        <v>4735</v>
      </c>
      <c r="H1892" s="162" t="s">
        <v>6510</v>
      </c>
      <c r="I1892" s="163" t="s">
        <v>3779</v>
      </c>
      <c r="J1892" s="163" t="s">
        <v>37</v>
      </c>
      <c r="K1892" s="163" t="s">
        <v>37</v>
      </c>
      <c r="L1892" s="163" t="s">
        <v>38</v>
      </c>
      <c r="M1892" s="163" t="s">
        <v>37</v>
      </c>
      <c r="N1892" s="163" t="s">
        <v>37</v>
      </c>
      <c r="O1892" s="163" t="s">
        <v>38</v>
      </c>
      <c r="P1892" s="163" t="s">
        <v>39</v>
      </c>
      <c r="Q1892" s="62">
        <v>46077</v>
      </c>
      <c r="V189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3" spans="1:22" s="45" customFormat="1">
      <c r="A1893" s="156">
        <v>46070</v>
      </c>
      <c r="B1893" s="45" t="s">
        <v>4085</v>
      </c>
      <c r="C1893" s="45" t="s">
        <v>312</v>
      </c>
      <c r="D1893" s="45" t="s">
        <v>63</v>
      </c>
      <c r="E1893" s="45">
        <v>85021</v>
      </c>
      <c r="F1893" s="45" t="s">
        <v>4753</v>
      </c>
      <c r="G1893" s="158" t="s">
        <v>4735</v>
      </c>
      <c r="H1893" s="162" t="s">
        <v>6511</v>
      </c>
      <c r="I1893" s="163" t="s">
        <v>3779</v>
      </c>
      <c r="J1893" s="163" t="s">
        <v>37</v>
      </c>
      <c r="K1893" s="163" t="s">
        <v>37</v>
      </c>
      <c r="L1893" s="163" t="s">
        <v>38</v>
      </c>
      <c r="M1893" s="163" t="s">
        <v>37</v>
      </c>
      <c r="N1893" s="163" t="s">
        <v>37</v>
      </c>
      <c r="O1893" s="163" t="s">
        <v>38</v>
      </c>
      <c r="P1893" s="163" t="s">
        <v>39</v>
      </c>
      <c r="Q1893" s="62">
        <v>46077</v>
      </c>
      <c r="V189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4" spans="1:22" s="45" customFormat="1">
      <c r="A1894" s="156">
        <v>46070</v>
      </c>
      <c r="B1894" s="45" t="s">
        <v>4754</v>
      </c>
      <c r="C1894" s="45" t="s">
        <v>177</v>
      </c>
      <c r="D1894" s="45" t="s">
        <v>63</v>
      </c>
      <c r="E1894" s="45">
        <v>85014</v>
      </c>
      <c r="F1894" s="45" t="s">
        <v>4755</v>
      </c>
      <c r="G1894" s="158" t="s">
        <v>4735</v>
      </c>
      <c r="H1894" s="162" t="s">
        <v>27</v>
      </c>
      <c r="I1894" s="163"/>
      <c r="J1894" s="163"/>
      <c r="K1894" s="163"/>
      <c r="L1894" s="163"/>
      <c r="M1894" s="163"/>
      <c r="N1894" s="163"/>
      <c r="O1894" s="163"/>
      <c r="P1894" s="163"/>
      <c r="Q1894" s="63"/>
      <c r="V189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5" spans="1:22" s="45" customFormat="1">
      <c r="A1895" s="156">
        <v>46070</v>
      </c>
      <c r="B1895" s="45" t="s">
        <v>4756</v>
      </c>
      <c r="C1895" s="45" t="s">
        <v>4757</v>
      </c>
      <c r="D1895" s="45" t="s">
        <v>3308</v>
      </c>
      <c r="E1895" s="45">
        <v>85354</v>
      </c>
      <c r="F1895" s="45" t="s">
        <v>4758</v>
      </c>
      <c r="G1895" s="158" t="s">
        <v>4735</v>
      </c>
      <c r="H1895" s="162" t="s">
        <v>6512</v>
      </c>
      <c r="I1895" s="163" t="s">
        <v>46</v>
      </c>
      <c r="J1895" s="163" t="s">
        <v>37</v>
      </c>
      <c r="K1895" s="163" t="s">
        <v>37</v>
      </c>
      <c r="L1895" s="163" t="s">
        <v>38</v>
      </c>
      <c r="M1895" s="163" t="s">
        <v>37</v>
      </c>
      <c r="N1895" s="163" t="s">
        <v>37</v>
      </c>
      <c r="O1895" s="163" t="s">
        <v>38</v>
      </c>
      <c r="P1895" s="163" t="s">
        <v>39</v>
      </c>
      <c r="Q1895" s="62">
        <v>45712</v>
      </c>
      <c r="V189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6" spans="1:22" s="45" customFormat="1">
      <c r="A1896" s="156">
        <v>46070</v>
      </c>
      <c r="B1896" s="45" t="s">
        <v>4759</v>
      </c>
      <c r="C1896" s="45" t="s">
        <v>478</v>
      </c>
      <c r="D1896" s="45" t="s">
        <v>63</v>
      </c>
      <c r="E1896" s="45">
        <v>85020</v>
      </c>
      <c r="F1896" s="45" t="s">
        <v>4760</v>
      </c>
      <c r="G1896" s="158" t="s">
        <v>4735</v>
      </c>
      <c r="H1896" s="162" t="s">
        <v>6138</v>
      </c>
      <c r="I1896" s="163" t="s">
        <v>46</v>
      </c>
      <c r="J1896" s="163" t="s">
        <v>37</v>
      </c>
      <c r="K1896" s="163" t="s">
        <v>37</v>
      </c>
      <c r="L1896" s="163" t="s">
        <v>4761</v>
      </c>
      <c r="M1896" s="163" t="s">
        <v>37</v>
      </c>
      <c r="N1896" s="163" t="s">
        <v>37</v>
      </c>
      <c r="O1896" s="163" t="s">
        <v>38</v>
      </c>
      <c r="P1896" s="163" t="s">
        <v>39</v>
      </c>
      <c r="Q1896" s="62">
        <v>45712</v>
      </c>
      <c r="V189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7" spans="1:22" s="45" customFormat="1">
      <c r="A1897" s="156">
        <v>46070</v>
      </c>
      <c r="B1897" s="45" t="s">
        <v>4762</v>
      </c>
      <c r="C1897" s="45" t="s">
        <v>2017</v>
      </c>
      <c r="D1897" s="45" t="s">
        <v>4763</v>
      </c>
      <c r="E1897" s="45">
        <v>86001</v>
      </c>
      <c r="F1897" s="45" t="s">
        <v>4764</v>
      </c>
      <c r="G1897" s="158" t="s">
        <v>4735</v>
      </c>
      <c r="H1897" s="162" t="s">
        <v>27</v>
      </c>
      <c r="I1897" s="163"/>
      <c r="J1897" s="163"/>
      <c r="K1897" s="163"/>
      <c r="L1897" s="163"/>
      <c r="M1897" s="163"/>
      <c r="N1897" s="163"/>
      <c r="O1897" s="163"/>
      <c r="P1897" s="163"/>
      <c r="Q1897" s="63"/>
      <c r="V189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8" spans="1:22" s="45" customFormat="1">
      <c r="A1898" s="156">
        <v>46070</v>
      </c>
      <c r="B1898" s="45" t="s">
        <v>4765</v>
      </c>
      <c r="C1898" s="45" t="s">
        <v>2255</v>
      </c>
      <c r="D1898" s="45" t="s">
        <v>501</v>
      </c>
      <c r="E1898" s="45">
        <v>86004</v>
      </c>
      <c r="F1898" s="45" t="s">
        <v>4766</v>
      </c>
      <c r="G1898" s="158" t="s">
        <v>4735</v>
      </c>
      <c r="H1898" s="162" t="s">
        <v>6139</v>
      </c>
      <c r="I1898" s="163" t="s">
        <v>73</v>
      </c>
      <c r="J1898" s="163" t="s">
        <v>37</v>
      </c>
      <c r="K1898" s="163" t="s">
        <v>37</v>
      </c>
      <c r="L1898" s="163" t="s">
        <v>4767</v>
      </c>
      <c r="M1898" s="163" t="s">
        <v>37</v>
      </c>
      <c r="N1898" s="163" t="s">
        <v>37</v>
      </c>
      <c r="O1898" s="163" t="s">
        <v>38</v>
      </c>
      <c r="P1898" s="163"/>
      <c r="Q1898" s="64">
        <v>46077</v>
      </c>
      <c r="R1898" s="45" t="s">
        <v>3474</v>
      </c>
      <c r="V189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899" spans="1:22" s="45" customFormat="1">
      <c r="A1899" s="156">
        <v>46070</v>
      </c>
      <c r="B1899" s="45" t="s">
        <v>1809</v>
      </c>
      <c r="C1899" s="45" t="s">
        <v>1831</v>
      </c>
      <c r="D1899" s="45" t="s">
        <v>4768</v>
      </c>
      <c r="E1899" s="45">
        <v>86005</v>
      </c>
      <c r="F1899" s="45" t="s">
        <v>4769</v>
      </c>
      <c r="G1899" s="158" t="s">
        <v>4735</v>
      </c>
      <c r="H1899" s="162" t="s">
        <v>27</v>
      </c>
      <c r="I1899" s="163"/>
      <c r="J1899" s="163"/>
      <c r="K1899" s="163"/>
      <c r="L1899" s="163"/>
      <c r="M1899" s="163"/>
      <c r="N1899" s="163"/>
      <c r="O1899" s="163"/>
      <c r="P1899" s="163"/>
      <c r="Q1899" s="63"/>
      <c r="V189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0" spans="1:22" s="45" customFormat="1">
      <c r="A1900" s="156">
        <v>46070</v>
      </c>
      <c r="B1900" s="45" t="s">
        <v>4770</v>
      </c>
      <c r="C1900" s="45" t="s">
        <v>291</v>
      </c>
      <c r="D1900" s="45" t="s">
        <v>501</v>
      </c>
      <c r="E1900" s="45">
        <v>86004</v>
      </c>
      <c r="F1900" s="45" t="s">
        <v>4771</v>
      </c>
      <c r="G1900" s="158" t="s">
        <v>4735</v>
      </c>
      <c r="H1900" s="162" t="s">
        <v>6513</v>
      </c>
      <c r="I1900" s="163" t="s">
        <v>73</v>
      </c>
      <c r="J1900" s="163" t="s">
        <v>37</v>
      </c>
      <c r="K1900" s="163" t="s">
        <v>37</v>
      </c>
      <c r="L1900" s="163" t="s">
        <v>38</v>
      </c>
      <c r="M1900" s="163" t="s">
        <v>37</v>
      </c>
      <c r="N1900" s="163" t="s">
        <v>37</v>
      </c>
      <c r="O1900" s="163" t="s">
        <v>38</v>
      </c>
      <c r="P1900" s="163" t="s">
        <v>39</v>
      </c>
      <c r="Q1900" s="62">
        <v>46077</v>
      </c>
      <c r="V190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1" spans="1:22" s="45" customFormat="1">
      <c r="A1901" s="156">
        <v>46070</v>
      </c>
      <c r="B1901" s="45" t="s">
        <v>2171</v>
      </c>
      <c r="C1901" s="45" t="s">
        <v>2978</v>
      </c>
      <c r="D1901" s="45" t="s">
        <v>1432</v>
      </c>
      <c r="E1901" s="45">
        <v>86046</v>
      </c>
      <c r="F1901" s="45" t="s">
        <v>4772</v>
      </c>
      <c r="G1901" s="158" t="s">
        <v>4735</v>
      </c>
      <c r="H1901" s="162" t="s">
        <v>6514</v>
      </c>
      <c r="I1901" s="163" t="s">
        <v>36</v>
      </c>
      <c r="J1901" s="163" t="s">
        <v>37</v>
      </c>
      <c r="K1901" s="163" t="s">
        <v>37</v>
      </c>
      <c r="L1901" s="163" t="s">
        <v>38</v>
      </c>
      <c r="M1901" s="163" t="s">
        <v>37</v>
      </c>
      <c r="N1901" s="163" t="s">
        <v>37</v>
      </c>
      <c r="O1901" s="163" t="s">
        <v>38</v>
      </c>
      <c r="P1901" s="163" t="s">
        <v>39</v>
      </c>
      <c r="Q1901" s="62">
        <v>46077</v>
      </c>
      <c r="V190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2" spans="1:22" s="45" customFormat="1">
      <c r="A1902" s="156">
        <v>46070</v>
      </c>
      <c r="B1902" s="45" t="s">
        <v>4773</v>
      </c>
      <c r="C1902" s="45" t="s">
        <v>3927</v>
      </c>
      <c r="D1902" s="45" t="s">
        <v>501</v>
      </c>
      <c r="E1902" s="45">
        <v>86004</v>
      </c>
      <c r="F1902" s="45" t="s">
        <v>4774</v>
      </c>
      <c r="G1902" s="158" t="s">
        <v>4735</v>
      </c>
      <c r="H1902" s="162" t="s">
        <v>90</v>
      </c>
      <c r="I1902" s="163"/>
      <c r="J1902" s="163"/>
      <c r="K1902" s="163"/>
      <c r="L1902" s="163"/>
      <c r="M1902" s="163"/>
      <c r="N1902" s="163"/>
      <c r="O1902" s="163"/>
      <c r="P1902" s="163"/>
      <c r="Q1902" s="63"/>
      <c r="V190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3" spans="1:22" s="45" customFormat="1">
      <c r="A1903" s="156">
        <v>46070</v>
      </c>
      <c r="B1903" s="45" t="s">
        <v>4775</v>
      </c>
      <c r="C1903" s="45" t="s">
        <v>4776</v>
      </c>
      <c r="D1903" s="45" t="s">
        <v>501</v>
      </c>
      <c r="E1903" s="45">
        <v>86004</v>
      </c>
      <c r="F1903" s="45" t="s">
        <v>4777</v>
      </c>
      <c r="G1903" s="158" t="s">
        <v>4735</v>
      </c>
      <c r="H1903" s="162" t="s">
        <v>6515</v>
      </c>
      <c r="I1903" s="163" t="s">
        <v>3389</v>
      </c>
      <c r="J1903" s="163" t="s">
        <v>37</v>
      </c>
      <c r="K1903" s="163" t="s">
        <v>37</v>
      </c>
      <c r="L1903" s="163" t="s">
        <v>3549</v>
      </c>
      <c r="M1903" s="163" t="s">
        <v>37</v>
      </c>
      <c r="N1903" s="163" t="s">
        <v>37</v>
      </c>
      <c r="O1903" s="163" t="s">
        <v>38</v>
      </c>
      <c r="P1903" s="163" t="s">
        <v>39</v>
      </c>
      <c r="Q1903" s="62">
        <v>46077</v>
      </c>
      <c r="V190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4" spans="1:22" s="45" customFormat="1">
      <c r="A1904" s="156">
        <v>46070</v>
      </c>
      <c r="B1904" s="45" t="s">
        <v>4778</v>
      </c>
      <c r="C1904" s="45" t="s">
        <v>4205</v>
      </c>
      <c r="D1904" s="45" t="s">
        <v>202</v>
      </c>
      <c r="E1904" s="45">
        <v>85383</v>
      </c>
      <c r="F1904" s="45" t="s">
        <v>4779</v>
      </c>
      <c r="G1904" s="158" t="s">
        <v>4735</v>
      </c>
      <c r="H1904" s="162" t="s">
        <v>6516</v>
      </c>
      <c r="I1904" s="163" t="s">
        <v>36</v>
      </c>
      <c r="J1904" s="163" t="s">
        <v>37</v>
      </c>
      <c r="K1904" s="163" t="s">
        <v>37</v>
      </c>
      <c r="L1904" s="163" t="s">
        <v>38</v>
      </c>
      <c r="M1904" s="163" t="s">
        <v>37</v>
      </c>
      <c r="N1904" s="163" t="s">
        <v>37</v>
      </c>
      <c r="O1904" s="163" t="s">
        <v>38</v>
      </c>
      <c r="P1904" s="163" t="s">
        <v>39</v>
      </c>
      <c r="Q1904" s="62">
        <v>46077</v>
      </c>
      <c r="V190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5" spans="1:22" s="45" customFormat="1">
      <c r="A1905" s="156">
        <v>46070</v>
      </c>
      <c r="B1905" s="45" t="s">
        <v>4780</v>
      </c>
      <c r="C1905" s="45" t="s">
        <v>4781</v>
      </c>
      <c r="D1905" s="45" t="s">
        <v>89</v>
      </c>
      <c r="E1905" s="45">
        <v>86336</v>
      </c>
      <c r="F1905" s="45" t="s">
        <v>4782</v>
      </c>
      <c r="G1905" s="158" t="s">
        <v>4735</v>
      </c>
      <c r="H1905" s="162" t="s">
        <v>27</v>
      </c>
      <c r="I1905" s="163"/>
      <c r="J1905" s="163"/>
      <c r="K1905" s="163"/>
      <c r="L1905" s="163"/>
      <c r="M1905" s="163"/>
      <c r="N1905" s="163"/>
      <c r="O1905" s="163"/>
      <c r="P1905" s="163"/>
      <c r="Q1905" s="63"/>
      <c r="V190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6" spans="1:22" s="45" customFormat="1">
      <c r="A1906" s="156">
        <v>46070</v>
      </c>
      <c r="B1906" s="45" t="s">
        <v>1772</v>
      </c>
      <c r="C1906" s="45" t="s">
        <v>3350</v>
      </c>
      <c r="D1906" s="45" t="s">
        <v>501</v>
      </c>
      <c r="E1906" s="45">
        <v>86004</v>
      </c>
      <c r="F1906" s="45" t="s">
        <v>4783</v>
      </c>
      <c r="G1906" s="158" t="s">
        <v>4735</v>
      </c>
      <c r="H1906" s="162" t="s">
        <v>6140</v>
      </c>
      <c r="I1906" s="163" t="s">
        <v>126</v>
      </c>
      <c r="J1906" s="163" t="s">
        <v>37</v>
      </c>
      <c r="K1906" s="163" t="s">
        <v>37</v>
      </c>
      <c r="L1906" s="163" t="s">
        <v>4784</v>
      </c>
      <c r="M1906" s="163" t="s">
        <v>37</v>
      </c>
      <c r="N1906" s="163" t="s">
        <v>37</v>
      </c>
      <c r="O1906" s="163" t="s">
        <v>38</v>
      </c>
      <c r="P1906" s="163"/>
      <c r="Q1906" s="65"/>
      <c r="R1906" s="45" t="s">
        <v>3474</v>
      </c>
      <c r="V190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7" spans="1:22" s="45" customFormat="1">
      <c r="A1907" s="156">
        <v>46070</v>
      </c>
      <c r="B1907" s="45" t="s">
        <v>2534</v>
      </c>
      <c r="C1907" s="45" t="s">
        <v>1525</v>
      </c>
      <c r="D1907" s="45" t="s">
        <v>63</v>
      </c>
      <c r="E1907" s="45">
        <v>85012</v>
      </c>
      <c r="F1907" s="45" t="s">
        <v>4785</v>
      </c>
      <c r="G1907" s="158" t="s">
        <v>4735</v>
      </c>
      <c r="H1907" s="162" t="s">
        <v>6517</v>
      </c>
      <c r="I1907" s="163" t="s">
        <v>250</v>
      </c>
      <c r="J1907" s="163" t="s">
        <v>37</v>
      </c>
      <c r="K1907" s="163" t="s">
        <v>37</v>
      </c>
      <c r="L1907" s="163" t="s">
        <v>38</v>
      </c>
      <c r="M1907" s="163" t="s">
        <v>37</v>
      </c>
      <c r="N1907" s="163" t="s">
        <v>37</v>
      </c>
      <c r="O1907" s="163" t="s">
        <v>38</v>
      </c>
      <c r="P1907" s="163" t="s">
        <v>39</v>
      </c>
      <c r="Q1907" s="62">
        <v>46077</v>
      </c>
      <c r="V190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8" spans="1:22" s="45" customFormat="1">
      <c r="A1908" s="156">
        <v>46070</v>
      </c>
      <c r="B1908" s="45" t="s">
        <v>962</v>
      </c>
      <c r="C1908" s="45" t="s">
        <v>1179</v>
      </c>
      <c r="D1908" s="45" t="s">
        <v>89</v>
      </c>
      <c r="E1908" s="45">
        <v>86336</v>
      </c>
      <c r="F1908" s="45" t="s">
        <v>4786</v>
      </c>
      <c r="G1908" s="158" t="s">
        <v>4735</v>
      </c>
      <c r="H1908" s="162" t="s">
        <v>90</v>
      </c>
      <c r="I1908" s="163"/>
      <c r="J1908" s="163"/>
      <c r="K1908" s="163"/>
      <c r="L1908" s="163"/>
      <c r="M1908" s="163"/>
      <c r="N1908" s="163"/>
      <c r="O1908" s="163"/>
      <c r="P1908" s="163"/>
      <c r="Q1908" s="63"/>
      <c r="V190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09" spans="1:22" s="45" customFormat="1">
      <c r="A1909" s="156">
        <v>46070</v>
      </c>
      <c r="B1909" s="45" t="s">
        <v>1772</v>
      </c>
      <c r="C1909" s="45" t="s">
        <v>1935</v>
      </c>
      <c r="D1909" s="45" t="s">
        <v>501</v>
      </c>
      <c r="E1909" s="45">
        <v>86004</v>
      </c>
      <c r="F1909" s="45" t="s">
        <v>4787</v>
      </c>
      <c r="G1909" s="158" t="s">
        <v>4735</v>
      </c>
      <c r="H1909" s="162" t="s">
        <v>6141</v>
      </c>
      <c r="I1909" s="163" t="s">
        <v>57</v>
      </c>
      <c r="J1909" s="163" t="s">
        <v>37</v>
      </c>
      <c r="K1909" s="163" t="s">
        <v>37</v>
      </c>
      <c r="L1909" s="163" t="s">
        <v>4788</v>
      </c>
      <c r="M1909" s="163" t="s">
        <v>37</v>
      </c>
      <c r="N1909" s="163" t="s">
        <v>37</v>
      </c>
      <c r="O1909" s="163" t="s">
        <v>38</v>
      </c>
      <c r="P1909" s="163"/>
      <c r="Q1909" s="64">
        <v>46077</v>
      </c>
      <c r="R1909" s="45" t="s">
        <v>3474</v>
      </c>
      <c r="V190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0" spans="1:22" s="45" customFormat="1">
      <c r="A1910" s="156">
        <v>46070</v>
      </c>
      <c r="B1910" s="45" t="s">
        <v>4789</v>
      </c>
      <c r="D1910" s="45" t="s">
        <v>695</v>
      </c>
      <c r="E1910" s="45">
        <v>85375</v>
      </c>
      <c r="F1910" s="45" t="s">
        <v>4790</v>
      </c>
      <c r="G1910" s="158" t="s">
        <v>4791</v>
      </c>
      <c r="H1910" s="162" t="s">
        <v>4892</v>
      </c>
      <c r="I1910" s="163"/>
      <c r="J1910" s="163"/>
      <c r="K1910" s="163"/>
      <c r="L1910" s="163"/>
      <c r="M1910" s="163"/>
      <c r="N1910" s="163"/>
      <c r="O1910" s="163"/>
      <c r="P1910" s="163"/>
      <c r="Q1910" s="63"/>
      <c r="V191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1" spans="1:22" s="45" customFormat="1">
      <c r="A1911" s="156">
        <v>46071</v>
      </c>
      <c r="B1911" s="45" t="s">
        <v>4792</v>
      </c>
      <c r="C1911" s="45" t="s">
        <v>4793</v>
      </c>
      <c r="D1911" s="45" t="s">
        <v>24</v>
      </c>
      <c r="E1911" s="45">
        <v>85301</v>
      </c>
      <c r="F1911" s="45" t="s">
        <v>4794</v>
      </c>
      <c r="G1911" s="158" t="s">
        <v>4795</v>
      </c>
      <c r="H1911" s="162" t="s">
        <v>27</v>
      </c>
      <c r="I1911" s="163"/>
      <c r="J1911" s="163"/>
      <c r="K1911" s="163"/>
      <c r="L1911" s="163"/>
      <c r="M1911" s="163"/>
      <c r="N1911" s="163"/>
      <c r="O1911" s="163"/>
      <c r="P1911" s="163"/>
      <c r="Q1911" s="63"/>
      <c r="V191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2" spans="1:22" s="45" customFormat="1">
      <c r="A1912" s="156">
        <v>46071</v>
      </c>
      <c r="B1912" s="45" t="s">
        <v>4796</v>
      </c>
      <c r="C1912" s="45" t="s">
        <v>225</v>
      </c>
      <c r="D1912" s="45" t="s">
        <v>3084</v>
      </c>
      <c r="E1912" s="45">
        <v>85553</v>
      </c>
      <c r="F1912" s="45" t="s">
        <v>4797</v>
      </c>
      <c r="G1912" s="158" t="s">
        <v>4795</v>
      </c>
      <c r="H1912" s="162" t="s">
        <v>6518</v>
      </c>
      <c r="I1912" s="163" t="s">
        <v>538</v>
      </c>
      <c r="J1912" s="163" t="s">
        <v>37</v>
      </c>
      <c r="K1912" s="163" t="s">
        <v>37</v>
      </c>
      <c r="L1912" s="163" t="s">
        <v>3549</v>
      </c>
      <c r="M1912" s="163" t="s">
        <v>37</v>
      </c>
      <c r="N1912" s="163" t="s">
        <v>37</v>
      </c>
      <c r="O1912" s="163" t="s">
        <v>38</v>
      </c>
      <c r="P1912" s="163" t="s">
        <v>39</v>
      </c>
      <c r="Q1912" s="62">
        <v>46077</v>
      </c>
      <c r="V191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3" spans="1:22" s="45" customFormat="1">
      <c r="A1913" s="156">
        <v>46071</v>
      </c>
      <c r="B1913" s="45" t="s">
        <v>4798</v>
      </c>
      <c r="C1913" s="45" t="s">
        <v>3925</v>
      </c>
      <c r="D1913" s="45" t="s">
        <v>807</v>
      </c>
      <c r="E1913" s="45">
        <v>86303</v>
      </c>
      <c r="F1913" s="45" t="s">
        <v>4799</v>
      </c>
      <c r="G1913" s="158" t="s">
        <v>4795</v>
      </c>
      <c r="H1913" s="162" t="s">
        <v>6519</v>
      </c>
      <c r="I1913" s="163" t="s">
        <v>46</v>
      </c>
      <c r="J1913" s="163" t="s">
        <v>37</v>
      </c>
      <c r="K1913" s="163" t="s">
        <v>37</v>
      </c>
      <c r="L1913" s="163" t="s">
        <v>38</v>
      </c>
      <c r="M1913" s="163" t="s">
        <v>37</v>
      </c>
      <c r="N1913" s="163" t="s">
        <v>37</v>
      </c>
      <c r="O1913" s="163" t="s">
        <v>38</v>
      </c>
      <c r="P1913" s="163" t="s">
        <v>39</v>
      </c>
      <c r="Q1913" s="62">
        <v>46077</v>
      </c>
      <c r="V191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4" spans="1:22" s="45" customFormat="1">
      <c r="A1914" s="156">
        <v>46071</v>
      </c>
      <c r="B1914" s="45" t="s">
        <v>4800</v>
      </c>
      <c r="C1914" s="45" t="s">
        <v>4801</v>
      </c>
      <c r="D1914" s="45" t="s">
        <v>63</v>
      </c>
      <c r="E1914" s="45">
        <v>85027</v>
      </c>
      <c r="F1914" s="45" t="s">
        <v>4802</v>
      </c>
      <c r="G1914" s="158" t="s">
        <v>4795</v>
      </c>
      <c r="H1914" s="162" t="s">
        <v>6520</v>
      </c>
      <c r="I1914" s="163" t="s">
        <v>3389</v>
      </c>
      <c r="J1914" s="163" t="s">
        <v>37</v>
      </c>
      <c r="K1914" s="163" t="s">
        <v>37</v>
      </c>
      <c r="L1914" s="163" t="s">
        <v>3549</v>
      </c>
      <c r="M1914" s="163" t="s">
        <v>37</v>
      </c>
      <c r="N1914" s="163" t="s">
        <v>37</v>
      </c>
      <c r="O1914" s="163" t="s">
        <v>38</v>
      </c>
      <c r="P1914" s="163" t="s">
        <v>39</v>
      </c>
      <c r="Q1914" s="62">
        <v>46077</v>
      </c>
      <c r="R1914" s="45" t="s">
        <v>3707</v>
      </c>
      <c r="V191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5" spans="1:22" s="45" customFormat="1">
      <c r="A1915" s="156">
        <v>46071</v>
      </c>
      <c r="B1915" s="45" t="s">
        <v>2949</v>
      </c>
      <c r="C1915" s="45" t="s">
        <v>362</v>
      </c>
      <c r="D1915" s="45" t="s">
        <v>63</v>
      </c>
      <c r="E1915" s="45">
        <v>85022</v>
      </c>
      <c r="F1915" s="45" t="s">
        <v>4803</v>
      </c>
      <c r="G1915" s="158" t="s">
        <v>4795</v>
      </c>
      <c r="H1915" s="162" t="s">
        <v>6116</v>
      </c>
      <c r="I1915" s="163" t="s">
        <v>126</v>
      </c>
      <c r="J1915" s="163" t="s">
        <v>37</v>
      </c>
      <c r="K1915" s="163" t="s">
        <v>37</v>
      </c>
      <c r="L1915" s="163" t="s">
        <v>4804</v>
      </c>
      <c r="M1915" s="163" t="s">
        <v>37</v>
      </c>
      <c r="N1915" s="163" t="s">
        <v>37</v>
      </c>
      <c r="O1915" s="163" t="s">
        <v>38</v>
      </c>
      <c r="P1915" s="163" t="s">
        <v>39</v>
      </c>
      <c r="Q1915" s="62">
        <v>46077</v>
      </c>
      <c r="R1915" s="45" t="s">
        <v>4805</v>
      </c>
      <c r="V191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6" spans="1:22" s="45" customFormat="1">
      <c r="A1916" s="156">
        <v>46071</v>
      </c>
      <c r="B1916" s="45" t="s">
        <v>4806</v>
      </c>
      <c r="C1916" s="45" t="s">
        <v>1525</v>
      </c>
      <c r="D1916" s="45" t="s">
        <v>3308</v>
      </c>
      <c r="E1916" s="45">
        <v>85354</v>
      </c>
      <c r="F1916" s="45" t="s">
        <v>4807</v>
      </c>
      <c r="G1916" s="158" t="s">
        <v>4795</v>
      </c>
      <c r="H1916" s="162" t="s">
        <v>90</v>
      </c>
      <c r="I1916" s="163"/>
      <c r="J1916" s="163"/>
      <c r="K1916" s="163"/>
      <c r="L1916" s="163"/>
      <c r="M1916" s="163"/>
      <c r="N1916" s="163"/>
      <c r="O1916" s="163"/>
      <c r="P1916" s="163"/>
      <c r="Q1916" s="63"/>
      <c r="V191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7" spans="1:22" s="45" customFormat="1">
      <c r="A1917" s="156">
        <v>46071</v>
      </c>
      <c r="B1917" s="45" t="s">
        <v>4808</v>
      </c>
      <c r="C1917" s="45" t="s">
        <v>1147</v>
      </c>
      <c r="D1917" s="45" t="s">
        <v>24</v>
      </c>
      <c r="E1917" s="45">
        <v>85308</v>
      </c>
      <c r="F1917" s="45" t="s">
        <v>4809</v>
      </c>
      <c r="G1917" s="158" t="s">
        <v>4795</v>
      </c>
      <c r="H1917" s="162" t="s">
        <v>6521</v>
      </c>
      <c r="I1917" s="163" t="s">
        <v>250</v>
      </c>
      <c r="J1917" s="163" t="s">
        <v>37</v>
      </c>
      <c r="K1917" s="163" t="s">
        <v>37</v>
      </c>
      <c r="L1917" s="163" t="s">
        <v>38</v>
      </c>
      <c r="M1917" s="163" t="s">
        <v>37</v>
      </c>
      <c r="N1917" s="163" t="s">
        <v>37</v>
      </c>
      <c r="O1917" s="163" t="s">
        <v>38</v>
      </c>
      <c r="P1917" s="163" t="s">
        <v>39</v>
      </c>
      <c r="Q1917" s="62">
        <v>46077</v>
      </c>
      <c r="V191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8" spans="1:22" s="45" customFormat="1">
      <c r="A1918" s="156">
        <v>46071</v>
      </c>
      <c r="B1918" s="45" t="s">
        <v>4810</v>
      </c>
      <c r="C1918" s="45" t="s">
        <v>354</v>
      </c>
      <c r="D1918" s="45" t="s">
        <v>2052</v>
      </c>
      <c r="E1918" s="45">
        <v>85132</v>
      </c>
      <c r="F1918" s="45" t="s">
        <v>4811</v>
      </c>
      <c r="G1918" s="158" t="s">
        <v>4795</v>
      </c>
      <c r="H1918" s="162" t="s">
        <v>6522</v>
      </c>
      <c r="I1918" s="163" t="s">
        <v>46</v>
      </c>
      <c r="J1918" s="163" t="s">
        <v>37</v>
      </c>
      <c r="K1918" s="163" t="s">
        <v>37</v>
      </c>
      <c r="L1918" s="163" t="s">
        <v>38</v>
      </c>
      <c r="M1918" s="163" t="s">
        <v>37</v>
      </c>
      <c r="N1918" s="163" t="s">
        <v>37</v>
      </c>
      <c r="O1918" s="163" t="s">
        <v>38</v>
      </c>
      <c r="P1918" s="163" t="s">
        <v>39</v>
      </c>
      <c r="Q1918" s="62">
        <v>46077</v>
      </c>
      <c r="V191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19" spans="1:22" s="45" customFormat="1">
      <c r="A1919" s="156">
        <v>46071</v>
      </c>
      <c r="B1919" s="45" t="s">
        <v>4082</v>
      </c>
      <c r="C1919" s="45" t="s">
        <v>4228</v>
      </c>
      <c r="D1919" s="45" t="s">
        <v>169</v>
      </c>
      <c r="E1919" s="45">
        <v>85338</v>
      </c>
      <c r="F1919" s="45" t="s">
        <v>4812</v>
      </c>
      <c r="G1919" s="158" t="s">
        <v>4795</v>
      </c>
      <c r="H1919" s="162" t="s">
        <v>6165</v>
      </c>
      <c r="I1919" s="163" t="s">
        <v>3682</v>
      </c>
      <c r="J1919" s="163" t="s">
        <v>37</v>
      </c>
      <c r="K1919" s="163" t="s">
        <v>37</v>
      </c>
      <c r="L1919" s="163" t="s">
        <v>3549</v>
      </c>
      <c r="M1919" s="163" t="s">
        <v>38</v>
      </c>
      <c r="N1919" s="164">
        <v>5.37</v>
      </c>
      <c r="O1919" s="163" t="s">
        <v>38</v>
      </c>
      <c r="P1919" s="163" t="s">
        <v>39</v>
      </c>
      <c r="Q1919" s="62">
        <v>46077</v>
      </c>
      <c r="V191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0" spans="1:22" s="45" customFormat="1">
      <c r="A1920" s="156">
        <v>46071</v>
      </c>
      <c r="B1920" s="45" t="s">
        <v>4813</v>
      </c>
      <c r="C1920" s="45" t="s">
        <v>4814</v>
      </c>
      <c r="D1920" s="45" t="s">
        <v>2701</v>
      </c>
      <c r="E1920" s="45">
        <v>85253</v>
      </c>
      <c r="F1920" s="45" t="s">
        <v>4815</v>
      </c>
      <c r="G1920" s="158" t="s">
        <v>4795</v>
      </c>
      <c r="H1920" s="162" t="s">
        <v>6523</v>
      </c>
      <c r="I1920" s="163" t="s">
        <v>4816</v>
      </c>
      <c r="J1920" s="163" t="s">
        <v>37</v>
      </c>
      <c r="K1920" s="163" t="s">
        <v>37</v>
      </c>
      <c r="L1920" s="163" t="s">
        <v>38</v>
      </c>
      <c r="M1920" s="163" t="s">
        <v>37</v>
      </c>
      <c r="N1920" s="163" t="s">
        <v>37</v>
      </c>
      <c r="O1920" s="163" t="s">
        <v>38</v>
      </c>
      <c r="P1920" s="163" t="s">
        <v>39</v>
      </c>
      <c r="Q1920" s="62">
        <v>46077</v>
      </c>
      <c r="V192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1" spans="1:22" s="45" customFormat="1">
      <c r="A1921" s="156">
        <v>46071</v>
      </c>
      <c r="B1921" s="45" t="s">
        <v>4817</v>
      </c>
      <c r="C1921" s="45" t="s">
        <v>312</v>
      </c>
      <c r="D1921" s="45" t="s">
        <v>807</v>
      </c>
      <c r="E1921" s="45">
        <v>86301</v>
      </c>
      <c r="F1921" s="45" t="s">
        <v>4818</v>
      </c>
      <c r="G1921" s="158" t="s">
        <v>4795</v>
      </c>
      <c r="H1921" s="162" t="s">
        <v>6142</v>
      </c>
      <c r="I1921" s="163" t="s">
        <v>250</v>
      </c>
      <c r="J1921" s="163" t="s">
        <v>37</v>
      </c>
      <c r="K1921" s="163" t="s">
        <v>37</v>
      </c>
      <c r="L1921" s="163" t="s">
        <v>4819</v>
      </c>
      <c r="M1921" s="163" t="s">
        <v>37</v>
      </c>
      <c r="N1921" s="163" t="s">
        <v>37</v>
      </c>
      <c r="O1921" s="163" t="s">
        <v>38</v>
      </c>
      <c r="P1921" s="163" t="s">
        <v>39</v>
      </c>
      <c r="Q1921" s="62">
        <v>46077</v>
      </c>
      <c r="V192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2" spans="1:22" s="45" customFormat="1">
      <c r="A1922" s="156">
        <v>46071</v>
      </c>
      <c r="B1922" s="45" t="s">
        <v>4820</v>
      </c>
      <c r="C1922" s="45" t="s">
        <v>3716</v>
      </c>
      <c r="D1922" s="45" t="s">
        <v>63</v>
      </c>
      <c r="E1922" s="45">
        <v>85028</v>
      </c>
      <c r="F1922" s="45" t="s">
        <v>4821</v>
      </c>
      <c r="G1922" s="158" t="s">
        <v>4795</v>
      </c>
      <c r="H1922" s="162" t="s">
        <v>6524</v>
      </c>
      <c r="I1922" s="163" t="s">
        <v>3389</v>
      </c>
      <c r="J1922" s="163" t="s">
        <v>37</v>
      </c>
      <c r="K1922" s="163" t="s">
        <v>37</v>
      </c>
      <c r="L1922" s="163" t="s">
        <v>3549</v>
      </c>
      <c r="M1922" s="163" t="s">
        <v>37</v>
      </c>
      <c r="N1922" s="163" t="s">
        <v>37</v>
      </c>
      <c r="O1922" s="163" t="s">
        <v>38</v>
      </c>
      <c r="P1922" s="163" t="s">
        <v>39</v>
      </c>
      <c r="Q1922" s="62">
        <v>46077</v>
      </c>
      <c r="V192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3" spans="1:22" s="45" customFormat="1">
      <c r="A1923" s="156">
        <v>46071</v>
      </c>
      <c r="B1923" s="45" t="s">
        <v>417</v>
      </c>
      <c r="C1923" s="45" t="s">
        <v>375</v>
      </c>
      <c r="D1923" s="45" t="s">
        <v>63</v>
      </c>
      <c r="E1923" s="45">
        <v>85016</v>
      </c>
      <c r="F1923" s="45" t="s">
        <v>4822</v>
      </c>
      <c r="G1923" s="158" t="s">
        <v>4823</v>
      </c>
      <c r="H1923" s="162" t="s">
        <v>27</v>
      </c>
      <c r="I1923" s="163"/>
      <c r="J1923" s="163"/>
      <c r="K1923" s="163"/>
      <c r="L1923" s="163"/>
      <c r="M1923" s="163"/>
      <c r="N1923" s="163"/>
      <c r="O1923" s="163"/>
      <c r="P1923" s="163"/>
      <c r="Q1923" s="63"/>
      <c r="R1923" s="45" t="s">
        <v>4824</v>
      </c>
      <c r="V192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4" spans="1:22" s="45" customFormat="1">
      <c r="A1924" s="156">
        <v>46071</v>
      </c>
      <c r="B1924" s="45" t="s">
        <v>4825</v>
      </c>
      <c r="C1924" s="45" t="s">
        <v>933</v>
      </c>
      <c r="D1924" s="45" t="s">
        <v>261</v>
      </c>
      <c r="E1924" s="45">
        <v>86314</v>
      </c>
      <c r="F1924" s="45" t="s">
        <v>4826</v>
      </c>
      <c r="G1924" s="158" t="s">
        <v>4823</v>
      </c>
      <c r="H1924" s="162" t="s">
        <v>6525</v>
      </c>
      <c r="I1924" s="163" t="s">
        <v>73</v>
      </c>
      <c r="J1924" s="163" t="s">
        <v>38</v>
      </c>
      <c r="K1924" s="163" t="s">
        <v>37</v>
      </c>
      <c r="L1924" s="163" t="s">
        <v>38</v>
      </c>
      <c r="M1924" s="163" t="s">
        <v>37</v>
      </c>
      <c r="N1924" s="163" t="s">
        <v>37</v>
      </c>
      <c r="O1924" s="163" t="s">
        <v>38</v>
      </c>
      <c r="P1924" s="163" t="s">
        <v>39</v>
      </c>
      <c r="Q1924" s="62">
        <v>46077</v>
      </c>
      <c r="V192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5" spans="1:22" s="45" customFormat="1">
      <c r="A1925" s="156">
        <v>46071</v>
      </c>
      <c r="B1925" s="45" t="s">
        <v>4827</v>
      </c>
      <c r="C1925" s="45" t="s">
        <v>1287</v>
      </c>
      <c r="D1925" s="45" t="s">
        <v>129</v>
      </c>
      <c r="E1925" s="45">
        <v>85234</v>
      </c>
      <c r="F1925" s="45" t="s">
        <v>4828</v>
      </c>
      <c r="G1925" s="158" t="s">
        <v>4823</v>
      </c>
      <c r="H1925" s="162" t="s">
        <v>6143</v>
      </c>
      <c r="I1925" s="163" t="s">
        <v>4816</v>
      </c>
      <c r="J1925" s="163" t="s">
        <v>37</v>
      </c>
      <c r="K1925" s="163" t="s">
        <v>37</v>
      </c>
      <c r="L1925" s="163" t="s">
        <v>4829</v>
      </c>
      <c r="M1925" s="163" t="s">
        <v>37</v>
      </c>
      <c r="N1925" s="163" t="s">
        <v>37</v>
      </c>
      <c r="O1925" s="163" t="s">
        <v>38</v>
      </c>
      <c r="P1925" s="163"/>
      <c r="Q1925" s="64">
        <v>46077</v>
      </c>
      <c r="R1925" s="45" t="s">
        <v>3474</v>
      </c>
      <c r="V192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6" spans="1:22" s="45" customFormat="1">
      <c r="A1926" s="156">
        <v>46071</v>
      </c>
      <c r="B1926" s="45" t="s">
        <v>4830</v>
      </c>
      <c r="C1926" s="45" t="s">
        <v>4831</v>
      </c>
      <c r="D1926" s="45" t="s">
        <v>807</v>
      </c>
      <c r="E1926" s="45">
        <v>86303</v>
      </c>
      <c r="F1926" s="45" t="s">
        <v>4832</v>
      </c>
      <c r="G1926" s="158" t="s">
        <v>4823</v>
      </c>
      <c r="H1926" s="162" t="s">
        <v>6526</v>
      </c>
      <c r="I1926" s="163" t="s">
        <v>46</v>
      </c>
      <c r="J1926" s="163" t="s">
        <v>37</v>
      </c>
      <c r="K1926" s="163" t="s">
        <v>37</v>
      </c>
      <c r="L1926" s="163" t="s">
        <v>38</v>
      </c>
      <c r="M1926" s="163" t="s">
        <v>37</v>
      </c>
      <c r="N1926" s="163" t="s">
        <v>37</v>
      </c>
      <c r="O1926" s="163" t="s">
        <v>38</v>
      </c>
      <c r="P1926" s="163" t="s">
        <v>39</v>
      </c>
      <c r="Q1926" s="62">
        <v>46077</v>
      </c>
      <c r="V192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7" spans="1:22" s="45" customFormat="1">
      <c r="A1927" s="156">
        <v>46071</v>
      </c>
      <c r="B1927" s="45" t="s">
        <v>4833</v>
      </c>
      <c r="C1927" s="45" t="s">
        <v>4834</v>
      </c>
      <c r="D1927" s="45" t="s">
        <v>63</v>
      </c>
      <c r="E1927" s="45">
        <v>85037</v>
      </c>
      <c r="F1927" s="45" t="s">
        <v>3226</v>
      </c>
      <c r="G1927" s="158" t="s">
        <v>4823</v>
      </c>
      <c r="H1927" s="162" t="s">
        <v>27</v>
      </c>
      <c r="I1927" s="163"/>
      <c r="J1927" s="163"/>
      <c r="K1927" s="163"/>
      <c r="L1927" s="163"/>
      <c r="M1927" s="163"/>
      <c r="N1927" s="163"/>
      <c r="O1927" s="163"/>
      <c r="P1927" s="163"/>
      <c r="Q1927" s="63"/>
      <c r="V192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8" spans="1:22" s="45" customFormat="1">
      <c r="A1928" s="156">
        <v>46071</v>
      </c>
      <c r="B1928" s="45" t="s">
        <v>4835</v>
      </c>
      <c r="C1928" s="45" t="s">
        <v>208</v>
      </c>
      <c r="D1928" s="45" t="s">
        <v>501</v>
      </c>
      <c r="E1928" s="45">
        <v>86001</v>
      </c>
      <c r="F1928" s="45" t="s">
        <v>4836</v>
      </c>
      <c r="G1928" s="158" t="s">
        <v>4823</v>
      </c>
      <c r="H1928" s="162" t="s">
        <v>27</v>
      </c>
      <c r="I1928" s="163"/>
      <c r="J1928" s="163"/>
      <c r="K1928" s="163"/>
      <c r="L1928" s="163"/>
      <c r="M1928" s="163"/>
      <c r="N1928" s="163"/>
      <c r="O1928" s="163"/>
      <c r="P1928" s="163"/>
      <c r="Q1928" s="63"/>
      <c r="V192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29" spans="1:22" s="45" customFormat="1">
      <c r="A1929" s="156">
        <v>46071</v>
      </c>
      <c r="B1929" s="45" t="s">
        <v>4837</v>
      </c>
      <c r="C1929" s="45" t="s">
        <v>572</v>
      </c>
      <c r="D1929" s="45" t="s">
        <v>2860</v>
      </c>
      <c r="E1929" s="45">
        <v>86322</v>
      </c>
      <c r="F1929" s="45" t="s">
        <v>4838</v>
      </c>
      <c r="G1929" s="158" t="s">
        <v>4823</v>
      </c>
      <c r="H1929" s="162" t="s">
        <v>6527</v>
      </c>
      <c r="I1929" s="163" t="s">
        <v>73</v>
      </c>
      <c r="J1929" s="163" t="s">
        <v>38</v>
      </c>
      <c r="K1929" s="163" t="s">
        <v>37</v>
      </c>
      <c r="L1929" s="163" t="s">
        <v>38</v>
      </c>
      <c r="M1929" s="163" t="s">
        <v>37</v>
      </c>
      <c r="N1929" s="163" t="s">
        <v>37</v>
      </c>
      <c r="O1929" s="163" t="s">
        <v>38</v>
      </c>
      <c r="P1929" s="163" t="s">
        <v>39</v>
      </c>
      <c r="Q1929" s="62">
        <v>46077</v>
      </c>
      <c r="V192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0" spans="1:22" s="45" customFormat="1">
      <c r="A1930" s="156">
        <v>46071</v>
      </c>
      <c r="B1930" s="45" t="s">
        <v>4839</v>
      </c>
      <c r="C1930" s="45" t="s">
        <v>4840</v>
      </c>
      <c r="D1930" s="45" t="s">
        <v>169</v>
      </c>
      <c r="E1930" s="45">
        <v>85395</v>
      </c>
      <c r="F1930" s="45" t="s">
        <v>4841</v>
      </c>
      <c r="G1930" s="158" t="s">
        <v>4823</v>
      </c>
      <c r="H1930" s="162" t="s">
        <v>6528</v>
      </c>
      <c r="I1930" s="163" t="s">
        <v>36</v>
      </c>
      <c r="J1930" s="163" t="s">
        <v>37</v>
      </c>
      <c r="K1930" s="163" t="s">
        <v>37</v>
      </c>
      <c r="L1930" s="163" t="s">
        <v>38</v>
      </c>
      <c r="M1930" s="163" t="s">
        <v>37</v>
      </c>
      <c r="N1930" s="163" t="s">
        <v>37</v>
      </c>
      <c r="O1930" s="163" t="s">
        <v>38</v>
      </c>
      <c r="P1930" s="163" t="s">
        <v>39</v>
      </c>
      <c r="Q1930" s="62">
        <v>46077</v>
      </c>
      <c r="V193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1" spans="1:22" s="45" customFormat="1">
      <c r="A1931" s="156">
        <v>46071</v>
      </c>
      <c r="B1931" s="45" t="s">
        <v>362</v>
      </c>
      <c r="C1931" s="45" t="s">
        <v>177</v>
      </c>
      <c r="D1931" s="45" t="s">
        <v>63</v>
      </c>
      <c r="E1931" s="45">
        <v>85050</v>
      </c>
      <c r="F1931" s="45" t="s">
        <v>4842</v>
      </c>
      <c r="G1931" s="158" t="s">
        <v>4823</v>
      </c>
      <c r="H1931" s="162" t="s">
        <v>6529</v>
      </c>
      <c r="I1931" s="163" t="s">
        <v>3357</v>
      </c>
      <c r="J1931" s="163" t="s">
        <v>37</v>
      </c>
      <c r="K1931" s="163" t="s">
        <v>37</v>
      </c>
      <c r="L1931" s="163" t="s">
        <v>3549</v>
      </c>
      <c r="M1931" s="163" t="s">
        <v>37</v>
      </c>
      <c r="N1931" s="163" t="s">
        <v>37</v>
      </c>
      <c r="O1931" s="163" t="s">
        <v>38</v>
      </c>
      <c r="P1931" s="163" t="s">
        <v>39</v>
      </c>
      <c r="Q1931" s="62">
        <v>46077</v>
      </c>
      <c r="V193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2" spans="1:22" s="45" customFormat="1">
      <c r="A1932" s="156">
        <v>46071</v>
      </c>
      <c r="B1932" s="45" t="s">
        <v>4843</v>
      </c>
      <c r="C1932" s="45" t="s">
        <v>1651</v>
      </c>
      <c r="D1932" s="45" t="s">
        <v>63</v>
      </c>
      <c r="E1932" s="45">
        <v>85024</v>
      </c>
      <c r="F1932" s="45" t="s">
        <v>4844</v>
      </c>
      <c r="G1932" s="158" t="s">
        <v>4823</v>
      </c>
      <c r="H1932" s="162" t="s">
        <v>6530</v>
      </c>
      <c r="I1932" s="163" t="s">
        <v>36</v>
      </c>
      <c r="J1932" s="163" t="s">
        <v>37</v>
      </c>
      <c r="K1932" s="163" t="s">
        <v>37</v>
      </c>
      <c r="L1932" s="163" t="s">
        <v>38</v>
      </c>
      <c r="M1932" s="163" t="s">
        <v>37</v>
      </c>
      <c r="N1932" s="163" t="s">
        <v>37</v>
      </c>
      <c r="O1932" s="163" t="s">
        <v>38</v>
      </c>
      <c r="P1932" s="163" t="s">
        <v>39</v>
      </c>
      <c r="Q1932" s="62">
        <v>46077</v>
      </c>
      <c r="V193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3" spans="1:22" s="45" customFormat="1">
      <c r="A1933" s="156">
        <v>46071</v>
      </c>
      <c r="B1933" s="45" t="s">
        <v>4845</v>
      </c>
      <c r="C1933" s="45" t="s">
        <v>4846</v>
      </c>
      <c r="D1933" s="45" t="s">
        <v>501</v>
      </c>
      <c r="E1933" s="45">
        <v>86005</v>
      </c>
      <c r="F1933" s="45" t="s">
        <v>4847</v>
      </c>
      <c r="G1933" s="158" t="s">
        <v>4823</v>
      </c>
      <c r="H1933" s="162" t="s">
        <v>6144</v>
      </c>
      <c r="I1933" s="163" t="s">
        <v>46</v>
      </c>
      <c r="J1933" s="163" t="s">
        <v>37</v>
      </c>
      <c r="K1933" s="163" t="s">
        <v>37</v>
      </c>
      <c r="L1933" s="163" t="s">
        <v>4848</v>
      </c>
      <c r="M1933" s="163" t="s">
        <v>37</v>
      </c>
      <c r="N1933" s="163" t="s">
        <v>37</v>
      </c>
      <c r="O1933" s="163" t="s">
        <v>38</v>
      </c>
      <c r="P1933" s="163" t="s">
        <v>39</v>
      </c>
      <c r="Q1933" s="62">
        <v>46077</v>
      </c>
      <c r="V193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4" spans="1:22" s="45" customFormat="1">
      <c r="A1934" s="156">
        <v>46071</v>
      </c>
      <c r="B1934" s="45" t="s">
        <v>4849</v>
      </c>
      <c r="C1934" s="45" t="s">
        <v>4850</v>
      </c>
      <c r="D1934" s="45" t="s">
        <v>501</v>
      </c>
      <c r="E1934" s="45">
        <v>86005</v>
      </c>
      <c r="F1934" s="45" t="s">
        <v>4851</v>
      </c>
      <c r="G1934" s="158" t="s">
        <v>4823</v>
      </c>
      <c r="H1934" s="162" t="s">
        <v>6145</v>
      </c>
      <c r="I1934" s="163" t="s">
        <v>126</v>
      </c>
      <c r="J1934" s="163" t="s">
        <v>37</v>
      </c>
      <c r="K1934" s="163" t="s">
        <v>37</v>
      </c>
      <c r="L1934" s="163" t="s">
        <v>4852</v>
      </c>
      <c r="M1934" s="163" t="s">
        <v>37</v>
      </c>
      <c r="N1934" s="163" t="s">
        <v>37</v>
      </c>
      <c r="O1934" s="163" t="s">
        <v>38</v>
      </c>
      <c r="P1934" s="163" t="s">
        <v>39</v>
      </c>
      <c r="Q1934" s="62">
        <v>46077</v>
      </c>
      <c r="V193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5" spans="1:22" s="45" customFormat="1">
      <c r="A1935" s="156">
        <v>46071</v>
      </c>
      <c r="B1935" s="45" t="s">
        <v>744</v>
      </c>
      <c r="C1935" s="45" t="s">
        <v>2494</v>
      </c>
      <c r="D1935" s="45" t="s">
        <v>695</v>
      </c>
      <c r="E1935" s="45">
        <v>85375</v>
      </c>
      <c r="F1935" s="45" t="s">
        <v>4853</v>
      </c>
      <c r="G1935" s="158" t="s">
        <v>4854</v>
      </c>
      <c r="H1935" s="162" t="s">
        <v>6146</v>
      </c>
      <c r="I1935" s="163" t="s">
        <v>46</v>
      </c>
      <c r="J1935" s="163" t="s">
        <v>37</v>
      </c>
      <c r="K1935" s="163" t="s">
        <v>37</v>
      </c>
      <c r="L1935" s="163" t="s">
        <v>4855</v>
      </c>
      <c r="M1935" s="163" t="s">
        <v>37</v>
      </c>
      <c r="N1935" s="163" t="s">
        <v>37</v>
      </c>
      <c r="O1935" s="163" t="s">
        <v>38</v>
      </c>
      <c r="P1935" s="163" t="s">
        <v>39</v>
      </c>
      <c r="Q1935" s="62">
        <v>46077</v>
      </c>
      <c r="V193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6" spans="1:22" s="45" customFormat="1">
      <c r="A1936" s="156">
        <v>46071</v>
      </c>
      <c r="B1936" s="45" t="s">
        <v>3837</v>
      </c>
      <c r="C1936" s="45" t="s">
        <v>1395</v>
      </c>
      <c r="D1936" s="45" t="s">
        <v>30</v>
      </c>
      <c r="E1936" s="45" t="s">
        <v>30</v>
      </c>
      <c r="F1936" s="45" t="s">
        <v>4856</v>
      </c>
      <c r="G1936" s="158" t="s">
        <v>4857</v>
      </c>
      <c r="H1936" s="162" t="s">
        <v>27</v>
      </c>
      <c r="I1936" s="163"/>
      <c r="J1936" s="163"/>
      <c r="K1936" s="163"/>
      <c r="L1936" s="163"/>
      <c r="M1936" s="163"/>
      <c r="N1936" s="163"/>
      <c r="O1936" s="163"/>
      <c r="P1936" s="163"/>
      <c r="Q1936" s="63"/>
      <c r="R1936" s="45" t="s">
        <v>4824</v>
      </c>
      <c r="V193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7" spans="1:22" s="45" customFormat="1">
      <c r="A1937" s="156">
        <v>46072</v>
      </c>
      <c r="B1937" s="45" t="s">
        <v>4858</v>
      </c>
      <c r="C1937" s="45" t="s">
        <v>4859</v>
      </c>
      <c r="D1937" s="45" t="s">
        <v>93</v>
      </c>
      <c r="E1937" s="45">
        <v>85373</v>
      </c>
      <c r="F1937" s="45" t="s">
        <v>4860</v>
      </c>
      <c r="G1937" s="158" t="s">
        <v>4861</v>
      </c>
      <c r="H1937" s="162" t="s">
        <v>6531</v>
      </c>
      <c r="I1937" s="163" t="s">
        <v>126</v>
      </c>
      <c r="J1937" s="163" t="s">
        <v>37</v>
      </c>
      <c r="K1937" s="163" t="s">
        <v>37</v>
      </c>
      <c r="L1937" s="163" t="s">
        <v>38</v>
      </c>
      <c r="M1937" s="163" t="s">
        <v>37</v>
      </c>
      <c r="N1937" s="163" t="s">
        <v>37</v>
      </c>
      <c r="O1937" s="163" t="s">
        <v>38</v>
      </c>
      <c r="P1937" s="163" t="s">
        <v>39</v>
      </c>
      <c r="Q1937" s="62">
        <v>46077</v>
      </c>
      <c r="V193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8" spans="1:22" s="45" customFormat="1">
      <c r="A1938" s="156">
        <v>46072</v>
      </c>
      <c r="B1938" s="45" t="s">
        <v>4862</v>
      </c>
      <c r="C1938" s="45" t="s">
        <v>4863</v>
      </c>
      <c r="D1938" s="45" t="s">
        <v>3009</v>
      </c>
      <c r="E1938" s="45">
        <v>85746</v>
      </c>
      <c r="F1938" s="45" t="s">
        <v>4864</v>
      </c>
      <c r="G1938" s="158" t="s">
        <v>4861</v>
      </c>
      <c r="H1938" s="162" t="s">
        <v>27</v>
      </c>
      <c r="I1938" s="163"/>
      <c r="J1938" s="163"/>
      <c r="K1938" s="163"/>
      <c r="L1938" s="163"/>
      <c r="M1938" s="163"/>
      <c r="N1938" s="163"/>
      <c r="O1938" s="163"/>
      <c r="P1938" s="163"/>
      <c r="Q1938" s="63"/>
      <c r="V193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39" spans="1:22" s="45" customFormat="1">
      <c r="A1939" s="156">
        <v>46072</v>
      </c>
      <c r="B1939" s="45" t="s">
        <v>3815</v>
      </c>
      <c r="C1939" s="45" t="s">
        <v>284</v>
      </c>
      <c r="D1939" s="45" t="s">
        <v>63</v>
      </c>
      <c r="E1939" s="45">
        <v>85020</v>
      </c>
      <c r="F1939" s="45" t="s">
        <v>4865</v>
      </c>
      <c r="G1939" s="158" t="s">
        <v>4861</v>
      </c>
      <c r="H1939" s="162" t="s">
        <v>6532</v>
      </c>
      <c r="I1939" s="163" t="s">
        <v>4255</v>
      </c>
      <c r="J1939" s="163" t="s">
        <v>37</v>
      </c>
      <c r="K1939" s="163" t="s">
        <v>37</v>
      </c>
      <c r="L1939" s="163" t="s">
        <v>38</v>
      </c>
      <c r="M1939" s="163" t="s">
        <v>37</v>
      </c>
      <c r="N1939" s="163" t="s">
        <v>37</v>
      </c>
      <c r="O1939" s="163" t="s">
        <v>38</v>
      </c>
      <c r="P1939" s="163" t="s">
        <v>39</v>
      </c>
      <c r="Q1939" s="62">
        <v>45712</v>
      </c>
      <c r="V1939"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0" spans="1:22" s="45" customFormat="1">
      <c r="A1940" s="156">
        <v>46072</v>
      </c>
      <c r="B1940" s="45" t="s">
        <v>4866</v>
      </c>
      <c r="C1940" s="45" t="s">
        <v>915</v>
      </c>
      <c r="D1940" s="45" t="s">
        <v>63</v>
      </c>
      <c r="E1940" s="45">
        <v>85020</v>
      </c>
      <c r="F1940" s="45" t="s">
        <v>4867</v>
      </c>
      <c r="G1940" s="158" t="s">
        <v>4861</v>
      </c>
      <c r="H1940" s="162" t="s">
        <v>6532</v>
      </c>
      <c r="I1940" s="163" t="s">
        <v>4255</v>
      </c>
      <c r="J1940" s="163" t="s">
        <v>37</v>
      </c>
      <c r="K1940" s="163" t="s">
        <v>37</v>
      </c>
      <c r="L1940" s="163" t="s">
        <v>38</v>
      </c>
      <c r="M1940" s="163" t="s">
        <v>37</v>
      </c>
      <c r="N1940" s="163" t="s">
        <v>37</v>
      </c>
      <c r="O1940" s="163" t="s">
        <v>38</v>
      </c>
      <c r="P1940" s="163" t="s">
        <v>39</v>
      </c>
      <c r="Q1940" s="62">
        <v>45712</v>
      </c>
      <c r="V1940"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1" spans="1:22" s="45" customFormat="1">
      <c r="A1941" s="156">
        <v>46072</v>
      </c>
      <c r="B1941" s="45" t="s">
        <v>4868</v>
      </c>
      <c r="C1941" s="45" t="s">
        <v>915</v>
      </c>
      <c r="D1941" s="45" t="s">
        <v>89</v>
      </c>
      <c r="E1941" s="45">
        <v>86351</v>
      </c>
      <c r="F1941" s="45" t="s">
        <v>4869</v>
      </c>
      <c r="G1941" s="158" t="s">
        <v>4870</v>
      </c>
      <c r="H1941" s="162" t="s">
        <v>6533</v>
      </c>
      <c r="I1941" s="163" t="s">
        <v>73</v>
      </c>
      <c r="J1941" s="163" t="s">
        <v>37</v>
      </c>
      <c r="K1941" s="163" t="s">
        <v>4871</v>
      </c>
      <c r="L1941" s="163" t="s">
        <v>38</v>
      </c>
      <c r="M1941" s="163" t="s">
        <v>37</v>
      </c>
      <c r="N1941" s="163" t="s">
        <v>37</v>
      </c>
      <c r="O1941" s="163" t="s">
        <v>38</v>
      </c>
      <c r="P1941" s="163" t="s">
        <v>39</v>
      </c>
      <c r="Q1941" s="62">
        <v>46077</v>
      </c>
      <c r="V1941"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2" spans="1:22" s="45" customFormat="1">
      <c r="A1942" s="156">
        <v>46072</v>
      </c>
      <c r="B1942" s="45" t="s">
        <v>4872</v>
      </c>
      <c r="C1942" s="45" t="s">
        <v>4622</v>
      </c>
      <c r="D1942" s="45" t="s">
        <v>501</v>
      </c>
      <c r="E1942" s="45">
        <v>86004</v>
      </c>
      <c r="F1942" s="45" t="s">
        <v>4873</v>
      </c>
      <c r="G1942" s="158" t="s">
        <v>4870</v>
      </c>
      <c r="H1942" s="162" t="s">
        <v>6534</v>
      </c>
      <c r="I1942" s="163" t="s">
        <v>73</v>
      </c>
      <c r="J1942" s="163" t="s">
        <v>37</v>
      </c>
      <c r="K1942" s="163" t="s">
        <v>37</v>
      </c>
      <c r="L1942" s="163" t="s">
        <v>38</v>
      </c>
      <c r="M1942" s="163" t="s">
        <v>37</v>
      </c>
      <c r="N1942" s="163" t="s">
        <v>37</v>
      </c>
      <c r="O1942" s="163" t="s">
        <v>38</v>
      </c>
      <c r="P1942" s="163" t="s">
        <v>39</v>
      </c>
      <c r="Q1942" s="62">
        <v>46077</v>
      </c>
      <c r="V1942"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3" spans="1:22" s="45" customFormat="1">
      <c r="A1943" s="156">
        <v>46072</v>
      </c>
      <c r="B1943" s="45" t="s">
        <v>4601</v>
      </c>
      <c r="C1943" s="45" t="s">
        <v>4079</v>
      </c>
      <c r="D1943" s="45" t="s">
        <v>174</v>
      </c>
      <c r="E1943" s="45" t="s">
        <v>4004</v>
      </c>
      <c r="F1943" s="45" t="s">
        <v>4874</v>
      </c>
      <c r="G1943" s="158" t="s">
        <v>4870</v>
      </c>
      <c r="H1943" s="162" t="s">
        <v>27</v>
      </c>
      <c r="I1943" s="163"/>
      <c r="J1943" s="163"/>
      <c r="K1943" s="163"/>
      <c r="L1943" s="163"/>
      <c r="M1943" s="163"/>
      <c r="N1943" s="163"/>
      <c r="O1943" s="163"/>
      <c r="P1943" s="163"/>
      <c r="Q1943" s="63"/>
      <c r="V1943"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4" spans="1:22" s="45" customFormat="1">
      <c r="A1944" s="156">
        <v>46072</v>
      </c>
      <c r="B1944" s="45" t="s">
        <v>1041</v>
      </c>
      <c r="C1944" s="45" t="s">
        <v>4875</v>
      </c>
      <c r="D1944" s="45" t="s">
        <v>63</v>
      </c>
      <c r="E1944" s="45">
        <v>85016</v>
      </c>
      <c r="F1944" s="45" t="s">
        <v>4876</v>
      </c>
      <c r="G1944" s="158" t="s">
        <v>4870</v>
      </c>
      <c r="H1944" s="162" t="s">
        <v>90</v>
      </c>
      <c r="I1944" s="163"/>
      <c r="J1944" s="163"/>
      <c r="K1944" s="163"/>
      <c r="L1944" s="163"/>
      <c r="M1944" s="163"/>
      <c r="N1944" s="163"/>
      <c r="O1944" s="163"/>
      <c r="P1944" s="163"/>
      <c r="Q1944" s="63"/>
      <c r="V1944"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5" spans="1:22" s="45" customFormat="1">
      <c r="A1945" s="156">
        <v>46073</v>
      </c>
      <c r="B1945" s="45" t="s">
        <v>4877</v>
      </c>
      <c r="C1945" s="45" t="s">
        <v>230</v>
      </c>
      <c r="D1945" s="45" t="s">
        <v>202</v>
      </c>
      <c r="E1945" s="45">
        <v>85383</v>
      </c>
      <c r="F1945" s="45" t="s">
        <v>4878</v>
      </c>
      <c r="G1945" s="158" t="s">
        <v>4879</v>
      </c>
      <c r="H1945" s="162" t="s">
        <v>6535</v>
      </c>
      <c r="I1945" s="163" t="s">
        <v>4255</v>
      </c>
      <c r="J1945" s="163" t="s">
        <v>37</v>
      </c>
      <c r="K1945" s="163" t="s">
        <v>37</v>
      </c>
      <c r="L1945" s="163" t="s">
        <v>38</v>
      </c>
      <c r="M1945" s="163" t="s">
        <v>37</v>
      </c>
      <c r="N1945" s="163" t="s">
        <v>37</v>
      </c>
      <c r="O1945" s="163" t="s">
        <v>38</v>
      </c>
      <c r="P1945" s="163" t="s">
        <v>39</v>
      </c>
      <c r="Q1945" s="62">
        <v>46077</v>
      </c>
      <c r="V1945"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6" spans="1:22" s="45" customFormat="1">
      <c r="A1946" s="156">
        <v>46073</v>
      </c>
      <c r="B1946" s="45" t="s">
        <v>4880</v>
      </c>
      <c r="C1946" s="45" t="s">
        <v>945</v>
      </c>
      <c r="D1946" s="45" t="s">
        <v>1681</v>
      </c>
      <c r="E1946" s="45">
        <v>85201</v>
      </c>
      <c r="F1946" s="45" t="s">
        <v>4881</v>
      </c>
      <c r="G1946" s="158" t="s">
        <v>4879</v>
      </c>
      <c r="H1946" s="162" t="s">
        <v>27</v>
      </c>
      <c r="I1946" s="163"/>
      <c r="J1946" s="163"/>
      <c r="K1946" s="163"/>
      <c r="L1946" s="163"/>
      <c r="M1946" s="163"/>
      <c r="N1946" s="163"/>
      <c r="O1946" s="163"/>
      <c r="P1946" s="163"/>
      <c r="Q1946" s="63"/>
      <c r="V1946"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7" spans="1:22" s="45" customFormat="1">
      <c r="A1947" s="156">
        <v>46073</v>
      </c>
      <c r="B1947" s="45" t="s">
        <v>4882</v>
      </c>
      <c r="C1947" s="45" t="s">
        <v>647</v>
      </c>
      <c r="D1947" s="45" t="s">
        <v>63</v>
      </c>
      <c r="E1947" s="45">
        <v>85020</v>
      </c>
      <c r="F1947" s="45" t="s">
        <v>4883</v>
      </c>
      <c r="G1947" s="158" t="s">
        <v>4884</v>
      </c>
      <c r="H1947" s="162" t="s">
        <v>6737</v>
      </c>
      <c r="I1947" s="163" t="s">
        <v>4816</v>
      </c>
      <c r="J1947" s="163" t="s">
        <v>37</v>
      </c>
      <c r="K1947" s="163" t="s">
        <v>37</v>
      </c>
      <c r="L1947" s="163" t="s">
        <v>4885</v>
      </c>
      <c r="M1947" s="163" t="s">
        <v>37</v>
      </c>
      <c r="N1947" s="163" t="s">
        <v>37</v>
      </c>
      <c r="O1947" s="163" t="s">
        <v>38</v>
      </c>
      <c r="P1947" s="163"/>
      <c r="Q1947" s="64">
        <v>45712</v>
      </c>
      <c r="R1947" s="45" t="s">
        <v>3474</v>
      </c>
      <c r="V1947"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8" spans="1:22" s="45" customFormat="1">
      <c r="A1948" s="156">
        <v>46076</v>
      </c>
      <c r="B1948" s="45" t="s">
        <v>91</v>
      </c>
      <c r="C1948" s="45" t="s">
        <v>92</v>
      </c>
      <c r="D1948" s="45" t="s">
        <v>93</v>
      </c>
      <c r="E1948" s="45">
        <v>85351</v>
      </c>
      <c r="F1948" s="45" t="s">
        <v>4886</v>
      </c>
      <c r="G1948" s="158" t="s">
        <v>4887</v>
      </c>
      <c r="H1948" s="162" t="s">
        <v>2986</v>
      </c>
      <c r="I1948" s="163" t="s">
        <v>73</v>
      </c>
      <c r="J1948" s="163" t="s">
        <v>37</v>
      </c>
      <c r="K1948" s="163" t="s">
        <v>37</v>
      </c>
      <c r="L1948" s="163" t="s">
        <v>38</v>
      </c>
      <c r="M1948" s="163" t="s">
        <v>37</v>
      </c>
      <c r="N1948" s="163" t="s">
        <v>37</v>
      </c>
      <c r="O1948" s="163" t="s">
        <v>38</v>
      </c>
      <c r="P1948" s="163" t="s">
        <v>39</v>
      </c>
      <c r="Q1948" s="62">
        <v>46077</v>
      </c>
      <c r="V1948" s="166">
        <f>IF(
  OR(
    ISNUMBER(SEARCH("unable to locate acct", tblDocketedComments[[#This Row],[Docketed Consumer Comments]])),
    ISNUMBER(SEARCH("unknown", tblDocketedComments[[#This Row],[Docketed Consumer Comments]])),
    ISNUMBER(SEARCH("inactive", tblDocketedComments[[#This Row],[Docketed Consumer Comments]]))
  ),
  0,
  1
)</f>
        <v>1</v>
      </c>
    </row>
    <row r="1949" spans="1:22" s="45" customFormat="1">
      <c r="A1949" s="156">
        <v>46076</v>
      </c>
      <c r="B1949" s="45" t="s">
        <v>4888</v>
      </c>
      <c r="C1949" s="45" t="s">
        <v>4889</v>
      </c>
      <c r="D1949" s="45" t="s">
        <v>125</v>
      </c>
      <c r="E1949" s="45">
        <v>85251</v>
      </c>
      <c r="F1949" s="45" t="s">
        <v>4890</v>
      </c>
      <c r="G1949" s="158" t="s">
        <v>4887</v>
      </c>
      <c r="H1949" s="162" t="s">
        <v>27</v>
      </c>
      <c r="I1949" s="163"/>
      <c r="J1949" s="163"/>
      <c r="K1949" s="163"/>
      <c r="L1949" s="163"/>
      <c r="M1949" s="163"/>
      <c r="N1949" s="163"/>
      <c r="O1949" s="163"/>
      <c r="P1949" s="163"/>
      <c r="Q1949" s="63"/>
      <c r="V1949" s="166">
        <f>IF(
  OR(
    ISNUMBER(SEARCH("unable to locate acct", tblDocketedComments[[#This Row],[Docketed Consumer Comments]])),
    ISNUMBER(SEARCH("unknown", tblDocketedComments[[#This Row],[Docketed Consumer Comments]])),
    ISNUMBER(SEARCH("inactive", tblDocketedComments[[#This Row],[Docketed Consumer Comments]]))
  ),
  0,
  1
)</f>
        <v>1</v>
      </c>
    </row>
  </sheetData>
  <hyperlinks>
    <hyperlink ref="G1384" r:id="rId1" xr:uid="{DA231809-9E44-4D83-AC35-430A0FF16C89}"/>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3EEC-353A-4F95-AD82-4F6402062F4C}">
  <dimension ref="A1:A200"/>
  <sheetViews>
    <sheetView tabSelected="1" workbookViewId="0"/>
  </sheetViews>
  <sheetFormatPr defaultRowHeight="15"/>
  <cols>
    <col min="1" max="1" width="114.28515625" customWidth="1"/>
  </cols>
  <sheetData>
    <row r="1" spans="1:1" ht="18.75">
      <c r="A1" s="174" t="s">
        <v>6865</v>
      </c>
    </row>
    <row r="2" spans="1:1" ht="18.75">
      <c r="A2" s="174" t="s">
        <v>6866</v>
      </c>
    </row>
    <row r="3" spans="1:1" ht="18.75">
      <c r="A3" s="174" t="s">
        <v>6865</v>
      </c>
    </row>
    <row r="4" spans="1:1">
      <c r="A4" s="172"/>
    </row>
    <row r="5" spans="1:1">
      <c r="A5" s="175" t="s">
        <v>6867</v>
      </c>
    </row>
    <row r="6" spans="1:1">
      <c r="A6" s="172" t="s">
        <v>6868</v>
      </c>
    </row>
    <row r="7" spans="1:1">
      <c r="A7" s="172" t="s">
        <v>6869</v>
      </c>
    </row>
    <row r="8" spans="1:1">
      <c r="A8" s="172" t="s">
        <v>6870</v>
      </c>
    </row>
    <row r="9" spans="1:1">
      <c r="A9" s="172"/>
    </row>
    <row r="10" spans="1:1">
      <c r="A10" s="175" t="s">
        <v>6871</v>
      </c>
    </row>
    <row r="11" spans="1:1">
      <c r="A11" s="172" t="s">
        <v>6872</v>
      </c>
    </row>
    <row r="12" spans="1:1">
      <c r="A12" s="172" t="s">
        <v>6873</v>
      </c>
    </row>
    <row r="13" spans="1:1">
      <c r="A13" s="172" t="s">
        <v>6874</v>
      </c>
    </row>
    <row r="14" spans="1:1">
      <c r="A14" s="172" t="s">
        <v>6875</v>
      </c>
    </row>
    <row r="15" spans="1:1">
      <c r="A15" s="172" t="s">
        <v>6876</v>
      </c>
    </row>
    <row r="16" spans="1:1">
      <c r="A16" s="172"/>
    </row>
    <row r="17" spans="1:1">
      <c r="A17" s="175" t="s">
        <v>6877</v>
      </c>
    </row>
    <row r="18" spans="1:1">
      <c r="A18" s="172" t="s">
        <v>6878</v>
      </c>
    </row>
    <row r="19" spans="1:1">
      <c r="A19" s="172"/>
    </row>
    <row r="20" spans="1:1">
      <c r="A20" s="172" t="s">
        <v>6879</v>
      </c>
    </row>
    <row r="21" spans="1:1">
      <c r="A21" s="172"/>
    </row>
    <row r="22" spans="1:1">
      <c r="A22" s="172" t="s">
        <v>6880</v>
      </c>
    </row>
    <row r="23" spans="1:1">
      <c r="A23" s="172"/>
    </row>
    <row r="24" spans="1:1">
      <c r="A24" s="172" t="s">
        <v>6881</v>
      </c>
    </row>
    <row r="25" spans="1:1">
      <c r="A25" s="172" t="s">
        <v>6882</v>
      </c>
    </row>
    <row r="26" spans="1:1">
      <c r="A26" s="172" t="s">
        <v>6883</v>
      </c>
    </row>
    <row r="27" spans="1:1">
      <c r="A27" s="172" t="s">
        <v>6884</v>
      </c>
    </row>
    <row r="28" spans="1:1">
      <c r="A28" s="172"/>
    </row>
    <row r="29" spans="1:1">
      <c r="A29" s="172" t="s">
        <v>6885</v>
      </c>
    </row>
    <row r="30" spans="1:1">
      <c r="A30" s="172" t="s">
        <v>6886</v>
      </c>
    </row>
    <row r="31" spans="1:1">
      <c r="A31" s="172"/>
    </row>
    <row r="32" spans="1:1">
      <c r="A32" s="172" t="s">
        <v>6887</v>
      </c>
    </row>
    <row r="33" spans="1:1">
      <c r="A33" s="172" t="s">
        <v>6888</v>
      </c>
    </row>
    <row r="34" spans="1:1">
      <c r="A34" s="175"/>
    </row>
    <row r="35" spans="1:1">
      <c r="A35" s="172" t="s">
        <v>6889</v>
      </c>
    </row>
    <row r="36" spans="1:1">
      <c r="A36" s="172" t="s">
        <v>6890</v>
      </c>
    </row>
    <row r="37" spans="1:1">
      <c r="A37" s="172" t="s">
        <v>6891</v>
      </c>
    </row>
    <row r="38" spans="1:1">
      <c r="A38" s="172"/>
    </row>
    <row r="39" spans="1:1">
      <c r="A39" s="172" t="s">
        <v>6892</v>
      </c>
    </row>
    <row r="40" spans="1:1">
      <c r="A40" s="172" t="s">
        <v>6893</v>
      </c>
    </row>
    <row r="41" spans="1:1">
      <c r="A41" s="172" t="s">
        <v>6894</v>
      </c>
    </row>
    <row r="42" spans="1:1">
      <c r="A42" s="172" t="s">
        <v>6895</v>
      </c>
    </row>
    <row r="43" spans="1:1">
      <c r="A43" s="172"/>
    </row>
    <row r="44" spans="1:1">
      <c r="A44" s="172" t="s">
        <v>6896</v>
      </c>
    </row>
    <row r="45" spans="1:1">
      <c r="A45" s="172" t="s">
        <v>6897</v>
      </c>
    </row>
    <row r="46" spans="1:1">
      <c r="A46" s="172" t="s">
        <v>6898</v>
      </c>
    </row>
    <row r="47" spans="1:1">
      <c r="A47" s="172" t="s">
        <v>6899</v>
      </c>
    </row>
    <row r="48" spans="1:1">
      <c r="A48" s="172" t="s">
        <v>6900</v>
      </c>
    </row>
    <row r="49" spans="1:1">
      <c r="A49" s="172" t="s">
        <v>6901</v>
      </c>
    </row>
    <row r="50" spans="1:1">
      <c r="A50" s="175"/>
    </row>
    <row r="51" spans="1:1">
      <c r="A51" s="172" t="s">
        <v>6902</v>
      </c>
    </row>
    <row r="52" spans="1:1">
      <c r="A52" s="172" t="s">
        <v>6903</v>
      </c>
    </row>
    <row r="53" spans="1:1">
      <c r="A53" s="172"/>
    </row>
    <row r="54" spans="1:1">
      <c r="A54" s="172" t="s">
        <v>6904</v>
      </c>
    </row>
    <row r="55" spans="1:1">
      <c r="A55" s="172" t="s">
        <v>6905</v>
      </c>
    </row>
    <row r="56" spans="1:1" ht="18.75">
      <c r="A56" s="174" t="s">
        <v>6906</v>
      </c>
    </row>
    <row r="57" spans="1:1" ht="18.75">
      <c r="A57" s="174" t="s">
        <v>6907</v>
      </c>
    </row>
    <row r="58" spans="1:1" ht="18.75">
      <c r="A58" s="174" t="s">
        <v>6908</v>
      </c>
    </row>
    <row r="59" spans="1:1">
      <c r="A59" s="172"/>
    </row>
    <row r="60" spans="1:1">
      <c r="A60" s="172"/>
    </row>
    <row r="61" spans="1:1">
      <c r="A61" s="172" t="s">
        <v>6865</v>
      </c>
    </row>
    <row r="62" spans="1:1">
      <c r="A62" s="175" t="s">
        <v>6909</v>
      </c>
    </row>
    <row r="63" spans="1:1">
      <c r="A63" s="172" t="s">
        <v>6865</v>
      </c>
    </row>
    <row r="64" spans="1:1">
      <c r="A64" s="172"/>
    </row>
    <row r="65" spans="1:1">
      <c r="A65" s="172" t="s">
        <v>6910</v>
      </c>
    </row>
    <row r="66" spans="1:1">
      <c r="A66" s="175" t="s">
        <v>6911</v>
      </c>
    </row>
    <row r="67" spans="1:1">
      <c r="A67" s="172"/>
    </row>
    <row r="68" spans="1:1">
      <c r="A68" s="172" t="s">
        <v>6912</v>
      </c>
    </row>
    <row r="69" spans="1:1">
      <c r="A69" s="172" t="s">
        <v>6913</v>
      </c>
    </row>
    <row r="70" spans="1:1">
      <c r="A70" s="172" t="s">
        <v>6914</v>
      </c>
    </row>
    <row r="71" spans="1:1">
      <c r="A71" s="172" t="s">
        <v>6915</v>
      </c>
    </row>
    <row r="72" spans="1:1">
      <c r="A72" s="175" t="s">
        <v>6916</v>
      </c>
    </row>
    <row r="73" spans="1:1">
      <c r="A73" s="172" t="s">
        <v>6917</v>
      </c>
    </row>
    <row r="74" spans="1:1">
      <c r="A74" s="172"/>
    </row>
    <row r="75" spans="1:1">
      <c r="A75" s="172" t="s">
        <v>6918</v>
      </c>
    </row>
    <row r="76" spans="1:1">
      <c r="A76" s="172" t="s">
        <v>6919</v>
      </c>
    </row>
    <row r="77" spans="1:1">
      <c r="A77" s="172" t="s">
        <v>6920</v>
      </c>
    </row>
    <row r="78" spans="1:1">
      <c r="A78" s="175" t="s">
        <v>6921</v>
      </c>
    </row>
    <row r="79" spans="1:1">
      <c r="A79" s="172" t="s">
        <v>6922</v>
      </c>
    </row>
    <row r="80" spans="1:1">
      <c r="A80" s="172" t="s">
        <v>6923</v>
      </c>
    </row>
    <row r="81" spans="1:1">
      <c r="A81" s="172" t="s">
        <v>6924</v>
      </c>
    </row>
    <row r="82" spans="1:1">
      <c r="A82" s="172" t="s">
        <v>6925</v>
      </c>
    </row>
    <row r="83" spans="1:1">
      <c r="A83" s="172"/>
    </row>
    <row r="84" spans="1:1">
      <c r="A84" s="172" t="s">
        <v>6926</v>
      </c>
    </row>
    <row r="85" spans="1:1">
      <c r="A85" s="172" t="s">
        <v>6927</v>
      </c>
    </row>
    <row r="86" spans="1:1">
      <c r="A86" s="172"/>
    </row>
    <row r="87" spans="1:1">
      <c r="A87" s="175" t="s">
        <v>6928</v>
      </c>
    </row>
    <row r="88" spans="1:1">
      <c r="A88" s="172" t="s">
        <v>6929</v>
      </c>
    </row>
    <row r="89" spans="1:1">
      <c r="A89" s="172" t="s">
        <v>6930</v>
      </c>
    </row>
    <row r="90" spans="1:1">
      <c r="A90" s="172" t="s">
        <v>6931</v>
      </c>
    </row>
    <row r="91" spans="1:1">
      <c r="A91" s="172" t="s">
        <v>6932</v>
      </c>
    </row>
    <row r="92" spans="1:1">
      <c r="A92" s="172"/>
    </row>
    <row r="93" spans="1:1">
      <c r="A93" s="172" t="s">
        <v>6933</v>
      </c>
    </row>
    <row r="94" spans="1:1" ht="60">
      <c r="A94" s="172" t="s">
        <v>6934</v>
      </c>
    </row>
    <row r="95" spans="1:1" ht="30">
      <c r="A95" s="173" t="s">
        <v>6935</v>
      </c>
    </row>
    <row r="96" spans="1:1" ht="30">
      <c r="A96" s="173" t="s">
        <v>6936</v>
      </c>
    </row>
    <row r="97" spans="1:1">
      <c r="A97" s="176" t="s">
        <v>6937</v>
      </c>
    </row>
    <row r="98" spans="1:1">
      <c r="A98" s="172"/>
    </row>
    <row r="99" spans="1:1">
      <c r="A99" s="172" t="s">
        <v>6938</v>
      </c>
    </row>
    <row r="100" spans="1:1">
      <c r="A100" s="172" t="s">
        <v>6939</v>
      </c>
    </row>
    <row r="101" spans="1:1">
      <c r="A101" s="172" t="s">
        <v>6940</v>
      </c>
    </row>
    <row r="102" spans="1:1">
      <c r="A102" s="172"/>
    </row>
    <row r="103" spans="1:1">
      <c r="A103" s="175" t="s">
        <v>6941</v>
      </c>
    </row>
    <row r="104" spans="1:1">
      <c r="A104" s="172" t="s">
        <v>6942</v>
      </c>
    </row>
    <row r="105" spans="1:1">
      <c r="A105" s="172" t="s">
        <v>6943</v>
      </c>
    </row>
    <row r="106" spans="1:1">
      <c r="A106" s="172" t="s">
        <v>6944</v>
      </c>
    </row>
    <row r="107" spans="1:1">
      <c r="A107" s="172" t="s">
        <v>6945</v>
      </c>
    </row>
    <row r="108" spans="1:1" ht="18.75">
      <c r="A108" s="174" t="s">
        <v>6946</v>
      </c>
    </row>
    <row r="109" spans="1:1" ht="18.75">
      <c r="A109" s="174" t="s">
        <v>6947</v>
      </c>
    </row>
    <row r="110" spans="1:1" ht="18.75">
      <c r="A110" s="174" t="s">
        <v>6948</v>
      </c>
    </row>
    <row r="111" spans="1:1">
      <c r="A111" s="172" t="s">
        <v>6949</v>
      </c>
    </row>
    <row r="112" spans="1:1">
      <c r="A112" s="172" t="s">
        <v>6950</v>
      </c>
    </row>
    <row r="113" spans="1:1">
      <c r="A113" s="172" t="s">
        <v>6951</v>
      </c>
    </row>
    <row r="114" spans="1:1">
      <c r="A114" s="172" t="s">
        <v>6952</v>
      </c>
    </row>
    <row r="115" spans="1:1">
      <c r="A115" s="172" t="s">
        <v>6953</v>
      </c>
    </row>
    <row r="116" spans="1:1">
      <c r="A116" s="172"/>
    </row>
    <row r="117" spans="1:1">
      <c r="A117" s="172" t="s">
        <v>6954</v>
      </c>
    </row>
    <row r="118" spans="1:1">
      <c r="A118" s="172" t="s">
        <v>6955</v>
      </c>
    </row>
    <row r="119" spans="1:1">
      <c r="A119" s="172" t="s">
        <v>6956</v>
      </c>
    </row>
    <row r="120" spans="1:1">
      <c r="A120" s="172" t="s">
        <v>6957</v>
      </c>
    </row>
    <row r="121" spans="1:1">
      <c r="A121" s="172"/>
    </row>
    <row r="122" spans="1:1">
      <c r="A122" s="172" t="s">
        <v>6958</v>
      </c>
    </row>
    <row r="123" spans="1:1">
      <c r="A123" s="172" t="s">
        <v>6959</v>
      </c>
    </row>
    <row r="124" spans="1:1">
      <c r="A124" s="172" t="s">
        <v>6960</v>
      </c>
    </row>
    <row r="125" spans="1:1">
      <c r="A125" s="172" t="s">
        <v>6961</v>
      </c>
    </row>
    <row r="126" spans="1:1">
      <c r="A126" s="172" t="s">
        <v>6962</v>
      </c>
    </row>
    <row r="127" spans="1:1">
      <c r="A127" s="172"/>
    </row>
    <row r="128" spans="1:1">
      <c r="A128" s="172"/>
    </row>
    <row r="129" spans="1:1">
      <c r="A129" s="172" t="s">
        <v>6865</v>
      </c>
    </row>
    <row r="130" spans="1:1">
      <c r="A130" s="172" t="s">
        <v>6963</v>
      </c>
    </row>
    <row r="131" spans="1:1">
      <c r="A131" s="172" t="s">
        <v>6865</v>
      </c>
    </row>
    <row r="132" spans="1:1">
      <c r="A132" s="172"/>
    </row>
    <row r="133" spans="1:1">
      <c r="A133" s="172" t="s">
        <v>6964</v>
      </c>
    </row>
    <row r="134" spans="1:1">
      <c r="A134" s="172" t="s">
        <v>6965</v>
      </c>
    </row>
    <row r="135" spans="1:1">
      <c r="A135" s="172" t="s">
        <v>6966</v>
      </c>
    </row>
    <row r="136" spans="1:1">
      <c r="A136" s="172" t="s">
        <v>6967</v>
      </c>
    </row>
    <row r="137" spans="1:1">
      <c r="A137" s="172" t="s">
        <v>6968</v>
      </c>
    </row>
    <row r="138" spans="1:1">
      <c r="A138" s="172" t="s">
        <v>6969</v>
      </c>
    </row>
    <row r="139" spans="1:1">
      <c r="A139" s="172" t="s">
        <v>6970</v>
      </c>
    </row>
    <row r="140" spans="1:1">
      <c r="A140" s="172" t="s">
        <v>6971</v>
      </c>
    </row>
    <row r="141" spans="1:1">
      <c r="A141" s="172" t="s">
        <v>6972</v>
      </c>
    </row>
    <row r="142" spans="1:1">
      <c r="A142" s="172" t="s">
        <v>6973</v>
      </c>
    </row>
    <row r="143" spans="1:1">
      <c r="A143" s="172" t="s">
        <v>6974</v>
      </c>
    </row>
    <row r="144" spans="1:1">
      <c r="A144" s="172" t="s">
        <v>6975</v>
      </c>
    </row>
    <row r="145" spans="1:1">
      <c r="A145" s="172" t="s">
        <v>6976</v>
      </c>
    </row>
    <row r="146" spans="1:1">
      <c r="A146" s="172"/>
    </row>
    <row r="147" spans="1:1">
      <c r="A147" s="172"/>
    </row>
    <row r="148" spans="1:1">
      <c r="A148" s="172"/>
    </row>
    <row r="149" spans="1:1">
      <c r="A149" s="172"/>
    </row>
    <row r="150" spans="1:1">
      <c r="A150" s="172"/>
    </row>
    <row r="151" spans="1:1">
      <c r="A151" s="172"/>
    </row>
    <row r="152" spans="1:1">
      <c r="A152" s="172"/>
    </row>
    <row r="153" spans="1:1">
      <c r="A153" s="172"/>
    </row>
    <row r="154" spans="1:1">
      <c r="A154" s="172"/>
    </row>
    <row r="155" spans="1:1">
      <c r="A155" s="172"/>
    </row>
    <row r="156" spans="1:1">
      <c r="A156" s="172"/>
    </row>
    <row r="157" spans="1:1">
      <c r="A157" s="172"/>
    </row>
    <row r="158" spans="1:1">
      <c r="A158" s="172"/>
    </row>
    <row r="159" spans="1:1">
      <c r="A159" s="172"/>
    </row>
    <row r="160" spans="1:1">
      <c r="A160" s="172"/>
    </row>
    <row r="161" spans="1:1">
      <c r="A161" s="172"/>
    </row>
    <row r="162" spans="1:1">
      <c r="A162" s="172"/>
    </row>
    <row r="163" spans="1:1">
      <c r="A163" s="172"/>
    </row>
    <row r="164" spans="1:1">
      <c r="A164" s="172"/>
    </row>
    <row r="165" spans="1:1">
      <c r="A165" s="172"/>
    </row>
    <row r="166" spans="1:1">
      <c r="A166" s="172"/>
    </row>
    <row r="167" spans="1:1">
      <c r="A167" s="172"/>
    </row>
    <row r="168" spans="1:1">
      <c r="A168" s="172"/>
    </row>
    <row r="169" spans="1:1">
      <c r="A169" s="172"/>
    </row>
    <row r="170" spans="1:1">
      <c r="A170" s="172"/>
    </row>
    <row r="171" spans="1:1">
      <c r="A171" s="172"/>
    </row>
    <row r="172" spans="1:1">
      <c r="A172" s="172"/>
    </row>
    <row r="173" spans="1:1">
      <c r="A173" s="172"/>
    </row>
    <row r="174" spans="1:1">
      <c r="A174" s="172"/>
    </row>
    <row r="175" spans="1:1">
      <c r="A175" s="172"/>
    </row>
    <row r="176" spans="1:1">
      <c r="A176" s="172"/>
    </row>
    <row r="177" spans="1:1">
      <c r="A177" s="172"/>
    </row>
    <row r="178" spans="1:1">
      <c r="A178" s="172"/>
    </row>
    <row r="179" spans="1:1">
      <c r="A179" s="172"/>
    </row>
    <row r="180" spans="1:1">
      <c r="A180" s="172"/>
    </row>
    <row r="181" spans="1:1">
      <c r="A181" s="172"/>
    </row>
    <row r="182" spans="1:1">
      <c r="A182" s="172"/>
    </row>
    <row r="183" spans="1:1">
      <c r="A183" s="172"/>
    </row>
    <row r="184" spans="1:1">
      <c r="A184" s="172"/>
    </row>
    <row r="185" spans="1:1">
      <c r="A185" s="172"/>
    </row>
    <row r="186" spans="1:1">
      <c r="A186" s="172"/>
    </row>
    <row r="187" spans="1:1">
      <c r="A187" s="172"/>
    </row>
    <row r="188" spans="1:1">
      <c r="A188" s="172"/>
    </row>
    <row r="189" spans="1:1">
      <c r="A189" s="172"/>
    </row>
    <row r="190" spans="1:1">
      <c r="A190" s="172"/>
    </row>
    <row r="191" spans="1:1">
      <c r="A191" s="172"/>
    </row>
    <row r="192" spans="1:1">
      <c r="A192" s="172"/>
    </row>
    <row r="193" spans="1:1">
      <c r="A193" s="172"/>
    </row>
    <row r="194" spans="1:1">
      <c r="A194" s="172"/>
    </row>
    <row r="195" spans="1:1">
      <c r="A195" s="172"/>
    </row>
    <row r="196" spans="1:1">
      <c r="A196" s="172"/>
    </row>
    <row r="197" spans="1:1">
      <c r="A197" s="172"/>
    </row>
    <row r="198" spans="1:1">
      <c r="A198" s="172"/>
    </row>
    <row r="199" spans="1:1">
      <c r="A199" s="172"/>
    </row>
    <row r="200" spans="1:1">
      <c r="A200" s="1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025E-B4EB-4552-9DCB-E820018B46A5}">
  <sheetPr>
    <tabColor rgb="FF1F4E79"/>
  </sheetPr>
  <dimension ref="A1:AC1311"/>
  <sheetViews>
    <sheetView topLeftCell="F114" workbookViewId="0">
      <selection activeCell="L139" sqref="L139"/>
    </sheetView>
  </sheetViews>
  <sheetFormatPr defaultColWidth="13.42578125" defaultRowHeight="15" outlineLevelCol="2"/>
  <cols>
    <col min="1" max="1" width="13.28515625" style="55" customWidth="1"/>
    <col min="2" max="2" width="16.7109375" style="54" customWidth="1"/>
    <col min="3" max="3" width="14.140625" style="54" customWidth="1"/>
    <col min="4" max="4" width="15" style="54" customWidth="1"/>
    <col min="5" max="5" width="10" style="56" customWidth="1" outlineLevel="1"/>
    <col min="6" max="6" width="22.42578125" style="54" customWidth="1" outlineLevel="1"/>
    <col min="7" max="7" width="7.42578125" style="54" customWidth="1"/>
    <col min="8" max="8" width="18.28515625" style="57" customWidth="1"/>
    <col min="9" max="9" width="18.28515625" style="54" customWidth="1"/>
    <col min="10" max="10" width="6.7109375" style="54" customWidth="1" outlineLevel="1"/>
    <col min="11" max="11" width="7" style="54" customWidth="1" outlineLevel="1"/>
    <col min="12" max="12" width="29.140625" style="54" customWidth="1" outlineLevel="1" collapsed="1"/>
    <col min="13" max="13" width="6.28515625" style="54" customWidth="1" outlineLevel="1"/>
    <col min="14" max="14" width="14.140625" style="54" customWidth="1"/>
    <col min="15" max="15" width="12.42578125" style="54" customWidth="1" outlineLevel="1"/>
    <col min="16" max="17" width="15" style="55" customWidth="1" outlineLevel="1"/>
    <col min="18" max="18" width="30" style="54" customWidth="1" outlineLevel="1"/>
    <col min="19" max="19" width="13.28515625" style="54" customWidth="1" outlineLevel="1"/>
    <col min="20" max="20" width="12.42578125" style="54" customWidth="1" outlineLevel="1"/>
    <col min="21" max="21" width="29.140625" style="54" customWidth="1" outlineLevel="1"/>
    <col min="22" max="22" width="20" style="59" customWidth="1"/>
    <col min="23" max="23" width="14.140625" style="58" customWidth="1"/>
    <col min="24" max="24" width="13.28515625" style="59" customWidth="1"/>
    <col min="25" max="25" width="7.42578125" style="59" customWidth="1"/>
    <col min="26" max="26" width="18.28515625" style="59" customWidth="1"/>
    <col min="27" max="27" width="29.140625" style="54" customWidth="1" outlineLevel="2"/>
    <col min="28" max="28" width="9.140625" style="54" customWidth="1" outlineLevel="2" collapsed="1"/>
    <col min="29" max="16384" width="13.42578125" style="54"/>
  </cols>
  <sheetData>
    <row r="1" spans="1:29" ht="32.1" customHeight="1">
      <c r="A1" s="81" t="s">
        <v>4934</v>
      </c>
      <c r="B1" s="82" t="s">
        <v>1</v>
      </c>
      <c r="C1" s="82" t="s">
        <v>2</v>
      </c>
      <c r="D1" s="82" t="s">
        <v>3</v>
      </c>
      <c r="E1" s="83" t="s">
        <v>4</v>
      </c>
      <c r="F1" s="82" t="s">
        <v>5</v>
      </c>
      <c r="G1" s="82" t="s">
        <v>5982</v>
      </c>
      <c r="H1" s="112" t="s">
        <v>7</v>
      </c>
      <c r="I1" s="113" t="s">
        <v>8</v>
      </c>
      <c r="J1" s="109" t="s">
        <v>9</v>
      </c>
      <c r="K1" s="84" t="s">
        <v>10</v>
      </c>
      <c r="L1" s="84" t="s">
        <v>4918</v>
      </c>
      <c r="M1" s="84" t="s">
        <v>12</v>
      </c>
      <c r="N1" s="117" t="s">
        <v>13</v>
      </c>
      <c r="O1" s="118" t="s">
        <v>14</v>
      </c>
      <c r="P1" s="85" t="s">
        <v>15</v>
      </c>
      <c r="Q1" s="122" t="s">
        <v>16</v>
      </c>
      <c r="R1" s="125" t="s">
        <v>17</v>
      </c>
      <c r="S1" s="86" t="s">
        <v>18</v>
      </c>
      <c r="T1" s="86" t="s">
        <v>19</v>
      </c>
      <c r="U1" s="87" t="s">
        <v>20</v>
      </c>
      <c r="V1" s="128" t="s">
        <v>4940</v>
      </c>
      <c r="W1" s="129" t="s">
        <v>4935</v>
      </c>
      <c r="X1" s="88" t="s">
        <v>4936</v>
      </c>
      <c r="Y1" s="88" t="s">
        <v>4937</v>
      </c>
      <c r="Z1" s="89" t="s">
        <v>4938</v>
      </c>
      <c r="AA1" s="90" t="s">
        <v>4939</v>
      </c>
      <c r="AB1" s="131" t="s">
        <v>4917</v>
      </c>
      <c r="AC1" s="79"/>
    </row>
    <row r="2" spans="1:29" s="60" customFormat="1" ht="20.100000000000001" customHeight="1">
      <c r="A2" s="91" cm="1">
        <f t="array" ref="A2:A1283">IFERROR(_xlfn._xlws.FILTER('Docketed Comments'!A2:A1949,('Docketed Comments'!H2:H1949&lt;&gt;"Unable to Locate Acct")*('Docketed Comments'!H2:H1949&lt;&gt;"")*('Docketed Comments'!H2:H1949&lt;&gt;0)*(_xlfn.XMATCH('Docketed Comments'!H2:H1949,'Docketed Comments'!H$2:H$1949)=_xlfn.SEQUENCE(1948))),"")</f>
        <v>45797</v>
      </c>
      <c r="B2" s="92" t="str" cm="1">
        <f t="array" ref="B2:B1283">IFERROR(_xlfn._xlws.FILTER('Docketed Comments'!B2:B1949,('Docketed Comments'!H2:H1949&lt;&gt;"Unable to Locate Acct")*('Docketed Comments'!H2:H1949&lt;&gt;"")*('Docketed Comments'!H2:H1949&lt;&gt;0)*(_xlfn.XMATCH('Docketed Comments'!H2:H1949,'Docketed Comments'!H$2:H$1949)=_xlfn.SEQUENCE(1948))),"")</f>
        <v>Wall</v>
      </c>
      <c r="C2" s="92" t="str" cm="1">
        <f t="array" ref="C2:C1283">IFERROR(_xlfn._xlws.FILTER('Docketed Comments'!C2:C1949,('Docketed Comments'!H2:H1949&lt;&gt;"Unable to Locate Acct")*('Docketed Comments'!H2:H1949&lt;&gt;"")*('Docketed Comments'!H2:H1949&lt;&gt;0)*(_xlfn.XMATCH('Docketed Comments'!H2:H1949,'Docketed Comments'!H$2:H$1949)=_xlfn.SEQUENCE(1948))),"")</f>
        <v>Rae</v>
      </c>
      <c r="D2" s="92" t="str" cm="1">
        <f t="array" ref="D2:D1283">IFERROR(_xlfn._xlws.FILTER('Docketed Comments'!D2:D1949,('Docketed Comments'!H2:H1949&lt;&gt;"Unable to Locate Acct")*('Docketed Comments'!H2:H1949&lt;&gt;"")*('Docketed Comments'!H2:H1949&lt;&gt;0)*(_xlfn.XMATCH('Docketed Comments'!H2:H1949,'Docketed Comments'!H$2:H$1949)=_xlfn.SEQUENCE(1948))),"")</f>
        <v>Glendale</v>
      </c>
      <c r="E2" s="92" t="str" cm="1">
        <f t="array" ref="E2:E1283">IFERROR(_xlfn._xlws.FILTER('Docketed Comments'!E2:E1949,('Docketed Comments'!H2:H1949&lt;&gt;"Unable to Locate Acct")*('Docketed Comments'!H2:H1949&lt;&gt;"")*('Docketed Comments'!H2:H1949&lt;&gt;0)*(_xlfn.XMATCH('Docketed Comments'!H2:H1949,'Docketed Comments'!H$2:H$1949)=_xlfn.SEQUENCE(1948))),"")</f>
        <v>Unknown</v>
      </c>
      <c r="F2" s="137" t="str" cm="1">
        <f t="array" ref="F2:F1283">IFERROR(_xlfn._xlws.FILTER('Docketed Comments'!F2:F1949,('Docketed Comments'!H2:H1949&lt;&gt;"Unable to Locate Acct")*('Docketed Comments'!H2:H1949&lt;&gt;"")*('Docketed Comments'!H2:H1949&lt;&gt;0)*(_xlfn.XMATCH('Docketed Comments'!H2:H1949,'Docketed Comments'!H$2:H$1949)=_xlfn.SEQUENCE(1948))),"")</f>
        <v>Opposed</v>
      </c>
      <c r="G2" s="93" t="str" cm="1">
        <f t="array" ref="G2:G1283">IFERROR(_xlfn._xlws.FILTER('Docketed Comments'!G2:G1949,('Docketed Comments'!H2:H1949&lt;&gt;"Unable to Locate Acct")*('Docketed Comments'!H2:H1949&lt;&gt;"")*('Docketed Comments'!H2:H1949&lt;&gt;0)*(_xlfn.XMATCH('Docketed Comments'!H2:H1949,'Docketed Comments'!H$2:H$1949)=_xlfn.SEQUENCE(1948))),"")</f>
        <v>https://images.edocket.azcc.gov/docketpdf/E000044126.pdf</v>
      </c>
      <c r="H2" s="150" t="s">
        <v>4616</v>
      </c>
      <c r="I2" s="114" t="str" cm="1">
        <f t="array" ref="I2:I1283">IFERROR(_xlfn._xlws.FILTER('Docketed Comments'!I2:I1949,('Docketed Comments'!H2:H1949&lt;&gt;"Unable to Locate Acct")*('Docketed Comments'!H2:H1949&lt;&gt;"")*('Docketed Comments'!H2:H1949&lt;&gt;0)*(_xlfn.XMATCH('Docketed Comments'!H2:H1949,'Docketed Comments'!H$2:H$1949)=_xlfn.SEQUENCE(1948))),"")</f>
        <v>R3-47</v>
      </c>
      <c r="J2" s="94" t="str" cm="1">
        <f t="array" ref="J2:J1283">IFERROR(_xlfn._xlws.FILTER('Docketed Comments'!J2:J1949,('Docketed Comments'!H2:H1949&lt;&gt;"Unable to Locate Acct")*('Docketed Comments'!H2:H1949&lt;&gt;"")*('Docketed Comments'!H2:H1949&lt;&gt;0)*(_xlfn.XMATCH('Docketed Comments'!H2:H1949,'Docketed Comments'!H$2:H$1949)=_xlfn.SEQUENCE(1948))),"")</f>
        <v>No</v>
      </c>
      <c r="K2" s="94" t="str" cm="1">
        <f t="array" ref="K2:K1283">IFERROR(_xlfn._xlws.FILTER('Docketed Comments'!K2:K1949,('Docketed Comments'!H2:H1949&lt;&gt;"Unable to Locate Acct")*('Docketed Comments'!H2:H1949&lt;&gt;"")*('Docketed Comments'!H2:H1949&lt;&gt;0)*(_xlfn.XMATCH('Docketed Comments'!H2:H1949,'Docketed Comments'!H$2:H$1949)=_xlfn.SEQUENCE(1948))),"")</f>
        <v>No</v>
      </c>
      <c r="L2" s="137" t="str" cm="1">
        <f t="array" ref="L2:L1283">IFERROR(_xlfn._xlws.FILTER('Docketed Comments'!L2:L1949,('Docketed Comments'!H2:H1949&lt;&gt;"Unable to Locate Acct")*('Docketed Comments'!H2:H1949&lt;&gt;"")*('Docketed Comments'!H2:H1949&lt;&gt;0)*(_xlfn.XMATCH('Docketed Comments'!H2:H1949,'Docketed Comments'!H$2:H$1949)=_xlfn.SEQUENCE(1948))),"")</f>
        <v>Yes</v>
      </c>
      <c r="M2" s="94" t="str" cm="1">
        <f t="array" ref="M2:M1283">IFERROR(_xlfn._xlws.FILTER('Docketed Comments'!M2:M1949,('Docketed Comments'!H2:H1949&lt;&gt;"Unable to Locate Acct")*('Docketed Comments'!H2:H1949&lt;&gt;"")*('Docketed Comments'!H2:H1949&lt;&gt;0)*(_xlfn.XMATCH('Docketed Comments'!H2:H1949,'Docketed Comments'!H$2:H$1949)=_xlfn.SEQUENCE(1948))),"")</f>
        <v>No</v>
      </c>
      <c r="N2" s="134" t="str" cm="1">
        <f t="array" ref="N2:N1283">IFERROR(_xlfn._xlws.FILTER('Docketed Comments'!N2:N1949,('Docketed Comments'!H2:H1949&lt;&gt;"Unable to Locate Acct")*('Docketed Comments'!H2:H1949&lt;&gt;"")*('Docketed Comments'!H2:H1949&lt;&gt;0)*(_xlfn.XMATCH('Docketed Comments'!H2:H1949,'Docketed Comments'!H$2:H$1949)=_xlfn.SEQUENCE(1948))),"")</f>
        <v>No</v>
      </c>
      <c r="O2" s="119" t="str" cm="1">
        <f t="array" ref="O2:O1283">IFERROR(_xlfn._xlws.FILTER('Docketed Comments'!O2:O1949,('Docketed Comments'!H2:H1949&lt;&gt;"Unable to Locate Acct")*('Docketed Comments'!H2:H1949&lt;&gt;"")*('Docketed Comments'!H2:H1949&lt;&gt;0)*(_xlfn.XMATCH('Docketed Comments'!H2:H1949,'Docketed Comments'!H$2:H$1949)=_xlfn.SEQUENCE(1948))),"")</f>
        <v>Yes</v>
      </c>
      <c r="P2" s="92" t="str" cm="1">
        <f t="array" ref="P2:P1283">IFERROR(_xlfn._xlws.FILTER('Docketed Comments'!P2:P1949,('Docketed Comments'!H2:H1949&lt;&gt;"Unable to Locate Acct")*('Docketed Comments'!H2:H1949&lt;&gt;"")*('Docketed Comments'!H2:H1949&lt;&gt;0)*(_xlfn.XMATCH('Docketed Comments'!H2:H1949,'Docketed Comments'!H$2:H$1949)=_xlfn.SEQUENCE(1948))),"")</f>
        <v>N</v>
      </c>
      <c r="Q2" s="91" cm="1">
        <f t="array" ref="Q2:Q1283">IFERROR(_xlfn._xlws.FILTER('Docketed Comments'!Q2:Q1949,('Docketed Comments'!H2:H1949&lt;&gt;"Unable to Locate Acct")*('Docketed Comments'!H2:H1949&lt;&gt;"")*('Docketed Comments'!H2:H1949&lt;&gt;0)*(_xlfn.XMATCH('Docketed Comments'!H2:H1949,'Docketed Comments'!H$2:H$1949)=_xlfn.SEQUENCE(1948))),"")</f>
        <v>45589</v>
      </c>
      <c r="R2" s="140" cm="1">
        <f t="array" ref="R2:R1283">IFERROR(_xlfn._xlws.FILTER('Docketed Comments'!R2:R1949,('Docketed Comments'!H2:H1949&lt;&gt;"Unable to Locate Acct")*('Docketed Comments'!H2:H1949&lt;&gt;"")*('Docketed Comments'!H2:H1949&lt;&gt;0)*(_xlfn.XMATCH('Docketed Comments'!H2:H1949,'Docketed Comments'!H$2:H$1949)=_xlfn.SEQUENCE(1948))),"")</f>
        <v>0</v>
      </c>
      <c r="S2" s="92" cm="1">
        <f t="array" ref="S2:S1283">IFERROR(_xlfn._xlws.FILTER('Docketed Comments'!S2:S1949,('Docketed Comments'!H2:H1949&lt;&gt;"Unable to Locate Acct")*('Docketed Comments'!H2:H1949&lt;&gt;"")*('Docketed Comments'!H2:H1949&lt;&gt;0)*(_xlfn.XMATCH('Docketed Comments'!H2:H1949,'Docketed Comments'!H$2:H$1949)=_xlfn.SEQUENCE(1948))),"")</f>
        <v>0</v>
      </c>
      <c r="T2" s="92" cm="1">
        <f t="array" ref="T2:T1283">IFERROR(_xlfn._xlws.FILTER('Docketed Comments'!T2:T1949,('Docketed Comments'!H2:H1949&lt;&gt;"Unable to Locate Acct")*('Docketed Comments'!H2:H1949&lt;&gt;"")*('Docketed Comments'!H2:H1949&lt;&gt;0)*(_xlfn.XMATCH('Docketed Comments'!H2:H1949,'Docketed Comments'!H$2:H$1949)=_xlfn.SEQUENCE(1948))),"")</f>
        <v>0</v>
      </c>
      <c r="U2" s="137" t="str" cm="1">
        <f t="array" ref="U2:U1283">IFERROR(_xlfn._xlws.FILTER('Docketed Comments'!U2:U1949,('Docketed Comments'!H2:H1949&lt;&gt;"Unable to Locate Acct")*('Docketed Comments'!H2:H1949&lt;&gt;"")*('Docketed Comments'!H2:H1949&lt;&gt;0)*(_xlfn.XMATCH('Docketed Comments'!H2:H1949,'Docketed Comments'!H$2:H$1949)=_xlfn.SEQUENCE(1948))),"")</f>
        <v>Also filed 6/10, 6/12, 6/16</v>
      </c>
      <c r="V2" s="126" t="str">
        <f>IF(OR(LEFT(TRIM(L2),3)="Yes",TRIM(L2)="Y"),"✅ On Best Plan",IF(OR(L2="Frozen Rate",L2="Frozen Plan"),"❄ Frozen Rate",IF(OR(L2="Not able to Compare",L2="Info Not Avail",L2="NA",L2=""),"⚠ Unknown","❌ Not on Best Plan")))</f>
        <v>✅ On Best Plan</v>
      </c>
      <c r="W2" s="130" t="str">
        <f>IFERROR(_xlfn.XLOOKUP(TEXT(H2,"0000000000"),'📞 Call Tracker'!A$2:A$2000,'📞 Call Tracker'!B$2:B$2000,""),"")</f>
        <v>Joaquin</v>
      </c>
      <c r="X2" s="96">
        <f>IFERROR(_xlfn.XLOOKUP(TEXT(H2,"0000000000"),'📞 Call Tracker'!A$2:A$2000,'📞 Call Tracker'!C$2:C$2000,""),"")</f>
        <v>45997</v>
      </c>
      <c r="Y2" s="95" t="str">
        <f>IFERROR(_xlfn.XLOOKUP(TEXT(H2,"0000000000"),'📞 Call Tracker'!A$2:A$2000,'📞 Call Tracker'!D$2:D$2000,""),"")</f>
        <v>YES</v>
      </c>
      <c r="Z2" s="95">
        <f>IFERROR(_xlfn.XLOOKUP(TEXT(H2,"0000000000"),'📞 Call Tracker'!A$2:A$2000,'📞 Call Tracker'!E$2:E$2000,""),"")</f>
        <v>0</v>
      </c>
      <c r="AA2" s="145" t="str">
        <f>IFERROR(_xlfn.XLOOKUP(TEXT(H2,"0000000000"),'📞 Call Tracker'!A$2:A$2000,'📞 Call Tracker'!F$2:F$2000,""),"")</f>
        <v>LEFT VOICE MAIL</v>
      </c>
      <c r="AB2" s="132">
        <f>IF(OR(H2="",X2&lt;&gt;""),99,IF(AND(NOT(OR(LEFT(TRIM(L2),3)="Yes",TRIM(L2)="Y",L2="Frozen Rate",L2="Frozen Plan",L2="Not able to Compare",L2="Info Not Avail",L2="NA",L2="")),AND(N2&lt;&gt;"No",N2&lt;&gt;"")),1,IF(NOT(OR(LEFT(TRIM(L2),3)="Yes",TRIM(L2)="Y",L2="Frozen Rate",L2="Frozen Plan",L2="Not able to Compare",L2="Info Not Avail",L2="NA",L2="")),2,IF(AND(N2&lt;&gt;"No",N2&lt;&gt;""),3,4))))</f>
        <v>99</v>
      </c>
      <c r="AC2" s="73"/>
    </row>
    <row r="3" spans="1:29" ht="20.100000000000001" customHeight="1">
      <c r="A3" s="91">
        <v>45798</v>
      </c>
      <c r="B3" s="92" t="str">
        <v>Gwiazda</v>
      </c>
      <c r="C3" s="92" t="str">
        <v>Patricia</v>
      </c>
      <c r="D3" s="92" t="str">
        <v>Youngtown</v>
      </c>
      <c r="E3" s="92">
        <v>85363</v>
      </c>
      <c r="F3" s="137" t="str">
        <v>Opposed</v>
      </c>
      <c r="G3" s="93" t="str">
        <v>https://images.edocket.azcc.gov/docketpdf/E000044147.pdf</v>
      </c>
      <c r="H3" s="150" t="s">
        <v>45</v>
      </c>
      <c r="I3" s="114" t="str">
        <v>RCPw/RTOUE47</v>
      </c>
      <c r="J3" s="94" t="str">
        <v>No</v>
      </c>
      <c r="K3" s="94" t="str">
        <v>No</v>
      </c>
      <c r="L3" s="137" t="str">
        <v>No - MEP is R3-47 ($65.13)</v>
      </c>
      <c r="M3" s="94" t="str">
        <v>No</v>
      </c>
      <c r="N3" s="134" t="str">
        <v>No</v>
      </c>
      <c r="O3" s="119" t="str">
        <v>Yes</v>
      </c>
      <c r="P3" s="92" t="str">
        <v>N</v>
      </c>
      <c r="Q3" s="91">
        <v>45589</v>
      </c>
      <c r="R3" s="140" t="str">
        <v xml:space="preserve">MEP Annual Savings - $67.68 - Didn't Contact </v>
      </c>
      <c r="S3" s="92">
        <v>0</v>
      </c>
      <c r="T3" s="92">
        <v>0</v>
      </c>
      <c r="U3" s="137">
        <v>0</v>
      </c>
      <c r="V3" s="126" t="str">
        <f t="shared" ref="V3:V66" si="0">IF(OR(LEFT(TRIM(L3),3)="Yes",TRIM(L3)="Y"),"✅ On Best Plan",IF(OR(L3="Frozen Rate",L3="Frozen Plan"),"❄ Frozen Rate",IF(OR(L3="Not able to Compare",L3="Info Not Avail",L3="NA",L3=""),"⚠ Unknown","❌ Not on Best Plan")))</f>
        <v>❌ Not on Best Plan</v>
      </c>
      <c r="W3" s="130" t="str">
        <f>IFERROR(_xlfn.XLOOKUP(TEXT(H3,"0000000000"),'📞 Call Tracker'!A$2:A$2000,'📞 Call Tracker'!B$2:B$2000,""),"")</f>
        <v>Joaquin</v>
      </c>
      <c r="X3" s="96">
        <f>IFERROR(_xlfn.XLOOKUP(TEXT(H3,"0000000000"),'📞 Call Tracker'!A$2:A$2000,'📞 Call Tracker'!C$2:C$2000,""),"")</f>
        <v>45997</v>
      </c>
      <c r="Y3" s="95">
        <f>IFERROR(_xlfn.XLOOKUP(TEXT(H3,"0000000000"),'📞 Call Tracker'!A$2:A$2000,'📞 Call Tracker'!D$2:D$2000,""),"")</f>
        <v>0</v>
      </c>
      <c r="Z3" s="95">
        <f>IFERROR(_xlfn.XLOOKUP(TEXT(H3,"0000000000"),'📞 Call Tracker'!A$2:A$2000,'📞 Call Tracker'!E$2:E$2000,""),"")</f>
        <v>0</v>
      </c>
      <c r="AA3" s="145" t="str">
        <f>IFERROR(_xlfn.XLOOKUP(TEXT(H3,"0000000000"),'📞 Call Tracker'!A$2:A$2000,'📞 Call Tracker'!F$2:F$2000,""),"")</f>
        <v>DID TALK PHILLIPS,CRYSTAL OFFER REVIEW ACCT</v>
      </c>
      <c r="AB3" s="132">
        <f t="shared" ref="AB3:AB66" si="1">IF(OR(H3="",X3&lt;&gt;""),99,IF(AND(NOT(OR(LEFT(TRIM(L3),3)="Yes",TRIM(L3)="Y",L3="Frozen Rate",L3="Frozen Plan",L3="Not able to Compare",L3="Info Not Avail",L3="NA",L3="")),AND(N3&lt;&gt;"No",N3&lt;&gt;"")),1,IF(NOT(OR(LEFT(TRIM(L3),3)="Yes",TRIM(L3)="Y",L3="Frozen Rate",L3="Frozen Plan",L3="Not able to Compare",L3="Info Not Avail",L3="NA",L3="")),2,IF(AND(N3&lt;&gt;"No",N3&lt;&gt;""),3,4))))</f>
        <v>99</v>
      </c>
      <c r="AC3" s="79"/>
    </row>
    <row r="4" spans="1:29" ht="20.100000000000001" customHeight="1">
      <c r="A4" s="91">
        <v>45798</v>
      </c>
      <c r="B4" s="92" t="str">
        <v>Phillips</v>
      </c>
      <c r="C4" s="92" t="str">
        <v>Crystal</v>
      </c>
      <c r="D4" s="92" t="str">
        <v xml:space="preserve">Young </v>
      </c>
      <c r="E4" s="92">
        <v>85554</v>
      </c>
      <c r="F4" s="137" t="str">
        <v>Opposed</v>
      </c>
      <c r="G4" s="93" t="str">
        <v>https://images.edocket.azcc.gov/docketpdf/E000044147.pdf</v>
      </c>
      <c r="H4" s="150" t="s">
        <v>6542</v>
      </c>
      <c r="I4" s="114" t="str">
        <v>R3-47</v>
      </c>
      <c r="J4" s="94" t="str">
        <v>No</v>
      </c>
      <c r="K4" s="94" t="str">
        <v>No</v>
      </c>
      <c r="L4" s="137" t="str">
        <v>Yes</v>
      </c>
      <c r="M4" s="94" t="str">
        <v>No</v>
      </c>
      <c r="N4" s="134" t="str">
        <v>No</v>
      </c>
      <c r="O4" s="119" t="str">
        <v>Yes</v>
      </c>
      <c r="P4" s="92" t="str">
        <v>N</v>
      </c>
      <c r="Q4" s="91">
        <v>45589</v>
      </c>
      <c r="R4" s="140">
        <v>0</v>
      </c>
      <c r="S4" s="92">
        <v>0</v>
      </c>
      <c r="T4" s="92">
        <v>0</v>
      </c>
      <c r="U4" s="137">
        <v>0</v>
      </c>
      <c r="V4" s="126" t="str">
        <f t="shared" si="0"/>
        <v>✅ On Best Plan</v>
      </c>
      <c r="W4" s="130" t="str">
        <f>IFERROR(_xlfn.XLOOKUP(TEXT(H4,"0000000000"),'📞 Call Tracker'!A$2:A$2000,'📞 Call Tracker'!B$2:B$2000,""),"")</f>
        <v>Joaquin</v>
      </c>
      <c r="X4" s="96">
        <f>IFERROR(_xlfn.XLOOKUP(TEXT(H4,"0000000000"),'📞 Call Tracker'!A$2:A$2000,'📞 Call Tracker'!C$2:C$2000,""),"")</f>
        <v>45997</v>
      </c>
      <c r="Y4" s="95" t="str">
        <f>IFERROR(_xlfn.XLOOKUP(TEXT(H4,"0000000000"),'📞 Call Tracker'!A$2:A$2000,'📞 Call Tracker'!D$2:D$2000,""),"")</f>
        <v>YES</v>
      </c>
      <c r="Z4" s="95">
        <f>IFERROR(_xlfn.XLOOKUP(TEXT(H4,"0000000000"),'📞 Call Tracker'!A$2:A$2000,'📞 Call Tracker'!E$2:E$2000,""),"")</f>
        <v>0</v>
      </c>
      <c r="AA4" s="145" t="str">
        <f>IFERROR(_xlfn.XLOOKUP(TEXT(H4,"0000000000"),'📞 Call Tracker'!A$2:A$2000,'📞 Call Tracker'!F$2:F$2000,""),"")</f>
        <v>LEFT VOICE MAIL</v>
      </c>
      <c r="AB4" s="132">
        <f t="shared" si="1"/>
        <v>99</v>
      </c>
      <c r="AC4" s="79"/>
    </row>
    <row r="5" spans="1:29" ht="20.100000000000001" customHeight="1">
      <c r="A5" s="91">
        <v>45799</v>
      </c>
      <c r="B5" s="92" t="str">
        <v>Beame</v>
      </c>
      <c r="C5" s="92" t="str">
        <v>Sndney</v>
      </c>
      <c r="D5" s="92" t="str">
        <v>Unknown</v>
      </c>
      <c r="E5" s="92" t="str">
        <v>Unknown</v>
      </c>
      <c r="F5" s="137" t="str">
        <v>Opposed/Senior/fixed income</v>
      </c>
      <c r="G5" s="93" t="str">
        <v>https://images.edocket.azcc.gov/docketpdf/E000044169.pdf</v>
      </c>
      <c r="H5" s="150" t="s">
        <v>56</v>
      </c>
      <c r="I5" s="114" t="str">
        <v>R-BASICL</v>
      </c>
      <c r="J5" s="94" t="str">
        <v>No</v>
      </c>
      <c r="K5" s="94" t="str">
        <v>No</v>
      </c>
      <c r="L5" s="137" t="str">
        <v>No - MEP R3-47 ($192.78)</v>
      </c>
      <c r="M5" s="94" t="str">
        <v>No</v>
      </c>
      <c r="N5" s="134" t="str">
        <v>No</v>
      </c>
      <c r="O5" s="119" t="str">
        <v>Yes</v>
      </c>
      <c r="P5" s="92">
        <v>45964</v>
      </c>
      <c r="Q5" s="91">
        <v>45954</v>
      </c>
      <c r="R5" s="140" t="str">
        <v>11/03 - Customer agreed to change to their MEP</v>
      </c>
      <c r="S5" s="92">
        <v>0</v>
      </c>
      <c r="T5" s="92">
        <v>0</v>
      </c>
      <c r="U5" s="137" t="str">
        <v>Estimated savings $225.94/12 = $18.82 potential monthly savings on MEP</v>
      </c>
      <c r="V5" s="126" t="str">
        <f t="shared" si="0"/>
        <v>❌ Not on Best Plan</v>
      </c>
      <c r="W5" s="130" t="str">
        <f>IFERROR(_xlfn.XLOOKUP(TEXT(H5,"0000000000"),'📞 Call Tracker'!A$2:A$2000,'📞 Call Tracker'!B$2:B$2000,""),"")</f>
        <v>Joaquin</v>
      </c>
      <c r="X5" s="96">
        <f>IFERROR(_xlfn.XLOOKUP(TEXT(H5,"0000000000"),'📞 Call Tracker'!A$2:A$2000,'📞 Call Tracker'!C$2:C$2000,""),"")</f>
        <v>45997</v>
      </c>
      <c r="Y5" s="95">
        <f>IFERROR(_xlfn.XLOOKUP(TEXT(H5,"0000000000"),'📞 Call Tracker'!A$2:A$2000,'📞 Call Tracker'!D$2:D$2000,""),"")</f>
        <v>0</v>
      </c>
      <c r="Z5" s="95">
        <f>IFERROR(_xlfn.XLOOKUP(TEXT(H5,"0000000000"),'📞 Call Tracker'!A$2:A$2000,'📞 Call Tracker'!E$2:E$2000,""),"")</f>
        <v>0</v>
      </c>
      <c r="AA5" s="145" t="str">
        <f>IFERROR(_xlfn.XLOOKUP(TEXT(H5,"0000000000"),'📞 Call Tracker'!A$2:A$2000,'📞 Call Tracker'!F$2:F$2000,""),"")</f>
        <v>CLOSED ACCT 07/09/2015</v>
      </c>
      <c r="AB5" s="132">
        <f t="shared" si="1"/>
        <v>99</v>
      </c>
      <c r="AC5" s="79"/>
    </row>
    <row r="6" spans="1:29" ht="20.100000000000001" customHeight="1">
      <c r="A6" s="91">
        <v>45800</v>
      </c>
      <c r="B6" s="92" t="str">
        <v>Scoggins</v>
      </c>
      <c r="C6" s="92" t="str">
        <v>Troy</v>
      </c>
      <c r="D6" s="92" t="str">
        <v>Phoenix</v>
      </c>
      <c r="E6" s="92">
        <v>85009</v>
      </c>
      <c r="F6" s="137" t="str">
        <v>Opposed</v>
      </c>
      <c r="G6" s="93" t="str">
        <v>https://images.edocket.azcc.gov/docketpdf/E000044282.pdf</v>
      </c>
      <c r="H6" s="150" t="s">
        <v>30</v>
      </c>
      <c r="I6" s="114">
        <v>0</v>
      </c>
      <c r="J6" s="94">
        <v>0</v>
      </c>
      <c r="K6" s="94">
        <v>0</v>
      </c>
      <c r="L6" s="137">
        <v>0</v>
      </c>
      <c r="M6" s="94">
        <v>0</v>
      </c>
      <c r="N6" s="134">
        <v>0</v>
      </c>
      <c r="O6" s="119">
        <v>0</v>
      </c>
      <c r="P6" s="92">
        <v>0</v>
      </c>
      <c r="Q6" s="91">
        <v>0</v>
      </c>
      <c r="R6" s="140">
        <v>0</v>
      </c>
      <c r="S6" s="92">
        <v>0</v>
      </c>
      <c r="T6" s="92">
        <v>0</v>
      </c>
      <c r="U6" s="137" t="str">
        <v>Unable to locate account with name provided</v>
      </c>
      <c r="V6" s="126" t="str">
        <f t="shared" si="0"/>
        <v>❌ Not on Best Plan</v>
      </c>
      <c r="W6" s="130" t="str">
        <f>IFERROR(_xlfn.XLOOKUP(TEXT(H6,"0000000000"),'📞 Call Tracker'!A$2:A$2000,'📞 Call Tracker'!B$2:B$2000,""),"")</f>
        <v/>
      </c>
      <c r="X6" s="96" t="str">
        <f>IFERROR(_xlfn.XLOOKUP(TEXT(H6,"0000000000"),'📞 Call Tracker'!A$2:A$2000,'📞 Call Tracker'!C$2:C$2000,""),"")</f>
        <v/>
      </c>
      <c r="Y6" s="95" t="str">
        <f>IFERROR(_xlfn.XLOOKUP(TEXT(H6,"0000000000"),'📞 Call Tracker'!A$2:A$2000,'📞 Call Tracker'!D$2:D$2000,""),"")</f>
        <v/>
      </c>
      <c r="Z6" s="95" t="str">
        <f>IFERROR(_xlfn.XLOOKUP(TEXT(H6,"0000000000"),'📞 Call Tracker'!A$2:A$2000,'📞 Call Tracker'!E$2:E$2000,""),"")</f>
        <v/>
      </c>
      <c r="AA6" s="145" t="str">
        <f>IFERROR(_xlfn.XLOOKUP(TEXT(H6,"0000000000"),'📞 Call Tracker'!A$2:A$2000,'📞 Call Tracker'!F$2:F$2000,""),"")</f>
        <v/>
      </c>
      <c r="AB6" s="132">
        <f t="shared" si="1"/>
        <v>1</v>
      </c>
      <c r="AC6" s="79"/>
    </row>
    <row r="7" spans="1:29" ht="20.100000000000001" customHeight="1">
      <c r="A7" s="91">
        <v>45804</v>
      </c>
      <c r="B7" s="92" t="str">
        <v>Nuccio</v>
      </c>
      <c r="C7" s="92" t="str">
        <v>Tina</v>
      </c>
      <c r="D7" s="92" t="str">
        <v>Cave Creek</v>
      </c>
      <c r="E7" s="92">
        <v>85331</v>
      </c>
      <c r="F7" s="137" t="str">
        <v>Opposed</v>
      </c>
      <c r="G7" s="93" t="str">
        <v>https://images.edocket.azcc.gov/docketpdf/E000044298.pdf</v>
      </c>
      <c r="H7" s="150" t="s">
        <v>6166</v>
      </c>
      <c r="I7" s="114" t="str">
        <v>R3-47</v>
      </c>
      <c r="J7" s="94" t="str">
        <v>No</v>
      </c>
      <c r="K7" s="94" t="str">
        <v>No</v>
      </c>
      <c r="L7" s="137" t="str">
        <v>Yes</v>
      </c>
      <c r="M7" s="94" t="str">
        <v>No</v>
      </c>
      <c r="N7" s="134" t="str">
        <v>No</v>
      </c>
      <c r="O7" s="119" t="str">
        <v>Yes</v>
      </c>
      <c r="P7" s="92" t="str">
        <v>N</v>
      </c>
      <c r="Q7" s="91">
        <v>45954</v>
      </c>
      <c r="R7" s="140">
        <v>0</v>
      </c>
      <c r="S7" s="92">
        <v>0</v>
      </c>
      <c r="T7" s="92">
        <v>0</v>
      </c>
      <c r="U7" s="137">
        <v>0</v>
      </c>
      <c r="V7" s="126" t="str">
        <f t="shared" si="0"/>
        <v>✅ On Best Plan</v>
      </c>
      <c r="W7" s="130" t="str">
        <f>IFERROR(_xlfn.XLOOKUP(TEXT(H7,"0000000000"),'📞 Call Tracker'!A$2:A$2000,'📞 Call Tracker'!B$2:B$2000,""),"")</f>
        <v>Michelle</v>
      </c>
      <c r="X7" s="96">
        <f>IFERROR(_xlfn.XLOOKUP(TEXT(H7,"0000000000"),'📞 Call Tracker'!A$2:A$2000,'📞 Call Tracker'!C$2:C$2000,""),"")</f>
        <v>46060</v>
      </c>
      <c r="Y7" s="95" t="str">
        <f>IFERROR(_xlfn.XLOOKUP(TEXT(H7,"0000000000"),'📞 Call Tracker'!A$2:A$2000,'📞 Call Tracker'!D$2:D$2000,""),"")</f>
        <v>YES</v>
      </c>
      <c r="Z7" s="95">
        <f>IFERROR(_xlfn.XLOOKUP(TEXT(H7,"0000000000"),'📞 Call Tracker'!A$2:A$2000,'📞 Call Tracker'!E$2:E$2000,""),"")</f>
        <v>0</v>
      </c>
      <c r="AA7" s="145">
        <f>IFERROR(_xlfn.XLOOKUP(TEXT(H7,"0000000000"),'📞 Call Tracker'!A$2:A$2000,'📞 Call Tracker'!F$2:F$2000,""),"")</f>
        <v>0</v>
      </c>
      <c r="AB7" s="132">
        <f t="shared" si="1"/>
        <v>99</v>
      </c>
      <c r="AC7" s="79"/>
    </row>
    <row r="8" spans="1:29" ht="20.100000000000001" customHeight="1">
      <c r="A8" s="91">
        <v>45805</v>
      </c>
      <c r="B8" s="92" t="str">
        <v>Henkel</v>
      </c>
      <c r="C8" s="92" t="str">
        <v>Dean</v>
      </c>
      <c r="D8" s="92" t="str">
        <v>Unknown</v>
      </c>
      <c r="E8" s="92" t="str">
        <v>Unknown</v>
      </c>
      <c r="F8" s="137" t="str">
        <v>Opposed</v>
      </c>
      <c r="G8" s="93" t="str">
        <v>https://images.edocket.azcc.gov/docketpdf/E000044312.pdf</v>
      </c>
      <c r="H8" s="150" t="s">
        <v>6167</v>
      </c>
      <c r="I8" s="114" t="str">
        <v>R-XS</v>
      </c>
      <c r="J8" s="94" t="str">
        <v>No</v>
      </c>
      <c r="K8" s="94" t="str">
        <v>No</v>
      </c>
      <c r="L8" s="137" t="str">
        <v>Yes</v>
      </c>
      <c r="M8" s="94" t="str">
        <v>No</v>
      </c>
      <c r="N8" s="134" t="str">
        <v>No</v>
      </c>
      <c r="O8" s="119" t="str">
        <v>Yes</v>
      </c>
      <c r="P8" s="92" t="str">
        <v>N</v>
      </c>
      <c r="Q8" s="91">
        <v>45954</v>
      </c>
      <c r="R8" s="140">
        <v>0</v>
      </c>
      <c r="S8" s="92">
        <v>0</v>
      </c>
      <c r="T8" s="92">
        <v>0</v>
      </c>
      <c r="U8" s="137">
        <v>0</v>
      </c>
      <c r="V8" s="126" t="str">
        <f t="shared" si="0"/>
        <v>✅ On Best Plan</v>
      </c>
      <c r="W8" s="130">
        <f>IFERROR(_xlfn.XLOOKUP(TEXT(H8,"0000000000"),'📞 Call Tracker'!A$2:A$2000,'📞 Call Tracker'!B$2:B$2000,""),"")</f>
        <v>0</v>
      </c>
      <c r="X8" s="96">
        <f>IFERROR(_xlfn.XLOOKUP(TEXT(H8,"0000000000"),'📞 Call Tracker'!A$2:A$2000,'📞 Call Tracker'!C$2:C$2000,""),"")</f>
        <v>0</v>
      </c>
      <c r="Y8" s="95">
        <f>IFERROR(_xlfn.XLOOKUP(TEXT(H8,"0000000000"),'📞 Call Tracker'!A$2:A$2000,'📞 Call Tracker'!D$2:D$2000,""),"")</f>
        <v>0</v>
      </c>
      <c r="Z8" s="95">
        <f>IFERROR(_xlfn.XLOOKUP(TEXT(H8,"0000000000"),'📞 Call Tracker'!A$2:A$2000,'📞 Call Tracker'!E$2:E$2000,""),"")</f>
        <v>0</v>
      </c>
      <c r="AA8" s="145">
        <f>IFERROR(_xlfn.XLOOKUP(TEXT(H8,"0000000000"),'📞 Call Tracker'!A$2:A$2000,'📞 Call Tracker'!F$2:F$2000,""),"")</f>
        <v>0</v>
      </c>
      <c r="AB8" s="132">
        <f t="shared" si="1"/>
        <v>99</v>
      </c>
      <c r="AC8" s="79"/>
    </row>
    <row r="9" spans="1:29" ht="20.100000000000001" customHeight="1">
      <c r="A9" s="91">
        <v>45812</v>
      </c>
      <c r="B9" s="92" t="str">
        <v>Paulsen</v>
      </c>
      <c r="C9" s="92" t="str">
        <v>Jodi</v>
      </c>
      <c r="D9" s="92" t="str">
        <v>Unknown</v>
      </c>
      <c r="E9" s="92" t="str">
        <v>Unknown</v>
      </c>
      <c r="F9" s="137" t="str">
        <v>Opposed</v>
      </c>
      <c r="G9" s="93" t="str">
        <v>https://images.edocket.azcc.gov/docketpdf/E000044514.pdf</v>
      </c>
      <c r="H9" s="150" t="s">
        <v>80</v>
      </c>
      <c r="I9" s="114" t="str">
        <v>EPR-6w/ET-1</v>
      </c>
      <c r="J9" s="94" t="str">
        <v>No</v>
      </c>
      <c r="K9" s="94" t="str">
        <v>No</v>
      </c>
      <c r="L9" s="137" t="str">
        <v>Not able to Compare</v>
      </c>
      <c r="M9" s="94" t="str">
        <v>No</v>
      </c>
      <c r="N9" s="134" t="str">
        <v>No</v>
      </c>
      <c r="O9" s="119" t="str">
        <v>Yes</v>
      </c>
      <c r="P9" s="92" t="str">
        <v>N</v>
      </c>
      <c r="Q9" s="91">
        <v>45957</v>
      </c>
      <c r="R9" s="140">
        <v>0</v>
      </c>
      <c r="S9" s="92">
        <v>0</v>
      </c>
      <c r="T9" s="92">
        <v>0</v>
      </c>
      <c r="U9" s="137">
        <v>0</v>
      </c>
      <c r="V9" s="126" t="str">
        <f t="shared" si="0"/>
        <v>⚠ Unknown</v>
      </c>
      <c r="W9" s="130" t="str">
        <f>IFERROR(_xlfn.XLOOKUP(TEXT(H9,"0000000000"),'📞 Call Tracker'!A$2:A$2000,'📞 Call Tracker'!B$2:B$2000,""),"")</f>
        <v>Joaquin</v>
      </c>
      <c r="X9" s="96">
        <f>IFERROR(_xlfn.XLOOKUP(TEXT(H9,"0000000000"),'📞 Call Tracker'!A$2:A$2000,'📞 Call Tracker'!C$2:C$2000,""),"")</f>
        <v>45997</v>
      </c>
      <c r="Y9" s="95" t="str">
        <f>IFERROR(_xlfn.XLOOKUP(TEXT(H9,"0000000000"),'📞 Call Tracker'!A$2:A$2000,'📞 Call Tracker'!D$2:D$2000,""),"")</f>
        <v>YES</v>
      </c>
      <c r="Z9" s="95">
        <f>IFERROR(_xlfn.XLOOKUP(TEXT(H9,"0000000000"),'📞 Call Tracker'!A$2:A$2000,'📞 Call Tracker'!E$2:E$2000,""),"")</f>
        <v>0</v>
      </c>
      <c r="AA9" s="145">
        <f>IFERROR(_xlfn.XLOOKUP(TEXT(H9,"0000000000"),'📞 Call Tracker'!A$2:A$2000,'📞 Call Tracker'!F$2:F$2000,""),"")</f>
        <v>0</v>
      </c>
      <c r="AB9" s="132">
        <f t="shared" si="1"/>
        <v>99</v>
      </c>
      <c r="AC9" s="79"/>
    </row>
    <row r="10" spans="1:29" ht="20.100000000000001" customHeight="1">
      <c r="A10" s="91">
        <v>45813</v>
      </c>
      <c r="B10" s="92" t="str">
        <v>Berto</v>
      </c>
      <c r="C10" s="92" t="str">
        <v>Kim &amp; Dave</v>
      </c>
      <c r="D10" s="92" t="str">
        <v>Chino Valley</v>
      </c>
      <c r="E10" s="92" t="str">
        <v>Unknown</v>
      </c>
      <c r="F10" s="137" t="str">
        <v>Opposed</v>
      </c>
      <c r="G10" s="93" t="str">
        <v>https://images.edocket.azcc.gov/docketpdf/E000044536.pdf</v>
      </c>
      <c r="H10" s="150" t="s">
        <v>6538</v>
      </c>
      <c r="I10" s="114" t="str">
        <v>RCPw/RTOUE47</v>
      </c>
      <c r="J10" s="94" t="str">
        <v>No</v>
      </c>
      <c r="K10" s="94" t="str">
        <v>No</v>
      </c>
      <c r="L10" s="137" t="str">
        <v>Yes</v>
      </c>
      <c r="M10" s="94" t="str">
        <v>No</v>
      </c>
      <c r="N10" s="134" t="str">
        <v>No</v>
      </c>
      <c r="O10" s="119" t="str">
        <v>Yes</v>
      </c>
      <c r="P10" s="92" t="str">
        <v>N</v>
      </c>
      <c r="Q10" s="91">
        <v>45957</v>
      </c>
      <c r="R10" s="140">
        <v>0</v>
      </c>
      <c r="S10" s="92">
        <v>0</v>
      </c>
      <c r="T10" s="92">
        <v>0</v>
      </c>
      <c r="U10" s="137">
        <v>0</v>
      </c>
      <c r="V10" s="126" t="str">
        <f t="shared" si="0"/>
        <v>✅ On Best Plan</v>
      </c>
      <c r="W10" s="130" t="str">
        <f>IFERROR(_xlfn.XLOOKUP(TEXT(H10,"0000000000"),'📞 Call Tracker'!A$2:A$2000,'📞 Call Tracker'!B$2:B$2000,""),"")</f>
        <v>Joaquin</v>
      </c>
      <c r="X10" s="96">
        <f>IFERROR(_xlfn.XLOOKUP(TEXT(H10,"0000000000"),'📞 Call Tracker'!A$2:A$2000,'📞 Call Tracker'!C$2:C$2000,""),"")</f>
        <v>45997</v>
      </c>
      <c r="Y10" s="95">
        <f>IFERROR(_xlfn.XLOOKUP(TEXT(H10,"0000000000"),'📞 Call Tracker'!A$2:A$2000,'📞 Call Tracker'!D$2:D$2000,""),"")</f>
        <v>0</v>
      </c>
      <c r="Z10" s="95">
        <f>IFERROR(_xlfn.XLOOKUP(TEXT(H10,"0000000000"),'📞 Call Tracker'!A$2:A$2000,'📞 Call Tracker'!E$2:E$2000,""),"")</f>
        <v>0</v>
      </c>
      <c r="AA10" s="145" t="str">
        <f>IFERROR(_xlfn.XLOOKUP(TEXT(H10,"0000000000"),'📞 Call Tracker'!A$2:A$2000,'📞 Call Tracker'!F$2:F$2000,""),"")</f>
        <v>DID TALK TO CORE OFFER TO REVIEW ACCT</v>
      </c>
      <c r="AB10" s="132">
        <f t="shared" si="1"/>
        <v>99</v>
      </c>
      <c r="AC10" s="79"/>
    </row>
    <row r="11" spans="1:29" ht="20.100000000000001" customHeight="1">
      <c r="A11" s="91">
        <v>45813</v>
      </c>
      <c r="B11" s="92" t="str">
        <v>Misamore</v>
      </c>
      <c r="C11" s="92" t="str">
        <v>Bruce</v>
      </c>
      <c r="D11" s="92" t="str">
        <v>Sedona</v>
      </c>
      <c r="E11" s="92">
        <v>86336</v>
      </c>
      <c r="F11" s="137" t="str">
        <v>Opposed</v>
      </c>
      <c r="G11" s="93" t="str">
        <v>https://images.edocket.azcc.gov/docketpdf/E000044536.pdf</v>
      </c>
      <c r="H11" s="150" t="s">
        <v>90</v>
      </c>
      <c r="I11" s="114">
        <v>0</v>
      </c>
      <c r="J11" s="94" t="str">
        <v>No</v>
      </c>
      <c r="K11" s="94">
        <v>0</v>
      </c>
      <c r="L11" s="137">
        <v>0</v>
      </c>
      <c r="M11" s="94">
        <v>0</v>
      </c>
      <c r="N11" s="134">
        <v>0</v>
      </c>
      <c r="O11" s="119">
        <v>0</v>
      </c>
      <c r="P11" s="92">
        <v>0</v>
      </c>
      <c r="Q11" s="91">
        <v>0</v>
      </c>
      <c r="R11" s="140">
        <v>0</v>
      </c>
      <c r="S11" s="92">
        <v>0</v>
      </c>
      <c r="T11" s="92">
        <v>0</v>
      </c>
      <c r="U11" s="137">
        <v>0</v>
      </c>
      <c r="V11" s="126" t="str">
        <f t="shared" si="0"/>
        <v>❌ Not on Best Plan</v>
      </c>
      <c r="W11" s="130" t="str">
        <f>IFERROR(_xlfn.XLOOKUP(TEXT(H11,"0000000000"),'📞 Call Tracker'!A$2:A$2000,'📞 Call Tracker'!B$2:B$2000,""),"")</f>
        <v/>
      </c>
      <c r="X11" s="96" t="str">
        <f>IFERROR(_xlfn.XLOOKUP(TEXT(H11,"0000000000"),'📞 Call Tracker'!A$2:A$2000,'📞 Call Tracker'!C$2:C$2000,""),"")</f>
        <v/>
      </c>
      <c r="Y11" s="95" t="str">
        <f>IFERROR(_xlfn.XLOOKUP(TEXT(H11,"0000000000"),'📞 Call Tracker'!A$2:A$2000,'📞 Call Tracker'!D$2:D$2000,""),"")</f>
        <v/>
      </c>
      <c r="Z11" s="95" t="str">
        <f>IFERROR(_xlfn.XLOOKUP(TEXT(H11,"0000000000"),'📞 Call Tracker'!A$2:A$2000,'📞 Call Tracker'!E$2:E$2000,""),"")</f>
        <v/>
      </c>
      <c r="AA11" s="145" t="str">
        <f>IFERROR(_xlfn.XLOOKUP(TEXT(H11,"0000000000"),'📞 Call Tracker'!A$2:A$2000,'📞 Call Tracker'!F$2:F$2000,""),"")</f>
        <v/>
      </c>
      <c r="AB11" s="132">
        <f t="shared" si="1"/>
        <v>1</v>
      </c>
      <c r="AC11" s="79"/>
    </row>
    <row r="12" spans="1:29" ht="20.100000000000001" customHeight="1">
      <c r="A12" s="91">
        <v>45814</v>
      </c>
      <c r="B12" s="92" t="str">
        <v>Shroyer</v>
      </c>
      <c r="C12" s="92" t="str">
        <v>Mary Lynne</v>
      </c>
      <c r="D12" s="92" t="str">
        <v>Sun City</v>
      </c>
      <c r="E12" s="92">
        <v>85351</v>
      </c>
      <c r="F12" s="137" t="str">
        <v>Opposed</v>
      </c>
      <c r="G12" s="93" t="str">
        <v>https://images.edocket.azcc.gov/docketpdf/E000044648.pdf</v>
      </c>
      <c r="H12" s="150" t="s">
        <v>2986</v>
      </c>
      <c r="I12" s="114" t="str">
        <v>R-XS</v>
      </c>
      <c r="J12" s="94" t="str">
        <v>No</v>
      </c>
      <c r="K12" s="94" t="str">
        <v>No</v>
      </c>
      <c r="L12" s="137" t="str">
        <v>Yes</v>
      </c>
      <c r="M12" s="94" t="str">
        <v>No</v>
      </c>
      <c r="N12" s="134" t="str">
        <v>No</v>
      </c>
      <c r="O12" s="119" t="str">
        <v>Yes</v>
      </c>
      <c r="P12" s="92" t="str">
        <v>N</v>
      </c>
      <c r="Q12" s="91">
        <v>45957</v>
      </c>
      <c r="R12" s="140">
        <v>0</v>
      </c>
      <c r="S12" s="92">
        <v>0</v>
      </c>
      <c r="T12" s="92">
        <v>0</v>
      </c>
      <c r="U12" s="137">
        <v>0</v>
      </c>
      <c r="V12" s="126" t="str">
        <f t="shared" si="0"/>
        <v>✅ On Best Plan</v>
      </c>
      <c r="W12" s="130" t="str">
        <f>IFERROR(_xlfn.XLOOKUP(TEXT(H12,"0000000000"),'📞 Call Tracker'!A$2:A$2000,'📞 Call Tracker'!B$2:B$2000,""),"")</f>
        <v>Joaquin</v>
      </c>
      <c r="X12" s="96">
        <f>IFERROR(_xlfn.XLOOKUP(TEXT(H12,"0000000000"),'📞 Call Tracker'!A$2:A$2000,'📞 Call Tracker'!C$2:C$2000,""),"")</f>
        <v>45997</v>
      </c>
      <c r="Y12" s="95" t="str">
        <f>IFERROR(_xlfn.XLOOKUP(TEXT(H12,"0000000000"),'📞 Call Tracker'!A$2:A$2000,'📞 Call Tracker'!D$2:D$2000,""),"")</f>
        <v>YES</v>
      </c>
      <c r="Z12" s="95">
        <f>IFERROR(_xlfn.XLOOKUP(TEXT(H12,"0000000000"),'📞 Call Tracker'!A$2:A$2000,'📞 Call Tracker'!E$2:E$2000,""),"")</f>
        <v>0</v>
      </c>
      <c r="AA12" s="145" t="str">
        <f>IFERROR(_xlfn.XLOOKUP(TEXT(H12,"0000000000"),'📞 Call Tracker'!A$2:A$2000,'📞 Call Tracker'!F$2:F$2000,""),"")</f>
        <v>CORE ON BB PROGRAM</v>
      </c>
      <c r="AB12" s="132">
        <f t="shared" si="1"/>
        <v>99</v>
      </c>
      <c r="AC12" s="79"/>
    </row>
    <row r="13" spans="1:29" ht="20.100000000000001" customHeight="1">
      <c r="A13" s="91">
        <v>45821</v>
      </c>
      <c r="B13" s="92" t="str">
        <v>Driscoll</v>
      </c>
      <c r="C13" s="92" t="str">
        <v>David &amp; Donna</v>
      </c>
      <c r="D13" s="92" t="str">
        <v>Unknown</v>
      </c>
      <c r="E13" s="92" t="str">
        <v>Unknown</v>
      </c>
      <c r="F13" s="137" t="str">
        <v>Opposed</v>
      </c>
      <c r="G13" s="93" t="str">
        <v>https://images.edocket.azcc.gov/docketpdf/E000044766.pdf</v>
      </c>
      <c r="H13" s="150" t="s">
        <v>98</v>
      </c>
      <c r="I13" s="114" t="str">
        <v>RCPw/RTOUE47</v>
      </c>
      <c r="J13" s="94" t="str">
        <v>No</v>
      </c>
      <c r="K13" s="94" t="str">
        <v>No</v>
      </c>
      <c r="L13" s="137" t="str">
        <v xml:space="preserve"> No - MEP R3-47($151.35)</v>
      </c>
      <c r="M13" s="94" t="str">
        <v>No</v>
      </c>
      <c r="N13" s="134" t="str">
        <v>No</v>
      </c>
      <c r="O13" s="119" t="str">
        <v>Yes</v>
      </c>
      <c r="P13" s="92" t="str">
        <v>N</v>
      </c>
      <c r="Q13" s="91">
        <v>45957</v>
      </c>
      <c r="R13" s="140" t="str">
        <v>Prior ACC Complaint customer - Solar customer does not want to be on demand rate.</v>
      </c>
      <c r="S13" s="92">
        <v>0</v>
      </c>
      <c r="T13" s="92">
        <v>0</v>
      </c>
      <c r="U13" s="137">
        <v>0</v>
      </c>
      <c r="V13" s="126" t="str">
        <f t="shared" si="0"/>
        <v>❌ Not on Best Plan</v>
      </c>
      <c r="W13" s="130" t="str">
        <f>IFERROR(_xlfn.XLOOKUP(TEXT(H13,"0000000000"),'📞 Call Tracker'!A$2:A$2000,'📞 Call Tracker'!B$2:B$2000,""),"")</f>
        <v>Joaquin</v>
      </c>
      <c r="X13" s="96">
        <f>IFERROR(_xlfn.XLOOKUP(TEXT(H13,"0000000000"),'📞 Call Tracker'!A$2:A$2000,'📞 Call Tracker'!C$2:C$2000,""),"")</f>
        <v>45997</v>
      </c>
      <c r="Y13" s="95" t="str">
        <f>IFERROR(_xlfn.XLOOKUP(TEXT(H13,"0000000000"),'📞 Call Tracker'!A$2:A$2000,'📞 Call Tracker'!D$2:D$2000,""),"")</f>
        <v>YES</v>
      </c>
      <c r="Z13" s="95">
        <f>IFERROR(_xlfn.XLOOKUP(TEXT(H13,"0000000000"),'📞 Call Tracker'!A$2:A$2000,'📞 Call Tracker'!E$2:E$2000,""),"")</f>
        <v>0</v>
      </c>
      <c r="AA13" s="145" t="str">
        <f>IFERROR(_xlfn.XLOOKUP(TEXT(H13,"0000000000"),'📞 Call Tracker'!A$2:A$2000,'📞 Call Tracker'!F$2:F$2000,""),"")</f>
        <v>CORE ON BB PROGRAM</v>
      </c>
      <c r="AB13" s="132">
        <f t="shared" si="1"/>
        <v>99</v>
      </c>
      <c r="AC13" s="79"/>
    </row>
    <row r="14" spans="1:29" ht="20.100000000000001" customHeight="1">
      <c r="A14" s="91">
        <v>45825</v>
      </c>
      <c r="B14" s="92" t="str">
        <v xml:space="preserve">Neal </v>
      </c>
      <c r="C14" s="92" t="str">
        <v>Michelle</v>
      </c>
      <c r="D14" s="92" t="str">
        <v>Glendale</v>
      </c>
      <c r="E14" s="92">
        <v>85308</v>
      </c>
      <c r="F14" s="137" t="str">
        <v>Opposed</v>
      </c>
      <c r="G14" s="93" t="str">
        <v>https://images.edocket.azcc.gov/docketpdf/E000044799.pdf</v>
      </c>
      <c r="H14" s="150" t="s">
        <v>118</v>
      </c>
      <c r="I14" s="114" t="str">
        <v>R3-47</v>
      </c>
      <c r="J14" s="94" t="str">
        <v>No</v>
      </c>
      <c r="K14" s="94" t="str">
        <v>No</v>
      </c>
      <c r="L14" s="137" t="str">
        <v>Yes</v>
      </c>
      <c r="M14" s="94" t="str">
        <v>No</v>
      </c>
      <c r="N14" s="134" t="str">
        <v>No</v>
      </c>
      <c r="O14" s="119" t="str">
        <v>Yes</v>
      </c>
      <c r="P14" s="92" t="str">
        <v>N</v>
      </c>
      <c r="Q14" s="91">
        <v>45957</v>
      </c>
      <c r="R14" s="140">
        <v>0</v>
      </c>
      <c r="S14" s="92">
        <v>0</v>
      </c>
      <c r="T14" s="92">
        <v>0</v>
      </c>
      <c r="U14" s="137">
        <v>0</v>
      </c>
      <c r="V14" s="126" t="str">
        <f t="shared" si="0"/>
        <v>✅ On Best Plan</v>
      </c>
      <c r="W14" s="130" t="str">
        <f>IFERROR(_xlfn.XLOOKUP(TEXT(H14,"0000000000"),'📞 Call Tracker'!A$2:A$2000,'📞 Call Tracker'!B$2:B$2000,""),"")</f>
        <v>Joaquin</v>
      </c>
      <c r="X14" s="96">
        <f>IFERROR(_xlfn.XLOOKUP(TEXT(H14,"0000000000"),'📞 Call Tracker'!A$2:A$2000,'📞 Call Tracker'!C$2:C$2000,""),"")</f>
        <v>45997</v>
      </c>
      <c r="Y14" s="95" t="str">
        <f>IFERROR(_xlfn.XLOOKUP(TEXT(H14,"0000000000"),'📞 Call Tracker'!A$2:A$2000,'📞 Call Tracker'!D$2:D$2000,""),"")</f>
        <v>YES</v>
      </c>
      <c r="Z14" s="95">
        <f>IFERROR(_xlfn.XLOOKUP(TEXT(H14,"0000000000"),'📞 Call Tracker'!A$2:A$2000,'📞 Call Tracker'!E$2:E$2000,""),"")</f>
        <v>0</v>
      </c>
      <c r="AA14" s="145" t="str">
        <f>IFERROR(_xlfn.XLOOKUP(TEXT(H14,"0000000000"),'📞 Call Tracker'!A$2:A$2000,'📞 Call Tracker'!F$2:F$2000,""),"")</f>
        <v>IS ON DEMAND &amp; IS VERY HIGH</v>
      </c>
      <c r="AB14" s="132">
        <f t="shared" si="1"/>
        <v>99</v>
      </c>
      <c r="AC14" s="79"/>
    </row>
    <row r="15" spans="1:29" ht="20.100000000000001" customHeight="1">
      <c r="A15" s="91">
        <v>45826</v>
      </c>
      <c r="B15" s="92" t="str">
        <v>Witte</v>
      </c>
      <c r="C15" s="92" t="str">
        <v>Jessica</v>
      </c>
      <c r="D15" s="92" t="str">
        <v>Scottsdale</v>
      </c>
      <c r="E15" s="92">
        <v>85254</v>
      </c>
      <c r="F15" s="137" t="str">
        <v>Opposed</v>
      </c>
      <c r="G15" s="93" t="str">
        <v>https://images.edocket.azcc.gov/docketpdf/E000044842.pdf</v>
      </c>
      <c r="H15" s="150" t="s">
        <v>6168</v>
      </c>
      <c r="I15" s="114" t="str">
        <v>R-BASIC</v>
      </c>
      <c r="J15" s="94" t="str">
        <v>No</v>
      </c>
      <c r="K15" s="94" t="str">
        <v>No</v>
      </c>
      <c r="L15" s="137" t="str">
        <v>Yes</v>
      </c>
      <c r="M15" s="94" t="str">
        <v>No</v>
      </c>
      <c r="N15" s="134" t="str">
        <v>No</v>
      </c>
      <c r="O15" s="119" t="str">
        <v>Yes</v>
      </c>
      <c r="P15" s="92" t="str">
        <v>N</v>
      </c>
      <c r="Q15" s="91">
        <v>45957</v>
      </c>
      <c r="R15" s="140">
        <v>0</v>
      </c>
      <c r="S15" s="92">
        <v>0</v>
      </c>
      <c r="T15" s="92">
        <v>0</v>
      </c>
      <c r="U15" s="137">
        <v>0</v>
      </c>
      <c r="V15" s="126" t="str">
        <f t="shared" si="0"/>
        <v>✅ On Best Plan</v>
      </c>
      <c r="W15" s="130">
        <f>IFERROR(_xlfn.XLOOKUP(TEXT(H15,"0000000000"),'📞 Call Tracker'!A$2:A$2000,'📞 Call Tracker'!B$2:B$2000,""),"")</f>
        <v>0</v>
      </c>
      <c r="X15" s="96">
        <f>IFERROR(_xlfn.XLOOKUP(TEXT(H15,"0000000000"),'📞 Call Tracker'!A$2:A$2000,'📞 Call Tracker'!C$2:C$2000,""),"")</f>
        <v>0</v>
      </c>
      <c r="Y15" s="95">
        <f>IFERROR(_xlfn.XLOOKUP(TEXT(H15,"0000000000"),'📞 Call Tracker'!A$2:A$2000,'📞 Call Tracker'!D$2:D$2000,""),"")</f>
        <v>0</v>
      </c>
      <c r="Z15" s="95">
        <f>IFERROR(_xlfn.XLOOKUP(TEXT(H15,"0000000000"),'📞 Call Tracker'!A$2:A$2000,'📞 Call Tracker'!E$2:E$2000,""),"")</f>
        <v>0</v>
      </c>
      <c r="AA15" s="145">
        <f>IFERROR(_xlfn.XLOOKUP(TEXT(H15,"0000000000"),'📞 Call Tracker'!A$2:A$2000,'📞 Call Tracker'!F$2:F$2000,""),"")</f>
        <v>0</v>
      </c>
      <c r="AB15" s="132">
        <f t="shared" si="1"/>
        <v>99</v>
      </c>
      <c r="AC15" s="79"/>
    </row>
    <row r="16" spans="1:29" ht="20.100000000000001" customHeight="1">
      <c r="A16" s="91">
        <v>45826</v>
      </c>
      <c r="B16" s="92" t="str">
        <v>Figueroa</v>
      </c>
      <c r="C16" s="92" t="str">
        <v>Enrique</v>
      </c>
      <c r="D16" s="92" t="str">
        <v>Gilbert</v>
      </c>
      <c r="E16" s="92">
        <v>85233</v>
      </c>
      <c r="F16" s="137" t="str">
        <v>Opposed</v>
      </c>
      <c r="G16" s="93" t="str">
        <v>https://images.edocket.azcc.gov/docketpdf/E000044842.pdf</v>
      </c>
      <c r="H16" s="150" t="s">
        <v>6543</v>
      </c>
      <c r="I16" s="114" t="str">
        <v>R3-47</v>
      </c>
      <c r="J16" s="94" t="str">
        <v>No</v>
      </c>
      <c r="K16" s="94" t="str">
        <v>No</v>
      </c>
      <c r="L16" s="137" t="str">
        <v>Yes</v>
      </c>
      <c r="M16" s="94" t="str">
        <v>No</v>
      </c>
      <c r="N16" s="134" t="str">
        <v>No</v>
      </c>
      <c r="O16" s="119" t="str">
        <v>Yes</v>
      </c>
      <c r="P16" s="92" t="str">
        <v>N</v>
      </c>
      <c r="Q16" s="91">
        <v>45957</v>
      </c>
      <c r="R16" s="140">
        <v>0</v>
      </c>
      <c r="S16" s="92">
        <v>0</v>
      </c>
      <c r="T16" s="92">
        <v>0</v>
      </c>
      <c r="U16" s="137">
        <v>0</v>
      </c>
      <c r="V16" s="126" t="str">
        <f t="shared" si="0"/>
        <v>✅ On Best Plan</v>
      </c>
      <c r="W16" s="130" t="str">
        <f>IFERROR(_xlfn.XLOOKUP(TEXT(H16,"0000000000"),'📞 Call Tracker'!A$2:A$2000,'📞 Call Tracker'!B$2:B$2000,""),"")</f>
        <v>Michelle</v>
      </c>
      <c r="X16" s="96">
        <f>IFERROR(_xlfn.XLOOKUP(TEXT(H16,"0000000000"),'📞 Call Tracker'!A$2:A$2000,'📞 Call Tracker'!C$2:C$2000,""),"")</f>
        <v>45997</v>
      </c>
      <c r="Y16" s="95" t="str">
        <f>IFERROR(_xlfn.XLOOKUP(TEXT(H16,"0000000000"),'📞 Call Tracker'!A$2:A$2000,'📞 Call Tracker'!D$2:D$2000,""),"")</f>
        <v>NO</v>
      </c>
      <c r="Z16" s="95">
        <f>IFERROR(_xlfn.XLOOKUP(TEXT(H16,"0000000000"),'📞 Call Tracker'!A$2:A$2000,'📞 Call Tracker'!E$2:E$2000,""),"")</f>
        <v>0</v>
      </c>
      <c r="AA16" s="145" t="str">
        <f>IFERROR(_xlfn.XLOOKUP(TEXT(H16,"0000000000"),'📞 Call Tracker'!A$2:A$2000,'📞 Call Tracker'!F$2:F$2000,""),"")</f>
        <v>PHONE DISCONNECTED / NOT ON BEST PLAN</v>
      </c>
      <c r="AB16" s="132">
        <f t="shared" si="1"/>
        <v>99</v>
      </c>
      <c r="AC16" s="79"/>
    </row>
    <row r="17" spans="1:29" ht="20.100000000000001" customHeight="1">
      <c r="A17" s="91">
        <v>45826</v>
      </c>
      <c r="B17" s="92" t="str">
        <v>Wheatley</v>
      </c>
      <c r="C17" s="92" t="str">
        <v>Heather</v>
      </c>
      <c r="D17" s="92" t="str">
        <v>Surprise</v>
      </c>
      <c r="E17" s="92">
        <v>85388</v>
      </c>
      <c r="F17" s="137" t="str">
        <v>Opposed</v>
      </c>
      <c r="G17" s="93" t="str">
        <v>https://images.edocket.azcc.gov/docketpdf/E000044842.pdf</v>
      </c>
      <c r="H17" s="150" t="s">
        <v>6169</v>
      </c>
      <c r="I17" s="114" t="str">
        <v>R3-47</v>
      </c>
      <c r="J17" s="94" t="str">
        <v>No</v>
      </c>
      <c r="K17" s="94" t="str">
        <v>No</v>
      </c>
      <c r="L17" s="137" t="str">
        <v>Yes</v>
      </c>
      <c r="M17" s="94" t="str">
        <v>No</v>
      </c>
      <c r="N17" s="134" t="str">
        <v>No</v>
      </c>
      <c r="O17" s="119" t="str">
        <v>Yes</v>
      </c>
      <c r="P17" s="92" t="str">
        <v>N</v>
      </c>
      <c r="Q17" s="91">
        <v>45957</v>
      </c>
      <c r="R17" s="140">
        <v>0</v>
      </c>
      <c r="S17" s="92">
        <v>0</v>
      </c>
      <c r="T17" s="92">
        <v>0</v>
      </c>
      <c r="U17" s="137">
        <v>0</v>
      </c>
      <c r="V17" s="126" t="str">
        <f t="shared" si="0"/>
        <v>✅ On Best Plan</v>
      </c>
      <c r="W17" s="130">
        <f>IFERROR(_xlfn.XLOOKUP(TEXT(H17,"0000000000"),'📞 Call Tracker'!A$2:A$2000,'📞 Call Tracker'!B$2:B$2000,""),"")</f>
        <v>0</v>
      </c>
      <c r="X17" s="96">
        <f>IFERROR(_xlfn.XLOOKUP(TEXT(H17,"0000000000"),'📞 Call Tracker'!A$2:A$2000,'📞 Call Tracker'!C$2:C$2000,""),"")</f>
        <v>0</v>
      </c>
      <c r="Y17" s="95">
        <f>IFERROR(_xlfn.XLOOKUP(TEXT(H17,"0000000000"),'📞 Call Tracker'!A$2:A$2000,'📞 Call Tracker'!D$2:D$2000,""),"")</f>
        <v>0</v>
      </c>
      <c r="Z17" s="95">
        <f>IFERROR(_xlfn.XLOOKUP(TEXT(H17,"0000000000"),'📞 Call Tracker'!A$2:A$2000,'📞 Call Tracker'!E$2:E$2000,""),"")</f>
        <v>0</v>
      </c>
      <c r="AA17" s="145">
        <f>IFERROR(_xlfn.XLOOKUP(TEXT(H17,"0000000000"),'📞 Call Tracker'!A$2:A$2000,'📞 Call Tracker'!F$2:F$2000,""),"")</f>
        <v>0</v>
      </c>
      <c r="AB17" s="132">
        <f t="shared" si="1"/>
        <v>99</v>
      </c>
      <c r="AC17" s="79"/>
    </row>
    <row r="18" spans="1:29" ht="20.100000000000001" customHeight="1">
      <c r="A18" s="91">
        <v>45826</v>
      </c>
      <c r="B18" s="92" t="str">
        <v>Millbranth</v>
      </c>
      <c r="C18" s="92" t="str">
        <v>Mark</v>
      </c>
      <c r="D18" s="92" t="str">
        <v>Scottsdale</v>
      </c>
      <c r="E18" s="92">
        <v>85266</v>
      </c>
      <c r="F18" s="137" t="str">
        <v>Opposed</v>
      </c>
      <c r="G18" s="93" t="str">
        <v>https://images.edocket.azcc.gov/docketpdf/E000044842.pdf</v>
      </c>
      <c r="H18" s="150" t="s">
        <v>6170</v>
      </c>
      <c r="I18" s="114" t="str">
        <v>R3-47</v>
      </c>
      <c r="J18" s="94" t="str">
        <v>No</v>
      </c>
      <c r="K18" s="94" t="str">
        <v>No</v>
      </c>
      <c r="L18" s="137" t="str">
        <v>Yes</v>
      </c>
      <c r="M18" s="94" t="str">
        <v>No</v>
      </c>
      <c r="N18" s="134" t="str">
        <v>No</v>
      </c>
      <c r="O18" s="119" t="str">
        <v>Yes</v>
      </c>
      <c r="P18" s="92" t="str">
        <v>N</v>
      </c>
      <c r="Q18" s="91">
        <v>45957</v>
      </c>
      <c r="R18" s="140">
        <v>0</v>
      </c>
      <c r="S18" s="92">
        <v>0</v>
      </c>
      <c r="T18" s="92">
        <v>0</v>
      </c>
      <c r="U18" s="137">
        <v>0</v>
      </c>
      <c r="V18" s="126" t="str">
        <f t="shared" si="0"/>
        <v>✅ On Best Plan</v>
      </c>
      <c r="W18" s="130" t="str">
        <f>IFERROR(_xlfn.XLOOKUP(TEXT(H18,"0000000000"),'📞 Call Tracker'!A$2:A$2000,'📞 Call Tracker'!B$2:B$2000,""),"")</f>
        <v>Michelle</v>
      </c>
      <c r="X18" s="96">
        <f>IFERROR(_xlfn.XLOOKUP(TEXT(H18,"0000000000"),'📞 Call Tracker'!A$2:A$2000,'📞 Call Tracker'!C$2:C$2000,""),"")</f>
        <v>46060</v>
      </c>
      <c r="Y18" s="95" t="str">
        <f>IFERROR(_xlfn.XLOOKUP(TEXT(H18,"0000000000"),'📞 Call Tracker'!A$2:A$2000,'📞 Call Tracker'!D$2:D$2000,""),"")</f>
        <v>NO</v>
      </c>
      <c r="Z18" s="95">
        <f>IFERROR(_xlfn.XLOOKUP(TEXT(H18,"0000000000"),'📞 Call Tracker'!A$2:A$2000,'📞 Call Tracker'!E$2:E$2000,""),"")</f>
        <v>0</v>
      </c>
      <c r="AA18" s="145" t="str">
        <f>IFERROR(_xlfn.XLOOKUP(TEXT(H18,"0000000000"),'📞 Call Tracker'!A$2:A$2000,'📞 Call Tracker'!F$2:F$2000,""),"")</f>
        <v>UNHAPPY W/ RATE CASE</v>
      </c>
      <c r="AB18" s="132">
        <f t="shared" si="1"/>
        <v>99</v>
      </c>
      <c r="AC18" s="79"/>
    </row>
    <row r="19" spans="1:29" ht="20.100000000000001" customHeight="1">
      <c r="A19" s="91">
        <v>45826</v>
      </c>
      <c r="B19" s="92" t="str">
        <v>Geyer</v>
      </c>
      <c r="C19" s="92" t="str">
        <v>Jared</v>
      </c>
      <c r="D19" s="92" t="str">
        <v>Scottsdale</v>
      </c>
      <c r="E19" s="92">
        <v>85254</v>
      </c>
      <c r="F19" s="137" t="str">
        <v>Opposed</v>
      </c>
      <c r="G19" s="93" t="str">
        <v>https://images.edocket.azcc.gov/docketpdf/E000044846.pdf</v>
      </c>
      <c r="H19" s="150" t="s">
        <v>140</v>
      </c>
      <c r="I19" s="114" t="str">
        <v>R-BASICL</v>
      </c>
      <c r="J19" s="94" t="str">
        <v xml:space="preserve">No </v>
      </c>
      <c r="K19" s="94" t="str">
        <v>No</v>
      </c>
      <c r="L19" s="137" t="str">
        <v>No MEP R3-47 ($36.88)</v>
      </c>
      <c r="M19" s="94" t="str">
        <v>No</v>
      </c>
      <c r="N19" s="134" t="str">
        <v>No</v>
      </c>
      <c r="O19" s="119" t="str">
        <v>Yes</v>
      </c>
      <c r="P19" s="92" t="str">
        <v>N</v>
      </c>
      <c r="Q19" s="91">
        <v>45957</v>
      </c>
      <c r="R19" s="140">
        <v>0</v>
      </c>
      <c r="S19" s="92">
        <v>0</v>
      </c>
      <c r="T19" s="92">
        <v>0</v>
      </c>
      <c r="U19" s="137" t="str">
        <v>Estimated savings $37.01/12 = $3.08 potential monthly savings on MEP</v>
      </c>
      <c r="V19" s="126" t="str">
        <f t="shared" si="0"/>
        <v>❌ Not on Best Plan</v>
      </c>
      <c r="W19" s="130" t="str">
        <f>IFERROR(_xlfn.XLOOKUP(TEXT(H19,"0000000000"),'📞 Call Tracker'!A$2:A$2000,'📞 Call Tracker'!B$2:B$2000,""),"")</f>
        <v>Joaquin</v>
      </c>
      <c r="X19" s="96">
        <f>IFERROR(_xlfn.XLOOKUP(TEXT(H19,"0000000000"),'📞 Call Tracker'!A$2:A$2000,'📞 Call Tracker'!C$2:C$2000,""),"")</f>
        <v>46011</v>
      </c>
      <c r="Y19" s="95" t="str">
        <f>IFERROR(_xlfn.XLOOKUP(TEXT(H19,"0000000000"),'📞 Call Tracker'!A$2:A$2000,'📞 Call Tracker'!D$2:D$2000,""),"")</f>
        <v>NO</v>
      </c>
      <c r="Z19" s="95">
        <f>IFERROR(_xlfn.XLOOKUP(TEXT(H19,"0000000000"),'📞 Call Tracker'!A$2:A$2000,'📞 Call Tracker'!E$2:E$2000,""),"")</f>
        <v>0</v>
      </c>
      <c r="AA19" s="145" t="str">
        <f>IFERROR(_xlfn.XLOOKUP(TEXT(H19,"0000000000"),'📞 Call Tracker'!A$2:A$2000,'📞 Call Tracker'!F$2:F$2000,""),"")</f>
        <v>REFUSED TOTAKE CALL HUNG UP</v>
      </c>
      <c r="AB19" s="132">
        <f t="shared" si="1"/>
        <v>99</v>
      </c>
      <c r="AC19" s="79"/>
    </row>
    <row r="20" spans="1:29" ht="20.100000000000001" customHeight="1">
      <c r="A20" s="91">
        <v>45826</v>
      </c>
      <c r="B20" s="92" t="str">
        <v>Snyder</v>
      </c>
      <c r="C20" s="92" t="str">
        <v>Steven</v>
      </c>
      <c r="D20" s="92" t="str">
        <v>Phoenix</v>
      </c>
      <c r="E20" s="92">
        <v>85029</v>
      </c>
      <c r="F20" s="137" t="str">
        <v>Opposed</v>
      </c>
      <c r="G20" s="93" t="str">
        <v>https://images.edocket.azcc.gov/docketpdf/E000044846.pdf</v>
      </c>
      <c r="H20" s="150" t="s">
        <v>146</v>
      </c>
      <c r="I20" s="114" t="str">
        <v>R3-47</v>
      </c>
      <c r="J20" s="94" t="str">
        <v>No</v>
      </c>
      <c r="K20" s="94" t="str">
        <v>No</v>
      </c>
      <c r="L20" s="137" t="str">
        <v>No MEP R-XS ($110.29)</v>
      </c>
      <c r="M20" s="94" t="str">
        <v>No</v>
      </c>
      <c r="N20" s="134" t="str">
        <v>No</v>
      </c>
      <c r="O20" s="119" t="str">
        <v>Yes</v>
      </c>
      <c r="P20" s="92">
        <v>45964</v>
      </c>
      <c r="Q20" s="91">
        <v>45957</v>
      </c>
      <c r="R20" s="140" t="str">
        <v xml:space="preserve">11/03 - LM </v>
      </c>
      <c r="S20" s="92">
        <v>0</v>
      </c>
      <c r="T20" s="92">
        <v>0</v>
      </c>
      <c r="U20" s="137" t="str">
        <v>Estimated savings $43.66/12 = $3.63 potential monthly savings on MEP</v>
      </c>
      <c r="V20" s="126" t="str">
        <f t="shared" si="0"/>
        <v>❌ Not on Best Plan</v>
      </c>
      <c r="W20" s="130" t="str">
        <f>IFERROR(_xlfn.XLOOKUP(TEXT(H20,"0000000000"),'📞 Call Tracker'!A$2:A$2000,'📞 Call Tracker'!B$2:B$2000,""),"")</f>
        <v>Michelle</v>
      </c>
      <c r="X20" s="96">
        <f>IFERROR(_xlfn.XLOOKUP(TEXT(H20,"0000000000"),'📞 Call Tracker'!A$2:A$2000,'📞 Call Tracker'!C$2:C$2000,""),"")</f>
        <v>45997</v>
      </c>
      <c r="Y20" s="95" t="str">
        <f>IFERROR(_xlfn.XLOOKUP(TEXT(H20,"0000000000"),'📞 Call Tracker'!A$2:A$2000,'📞 Call Tracker'!D$2:D$2000,""),"")</f>
        <v>NO</v>
      </c>
      <c r="Z20" s="95">
        <f>IFERROR(_xlfn.XLOOKUP(TEXT(H20,"0000000000"),'📞 Call Tracker'!A$2:A$2000,'📞 Call Tracker'!E$2:E$2000,""),"")</f>
        <v>0</v>
      </c>
      <c r="AA20" s="145" t="str">
        <f>IFERROR(_xlfn.XLOOKUP(TEXT(H20,"0000000000"),'📞 Call Tracker'!A$2:A$2000,'📞 Call Tracker'!F$2:F$2000,""),"")</f>
        <v>DID NOT WANT TO TALK / NOT ON BEST RATE PLAN</v>
      </c>
      <c r="AB20" s="132">
        <f t="shared" si="1"/>
        <v>99</v>
      </c>
      <c r="AC20" s="79"/>
    </row>
    <row r="21" spans="1:29" ht="20.100000000000001" customHeight="1">
      <c r="A21" s="91">
        <v>45826</v>
      </c>
      <c r="B21" s="92" t="str">
        <v>Kaplan</v>
      </c>
      <c r="C21" s="92" t="str">
        <v>Wayne</v>
      </c>
      <c r="D21" s="92" t="str">
        <v>Unknown</v>
      </c>
      <c r="E21" s="92" t="str">
        <v>Unknown</v>
      </c>
      <c r="F21" s="137" t="str">
        <v>Opposed</v>
      </c>
      <c r="G21" s="93" t="str">
        <v>https://images.edocket.azcc.gov/docketpdf/E000044840.pdf</v>
      </c>
      <c r="H21" s="150" t="s">
        <v>154</v>
      </c>
      <c r="I21" s="114" t="str">
        <v>R-XS</v>
      </c>
      <c r="J21" s="94" t="str">
        <v>No</v>
      </c>
      <c r="K21" s="94" t="str">
        <v>No</v>
      </c>
      <c r="L21" s="137" t="str">
        <v>Yes</v>
      </c>
      <c r="M21" s="94" t="str">
        <v>No</v>
      </c>
      <c r="N21" s="134" t="str">
        <v>No</v>
      </c>
      <c r="O21" s="119" t="str">
        <v>Yes</v>
      </c>
      <c r="P21" s="92" t="str">
        <v>N</v>
      </c>
      <c r="Q21" s="91">
        <v>45957</v>
      </c>
      <c r="R21" s="140">
        <v>0</v>
      </c>
      <c r="S21" s="92">
        <v>0</v>
      </c>
      <c r="T21" s="92">
        <v>0</v>
      </c>
      <c r="U21" s="137">
        <v>0</v>
      </c>
      <c r="V21" s="126" t="str">
        <f t="shared" si="0"/>
        <v>✅ On Best Plan</v>
      </c>
      <c r="W21" s="130" t="str">
        <f>IFERROR(_xlfn.XLOOKUP(TEXT(H21,"0000000000"),'📞 Call Tracker'!A$2:A$2000,'📞 Call Tracker'!B$2:B$2000,""),"")</f>
        <v>Michelle</v>
      </c>
      <c r="X21" s="96">
        <f>IFERROR(_xlfn.XLOOKUP(TEXT(H21,"0000000000"),'📞 Call Tracker'!A$2:A$2000,'📞 Call Tracker'!C$2:C$2000,""),"")</f>
        <v>45997</v>
      </c>
      <c r="Y21" s="95" t="str">
        <f>IFERROR(_xlfn.XLOOKUP(TEXT(H21,"0000000000"),'📞 Call Tracker'!A$2:A$2000,'📞 Call Tracker'!D$2:D$2000,""),"")</f>
        <v>NO</v>
      </c>
      <c r="Z21" s="95">
        <f>IFERROR(_xlfn.XLOOKUP(TEXT(H21,"0000000000"),'📞 Call Tracker'!A$2:A$2000,'📞 Call Tracker'!E$2:E$2000,""),"")</f>
        <v>0</v>
      </c>
      <c r="AA21" s="145" t="str">
        <f>IFERROR(_xlfn.XLOOKUP(TEXT(H21,"0000000000"),'📞 Call Tracker'!A$2:A$2000,'📞 Call Tracker'!F$2:F$2000,""),"")</f>
        <v>VERY UP SET ABOUT THE RATES POSSIBLY GOING UP</v>
      </c>
      <c r="AB21" s="132">
        <f t="shared" si="1"/>
        <v>99</v>
      </c>
      <c r="AC21" s="79"/>
    </row>
    <row r="22" spans="1:29" ht="20.100000000000001" customHeight="1">
      <c r="A22" s="91">
        <v>45826</v>
      </c>
      <c r="B22" s="92" t="str">
        <v>Delgado</v>
      </c>
      <c r="C22" s="92" t="str">
        <v>Amber</v>
      </c>
      <c r="D22" s="92" t="str">
        <v>Unknown</v>
      </c>
      <c r="E22" s="92" t="str">
        <v>Unknown</v>
      </c>
      <c r="F22" s="137" t="str">
        <v>Opposed</v>
      </c>
      <c r="G22" s="93" t="str">
        <v>https://images.edocket.azcc.gov/docketpdf/E000044840.pdf</v>
      </c>
      <c r="H22" s="150" t="s">
        <v>157</v>
      </c>
      <c r="I22" s="114" t="str">
        <v>R3-47</v>
      </c>
      <c r="J22" s="94" t="str">
        <v>No</v>
      </c>
      <c r="K22" s="94" t="str">
        <v>No</v>
      </c>
      <c r="L22" s="137" t="str">
        <v>Yes</v>
      </c>
      <c r="M22" s="94" t="str">
        <v>No</v>
      </c>
      <c r="N22" s="134" t="str">
        <v>No</v>
      </c>
      <c r="O22" s="119" t="str">
        <v>Yes</v>
      </c>
      <c r="P22" s="92" t="str">
        <v>N</v>
      </c>
      <c r="Q22" s="91">
        <v>45957</v>
      </c>
      <c r="R22" s="140" t="str">
        <v>Changed rate to MEP on 10/6</v>
      </c>
      <c r="S22" s="92">
        <v>0</v>
      </c>
      <c r="T22" s="92">
        <v>0</v>
      </c>
      <c r="U22" s="137" t="str">
        <v>Estimated savings $68.27/12 - $5.69 potential monthly savings on MEP</v>
      </c>
      <c r="V22" s="126" t="str">
        <f t="shared" si="0"/>
        <v>✅ On Best Plan</v>
      </c>
      <c r="W22" s="130" t="str">
        <f>IFERROR(_xlfn.XLOOKUP(TEXT(H22,"0000000000"),'📞 Call Tracker'!A$2:A$2000,'📞 Call Tracker'!B$2:B$2000,""),"")</f>
        <v>Michelle</v>
      </c>
      <c r="X22" s="96">
        <f>IFERROR(_xlfn.XLOOKUP(TEXT(H22,"0000000000"),'📞 Call Tracker'!A$2:A$2000,'📞 Call Tracker'!C$2:C$2000,""),"")</f>
        <v>46060</v>
      </c>
      <c r="Y22" s="95" t="str">
        <f>IFERROR(_xlfn.XLOOKUP(TEXT(H22,"0000000000"),'📞 Call Tracker'!A$2:A$2000,'📞 Call Tracker'!D$2:D$2000,""),"")</f>
        <v>YES</v>
      </c>
      <c r="Z22" s="95">
        <f>IFERROR(_xlfn.XLOOKUP(TEXT(H22,"0000000000"),'📞 Call Tracker'!A$2:A$2000,'📞 Call Tracker'!E$2:E$2000,""),"")</f>
        <v>0</v>
      </c>
      <c r="AA22" s="145" t="str">
        <f>IFERROR(_xlfn.XLOOKUP(TEXT(H22,"0000000000"),'📞 Call Tracker'!A$2:A$2000,'📞 Call Tracker'!F$2:F$2000,""),"")</f>
        <v>LEFT VM, ON BEST PLAN, NOT ON BB, NOT E-3</v>
      </c>
      <c r="AB22" s="132">
        <f t="shared" si="1"/>
        <v>99</v>
      </c>
      <c r="AC22" s="79"/>
    </row>
    <row r="23" spans="1:29" ht="20.100000000000001" customHeight="1">
      <c r="A23" s="91">
        <v>45826</v>
      </c>
      <c r="B23" s="92" t="str">
        <v>Saporito</v>
      </c>
      <c r="C23" s="92" t="str">
        <v>Annette</v>
      </c>
      <c r="D23" s="92" t="str">
        <v>Cave Creek</v>
      </c>
      <c r="E23" s="92">
        <v>85331</v>
      </c>
      <c r="F23" s="137" t="str">
        <v>Opposed</v>
      </c>
      <c r="G23" s="93" t="str">
        <v>https://images.edocket.azcc.gov/docketpdf/E000044840.pdf</v>
      </c>
      <c r="H23" s="150" t="s">
        <v>163</v>
      </c>
      <c r="I23" s="114" t="str">
        <v xml:space="preserve">RTOUE47  </v>
      </c>
      <c r="J23" s="94" t="str">
        <v>No</v>
      </c>
      <c r="K23" s="94" t="str">
        <v>No</v>
      </c>
      <c r="L23" s="137" t="str">
        <v>No R3-47 ($439.74)</v>
      </c>
      <c r="M23" s="94" t="str">
        <v>No</v>
      </c>
      <c r="N23" s="134" t="str">
        <v>No</v>
      </c>
      <c r="O23" s="119" t="str">
        <v>Yes</v>
      </c>
      <c r="P23" s="92">
        <v>45964</v>
      </c>
      <c r="Q23" s="91">
        <v>45957</v>
      </c>
      <c r="R23" s="140" t="str">
        <v xml:space="preserve">11/03 - LM </v>
      </c>
      <c r="S23" s="92">
        <v>0</v>
      </c>
      <c r="T23" s="92">
        <v>0</v>
      </c>
      <c r="U23" s="137" t="str">
        <v>Estimated savings $433.16/12 = $36.09 potential monthly savings on MEP</v>
      </c>
      <c r="V23" s="126" t="str">
        <f t="shared" si="0"/>
        <v>❌ Not on Best Plan</v>
      </c>
      <c r="W23" s="130" t="str">
        <f>IFERROR(_xlfn.XLOOKUP(TEXT(H23,"0000000000"),'📞 Call Tracker'!A$2:A$2000,'📞 Call Tracker'!B$2:B$2000,""),"")</f>
        <v>Joaquin</v>
      </c>
      <c r="X23" s="96">
        <f>IFERROR(_xlfn.XLOOKUP(TEXT(H23,"0000000000"),'📞 Call Tracker'!A$2:A$2000,'📞 Call Tracker'!C$2:C$2000,""),"")</f>
        <v>46011</v>
      </c>
      <c r="Y23" s="95" t="str">
        <f>IFERROR(_xlfn.XLOOKUP(TEXT(H23,"0000000000"),'📞 Call Tracker'!A$2:A$2000,'📞 Call Tracker'!D$2:D$2000,""),"")</f>
        <v>YES</v>
      </c>
      <c r="Z23" s="95">
        <f>IFERROR(_xlfn.XLOOKUP(TEXT(H23,"0000000000"),'📞 Call Tracker'!A$2:A$2000,'📞 Call Tracker'!E$2:E$2000,""),"")</f>
        <v>0</v>
      </c>
      <c r="AA23" s="145" t="str">
        <f>IFERROR(_xlfn.XLOOKUP(TEXT(H23,"0000000000"),'📞 Call Tracker'!A$2:A$2000,'📞 Call Tracker'!F$2:F$2000,""),"")</f>
        <v>LEFT VOICE MESSAGE</v>
      </c>
      <c r="AB23" s="132">
        <f t="shared" si="1"/>
        <v>99</v>
      </c>
      <c r="AC23" s="79"/>
    </row>
    <row r="24" spans="1:29" ht="20.100000000000001" customHeight="1">
      <c r="A24" s="91">
        <v>45827</v>
      </c>
      <c r="B24" s="92" t="str">
        <v>Merlino</v>
      </c>
      <c r="C24" s="92" t="str">
        <v>Teri</v>
      </c>
      <c r="D24" s="92" t="str">
        <v>Unknown</v>
      </c>
      <c r="E24" s="92" t="str">
        <v>Unknown</v>
      </c>
      <c r="F24" s="137" t="str">
        <v>Opposed</v>
      </c>
      <c r="G24" s="93" t="str">
        <v>https://images.edocket.azcc.gov/docketpdf/E000044863.pdf</v>
      </c>
      <c r="H24" s="150" t="s">
        <v>6171</v>
      </c>
      <c r="I24" s="114" t="str">
        <v>R3-47</v>
      </c>
      <c r="J24" s="94" t="str">
        <v>No</v>
      </c>
      <c r="K24" s="94" t="str">
        <v>No</v>
      </c>
      <c r="L24" s="137" t="str">
        <v>Yes</v>
      </c>
      <c r="M24" s="94" t="str">
        <v>No</v>
      </c>
      <c r="N24" s="134" t="str">
        <v>No</v>
      </c>
      <c r="O24" s="119" t="str">
        <v>Yes</v>
      </c>
      <c r="P24" s="92" t="str">
        <v>N</v>
      </c>
      <c r="Q24" s="91">
        <v>45957</v>
      </c>
      <c r="R24" s="140">
        <v>0</v>
      </c>
      <c r="S24" s="92">
        <v>0</v>
      </c>
      <c r="T24" s="92">
        <v>0</v>
      </c>
      <c r="U24" s="137">
        <v>0</v>
      </c>
      <c r="V24" s="126" t="str">
        <f t="shared" si="0"/>
        <v>✅ On Best Plan</v>
      </c>
      <c r="W24" s="130" t="str">
        <f>IFERROR(_xlfn.XLOOKUP(TEXT(H24,"0000000000"),'📞 Call Tracker'!A$2:A$2000,'📞 Call Tracker'!B$2:B$2000,""),"")</f>
        <v>Michelle</v>
      </c>
      <c r="X24" s="96">
        <f>IFERROR(_xlfn.XLOOKUP(TEXT(H24,"0000000000"),'📞 Call Tracker'!A$2:A$2000,'📞 Call Tracker'!C$2:C$2000,""),"")</f>
        <v>46060</v>
      </c>
      <c r="Y24" s="95" t="str">
        <f>IFERROR(_xlfn.XLOOKUP(TEXT(H24,"0000000000"),'📞 Call Tracker'!A$2:A$2000,'📞 Call Tracker'!D$2:D$2000,""),"")</f>
        <v>NO</v>
      </c>
      <c r="Z24" s="95">
        <f>IFERROR(_xlfn.XLOOKUP(TEXT(H24,"0000000000"),'📞 Call Tracker'!A$2:A$2000,'📞 Call Tracker'!E$2:E$2000,""),"")</f>
        <v>0</v>
      </c>
      <c r="AA24" s="145" t="str">
        <f>IFERROR(_xlfn.XLOOKUP(TEXT(H24,"0000000000"),'📞 Call Tracker'!A$2:A$2000,'📞 Call Tracker'!F$2:F$2000,""),"")</f>
        <v>DID NOT WANT TO SPEAK WITH ME AND HUNG UP</v>
      </c>
      <c r="AB24" s="132">
        <f t="shared" si="1"/>
        <v>99</v>
      </c>
      <c r="AC24" s="79"/>
    </row>
    <row r="25" spans="1:29" ht="20.100000000000001" customHeight="1">
      <c r="A25" s="91">
        <v>45827</v>
      </c>
      <c r="B25" s="92" t="str">
        <v>van Dalen</v>
      </c>
      <c r="C25" s="92" t="str">
        <v>Danielle</v>
      </c>
      <c r="D25" s="92" t="str">
        <v>Surprise</v>
      </c>
      <c r="E25" s="92">
        <v>85374</v>
      </c>
      <c r="F25" s="137" t="str">
        <v>Opposed</v>
      </c>
      <c r="G25" s="93" t="str">
        <v>https://images.edocket.azcc.gov/docketpdf/E000044866.pdf</v>
      </c>
      <c r="H25" s="150" t="s">
        <v>185</v>
      </c>
      <c r="I25" s="114" t="str">
        <v>R-BASIC</v>
      </c>
      <c r="J25" s="94" t="str">
        <v>No</v>
      </c>
      <c r="K25" s="94" t="str">
        <v>No</v>
      </c>
      <c r="L25" s="137" t="str">
        <v>Yes</v>
      </c>
      <c r="M25" s="94" t="str">
        <v>No</v>
      </c>
      <c r="N25" s="134" t="str">
        <v>No</v>
      </c>
      <c r="O25" s="119" t="str">
        <v>Yes</v>
      </c>
      <c r="P25" s="92" t="str">
        <v>N</v>
      </c>
      <c r="Q25" s="91">
        <v>45957</v>
      </c>
      <c r="R25" s="140">
        <v>0</v>
      </c>
      <c r="S25" s="92">
        <v>0</v>
      </c>
      <c r="T25" s="92">
        <v>0</v>
      </c>
      <c r="U25" s="137">
        <v>0</v>
      </c>
      <c r="V25" s="126" t="str">
        <f t="shared" si="0"/>
        <v>✅ On Best Plan</v>
      </c>
      <c r="W25" s="130">
        <f>IFERROR(_xlfn.XLOOKUP(TEXT(H25,"0000000000"),'📞 Call Tracker'!A$2:A$2000,'📞 Call Tracker'!B$2:B$2000,""),"")</f>
        <v>0</v>
      </c>
      <c r="X25" s="96">
        <f>IFERROR(_xlfn.XLOOKUP(TEXT(H25,"0000000000"),'📞 Call Tracker'!A$2:A$2000,'📞 Call Tracker'!C$2:C$2000,""),"")</f>
        <v>0</v>
      </c>
      <c r="Y25" s="95">
        <f>IFERROR(_xlfn.XLOOKUP(TEXT(H25,"0000000000"),'📞 Call Tracker'!A$2:A$2000,'📞 Call Tracker'!D$2:D$2000,""),"")</f>
        <v>0</v>
      </c>
      <c r="Z25" s="95">
        <f>IFERROR(_xlfn.XLOOKUP(TEXT(H25,"0000000000"),'📞 Call Tracker'!A$2:A$2000,'📞 Call Tracker'!E$2:E$2000,""),"")</f>
        <v>0</v>
      </c>
      <c r="AA25" s="145">
        <f>IFERROR(_xlfn.XLOOKUP(TEXT(H25,"0000000000"),'📞 Call Tracker'!A$2:A$2000,'📞 Call Tracker'!F$2:F$2000,""),"")</f>
        <v>0</v>
      </c>
      <c r="AB25" s="132">
        <f t="shared" si="1"/>
        <v>99</v>
      </c>
      <c r="AC25" s="79"/>
    </row>
    <row r="26" spans="1:29" ht="20.100000000000001" customHeight="1">
      <c r="A26" s="91">
        <v>45831</v>
      </c>
      <c r="B26" s="92" t="str">
        <v>Schilling</v>
      </c>
      <c r="C26" s="92" t="str">
        <v xml:space="preserve">David  </v>
      </c>
      <c r="D26" s="92" t="str">
        <v>Buckeye</v>
      </c>
      <c r="E26" s="92" t="str">
        <v>Unknown</v>
      </c>
      <c r="F26" s="137" t="str">
        <v xml:space="preserve">Opposed </v>
      </c>
      <c r="G26" s="93">
        <v>0</v>
      </c>
      <c r="H26" s="150" t="s">
        <v>191</v>
      </c>
      <c r="I26" s="114" t="str">
        <v>R-BASIC</v>
      </c>
      <c r="J26" s="94" t="str">
        <v>No</v>
      </c>
      <c r="K26" s="94" t="str">
        <v>No</v>
      </c>
      <c r="L26" s="137" t="str">
        <v>No-Mep R3-47($87.55)</v>
      </c>
      <c r="M26" s="94" t="str">
        <v>No</v>
      </c>
      <c r="N26" s="134" t="str">
        <v>No</v>
      </c>
      <c r="O26" s="119" t="str">
        <v>Yes</v>
      </c>
      <c r="P26" s="92" t="str">
        <v>N</v>
      </c>
      <c r="Q26" s="91">
        <v>45957</v>
      </c>
      <c r="R26" s="140">
        <v>0</v>
      </c>
      <c r="S26" s="92">
        <v>0</v>
      </c>
      <c r="T26" s="92">
        <v>0</v>
      </c>
      <c r="U26" s="137">
        <v>0</v>
      </c>
      <c r="V26" s="126" t="str">
        <f t="shared" si="0"/>
        <v>❌ Not on Best Plan</v>
      </c>
      <c r="W26" s="130" t="str">
        <f>IFERROR(_xlfn.XLOOKUP(TEXT(H26,"0000000000"),'📞 Call Tracker'!A$2:A$2000,'📞 Call Tracker'!B$2:B$2000,""),"")</f>
        <v>Joaquin</v>
      </c>
      <c r="X26" s="96">
        <f>IFERROR(_xlfn.XLOOKUP(TEXT(H26,"0000000000"),'📞 Call Tracker'!A$2:A$2000,'📞 Call Tracker'!C$2:C$2000,""),"")</f>
        <v>46011</v>
      </c>
      <c r="Y26" s="95" t="str">
        <f>IFERROR(_xlfn.XLOOKUP(TEXT(H26,"0000000000"),'📞 Call Tracker'!A$2:A$2000,'📞 Call Tracker'!D$2:D$2000,""),"")</f>
        <v>YES</v>
      </c>
      <c r="Z26" s="95">
        <f>IFERROR(_xlfn.XLOOKUP(TEXT(H26,"0000000000"),'📞 Call Tracker'!A$2:A$2000,'📞 Call Tracker'!E$2:E$2000,""),"")</f>
        <v>0</v>
      </c>
      <c r="AA26" s="145" t="str">
        <f>IFERROR(_xlfn.XLOOKUP(TEXT(H26,"0000000000"),'📞 Call Tracker'!A$2:A$2000,'📞 Call Tracker'!F$2:F$2000,""),"")</f>
        <v>LEFT VOICE MESSAGE</v>
      </c>
      <c r="AB26" s="132">
        <f t="shared" si="1"/>
        <v>99</v>
      </c>
      <c r="AC26" s="79"/>
    </row>
    <row r="27" spans="1:29" ht="20.100000000000001" customHeight="1">
      <c r="A27" s="91">
        <v>45831</v>
      </c>
      <c r="B27" s="92" t="str">
        <v>Luther</v>
      </c>
      <c r="C27" s="92" t="str">
        <v>Jonathan</v>
      </c>
      <c r="D27" s="92" t="str">
        <v>Phoenix</v>
      </c>
      <c r="E27" s="92">
        <v>85006</v>
      </c>
      <c r="F27" s="137" t="str">
        <v xml:space="preserve">Opposed </v>
      </c>
      <c r="G27" s="93">
        <v>0</v>
      </c>
      <c r="H27" s="150" t="s">
        <v>195</v>
      </c>
      <c r="I27" s="114" t="str">
        <v>RTOUE47</v>
      </c>
      <c r="J27" s="94" t="str">
        <v>No</v>
      </c>
      <c r="K27" s="94" t="str">
        <v>No</v>
      </c>
      <c r="L27" s="137" t="str">
        <v>No-MEP R3-47($5.29)</v>
      </c>
      <c r="M27" s="94" t="str">
        <v>No</v>
      </c>
      <c r="N27" s="134" t="str">
        <v>No</v>
      </c>
      <c r="O27" s="119" t="str">
        <v>Yes</v>
      </c>
      <c r="P27" s="92" t="str">
        <v>N</v>
      </c>
      <c r="Q27" s="91">
        <v>45957</v>
      </c>
      <c r="R27" s="140">
        <v>0</v>
      </c>
      <c r="S27" s="92">
        <v>0</v>
      </c>
      <c r="T27" s="92">
        <v>0</v>
      </c>
      <c r="U27" s="137">
        <v>0</v>
      </c>
      <c r="V27" s="126" t="str">
        <f t="shared" si="0"/>
        <v>❌ Not on Best Plan</v>
      </c>
      <c r="W27" s="130" t="str">
        <f>IFERROR(_xlfn.XLOOKUP(TEXT(H27,"0000000000"),'📞 Call Tracker'!A$2:A$2000,'📞 Call Tracker'!B$2:B$2000,""),"")</f>
        <v>Joaquin</v>
      </c>
      <c r="X27" s="96">
        <f>IFERROR(_xlfn.XLOOKUP(TEXT(H27,"0000000000"),'📞 Call Tracker'!A$2:A$2000,'📞 Call Tracker'!C$2:C$2000,""),"")</f>
        <v>46011</v>
      </c>
      <c r="Y27" s="95" t="str">
        <f>IFERROR(_xlfn.XLOOKUP(TEXT(H27,"0000000000"),'📞 Call Tracker'!A$2:A$2000,'📞 Call Tracker'!D$2:D$2000,""),"")</f>
        <v>YES</v>
      </c>
      <c r="Z27" s="95">
        <f>IFERROR(_xlfn.XLOOKUP(TEXT(H27,"0000000000"),'📞 Call Tracker'!A$2:A$2000,'📞 Call Tracker'!E$2:E$2000,""),"")</f>
        <v>0</v>
      </c>
      <c r="AA27" s="145" t="str">
        <f>IFERROR(_xlfn.XLOOKUP(TEXT(H27,"0000000000"),'📞 Call Tracker'!A$2:A$2000,'📞 Call Tracker'!F$2:F$2000,""),"")</f>
        <v>LEFT VOICE MESSAGE</v>
      </c>
      <c r="AB27" s="132">
        <f t="shared" si="1"/>
        <v>99</v>
      </c>
      <c r="AC27" s="79"/>
    </row>
    <row r="28" spans="1:29" ht="20.100000000000001" customHeight="1">
      <c r="A28" s="91">
        <v>45831</v>
      </c>
      <c r="B28" s="92" t="str">
        <v>Porter</v>
      </c>
      <c r="C28" s="92" t="str">
        <v>Kristal</v>
      </c>
      <c r="D28" s="92" t="str">
        <v>Peoria</v>
      </c>
      <c r="E28" s="92">
        <v>85383</v>
      </c>
      <c r="F28" s="137" t="str">
        <v xml:space="preserve">Opposed </v>
      </c>
      <c r="G28" s="93">
        <v>0</v>
      </c>
      <c r="H28" s="150" t="s">
        <v>203</v>
      </c>
      <c r="I28" s="114" t="str">
        <v>R3-47</v>
      </c>
      <c r="J28" s="94" t="str">
        <v>No</v>
      </c>
      <c r="K28" s="94" t="str">
        <v>No</v>
      </c>
      <c r="L28" s="137" t="str">
        <v xml:space="preserve">Yes </v>
      </c>
      <c r="M28" s="94" t="str">
        <v>No</v>
      </c>
      <c r="N28" s="134" t="str">
        <v>No</v>
      </c>
      <c r="O28" s="119" t="str">
        <v>Yes</v>
      </c>
      <c r="P28" s="92" t="str">
        <v>N</v>
      </c>
      <c r="Q28" s="91">
        <v>45957</v>
      </c>
      <c r="R28" s="140">
        <v>0</v>
      </c>
      <c r="S28" s="92">
        <v>0</v>
      </c>
      <c r="T28" s="92">
        <v>0</v>
      </c>
      <c r="U28" s="137">
        <v>0</v>
      </c>
      <c r="V28" s="126" t="str">
        <f t="shared" si="0"/>
        <v>✅ On Best Plan</v>
      </c>
      <c r="W28" s="130" t="str">
        <f>IFERROR(_xlfn.XLOOKUP(TEXT(H28,"0000000000"),'📞 Call Tracker'!A$2:A$2000,'📞 Call Tracker'!B$2:B$2000,""),"")</f>
        <v>Michelle</v>
      </c>
      <c r="X28" s="96">
        <f>IFERROR(_xlfn.XLOOKUP(TEXT(H28,"0000000000"),'📞 Call Tracker'!A$2:A$2000,'📞 Call Tracker'!C$2:C$2000,""),"")</f>
        <v>46060</v>
      </c>
      <c r="Y28" s="95" t="str">
        <f>IFERROR(_xlfn.XLOOKUP(TEXT(H28,"0000000000"),'📞 Call Tracker'!A$2:A$2000,'📞 Call Tracker'!D$2:D$2000,""),"")</f>
        <v>NO</v>
      </c>
      <c r="Z28" s="95">
        <f>IFERROR(_xlfn.XLOOKUP(TEXT(H28,"0000000000"),'📞 Call Tracker'!A$2:A$2000,'📞 Call Tracker'!E$2:E$2000,""),"")</f>
        <v>0</v>
      </c>
      <c r="AA28" s="145" t="str">
        <f>IFERROR(_xlfn.XLOOKUP(TEXT(H28,"0000000000"),'📞 Call Tracker'!A$2:A$2000,'📞 Call Tracker'!F$2:F$2000,""),"")</f>
        <v>PHONE WAS PICKED UP AND HUNG UP</v>
      </c>
      <c r="AB28" s="132">
        <f t="shared" si="1"/>
        <v>99</v>
      </c>
      <c r="AC28" s="79"/>
    </row>
    <row r="29" spans="1:29" ht="20.100000000000001" customHeight="1">
      <c r="A29" s="91">
        <v>45831</v>
      </c>
      <c r="B29" s="92" t="str">
        <v>Gill</v>
      </c>
      <c r="C29" s="92" t="str">
        <v>Thomas</v>
      </c>
      <c r="D29" s="92" t="str">
        <v>Unknown</v>
      </c>
      <c r="E29" s="92" t="str">
        <v>Unknown</v>
      </c>
      <c r="F29" s="137" t="str">
        <v xml:space="preserve">Opposed </v>
      </c>
      <c r="G29" s="93">
        <v>0</v>
      </c>
      <c r="H29" s="150" t="s">
        <v>209</v>
      </c>
      <c r="I29" s="114">
        <v>0</v>
      </c>
      <c r="J29" s="94">
        <v>0</v>
      </c>
      <c r="K29" s="94">
        <v>0</v>
      </c>
      <c r="L29" s="137">
        <v>0</v>
      </c>
      <c r="M29" s="94">
        <v>0</v>
      </c>
      <c r="N29" s="134">
        <v>0</v>
      </c>
      <c r="O29" s="119">
        <v>0</v>
      </c>
      <c r="P29" s="92">
        <v>0</v>
      </c>
      <c r="Q29" s="91">
        <v>0</v>
      </c>
      <c r="R29" s="140">
        <v>0</v>
      </c>
      <c r="S29" s="92">
        <v>0</v>
      </c>
      <c r="T29" s="92">
        <v>0</v>
      </c>
      <c r="U29" s="137">
        <v>0</v>
      </c>
      <c r="V29" s="126" t="str">
        <f t="shared" si="0"/>
        <v>❌ Not on Best Plan</v>
      </c>
      <c r="W29" s="130" t="str">
        <f>IFERROR(_xlfn.XLOOKUP(TEXT(H29,"0000000000"),'📞 Call Tracker'!A$2:A$2000,'📞 Call Tracker'!B$2:B$2000,""),"")</f>
        <v/>
      </c>
      <c r="X29" s="96" t="str">
        <f>IFERROR(_xlfn.XLOOKUP(TEXT(H29,"0000000000"),'📞 Call Tracker'!A$2:A$2000,'📞 Call Tracker'!C$2:C$2000,""),"")</f>
        <v/>
      </c>
      <c r="Y29" s="95" t="str">
        <f>IFERROR(_xlfn.XLOOKUP(TEXT(H29,"0000000000"),'📞 Call Tracker'!A$2:A$2000,'📞 Call Tracker'!D$2:D$2000,""),"")</f>
        <v/>
      </c>
      <c r="Z29" s="95" t="str">
        <f>IFERROR(_xlfn.XLOOKUP(TEXT(H29,"0000000000"),'📞 Call Tracker'!A$2:A$2000,'📞 Call Tracker'!E$2:E$2000,""),"")</f>
        <v/>
      </c>
      <c r="AA29" s="145" t="str">
        <f>IFERROR(_xlfn.XLOOKUP(TEXT(H29,"0000000000"),'📞 Call Tracker'!A$2:A$2000,'📞 Call Tracker'!F$2:F$2000,""),"")</f>
        <v/>
      </c>
      <c r="AB29" s="132">
        <f t="shared" si="1"/>
        <v>1</v>
      </c>
      <c r="AC29" s="79"/>
    </row>
    <row r="30" spans="1:29" ht="20.100000000000001" customHeight="1">
      <c r="A30" s="91">
        <v>45831</v>
      </c>
      <c r="B30" s="92" t="str">
        <v>McGibbon</v>
      </c>
      <c r="C30" s="92" t="str">
        <v>Charles</v>
      </c>
      <c r="D30" s="92" t="str">
        <v>Chino Valley</v>
      </c>
      <c r="E30" s="92">
        <v>86323</v>
      </c>
      <c r="F30" s="137" t="str">
        <v>Opposed</v>
      </c>
      <c r="G30" s="93" t="str">
        <v>https://images.edocket.azcc.gov/docketpdf/E000044947.pdf</v>
      </c>
      <c r="H30" s="150" t="s">
        <v>213</v>
      </c>
      <c r="I30" s="114" t="str">
        <v>R-XS</v>
      </c>
      <c r="J30" s="94" t="str">
        <v>No</v>
      </c>
      <c r="K30" s="94" t="str">
        <v>No</v>
      </c>
      <c r="L30" s="137" t="str">
        <v>Yes</v>
      </c>
      <c r="M30" s="94" t="str">
        <v>No</v>
      </c>
      <c r="N30" s="134" t="str">
        <v>No</v>
      </c>
      <c r="O30" s="119" t="str">
        <v>Yes</v>
      </c>
      <c r="P30" s="92" t="str">
        <v>N</v>
      </c>
      <c r="Q30" s="91">
        <v>45958</v>
      </c>
      <c r="R30" s="140">
        <v>0</v>
      </c>
      <c r="S30" s="92">
        <v>0</v>
      </c>
      <c r="T30" s="92">
        <v>0</v>
      </c>
      <c r="U30" s="137">
        <v>0</v>
      </c>
      <c r="V30" s="126" t="str">
        <f t="shared" si="0"/>
        <v>✅ On Best Plan</v>
      </c>
      <c r="W30" s="130" t="str">
        <f>IFERROR(_xlfn.XLOOKUP(TEXT(H30,"0000000000"),'📞 Call Tracker'!A$2:A$2000,'📞 Call Tracker'!B$2:B$2000,""),"")</f>
        <v>Joaquin</v>
      </c>
      <c r="X30" s="96">
        <f>IFERROR(_xlfn.XLOOKUP(TEXT(H30,"0000000000"),'📞 Call Tracker'!A$2:A$2000,'📞 Call Tracker'!C$2:C$2000,""),"")</f>
        <v>46067</v>
      </c>
      <c r="Y30" s="95" t="str">
        <f>IFERROR(_xlfn.XLOOKUP(TEXT(H30,"0000000000"),'📞 Call Tracker'!A$2:A$2000,'📞 Call Tracker'!D$2:D$2000,""),"")</f>
        <v>YES</v>
      </c>
      <c r="Z30" s="95">
        <f>IFERROR(_xlfn.XLOOKUP(TEXT(H30,"0000000000"),'📞 Call Tracker'!A$2:A$2000,'📞 Call Tracker'!E$2:E$2000,""),"")</f>
        <v>0</v>
      </c>
      <c r="AA30" s="145" t="str">
        <f>IFERROR(_xlfn.XLOOKUP(TEXT(H30,"0000000000"),'📞 Call Tracker'!A$2:A$2000,'📞 Call Tracker'!F$2:F$2000,""),"")</f>
        <v>LEFT VOICE MESSAGE</v>
      </c>
      <c r="AB30" s="132">
        <f t="shared" si="1"/>
        <v>99</v>
      </c>
      <c r="AC30" s="79"/>
    </row>
    <row r="31" spans="1:29" ht="20.100000000000001" customHeight="1">
      <c r="A31" s="91">
        <v>45839</v>
      </c>
      <c r="B31" s="92" t="str">
        <v>Sanchez</v>
      </c>
      <c r="C31" s="92" t="str">
        <v>Isabella</v>
      </c>
      <c r="D31" s="92" t="str">
        <v>Phoenix</v>
      </c>
      <c r="E31" s="92">
        <v>85032</v>
      </c>
      <c r="F31" s="137" t="str">
        <v>Opposed</v>
      </c>
      <c r="G31" s="93" t="str">
        <v>https://images.edocket.azcc.gov/docketpdf/E000045059.pdf</v>
      </c>
      <c r="H31" s="150" t="s">
        <v>222</v>
      </c>
      <c r="I31" s="114" t="str">
        <v>R-BASIC</v>
      </c>
      <c r="J31" s="94" t="str">
        <v>No</v>
      </c>
      <c r="K31" s="94" t="str">
        <v>No</v>
      </c>
      <c r="L31" s="137" t="str">
        <v>Yes</v>
      </c>
      <c r="M31" s="94" t="str">
        <v>No</v>
      </c>
      <c r="N31" s="134" t="str">
        <v>No</v>
      </c>
      <c r="O31" s="119" t="str">
        <v>Yes</v>
      </c>
      <c r="P31" s="92" t="str">
        <v>N</v>
      </c>
      <c r="Q31" s="91">
        <v>45958</v>
      </c>
      <c r="R31" s="140">
        <v>0</v>
      </c>
      <c r="S31" s="92">
        <v>0</v>
      </c>
      <c r="T31" s="92">
        <v>0</v>
      </c>
      <c r="U31" s="137" t="str">
        <v>Estimated savings $42.27/12 = $3.52 potential monthly savings on MEP</v>
      </c>
      <c r="V31" s="126" t="str">
        <f t="shared" si="0"/>
        <v>✅ On Best Plan</v>
      </c>
      <c r="W31" s="130" t="str">
        <f>IFERROR(_xlfn.XLOOKUP(TEXT(H31,"0000000000"),'📞 Call Tracker'!A$2:A$2000,'📞 Call Tracker'!B$2:B$2000,""),"")</f>
        <v>Michelle</v>
      </c>
      <c r="X31" s="96">
        <f>IFERROR(_xlfn.XLOOKUP(TEXT(H31,"0000000000"),'📞 Call Tracker'!A$2:A$2000,'📞 Call Tracker'!C$2:C$2000,""),"")</f>
        <v>46060</v>
      </c>
      <c r="Y31" s="95" t="str">
        <f>IFERROR(_xlfn.XLOOKUP(TEXT(H31,"0000000000"),'📞 Call Tracker'!A$2:A$2000,'📞 Call Tracker'!D$2:D$2000,""),"")</f>
        <v>YES</v>
      </c>
      <c r="Z31" s="95">
        <f>IFERROR(_xlfn.XLOOKUP(TEXT(H31,"0000000000"),'📞 Call Tracker'!A$2:A$2000,'📞 Call Tracker'!E$2:E$2000,""),"")</f>
        <v>0</v>
      </c>
      <c r="AA31" s="145" t="str">
        <f>IFERROR(_xlfn.XLOOKUP(TEXT(H31,"0000000000"),'📞 Call Tracker'!A$2:A$2000,'📞 Call Tracker'!F$2:F$2000,""),"")</f>
        <v>LEFT VM, NOT ON BEST PLAN, NOT BB, NOT E-3</v>
      </c>
      <c r="AB31" s="132">
        <f t="shared" si="1"/>
        <v>99</v>
      </c>
      <c r="AC31" s="79"/>
    </row>
    <row r="32" spans="1:29" ht="20.100000000000001" customHeight="1">
      <c r="A32" s="91">
        <v>45846</v>
      </c>
      <c r="B32" s="92" t="str">
        <v>Beiser</v>
      </c>
      <c r="C32" s="92" t="str">
        <v>Antoinette</v>
      </c>
      <c r="D32" s="92" t="str">
        <v>Sedona</v>
      </c>
      <c r="E32" s="92">
        <v>86351</v>
      </c>
      <c r="F32" s="137" t="str">
        <v>Opposed</v>
      </c>
      <c r="G32" s="93" t="str">
        <v>https://images.edocket.azcc.gov/docketpdf/E000045169.pdf</v>
      </c>
      <c r="H32" s="150" t="s">
        <v>235</v>
      </c>
      <c r="I32" s="114" t="str">
        <v>R-BASICL</v>
      </c>
      <c r="J32" s="94" t="str">
        <v>No</v>
      </c>
      <c r="K32" s="94" t="str">
        <v>No</v>
      </c>
      <c r="L32" s="137" t="str">
        <v>No MEP R3-47($267.12)</v>
      </c>
      <c r="M32" s="94" t="str">
        <v>No</v>
      </c>
      <c r="N32" s="134" t="str">
        <v>No</v>
      </c>
      <c r="O32" s="119" t="str">
        <v>Yes</v>
      </c>
      <c r="P32" s="92">
        <v>45964</v>
      </c>
      <c r="Q32" s="91">
        <v>45958</v>
      </c>
      <c r="R32" s="140" t="str">
        <v>11/03 - No answer and no voicemail</v>
      </c>
      <c r="S32" s="92">
        <v>0</v>
      </c>
      <c r="T32" s="92">
        <v>0</v>
      </c>
      <c r="U32" s="137">
        <v>0</v>
      </c>
      <c r="V32" s="126" t="str">
        <f t="shared" si="0"/>
        <v>❌ Not on Best Plan</v>
      </c>
      <c r="W32" s="130" t="str">
        <f>IFERROR(_xlfn.XLOOKUP(TEXT(H32,"0000000000"),'📞 Call Tracker'!A$2:A$2000,'📞 Call Tracker'!B$2:B$2000,""),"")</f>
        <v>Joaquin</v>
      </c>
      <c r="X32" s="96">
        <f>IFERROR(_xlfn.XLOOKUP(TEXT(H32,"0000000000"),'📞 Call Tracker'!A$2:A$2000,'📞 Call Tracker'!C$2:C$2000,""),"")</f>
        <v>46011</v>
      </c>
      <c r="Y32" s="95">
        <f>IFERROR(_xlfn.XLOOKUP(TEXT(H32,"0000000000"),'📞 Call Tracker'!A$2:A$2000,'📞 Call Tracker'!D$2:D$2000,""),"")</f>
        <v>0</v>
      </c>
      <c r="Z32" s="95" t="str">
        <f>IFERROR(_xlfn.XLOOKUP(TEXT(H32,"0000000000"),'📞 Call Tracker'!A$2:A$2000,'📞 Call Tracker'!E$2:E$2000,""),"")</f>
        <v>Rate Change</v>
      </c>
      <c r="AA32" s="145" t="str">
        <f>IFERROR(_xlfn.XLOOKUP(TEXT(H32,"0000000000"),'📞 Call Tracker'!A$2:A$2000,'📞 Call Tracker'!F$2:F$2000,""),"")</f>
        <v>RATE CHANGE</v>
      </c>
      <c r="AB32" s="132">
        <f t="shared" si="1"/>
        <v>99</v>
      </c>
      <c r="AC32" s="79"/>
    </row>
    <row r="33" spans="1:29" ht="20.100000000000001" customHeight="1">
      <c r="A33" s="91">
        <v>45847</v>
      </c>
      <c r="B33" s="92" t="str">
        <v>Underwood</v>
      </c>
      <c r="C33" s="92" t="str">
        <v>Revis</v>
      </c>
      <c r="D33" s="92" t="str">
        <v>Litchfield Park</v>
      </c>
      <c r="E33" s="92">
        <v>85340</v>
      </c>
      <c r="F33" s="137" t="str">
        <v>Opposed</v>
      </c>
      <c r="G33" s="93" t="str">
        <v>https://images.edocket.azcc.gov/docketpdf/E000045209.pdf</v>
      </c>
      <c r="H33" s="150" t="s">
        <v>242</v>
      </c>
      <c r="I33" s="114" t="str">
        <v>EPR-6w/E-12</v>
      </c>
      <c r="J33" s="94" t="str">
        <v>No</v>
      </c>
      <c r="K33" s="94" t="str">
        <v>No</v>
      </c>
      <c r="L33" s="137" t="str">
        <v>Info Not Avail</v>
      </c>
      <c r="M33" s="94" t="str">
        <v>No</v>
      </c>
      <c r="N33" s="134" t="str">
        <v>No</v>
      </c>
      <c r="O33" s="119" t="str">
        <v>Yes</v>
      </c>
      <c r="P33" s="92" t="str">
        <v>N</v>
      </c>
      <c r="Q33" s="91">
        <v>45958</v>
      </c>
      <c r="R33" s="140">
        <v>0</v>
      </c>
      <c r="S33" s="92">
        <v>0</v>
      </c>
      <c r="T33" s="92">
        <v>0</v>
      </c>
      <c r="U33" s="137">
        <v>0</v>
      </c>
      <c r="V33" s="126" t="str">
        <f t="shared" si="0"/>
        <v>⚠ Unknown</v>
      </c>
      <c r="W33" s="130" t="str">
        <f>IFERROR(_xlfn.XLOOKUP(TEXT(H33,"0000000000"),'📞 Call Tracker'!A$2:A$2000,'📞 Call Tracker'!B$2:B$2000,""),"")</f>
        <v>Michelle</v>
      </c>
      <c r="X33" s="96">
        <f>IFERROR(_xlfn.XLOOKUP(TEXT(H33,"0000000000"),'📞 Call Tracker'!A$2:A$2000,'📞 Call Tracker'!C$2:C$2000,""),"")</f>
        <v>46060</v>
      </c>
      <c r="Y33" s="95" t="str">
        <f>IFERROR(_xlfn.XLOOKUP(TEXT(H33,"0000000000"),'📞 Call Tracker'!A$2:A$2000,'📞 Call Tracker'!D$2:D$2000,""),"")</f>
        <v>YES</v>
      </c>
      <c r="Z33" s="95">
        <f>IFERROR(_xlfn.XLOOKUP(TEXT(H33,"0000000000"),'📞 Call Tracker'!A$2:A$2000,'📞 Call Tracker'!E$2:E$2000,""),"")</f>
        <v>0</v>
      </c>
      <c r="AA33" s="145" t="str">
        <f>IFERROR(_xlfn.XLOOKUP(TEXT(H33,"0000000000"),'📞 Call Tracker'!A$2:A$2000,'📞 Call Tracker'!F$2:F$2000,""),"")</f>
        <v>SOLAR ACCT</v>
      </c>
      <c r="AB33" s="132">
        <f t="shared" si="1"/>
        <v>99</v>
      </c>
      <c r="AC33" s="79"/>
    </row>
    <row r="34" spans="1:29" ht="20.100000000000001" customHeight="1">
      <c r="A34" s="91">
        <v>45847</v>
      </c>
      <c r="B34" s="92" t="str">
        <v>Hacker</v>
      </c>
      <c r="C34" s="92" t="str">
        <v>Dennis</v>
      </c>
      <c r="D34" s="92" t="str">
        <v>Phoenix</v>
      </c>
      <c r="E34" s="92">
        <v>85029</v>
      </c>
      <c r="F34" s="137" t="str">
        <v>Pole Attachments</v>
      </c>
      <c r="G34" s="93" t="str">
        <v>https://images.edocket.azcc.gov/docketpdf/E000045207.pdf</v>
      </c>
      <c r="H34" s="150" t="s">
        <v>249</v>
      </c>
      <c r="I34" s="114" t="str">
        <v>RCPw/R3-47</v>
      </c>
      <c r="J34" s="94" t="str">
        <v>No</v>
      </c>
      <c r="K34" s="94" t="str">
        <v>No</v>
      </c>
      <c r="L34" s="137" t="str">
        <v>Yes</v>
      </c>
      <c r="M34" s="94" t="str">
        <v>No</v>
      </c>
      <c r="N34" s="134" t="str">
        <v>No</v>
      </c>
      <c r="O34" s="119" t="str">
        <v>Yes</v>
      </c>
      <c r="P34" s="92" t="str">
        <v>N</v>
      </c>
      <c r="Q34" s="91">
        <v>45958</v>
      </c>
      <c r="R34" s="140">
        <v>0</v>
      </c>
      <c r="S34" s="92">
        <v>0</v>
      </c>
      <c r="T34" s="92">
        <v>0</v>
      </c>
      <c r="U34" s="137">
        <v>0</v>
      </c>
      <c r="V34" s="126" t="str">
        <f t="shared" si="0"/>
        <v>✅ On Best Plan</v>
      </c>
      <c r="W34" s="130">
        <f>IFERROR(_xlfn.XLOOKUP(TEXT(H34,"0000000000"),'📞 Call Tracker'!A$2:A$2000,'📞 Call Tracker'!B$2:B$2000,""),"")</f>
        <v>0</v>
      </c>
      <c r="X34" s="96">
        <f>IFERROR(_xlfn.XLOOKUP(TEXT(H34,"0000000000"),'📞 Call Tracker'!A$2:A$2000,'📞 Call Tracker'!C$2:C$2000,""),"")</f>
        <v>0</v>
      </c>
      <c r="Y34" s="95">
        <f>IFERROR(_xlfn.XLOOKUP(TEXT(H34,"0000000000"),'📞 Call Tracker'!A$2:A$2000,'📞 Call Tracker'!D$2:D$2000,""),"")</f>
        <v>0</v>
      </c>
      <c r="Z34" s="95">
        <f>IFERROR(_xlfn.XLOOKUP(TEXT(H34,"0000000000"),'📞 Call Tracker'!A$2:A$2000,'📞 Call Tracker'!E$2:E$2000,""),"")</f>
        <v>0</v>
      </c>
      <c r="AA34" s="145">
        <f>IFERROR(_xlfn.XLOOKUP(TEXT(H34,"0000000000"),'📞 Call Tracker'!A$2:A$2000,'📞 Call Tracker'!F$2:F$2000,""),"")</f>
        <v>0</v>
      </c>
      <c r="AB34" s="132">
        <f t="shared" si="1"/>
        <v>99</v>
      </c>
      <c r="AC34" s="79"/>
    </row>
    <row r="35" spans="1:29" ht="20.100000000000001" customHeight="1">
      <c r="A35" s="91">
        <v>45852</v>
      </c>
      <c r="B35" s="92" t="str">
        <v>Rizzi</v>
      </c>
      <c r="C35" s="92" t="str">
        <v>Carol</v>
      </c>
      <c r="D35" s="92" t="str">
        <v>Unknown</v>
      </c>
      <c r="E35" s="92" t="str">
        <v>Unknown</v>
      </c>
      <c r="F35" s="137" t="str">
        <v>Opposed</v>
      </c>
      <c r="G35" s="93" t="str">
        <v>https://images.edocket.azcc.gov/docketpdf/E000045267.pdf</v>
      </c>
      <c r="H35" s="150" t="s">
        <v>6009</v>
      </c>
      <c r="I35" s="114" t="str">
        <v>R-XS</v>
      </c>
      <c r="J35" s="94" t="str">
        <v>No</v>
      </c>
      <c r="K35" s="94" t="str">
        <v>No</v>
      </c>
      <c r="L35" s="137" t="str">
        <v>AMI Opt Out</v>
      </c>
      <c r="M35" s="94" t="str">
        <v>No</v>
      </c>
      <c r="N35" s="134" t="str">
        <v>No</v>
      </c>
      <c r="O35" s="119" t="str">
        <v>Yes</v>
      </c>
      <c r="P35" s="92" t="str">
        <v>N</v>
      </c>
      <c r="Q35" s="91">
        <v>45958</v>
      </c>
      <c r="R35" s="140">
        <v>0</v>
      </c>
      <c r="S35" s="92">
        <v>0</v>
      </c>
      <c r="T35" s="92">
        <v>0</v>
      </c>
      <c r="U35" s="137">
        <v>0</v>
      </c>
      <c r="V35" s="126" t="str">
        <f t="shared" si="0"/>
        <v>❌ Not on Best Plan</v>
      </c>
      <c r="W35" s="130" t="str">
        <f>IFERROR(_xlfn.XLOOKUP(TEXT(H35,"0000000000"),'📞 Call Tracker'!A$2:A$2000,'📞 Call Tracker'!B$2:B$2000,""),"")</f>
        <v>Michelle</v>
      </c>
      <c r="X35" s="96">
        <f>IFERROR(_xlfn.XLOOKUP(TEXT(H35,"0000000000"),'📞 Call Tracker'!A$2:A$2000,'📞 Call Tracker'!C$2:C$2000,""),"")</f>
        <v>46067</v>
      </c>
      <c r="Y35" s="95" t="str">
        <f>IFERROR(_xlfn.XLOOKUP(TEXT(H35,"0000000000"),'📞 Call Tracker'!A$2:A$2000,'📞 Call Tracker'!D$2:D$2000,""),"")</f>
        <v>YES</v>
      </c>
      <c r="Z35" s="95">
        <f>IFERROR(_xlfn.XLOOKUP(TEXT(H35,"0000000000"),'📞 Call Tracker'!A$2:A$2000,'📞 Call Tracker'!E$2:E$2000,""),"")</f>
        <v>0</v>
      </c>
      <c r="AA35" s="145">
        <f>IFERROR(_xlfn.XLOOKUP(TEXT(H35,"0000000000"),'📞 Call Tracker'!A$2:A$2000,'📞 Call Tracker'!F$2:F$2000,""),"")</f>
        <v>0</v>
      </c>
      <c r="AB35" s="132">
        <f t="shared" si="1"/>
        <v>99</v>
      </c>
      <c r="AC35" s="79"/>
    </row>
    <row r="36" spans="1:29" ht="20.100000000000001" customHeight="1">
      <c r="A36" s="91">
        <v>45852</v>
      </c>
      <c r="B36" s="92" t="str">
        <v>Snyder</v>
      </c>
      <c r="C36" s="92" t="str">
        <v>Steven</v>
      </c>
      <c r="D36" s="92" t="str">
        <v>Prescott Valley</v>
      </c>
      <c r="E36" s="92">
        <v>86314</v>
      </c>
      <c r="F36" s="137" t="str">
        <v>Opposed</v>
      </c>
      <c r="G36" s="93" t="str">
        <v>https://images.edocket.azcc.gov/docketpdf/E000045267.pdf</v>
      </c>
      <c r="H36" s="150" t="s">
        <v>6172</v>
      </c>
      <c r="I36" s="114" t="str">
        <v>RCPw/R3-47</v>
      </c>
      <c r="J36" s="94" t="str">
        <v>No</v>
      </c>
      <c r="K36" s="94" t="str">
        <v>No</v>
      </c>
      <c r="L36" s="137" t="str">
        <v>Yes</v>
      </c>
      <c r="M36" s="94" t="str">
        <v>No</v>
      </c>
      <c r="N36" s="134" t="str">
        <v>No</v>
      </c>
      <c r="O36" s="119" t="str">
        <v>Yes</v>
      </c>
      <c r="P36" s="92" t="str">
        <v>N</v>
      </c>
      <c r="Q36" s="91">
        <v>45958</v>
      </c>
      <c r="R36" s="140">
        <v>0</v>
      </c>
      <c r="S36" s="92">
        <v>0</v>
      </c>
      <c r="T36" s="92">
        <v>0</v>
      </c>
      <c r="U36" s="137">
        <v>0</v>
      </c>
      <c r="V36" s="126" t="str">
        <f t="shared" si="0"/>
        <v>✅ On Best Plan</v>
      </c>
      <c r="W36" s="130">
        <f>IFERROR(_xlfn.XLOOKUP(TEXT(H36,"0000000000"),'📞 Call Tracker'!A$2:A$2000,'📞 Call Tracker'!B$2:B$2000,""),"")</f>
        <v>0</v>
      </c>
      <c r="X36" s="96">
        <f>IFERROR(_xlfn.XLOOKUP(TEXT(H36,"0000000000"),'📞 Call Tracker'!A$2:A$2000,'📞 Call Tracker'!C$2:C$2000,""),"")</f>
        <v>0</v>
      </c>
      <c r="Y36" s="95">
        <f>IFERROR(_xlfn.XLOOKUP(TEXT(H36,"0000000000"),'📞 Call Tracker'!A$2:A$2000,'📞 Call Tracker'!D$2:D$2000,""),"")</f>
        <v>0</v>
      </c>
      <c r="Z36" s="95">
        <f>IFERROR(_xlfn.XLOOKUP(TEXT(H36,"0000000000"),'📞 Call Tracker'!A$2:A$2000,'📞 Call Tracker'!E$2:E$2000,""),"")</f>
        <v>0</v>
      </c>
      <c r="AA36" s="145">
        <f>IFERROR(_xlfn.XLOOKUP(TEXT(H36,"0000000000"),'📞 Call Tracker'!A$2:A$2000,'📞 Call Tracker'!F$2:F$2000,""),"")</f>
        <v>0</v>
      </c>
      <c r="AB36" s="132">
        <f t="shared" si="1"/>
        <v>99</v>
      </c>
      <c r="AC36" s="79"/>
    </row>
    <row r="37" spans="1:29" ht="20.100000000000001" customHeight="1">
      <c r="A37" s="91">
        <v>45854</v>
      </c>
      <c r="B37" s="92" t="str">
        <v>Starr</v>
      </c>
      <c r="C37" s="92" t="str">
        <v>Valerie</v>
      </c>
      <c r="D37" s="92" t="str">
        <v>Payson</v>
      </c>
      <c r="E37" s="92">
        <v>85541</v>
      </c>
      <c r="F37" s="137" t="str">
        <v>Opposed / Greed</v>
      </c>
      <c r="G37" s="93" t="str">
        <v>https://images.edocket.azcc.gov/docketpdf/E000045309.pdf</v>
      </c>
      <c r="H37" s="150" t="s">
        <v>266</v>
      </c>
      <c r="I37" s="114" t="str">
        <v>R-BASICL</v>
      </c>
      <c r="J37" s="94" t="str">
        <v>No</v>
      </c>
      <c r="K37" s="94" t="str">
        <v>No</v>
      </c>
      <c r="L37" s="137" t="str">
        <v>No MEP R3-47 ($337.28)</v>
      </c>
      <c r="M37" s="94" t="str">
        <v>No</v>
      </c>
      <c r="N37" s="134" t="str">
        <v>No</v>
      </c>
      <c r="O37" s="119" t="str">
        <v>Yes</v>
      </c>
      <c r="P37" s="92">
        <v>45964</v>
      </c>
      <c r="Q37" s="91">
        <v>45958</v>
      </c>
      <c r="R37" s="140" t="str">
        <v xml:space="preserve">11/03 - LM </v>
      </c>
      <c r="S37" s="92">
        <v>0</v>
      </c>
      <c r="T37" s="92">
        <v>0</v>
      </c>
      <c r="U37" s="137" t="str">
        <v>Estimated savings $432.84/12 = $36.07 potential monthly savings on MEP</v>
      </c>
      <c r="V37" s="126" t="str">
        <f t="shared" si="0"/>
        <v>❌ Not on Best Plan</v>
      </c>
      <c r="W37" s="130" t="str">
        <f>IFERROR(_xlfn.XLOOKUP(TEXT(H37,"0000000000"),'📞 Call Tracker'!A$2:A$2000,'📞 Call Tracker'!B$2:B$2000,""),"")</f>
        <v>Joaquin</v>
      </c>
      <c r="X37" s="96">
        <f>IFERROR(_xlfn.XLOOKUP(TEXT(H37,"0000000000"),'📞 Call Tracker'!A$2:A$2000,'📞 Call Tracker'!C$2:C$2000,""),"")</f>
        <v>46011</v>
      </c>
      <c r="Y37" s="95" t="str">
        <f>IFERROR(_xlfn.XLOOKUP(TEXT(H37,"0000000000"),'📞 Call Tracker'!A$2:A$2000,'📞 Call Tracker'!D$2:D$2000,""),"")</f>
        <v>YES</v>
      </c>
      <c r="Z37" s="95">
        <f>IFERROR(_xlfn.XLOOKUP(TEXT(H37,"0000000000"),'📞 Call Tracker'!A$2:A$2000,'📞 Call Tracker'!E$2:E$2000,""),"")</f>
        <v>0</v>
      </c>
      <c r="AA37" s="145" t="str">
        <f>IFERROR(_xlfn.XLOOKUP(TEXT(H37,"0000000000"),'📞 Call Tracker'!A$2:A$2000,'📞 Call Tracker'!F$2:F$2000,""),"")</f>
        <v>BETTER RATE TIME OF USE WITH DEMAND</v>
      </c>
      <c r="AB37" s="132">
        <f t="shared" si="1"/>
        <v>99</v>
      </c>
      <c r="AC37" s="79"/>
    </row>
    <row r="38" spans="1:29" ht="20.100000000000001" customHeight="1">
      <c r="A38" s="91">
        <v>45859</v>
      </c>
      <c r="B38" s="92" t="str">
        <v>Hill</v>
      </c>
      <c r="C38" s="92" t="str">
        <v>Teresa</v>
      </c>
      <c r="D38" s="92" t="str">
        <v>Phoenix</v>
      </c>
      <c r="E38" s="92">
        <v>85029</v>
      </c>
      <c r="F38" s="137" t="str">
        <v>Senior/Fixed Income/ Data Centers</v>
      </c>
      <c r="G38" s="93" t="str">
        <v>https://images.edocket.azcc.gov/docketpdf/E000045376.pdf</v>
      </c>
      <c r="H38" s="150" t="s">
        <v>273</v>
      </c>
      <c r="I38" s="114" t="str">
        <v>R3-47</v>
      </c>
      <c r="J38" s="94" t="str">
        <v>No</v>
      </c>
      <c r="K38" s="94" t="str">
        <v>No</v>
      </c>
      <c r="L38" s="137" t="str">
        <v>No MEP R-XS ($136.97)</v>
      </c>
      <c r="M38" s="94" t="str">
        <v>No</v>
      </c>
      <c r="N38" s="134" t="str">
        <v>No</v>
      </c>
      <c r="O38" s="119" t="str">
        <v>Yes</v>
      </c>
      <c r="P38" s="92">
        <v>45964</v>
      </c>
      <c r="Q38" s="91">
        <v>45958</v>
      </c>
      <c r="R38" s="140" t="str">
        <v>11/03 - Customer will callback at a more convenient time to discuss MEP</v>
      </c>
      <c r="S38" s="92">
        <v>0</v>
      </c>
      <c r="T38" s="92">
        <v>0</v>
      </c>
      <c r="U38" s="137">
        <v>0</v>
      </c>
      <c r="V38" s="126" t="str">
        <f t="shared" si="0"/>
        <v>❌ Not on Best Plan</v>
      </c>
      <c r="W38" s="130" t="str">
        <f>IFERROR(_xlfn.XLOOKUP(TEXT(H38,"0000000000"),'📞 Call Tracker'!A$2:A$2000,'📞 Call Tracker'!B$2:B$2000,""),"")</f>
        <v>Joaquin</v>
      </c>
      <c r="X38" s="96">
        <f>IFERROR(_xlfn.XLOOKUP(TEXT(H38,"0000000000"),'📞 Call Tracker'!A$2:A$2000,'📞 Call Tracker'!C$2:C$2000,""),"")</f>
        <v>46011</v>
      </c>
      <c r="Y38" s="95">
        <f>IFERROR(_xlfn.XLOOKUP(TEXT(H38,"0000000000"),'📞 Call Tracker'!A$2:A$2000,'📞 Call Tracker'!D$2:D$2000,""),"")</f>
        <v>0</v>
      </c>
      <c r="Z38" s="95" t="str">
        <f>IFERROR(_xlfn.XLOOKUP(TEXT(H38,"0000000000"),'📞 Call Tracker'!A$2:A$2000,'📞 Call Tracker'!E$2:E$2000,""),"")</f>
        <v>Rate Change</v>
      </c>
      <c r="AA38" s="145" t="str">
        <f>IFERROR(_xlfn.XLOOKUP(TEXT(H38,"0000000000"),'📞 Call Tracker'!A$2:A$2000,'📞 Call Tracker'!F$2:F$2000,""),"")</f>
        <v>WANTED INFO DATA CENTER RATES</v>
      </c>
      <c r="AB38" s="132">
        <f t="shared" si="1"/>
        <v>99</v>
      </c>
      <c r="AC38" s="79"/>
    </row>
    <row r="39" spans="1:29" ht="20.100000000000001" customHeight="1">
      <c r="A39" s="91">
        <v>45861</v>
      </c>
      <c r="B39" s="92" t="str">
        <v>Seabrook</v>
      </c>
      <c r="C39" s="92" t="str">
        <v>Michelle</v>
      </c>
      <c r="D39" s="92" t="str">
        <v>Phoenix</v>
      </c>
      <c r="E39" s="92">
        <v>85054</v>
      </c>
      <c r="F39" s="137" t="str">
        <v>Opposed</v>
      </c>
      <c r="G39" s="93" t="str">
        <v>https://images.edocket.azcc.gov/docketpdf/E000045426.pdf</v>
      </c>
      <c r="H39" s="150" t="s">
        <v>278</v>
      </c>
      <c r="I39" s="114" t="str">
        <v>R-BASICL</v>
      </c>
      <c r="J39" s="94" t="str">
        <v>No</v>
      </c>
      <c r="K39" s="94" t="str">
        <v>No</v>
      </c>
      <c r="L39" s="137" t="str">
        <v>No MEP R-BASIC ($170.13)</v>
      </c>
      <c r="M39" s="94" t="str">
        <v>No</v>
      </c>
      <c r="N39" s="134" t="str">
        <v>No</v>
      </c>
      <c r="O39" s="119" t="str">
        <v>Yes</v>
      </c>
      <c r="P39" s="92" t="str">
        <v>N</v>
      </c>
      <c r="Q39" s="91">
        <v>45958</v>
      </c>
      <c r="R39" s="140" t="str">
        <v>Will be automatically reassigned soon</v>
      </c>
      <c r="S39" s="92">
        <v>0</v>
      </c>
      <c r="T39" s="92">
        <v>0</v>
      </c>
      <c r="U39" s="137">
        <v>0</v>
      </c>
      <c r="V39" s="126" t="str">
        <f t="shared" si="0"/>
        <v>❌ Not on Best Plan</v>
      </c>
      <c r="W39" s="130" t="str">
        <f>IFERROR(_xlfn.XLOOKUP(TEXT(H39,"0000000000"),'📞 Call Tracker'!A$2:A$2000,'📞 Call Tracker'!B$2:B$2000,""),"")</f>
        <v>Joaquin</v>
      </c>
      <c r="X39" s="96">
        <f>IFERROR(_xlfn.XLOOKUP(TEXT(H39,"0000000000"),'📞 Call Tracker'!A$2:A$2000,'📞 Call Tracker'!C$2:C$2000,""),"")</f>
        <v>46011</v>
      </c>
      <c r="Y39" s="95" t="str">
        <f>IFERROR(_xlfn.XLOOKUP(TEXT(H39,"0000000000"),'📞 Call Tracker'!A$2:A$2000,'📞 Call Tracker'!D$2:D$2000,""),"")</f>
        <v>NO</v>
      </c>
      <c r="Z39" s="95">
        <f>IFERROR(_xlfn.XLOOKUP(TEXT(H39,"0000000000"),'📞 Call Tracker'!A$2:A$2000,'📞 Call Tracker'!E$2:E$2000,""),"")</f>
        <v>0</v>
      </c>
      <c r="AA39" s="145" t="str">
        <f>IFERROR(_xlfn.XLOOKUP(TEXT(H39,"0000000000"),'📞 Call Tracker'!A$2:A$2000,'📞 Call Tracker'!F$2:F$2000,""),"")</f>
        <v>VOICE MAIL WAS FULL</v>
      </c>
      <c r="AB39" s="132">
        <f t="shared" si="1"/>
        <v>99</v>
      </c>
      <c r="AC39" s="79"/>
    </row>
    <row r="40" spans="1:29" ht="20.100000000000001" customHeight="1">
      <c r="A40" s="91">
        <v>45883</v>
      </c>
      <c r="B40" s="92" t="str">
        <v>Sternberg</v>
      </c>
      <c r="C40" s="92" t="str">
        <v>Karen</v>
      </c>
      <c r="D40" s="92" t="str">
        <v>Sedona</v>
      </c>
      <c r="E40" s="92">
        <v>85336</v>
      </c>
      <c r="F40" s="137" t="str">
        <v>Comments are about water rates</v>
      </c>
      <c r="G40" s="93" t="str">
        <v>https://images.edocket.azcc.gov/docketpdf/E000045814.pdf</v>
      </c>
      <c r="H40" s="150" t="s">
        <v>287</v>
      </c>
      <c r="I40" s="114" t="str">
        <v xml:space="preserve">R-XS </v>
      </c>
      <c r="J40" s="94" t="str">
        <v>No</v>
      </c>
      <c r="K40" s="94" t="str">
        <v>No</v>
      </c>
      <c r="L40" s="137" t="str">
        <v>Yes</v>
      </c>
      <c r="M40" s="94" t="str">
        <v>No</v>
      </c>
      <c r="N40" s="134" t="str">
        <v>No</v>
      </c>
      <c r="O40" s="119" t="str">
        <v>Yes</v>
      </c>
      <c r="P40" s="92" t="str">
        <v>N</v>
      </c>
      <c r="Q40" s="91">
        <v>45958</v>
      </c>
      <c r="R40" s="140">
        <v>0</v>
      </c>
      <c r="S40" s="92">
        <v>0</v>
      </c>
      <c r="T40" s="92">
        <v>0</v>
      </c>
      <c r="U40" s="137" t="str">
        <v>Comments are about water rate increases</v>
      </c>
      <c r="V40" s="126" t="str">
        <f t="shared" si="0"/>
        <v>✅ On Best Plan</v>
      </c>
      <c r="W40" s="130">
        <f>IFERROR(_xlfn.XLOOKUP(TEXT(H40,"0000000000"),'📞 Call Tracker'!A$2:A$2000,'📞 Call Tracker'!B$2:B$2000,""),"")</f>
        <v>0</v>
      </c>
      <c r="X40" s="96">
        <f>IFERROR(_xlfn.XLOOKUP(TEXT(H40,"0000000000"),'📞 Call Tracker'!A$2:A$2000,'📞 Call Tracker'!C$2:C$2000,""),"")</f>
        <v>0</v>
      </c>
      <c r="Y40" s="95">
        <f>IFERROR(_xlfn.XLOOKUP(TEXT(H40,"0000000000"),'📞 Call Tracker'!A$2:A$2000,'📞 Call Tracker'!D$2:D$2000,""),"")</f>
        <v>0</v>
      </c>
      <c r="Z40" s="95">
        <f>IFERROR(_xlfn.XLOOKUP(TEXT(H40,"0000000000"),'📞 Call Tracker'!A$2:A$2000,'📞 Call Tracker'!E$2:E$2000,""),"")</f>
        <v>0</v>
      </c>
      <c r="AA40" s="145">
        <f>IFERROR(_xlfn.XLOOKUP(TEXT(H40,"0000000000"),'📞 Call Tracker'!A$2:A$2000,'📞 Call Tracker'!F$2:F$2000,""),"")</f>
        <v>0</v>
      </c>
      <c r="AB40" s="132">
        <f t="shared" si="1"/>
        <v>99</v>
      </c>
      <c r="AC40" s="79"/>
    </row>
    <row r="41" spans="1:29" ht="20.100000000000001" customHeight="1">
      <c r="A41" s="91">
        <v>45898</v>
      </c>
      <c r="B41" s="92" t="str">
        <v>Hines</v>
      </c>
      <c r="C41" s="92" t="str">
        <v>Rohna</v>
      </c>
      <c r="D41" s="92" t="str">
        <v>Unknown</v>
      </c>
      <c r="E41" s="92" t="str">
        <v>Unknown</v>
      </c>
      <c r="F41" s="137" t="str">
        <v xml:space="preserve">Opposed </v>
      </c>
      <c r="G41" s="93" t="str">
        <v>https://images.edocket.azcc.gov/docketpdf/E000046100.pdf</v>
      </c>
      <c r="H41" s="150" t="s">
        <v>299</v>
      </c>
      <c r="I41" s="114" t="str">
        <v>RTOUE47</v>
      </c>
      <c r="J41" s="94" t="str">
        <v>Yes</v>
      </c>
      <c r="K41" s="94" t="str">
        <v>No</v>
      </c>
      <c r="L41" s="137" t="str">
        <v>No MEP R-XS($77.28)</v>
      </c>
      <c r="M41" s="94" t="str">
        <v>No</v>
      </c>
      <c r="N41" s="134" t="str">
        <v>No</v>
      </c>
      <c r="O41" s="119" t="str">
        <v>Yes</v>
      </c>
      <c r="P41" s="92" t="str">
        <v>N</v>
      </c>
      <c r="Q41" s="91">
        <v>45958</v>
      </c>
      <c r="R41" s="140">
        <v>0</v>
      </c>
      <c r="S41" s="92">
        <v>0</v>
      </c>
      <c r="T41" s="92">
        <v>0</v>
      </c>
      <c r="U41" s="137">
        <v>0</v>
      </c>
      <c r="V41" s="126" t="str">
        <f t="shared" si="0"/>
        <v>❌ Not on Best Plan</v>
      </c>
      <c r="W41" s="130" t="str">
        <f>IFERROR(_xlfn.XLOOKUP(TEXT(H41,"0000000000"),'📞 Call Tracker'!A$2:A$2000,'📞 Call Tracker'!B$2:B$2000,""),"")</f>
        <v>Michelle</v>
      </c>
      <c r="X41" s="96">
        <f>IFERROR(_xlfn.XLOOKUP(TEXT(H41,"0000000000"),'📞 Call Tracker'!A$2:A$2000,'📞 Call Tracker'!C$2:C$2000,""),"")</f>
        <v>45997</v>
      </c>
      <c r="Y41" s="95" t="str">
        <f>IFERROR(_xlfn.XLOOKUP(TEXT(H41,"0000000000"),'📞 Call Tracker'!A$2:A$2000,'📞 Call Tracker'!D$2:D$2000,""),"")</f>
        <v>NO</v>
      </c>
      <c r="Z41" s="95">
        <f>IFERROR(_xlfn.XLOOKUP(TEXT(H41,"0000000000"),'📞 Call Tracker'!A$2:A$2000,'📞 Call Tracker'!E$2:E$2000,""),"")</f>
        <v>0</v>
      </c>
      <c r="AA41" s="145" t="str">
        <f>IFERROR(_xlfn.XLOOKUP(TEXT(H41,"0000000000"),'📞 Call Tracker'!A$2:A$2000,'📞 Call Tracker'!F$2:F$2000,""),"")</f>
        <v>ON PA, DID ADVISE BB AFTER PA IS DONE</v>
      </c>
      <c r="AB41" s="132">
        <f t="shared" si="1"/>
        <v>99</v>
      </c>
      <c r="AC41" s="79"/>
    </row>
    <row r="42" spans="1:29" ht="20.100000000000001" customHeight="1">
      <c r="A42" s="91">
        <v>45902</v>
      </c>
      <c r="B42" s="92" t="str">
        <v>Lovato</v>
      </c>
      <c r="C42" s="92" t="str">
        <v>Tiffany</v>
      </c>
      <c r="D42" s="92" t="str">
        <v>Surprise</v>
      </c>
      <c r="E42" s="92">
        <v>85374</v>
      </c>
      <c r="F42" s="137" t="str">
        <v>Opposed</v>
      </c>
      <c r="G42" s="93" t="str">
        <v>https://images.edocket.azcc.gov/docketpdf/E000046155.pdf</v>
      </c>
      <c r="H42" s="150" t="s">
        <v>6173</v>
      </c>
      <c r="I42" s="114" t="str">
        <v>R-BASIC</v>
      </c>
      <c r="J42" s="94" t="str">
        <v>N</v>
      </c>
      <c r="K42" s="94" t="str">
        <v>No</v>
      </c>
      <c r="L42" s="137" t="str">
        <v xml:space="preserve">Yes </v>
      </c>
      <c r="M42" s="94" t="str">
        <v>No</v>
      </c>
      <c r="N42" s="134" t="str">
        <v>No</v>
      </c>
      <c r="O42" s="119" t="str">
        <v>Yes</v>
      </c>
      <c r="P42" s="92" t="str">
        <v>N</v>
      </c>
      <c r="Q42" s="91">
        <v>45967</v>
      </c>
      <c r="R42" s="140">
        <v>0</v>
      </c>
      <c r="S42" s="92">
        <v>0</v>
      </c>
      <c r="T42" s="92">
        <v>0</v>
      </c>
      <c r="U42" s="137">
        <v>0</v>
      </c>
      <c r="V42" s="126" t="str">
        <f t="shared" si="0"/>
        <v>✅ On Best Plan</v>
      </c>
      <c r="W42" s="130">
        <f>IFERROR(_xlfn.XLOOKUP(TEXT(H42,"0000000000"),'📞 Call Tracker'!A$2:A$2000,'📞 Call Tracker'!B$2:B$2000,""),"")</f>
        <v>0</v>
      </c>
      <c r="X42" s="96">
        <f>IFERROR(_xlfn.XLOOKUP(TEXT(H42,"0000000000"),'📞 Call Tracker'!A$2:A$2000,'📞 Call Tracker'!C$2:C$2000,""),"")</f>
        <v>0</v>
      </c>
      <c r="Y42" s="95">
        <f>IFERROR(_xlfn.XLOOKUP(TEXT(H42,"0000000000"),'📞 Call Tracker'!A$2:A$2000,'📞 Call Tracker'!D$2:D$2000,""),"")</f>
        <v>0</v>
      </c>
      <c r="Z42" s="95">
        <f>IFERROR(_xlfn.XLOOKUP(TEXT(H42,"0000000000"),'📞 Call Tracker'!A$2:A$2000,'📞 Call Tracker'!E$2:E$2000,""),"")</f>
        <v>0</v>
      </c>
      <c r="AA42" s="145">
        <f>IFERROR(_xlfn.XLOOKUP(TEXT(H42,"0000000000"),'📞 Call Tracker'!A$2:A$2000,'📞 Call Tracker'!F$2:F$2000,""),"")</f>
        <v>0</v>
      </c>
      <c r="AB42" s="132">
        <f t="shared" si="1"/>
        <v>99</v>
      </c>
      <c r="AC42" s="79"/>
    </row>
    <row r="43" spans="1:29" ht="20.100000000000001" customHeight="1">
      <c r="A43" s="91">
        <v>45902</v>
      </c>
      <c r="B43" s="92" t="str">
        <v>Read</v>
      </c>
      <c r="C43" s="92" t="str">
        <v>David</v>
      </c>
      <c r="D43" s="92" t="str">
        <v xml:space="preserve">Peoria </v>
      </c>
      <c r="E43" s="92">
        <v>85381</v>
      </c>
      <c r="F43" s="137" t="str">
        <v>Opposed</v>
      </c>
      <c r="G43" s="93" t="str">
        <v>https://images.edocket.azcc.gov/docketpdf/E000046155.pdf</v>
      </c>
      <c r="H43" s="150" t="s">
        <v>6174</v>
      </c>
      <c r="I43" s="114" t="str">
        <v>RTOUE47</v>
      </c>
      <c r="J43" s="94" t="str">
        <v>No</v>
      </c>
      <c r="K43" s="94" t="str">
        <v>No</v>
      </c>
      <c r="L43" s="137" t="str">
        <v>Yes</v>
      </c>
      <c r="M43" s="94" t="str">
        <v>No</v>
      </c>
      <c r="N43" s="134" t="str">
        <v>No</v>
      </c>
      <c r="O43" s="119" t="str">
        <v>Yes</v>
      </c>
      <c r="P43" s="92" t="str">
        <v>N</v>
      </c>
      <c r="Q43" s="91">
        <v>45958</v>
      </c>
      <c r="R43" s="140">
        <v>0</v>
      </c>
      <c r="S43" s="92">
        <v>0</v>
      </c>
      <c r="T43" s="92">
        <v>0</v>
      </c>
      <c r="U43" s="137">
        <v>0</v>
      </c>
      <c r="V43" s="126" t="str">
        <f t="shared" si="0"/>
        <v>✅ On Best Plan</v>
      </c>
      <c r="W43" s="130" t="str">
        <f>IFERROR(_xlfn.XLOOKUP(TEXT(H43,"0000000000"),'📞 Call Tracker'!A$2:A$2000,'📞 Call Tracker'!B$2:B$2000,""),"")</f>
        <v>Michelle</v>
      </c>
      <c r="X43" s="96">
        <f>IFERROR(_xlfn.XLOOKUP(TEXT(H43,"0000000000"),'📞 Call Tracker'!A$2:A$2000,'📞 Call Tracker'!C$2:C$2000,""),"")</f>
        <v>46067</v>
      </c>
      <c r="Y43" s="95" t="str">
        <f>IFERROR(_xlfn.XLOOKUP(TEXT(H43,"0000000000"),'📞 Call Tracker'!A$2:A$2000,'📞 Call Tracker'!D$2:D$2000,""),"")</f>
        <v>NO</v>
      </c>
      <c r="Z43" s="95">
        <f>IFERROR(_xlfn.XLOOKUP(TEXT(H43,"0000000000"),'📞 Call Tracker'!A$2:A$2000,'📞 Call Tracker'!E$2:E$2000,""),"")</f>
        <v>0</v>
      </c>
      <c r="AA43" s="145" t="str">
        <f>IFERROR(_xlfn.XLOOKUP(TEXT(H43,"0000000000"),'📞 Call Tracker'!A$2:A$2000,'📞 Call Tracker'!F$2:F$2000,""),"")</f>
        <v>SOLAR ACCT</v>
      </c>
      <c r="AB43" s="132">
        <f t="shared" si="1"/>
        <v>99</v>
      </c>
      <c r="AC43" s="79"/>
    </row>
    <row r="44" spans="1:29" ht="20.100000000000001" customHeight="1">
      <c r="A44" s="91">
        <v>45902</v>
      </c>
      <c r="B44" s="92" t="str">
        <v>Huynh</v>
      </c>
      <c r="C44" s="92" t="str">
        <v>Nam</v>
      </c>
      <c r="D44" s="92" t="str">
        <v>Buckeye</v>
      </c>
      <c r="E44" s="92">
        <v>85326</v>
      </c>
      <c r="F44" s="137" t="str">
        <v>Opposed</v>
      </c>
      <c r="G44" s="93" t="str">
        <v>https://images.edocket.azcc.gov/docketpdf/E000046155.pdf</v>
      </c>
      <c r="H44" s="150" t="s">
        <v>6175</v>
      </c>
      <c r="I44" s="114" t="str">
        <v>R3-47</v>
      </c>
      <c r="J44" s="94" t="str">
        <v>No</v>
      </c>
      <c r="K44" s="94" t="str">
        <v>No</v>
      </c>
      <c r="L44" s="137" t="str">
        <v>Yes</v>
      </c>
      <c r="M44" s="94" t="str">
        <v>No</v>
      </c>
      <c r="N44" s="134" t="str">
        <v>No</v>
      </c>
      <c r="O44" s="119" t="str">
        <v>Yes</v>
      </c>
      <c r="P44" s="92" t="str">
        <v>N</v>
      </c>
      <c r="Q44" s="91">
        <v>45958</v>
      </c>
      <c r="R44" s="140">
        <v>0</v>
      </c>
      <c r="S44" s="92">
        <v>0</v>
      </c>
      <c r="T44" s="92">
        <v>0</v>
      </c>
      <c r="U44" s="137">
        <v>0</v>
      </c>
      <c r="V44" s="126" t="str">
        <f t="shared" si="0"/>
        <v>✅ On Best Plan</v>
      </c>
      <c r="W44" s="130">
        <f>IFERROR(_xlfn.XLOOKUP(TEXT(H44,"0000000000"),'📞 Call Tracker'!A$2:A$2000,'📞 Call Tracker'!B$2:B$2000,""),"")</f>
        <v>0</v>
      </c>
      <c r="X44" s="96">
        <f>IFERROR(_xlfn.XLOOKUP(TEXT(H44,"0000000000"),'📞 Call Tracker'!A$2:A$2000,'📞 Call Tracker'!C$2:C$2000,""),"")</f>
        <v>0</v>
      </c>
      <c r="Y44" s="95">
        <f>IFERROR(_xlfn.XLOOKUP(TEXT(H44,"0000000000"),'📞 Call Tracker'!A$2:A$2000,'📞 Call Tracker'!D$2:D$2000,""),"")</f>
        <v>0</v>
      </c>
      <c r="Z44" s="95">
        <f>IFERROR(_xlfn.XLOOKUP(TEXT(H44,"0000000000"),'📞 Call Tracker'!A$2:A$2000,'📞 Call Tracker'!E$2:E$2000,""),"")</f>
        <v>0</v>
      </c>
      <c r="AA44" s="145">
        <f>IFERROR(_xlfn.XLOOKUP(TEXT(H44,"0000000000"),'📞 Call Tracker'!A$2:A$2000,'📞 Call Tracker'!F$2:F$2000,""),"")</f>
        <v>0</v>
      </c>
      <c r="AB44" s="132">
        <f t="shared" si="1"/>
        <v>99</v>
      </c>
      <c r="AC44" s="79"/>
    </row>
    <row r="45" spans="1:29" ht="20.100000000000001" customHeight="1">
      <c r="A45" s="91">
        <v>45902</v>
      </c>
      <c r="B45" s="92" t="str">
        <v>Simmons</v>
      </c>
      <c r="C45" s="92" t="str">
        <v>Jennifer</v>
      </c>
      <c r="D45" s="92" t="str">
        <v>Scottsdale</v>
      </c>
      <c r="E45" s="92">
        <v>85260</v>
      </c>
      <c r="F45" s="137" t="str">
        <v>Opposed</v>
      </c>
      <c r="G45" s="93" t="str">
        <v>https://images.edocket.azcc.gov/docketpdf/E000046155.pdf</v>
      </c>
      <c r="H45" s="150" t="s">
        <v>321</v>
      </c>
      <c r="I45" s="114" t="str">
        <v>RTOUE47</v>
      </c>
      <c r="J45" s="94" t="str">
        <v>No</v>
      </c>
      <c r="K45" s="94" t="str">
        <v>No</v>
      </c>
      <c r="L45" s="137" t="str">
        <v>No MEP R3-47 ($61.45)</v>
      </c>
      <c r="M45" s="94" t="str">
        <v>No</v>
      </c>
      <c r="N45" s="134" t="str">
        <v>No</v>
      </c>
      <c r="O45" s="119" t="str">
        <v>Yes</v>
      </c>
      <c r="P45" s="92" t="str">
        <v>N</v>
      </c>
      <c r="Q45" s="91">
        <v>45957</v>
      </c>
      <c r="R45" s="140">
        <v>0</v>
      </c>
      <c r="S45" s="92">
        <v>0</v>
      </c>
      <c r="T45" s="92">
        <v>0</v>
      </c>
      <c r="U45" s="137">
        <v>0</v>
      </c>
      <c r="V45" s="126" t="str">
        <f t="shared" si="0"/>
        <v>❌ Not on Best Plan</v>
      </c>
      <c r="W45" s="130" t="str">
        <f>IFERROR(_xlfn.XLOOKUP(TEXT(H45,"0000000000"),'📞 Call Tracker'!A$2:A$2000,'📞 Call Tracker'!B$2:B$2000,""),"")</f>
        <v>Joaquin</v>
      </c>
      <c r="X45" s="96">
        <f>IFERROR(_xlfn.XLOOKUP(TEXT(H45,"0000000000"),'📞 Call Tracker'!A$2:A$2000,'📞 Call Tracker'!C$2:C$2000,""),"")</f>
        <v>46011</v>
      </c>
      <c r="Y45" s="95" t="str">
        <f>IFERROR(_xlfn.XLOOKUP(TEXT(H45,"0000000000"),'📞 Call Tracker'!A$2:A$2000,'📞 Call Tracker'!D$2:D$2000,""),"")</f>
        <v>YES</v>
      </c>
      <c r="Z45" s="95">
        <f>IFERROR(_xlfn.XLOOKUP(TEXT(H45,"0000000000"),'📞 Call Tracker'!A$2:A$2000,'📞 Call Tracker'!E$2:E$2000,""),"")</f>
        <v>0</v>
      </c>
      <c r="AA45" s="145" t="str">
        <f>IFERROR(_xlfn.XLOOKUP(TEXT(H45,"0000000000"),'📞 Call Tracker'!A$2:A$2000,'📞 Call Tracker'!F$2:F$2000,""),"")</f>
        <v>BETTER RATE TIME OF USE WITH DEMAND</v>
      </c>
      <c r="AB45" s="132">
        <f t="shared" si="1"/>
        <v>99</v>
      </c>
      <c r="AC45" s="79"/>
    </row>
    <row r="46" spans="1:29" ht="20.100000000000001" customHeight="1">
      <c r="A46" s="91">
        <v>45902</v>
      </c>
      <c r="B46" s="92" t="str">
        <v>Wood</v>
      </c>
      <c r="C46" s="92" t="str">
        <v>Ethan</v>
      </c>
      <c r="D46" s="92" t="str">
        <v>Phoenix</v>
      </c>
      <c r="E46" s="92">
        <v>85085</v>
      </c>
      <c r="F46" s="137" t="str">
        <v>Form letter</v>
      </c>
      <c r="G46" s="93" t="str">
        <v>https://images.edocket.azcc.gov/docketpdf/E000046155.pdf</v>
      </c>
      <c r="H46" s="150" t="s">
        <v>6176</v>
      </c>
      <c r="I46" s="114" t="str">
        <v>R3-47</v>
      </c>
      <c r="J46" s="94" t="str">
        <v>No</v>
      </c>
      <c r="K46" s="94" t="str">
        <v>No</v>
      </c>
      <c r="L46" s="137" t="str">
        <v>Yes</v>
      </c>
      <c r="M46" s="94" t="str">
        <v>No</v>
      </c>
      <c r="N46" s="134" t="str">
        <v>No</v>
      </c>
      <c r="O46" s="119" t="str">
        <v>Yes</v>
      </c>
      <c r="P46" s="92" t="str">
        <v>N</v>
      </c>
      <c r="Q46" s="91">
        <v>45958</v>
      </c>
      <c r="R46" s="140">
        <v>0</v>
      </c>
      <c r="S46" s="92">
        <v>0</v>
      </c>
      <c r="T46" s="92">
        <v>0</v>
      </c>
      <c r="U46" s="137">
        <v>0</v>
      </c>
      <c r="V46" s="126" t="str">
        <f t="shared" si="0"/>
        <v>✅ On Best Plan</v>
      </c>
      <c r="W46" s="130">
        <f>IFERROR(_xlfn.XLOOKUP(TEXT(H46,"0000000000"),'📞 Call Tracker'!A$2:A$2000,'📞 Call Tracker'!B$2:B$2000,""),"")</f>
        <v>0</v>
      </c>
      <c r="X46" s="96">
        <f>IFERROR(_xlfn.XLOOKUP(TEXT(H46,"0000000000"),'📞 Call Tracker'!A$2:A$2000,'📞 Call Tracker'!C$2:C$2000,""),"")</f>
        <v>0</v>
      </c>
      <c r="Y46" s="95">
        <f>IFERROR(_xlfn.XLOOKUP(TEXT(H46,"0000000000"),'📞 Call Tracker'!A$2:A$2000,'📞 Call Tracker'!D$2:D$2000,""),"")</f>
        <v>0</v>
      </c>
      <c r="Z46" s="95">
        <f>IFERROR(_xlfn.XLOOKUP(TEXT(H46,"0000000000"),'📞 Call Tracker'!A$2:A$2000,'📞 Call Tracker'!E$2:E$2000,""),"")</f>
        <v>0</v>
      </c>
      <c r="AA46" s="145">
        <f>IFERROR(_xlfn.XLOOKUP(TEXT(H46,"0000000000"),'📞 Call Tracker'!A$2:A$2000,'📞 Call Tracker'!F$2:F$2000,""),"")</f>
        <v>0</v>
      </c>
      <c r="AB46" s="132">
        <f t="shared" si="1"/>
        <v>99</v>
      </c>
      <c r="AC46" s="79"/>
    </row>
    <row r="47" spans="1:29" ht="20.100000000000001" customHeight="1">
      <c r="A47" s="91">
        <v>45902</v>
      </c>
      <c r="B47" s="92" t="str">
        <v>Keller</v>
      </c>
      <c r="C47" s="92" t="str">
        <v>John</v>
      </c>
      <c r="D47" s="92" t="str">
        <v>Phoenix</v>
      </c>
      <c r="E47" s="92">
        <v>85027</v>
      </c>
      <c r="F47" s="137" t="str">
        <v>Opposed</v>
      </c>
      <c r="G47" s="93" t="str">
        <v>https://images.edocket.azcc.gov/docketpdf/E000046155.pdf</v>
      </c>
      <c r="H47" s="150" t="s">
        <v>326</v>
      </c>
      <c r="I47" s="114" t="str">
        <v>R3-47</v>
      </c>
      <c r="J47" s="94" t="str">
        <v>No</v>
      </c>
      <c r="K47" s="94" t="str">
        <v>No</v>
      </c>
      <c r="L47" s="137" t="str">
        <v>Yes</v>
      </c>
      <c r="M47" s="94" t="str">
        <v>No</v>
      </c>
      <c r="N47" s="134" t="str">
        <v>No</v>
      </c>
      <c r="O47" s="119" t="str">
        <v>Yes</v>
      </c>
      <c r="P47" s="92" t="str">
        <v>N</v>
      </c>
      <c r="Q47" s="91">
        <v>45958</v>
      </c>
      <c r="R47" s="140">
        <v>0</v>
      </c>
      <c r="S47" s="92">
        <v>0</v>
      </c>
      <c r="T47" s="92">
        <v>0</v>
      </c>
      <c r="U47" s="137">
        <v>0</v>
      </c>
      <c r="V47" s="126" t="str">
        <f t="shared" si="0"/>
        <v>✅ On Best Plan</v>
      </c>
      <c r="W47" s="130" t="str">
        <f>IFERROR(_xlfn.XLOOKUP(TEXT(H47,"0000000000"),'📞 Call Tracker'!A$2:A$2000,'📞 Call Tracker'!B$2:B$2000,""),"")</f>
        <v>Michelle</v>
      </c>
      <c r="X47" s="96">
        <f>IFERROR(_xlfn.XLOOKUP(TEXT(H47,"0000000000"),'📞 Call Tracker'!A$2:A$2000,'📞 Call Tracker'!C$2:C$2000,""),"")</f>
        <v>46067</v>
      </c>
      <c r="Y47" s="95" t="str">
        <f>IFERROR(_xlfn.XLOOKUP(TEXT(H47,"0000000000"),'📞 Call Tracker'!A$2:A$2000,'📞 Call Tracker'!D$2:D$2000,""),"")</f>
        <v>YES</v>
      </c>
      <c r="Z47" s="95">
        <f>IFERROR(_xlfn.XLOOKUP(TEXT(H47,"0000000000"),'📞 Call Tracker'!A$2:A$2000,'📞 Call Tracker'!E$2:E$2000,""),"")</f>
        <v>0</v>
      </c>
      <c r="AA47" s="145">
        <f>IFERROR(_xlfn.XLOOKUP(TEXT(H47,"0000000000"),'📞 Call Tracker'!A$2:A$2000,'📞 Call Tracker'!F$2:F$2000,""),"")</f>
        <v>0</v>
      </c>
      <c r="AB47" s="132">
        <f t="shared" si="1"/>
        <v>99</v>
      </c>
      <c r="AC47" s="79"/>
    </row>
    <row r="48" spans="1:29" ht="20.100000000000001" customHeight="1">
      <c r="A48" s="91">
        <v>45902</v>
      </c>
      <c r="B48" s="92" t="str">
        <v>Vint</v>
      </c>
      <c r="C48" s="92" t="str">
        <v>Shannon</v>
      </c>
      <c r="D48" s="92" t="str">
        <v>Phoenix</v>
      </c>
      <c r="E48" s="92">
        <v>85027</v>
      </c>
      <c r="F48" s="137" t="str">
        <v>Form letter</v>
      </c>
      <c r="G48" s="93" t="str">
        <v>https://images.edocket.azcc.gov/docketpdf/E000046155.pdf</v>
      </c>
      <c r="H48" s="150" t="s">
        <v>6177</v>
      </c>
      <c r="I48" s="114" t="str">
        <v>R-BASIC</v>
      </c>
      <c r="J48" s="94" t="str">
        <v>No</v>
      </c>
      <c r="K48" s="94" t="str">
        <v>No</v>
      </c>
      <c r="L48" s="137" t="str">
        <v>Yes</v>
      </c>
      <c r="M48" s="94" t="str">
        <v>No</v>
      </c>
      <c r="N48" s="134" t="str">
        <v>No</v>
      </c>
      <c r="O48" s="119" t="str">
        <v>Yes</v>
      </c>
      <c r="P48" s="92" t="str">
        <v>N</v>
      </c>
      <c r="Q48" s="91">
        <v>45958</v>
      </c>
      <c r="R48" s="140">
        <v>0</v>
      </c>
      <c r="S48" s="92">
        <v>0</v>
      </c>
      <c r="T48" s="92">
        <v>0</v>
      </c>
      <c r="U48" s="137">
        <v>0</v>
      </c>
      <c r="V48" s="126" t="str">
        <f t="shared" si="0"/>
        <v>✅ On Best Plan</v>
      </c>
      <c r="W48" s="130">
        <f>IFERROR(_xlfn.XLOOKUP(TEXT(H48,"0000000000"),'📞 Call Tracker'!A$2:A$2000,'📞 Call Tracker'!B$2:B$2000,""),"")</f>
        <v>0</v>
      </c>
      <c r="X48" s="96">
        <f>IFERROR(_xlfn.XLOOKUP(TEXT(H48,"0000000000"),'📞 Call Tracker'!A$2:A$2000,'📞 Call Tracker'!C$2:C$2000,""),"")</f>
        <v>0</v>
      </c>
      <c r="Y48" s="95">
        <f>IFERROR(_xlfn.XLOOKUP(TEXT(H48,"0000000000"),'📞 Call Tracker'!A$2:A$2000,'📞 Call Tracker'!D$2:D$2000,""),"")</f>
        <v>0</v>
      </c>
      <c r="Z48" s="95">
        <f>IFERROR(_xlfn.XLOOKUP(TEXT(H48,"0000000000"),'📞 Call Tracker'!A$2:A$2000,'📞 Call Tracker'!E$2:E$2000,""),"")</f>
        <v>0</v>
      </c>
      <c r="AA48" s="145">
        <f>IFERROR(_xlfn.XLOOKUP(TEXT(H48,"0000000000"),'📞 Call Tracker'!A$2:A$2000,'📞 Call Tracker'!F$2:F$2000,""),"")</f>
        <v>0</v>
      </c>
      <c r="AB48" s="132">
        <f t="shared" si="1"/>
        <v>99</v>
      </c>
      <c r="AC48" s="79"/>
    </row>
    <row r="49" spans="1:29" ht="20.100000000000001" customHeight="1">
      <c r="A49" s="91">
        <v>45902</v>
      </c>
      <c r="B49" s="92" t="str">
        <v>Snyder</v>
      </c>
      <c r="C49" s="92" t="str">
        <v>Corey</v>
      </c>
      <c r="D49" s="92" t="str">
        <v>Phoenix</v>
      </c>
      <c r="E49" s="92">
        <v>85008</v>
      </c>
      <c r="F49" s="137" t="str">
        <v>Form letter</v>
      </c>
      <c r="G49" s="93" t="str">
        <v>https://images.edocket.azcc.gov/docketpdf/E000046155.pdf</v>
      </c>
      <c r="H49" s="150" t="s">
        <v>330</v>
      </c>
      <c r="I49" s="114" t="str">
        <v>R-BASICL</v>
      </c>
      <c r="J49" s="94" t="str">
        <v>No</v>
      </c>
      <c r="K49" s="94" t="str">
        <v>No</v>
      </c>
      <c r="L49" s="137" t="str">
        <v>No MEP R3-47 ($1,048.14)</v>
      </c>
      <c r="M49" s="94" t="str">
        <v>No</v>
      </c>
      <c r="N49" s="134" t="str">
        <v>No</v>
      </c>
      <c r="O49" s="119" t="str">
        <v>Yes</v>
      </c>
      <c r="P49" s="92">
        <v>45932</v>
      </c>
      <c r="Q49" s="91">
        <v>45685</v>
      </c>
      <c r="R49" s="140" t="str">
        <v xml:space="preserve">10/02 - LM </v>
      </c>
      <c r="S49" s="92">
        <v>0</v>
      </c>
      <c r="T49" s="92">
        <v>0</v>
      </c>
      <c r="U49" s="137">
        <v>0</v>
      </c>
      <c r="V49" s="126" t="str">
        <f t="shared" si="0"/>
        <v>❌ Not on Best Plan</v>
      </c>
      <c r="W49" s="130" t="str">
        <f>IFERROR(_xlfn.XLOOKUP(TEXT(H49,"0000000000"),'📞 Call Tracker'!A$2:A$2000,'📞 Call Tracker'!B$2:B$2000,""),"")</f>
        <v>Joaquin</v>
      </c>
      <c r="X49" s="96">
        <f>IFERROR(_xlfn.XLOOKUP(TEXT(H49,"0000000000"),'📞 Call Tracker'!A$2:A$2000,'📞 Call Tracker'!C$2:C$2000,""),"")</f>
        <v>46011</v>
      </c>
      <c r="Y49" s="95" t="str">
        <f>IFERROR(_xlfn.XLOOKUP(TEXT(H49,"0000000000"),'📞 Call Tracker'!A$2:A$2000,'📞 Call Tracker'!D$2:D$2000,""),"")</f>
        <v>YES</v>
      </c>
      <c r="Z49" s="95">
        <f>IFERROR(_xlfn.XLOOKUP(TEXT(H49,"0000000000"),'📞 Call Tracker'!A$2:A$2000,'📞 Call Tracker'!E$2:E$2000,""),"")</f>
        <v>0</v>
      </c>
      <c r="AA49" s="145" t="str">
        <f>IFERROR(_xlfn.XLOOKUP(TEXT(H49,"0000000000"),'📞 Call Tracker'!A$2:A$2000,'📞 Call Tracker'!F$2:F$2000,""),"")</f>
        <v>BETTER RATE TIME OF USE WITH DEMAND $1046</v>
      </c>
      <c r="AB49" s="132">
        <f t="shared" si="1"/>
        <v>99</v>
      </c>
      <c r="AC49" s="79"/>
    </row>
    <row r="50" spans="1:29" ht="20.100000000000001" customHeight="1">
      <c r="A50" s="91">
        <v>45902</v>
      </c>
      <c r="B50" s="92" t="str">
        <v>Alexander</v>
      </c>
      <c r="C50" s="92" t="str">
        <v>Jacob</v>
      </c>
      <c r="D50" s="92" t="str">
        <v>Peoria</v>
      </c>
      <c r="E50" s="92">
        <v>85345</v>
      </c>
      <c r="F50" s="137" t="str">
        <v>Form letter</v>
      </c>
      <c r="G50" s="93" t="str">
        <v>https://images.edocket.azcc.gov/docketpdf/E000046155.pdf</v>
      </c>
      <c r="H50" s="150" t="s">
        <v>6541</v>
      </c>
      <c r="I50" s="114" t="str">
        <v>R3-47</v>
      </c>
      <c r="J50" s="94" t="str">
        <v>No</v>
      </c>
      <c r="K50" s="94" t="str">
        <v>No</v>
      </c>
      <c r="L50" s="137" t="str">
        <v>Yes</v>
      </c>
      <c r="M50" s="94" t="str">
        <v>Yes</v>
      </c>
      <c r="N50" s="134">
        <v>175.19</v>
      </c>
      <c r="O50" s="119" t="str">
        <v>Yes</v>
      </c>
      <c r="P50" s="92" t="str">
        <v>N</v>
      </c>
      <c r="Q50" s="91">
        <v>45958</v>
      </c>
      <c r="R50" s="140">
        <v>0</v>
      </c>
      <c r="S50" s="92">
        <v>0</v>
      </c>
      <c r="T50" s="92">
        <v>0</v>
      </c>
      <c r="U50" s="137">
        <v>0</v>
      </c>
      <c r="V50" s="126" t="str">
        <f t="shared" si="0"/>
        <v>✅ On Best Plan</v>
      </c>
      <c r="W50" s="130" t="str">
        <f>IFERROR(_xlfn.XLOOKUP(TEXT(H50,"0000000000"),'📞 Call Tracker'!A$2:A$2000,'📞 Call Tracker'!B$2:B$2000,""),"")</f>
        <v>Joaquin</v>
      </c>
      <c r="X50" s="96">
        <f>IFERROR(_xlfn.XLOOKUP(TEXT(H50,"0000000000"),'📞 Call Tracker'!A$2:A$2000,'📞 Call Tracker'!C$2:C$2000,""),"")</f>
        <v>46011</v>
      </c>
      <c r="Y50" s="95" t="str">
        <f>IFERROR(_xlfn.XLOOKUP(TEXT(H50,"0000000000"),'📞 Call Tracker'!A$2:A$2000,'📞 Call Tracker'!D$2:D$2000,""),"")</f>
        <v>YES</v>
      </c>
      <c r="Z50" s="95">
        <f>IFERROR(_xlfn.XLOOKUP(TEXT(H50,"0000000000"),'📞 Call Tracker'!A$2:A$2000,'📞 Call Tracker'!E$2:E$2000,""),"")</f>
        <v>0</v>
      </c>
      <c r="AA50" s="145">
        <f>IFERROR(_xlfn.XLOOKUP(TEXT(H50,"0000000000"),'📞 Call Tracker'!A$2:A$2000,'📞 Call Tracker'!F$2:F$2000,""),"")</f>
        <v>0</v>
      </c>
      <c r="AB50" s="132">
        <f t="shared" si="1"/>
        <v>99</v>
      </c>
      <c r="AC50" s="79"/>
    </row>
    <row r="51" spans="1:29" ht="20.100000000000001" customHeight="1">
      <c r="A51" s="91">
        <v>45902</v>
      </c>
      <c r="B51" s="92" t="str">
        <v>Poe</v>
      </c>
      <c r="C51" s="92" t="str">
        <v>Leighton</v>
      </c>
      <c r="D51" s="92" t="str">
        <v>Phoenix</v>
      </c>
      <c r="E51" s="92">
        <v>85004</v>
      </c>
      <c r="F51" s="137" t="str">
        <v>Form letter</v>
      </c>
      <c r="G51" s="93" t="str">
        <v>https://images.edocket.azcc.gov/docketpdf/E000046155.pdf</v>
      </c>
      <c r="H51" s="150" t="s">
        <v>337</v>
      </c>
      <c r="I51" s="114" t="str">
        <v>R-BASIC</v>
      </c>
      <c r="J51" s="94" t="str">
        <v>No</v>
      </c>
      <c r="K51" s="94" t="str">
        <v>No</v>
      </c>
      <c r="L51" s="137" t="str">
        <v>No MEP RTOUE47($74.06)</v>
      </c>
      <c r="M51" s="94" t="str">
        <v>No</v>
      </c>
      <c r="N51" s="134" t="str">
        <v>No</v>
      </c>
      <c r="O51" s="119" t="str">
        <v>Yes</v>
      </c>
      <c r="P51" s="92" t="str">
        <v>N</v>
      </c>
      <c r="Q51" s="91">
        <v>45958</v>
      </c>
      <c r="R51" s="140">
        <v>0</v>
      </c>
      <c r="S51" s="92">
        <v>0</v>
      </c>
      <c r="T51" s="92">
        <v>0</v>
      </c>
      <c r="U51" s="137">
        <v>0</v>
      </c>
      <c r="V51" s="126" t="str">
        <f t="shared" si="0"/>
        <v>❌ Not on Best Plan</v>
      </c>
      <c r="W51" s="130" t="str">
        <f>IFERROR(_xlfn.XLOOKUP(TEXT(H51,"0000000000"),'📞 Call Tracker'!A$2:A$2000,'📞 Call Tracker'!B$2:B$2000,""),"")</f>
        <v>Joaquin</v>
      </c>
      <c r="X51" s="96">
        <f>IFERROR(_xlfn.XLOOKUP(TEXT(H51,"0000000000"),'📞 Call Tracker'!A$2:A$2000,'📞 Call Tracker'!C$2:C$2000,""),"")</f>
        <v>46011</v>
      </c>
      <c r="Y51" s="95" t="str">
        <f>IFERROR(_xlfn.XLOOKUP(TEXT(H51,"0000000000"),'📞 Call Tracker'!A$2:A$2000,'📞 Call Tracker'!D$2:D$2000,""),"")</f>
        <v>YES</v>
      </c>
      <c r="Z51" s="95">
        <f>IFERROR(_xlfn.XLOOKUP(TEXT(H51,"0000000000"),'📞 Call Tracker'!A$2:A$2000,'📞 Call Tracker'!E$2:E$2000,""),"")</f>
        <v>0</v>
      </c>
      <c r="AA51" s="145">
        <f>IFERROR(_xlfn.XLOOKUP(TEXT(H51,"0000000000"),'📞 Call Tracker'!A$2:A$2000,'📞 Call Tracker'!F$2:F$2000,""),"")</f>
        <v>0</v>
      </c>
      <c r="AB51" s="132">
        <f t="shared" si="1"/>
        <v>99</v>
      </c>
      <c r="AC51" s="79"/>
    </row>
    <row r="52" spans="1:29" ht="20.100000000000001" customHeight="1">
      <c r="A52" s="91">
        <v>45902</v>
      </c>
      <c r="B52" s="92" t="str">
        <v>Charapata</v>
      </c>
      <c r="C52" s="92" t="str">
        <v>Maxwell</v>
      </c>
      <c r="D52" s="92" t="str">
        <v>Phoenix</v>
      </c>
      <c r="E52" s="92">
        <v>85027</v>
      </c>
      <c r="F52" s="137" t="str">
        <v>Opposed</v>
      </c>
      <c r="G52" s="93" t="str">
        <v>https://images.edocket.azcc.gov/docketpdf/E000046155.pdf</v>
      </c>
      <c r="H52" s="150" t="s">
        <v>6010</v>
      </c>
      <c r="I52" s="114" t="str">
        <v>RTOUE47</v>
      </c>
      <c r="J52" s="94" t="str">
        <v>No</v>
      </c>
      <c r="K52" s="94" t="str">
        <v>No</v>
      </c>
      <c r="L52" s="137" t="str">
        <v>No-MEP R3-47(23.66)</v>
      </c>
      <c r="M52" s="94" t="str">
        <v>No</v>
      </c>
      <c r="N52" s="134" t="str">
        <v>No</v>
      </c>
      <c r="O52" s="119" t="str">
        <v>Yes</v>
      </c>
      <c r="P52" s="92" t="str">
        <v>N</v>
      </c>
      <c r="Q52" s="91">
        <v>45958</v>
      </c>
      <c r="R52" s="140">
        <v>0</v>
      </c>
      <c r="S52" s="92">
        <v>0</v>
      </c>
      <c r="T52" s="92">
        <v>0</v>
      </c>
      <c r="U52" s="137">
        <v>0</v>
      </c>
      <c r="V52" s="126" t="str">
        <f t="shared" si="0"/>
        <v>❌ Not on Best Plan</v>
      </c>
      <c r="W52" s="130" t="str">
        <f>IFERROR(_xlfn.XLOOKUP(TEXT(H52,"0000000000"),'📞 Call Tracker'!A$2:A$2000,'📞 Call Tracker'!B$2:B$2000,""),"")</f>
        <v>Michelle</v>
      </c>
      <c r="X52" s="96">
        <f>IFERROR(_xlfn.XLOOKUP(TEXT(H52,"0000000000"),'📞 Call Tracker'!A$2:A$2000,'📞 Call Tracker'!C$2:C$2000,""),"")</f>
        <v>46060</v>
      </c>
      <c r="Y52" s="95" t="str">
        <f>IFERROR(_xlfn.XLOOKUP(TEXT(H52,"0000000000"),'📞 Call Tracker'!A$2:A$2000,'📞 Call Tracker'!D$2:D$2000,""),"")</f>
        <v>YES</v>
      </c>
      <c r="Z52" s="95">
        <f>IFERROR(_xlfn.XLOOKUP(TEXT(H52,"0000000000"),'📞 Call Tracker'!A$2:A$2000,'📞 Call Tracker'!E$2:E$2000,""),"")</f>
        <v>0</v>
      </c>
      <c r="AA52" s="145" t="str">
        <f>IFERROR(_xlfn.XLOOKUP(TEXT(H52,"0000000000"),'📞 Call Tracker'!A$2:A$2000,'📞 Call Tracker'!F$2:F$2000,""),"")</f>
        <v>SOLAR ACCT</v>
      </c>
      <c r="AB52" s="132">
        <f t="shared" si="1"/>
        <v>99</v>
      </c>
      <c r="AC52" s="79"/>
    </row>
    <row r="53" spans="1:29" ht="20.100000000000001" customHeight="1">
      <c r="A53" s="91">
        <v>45902</v>
      </c>
      <c r="B53" s="92" t="str">
        <v>Lafond</v>
      </c>
      <c r="C53" s="92" t="str">
        <v>Ciara</v>
      </c>
      <c r="D53" s="92" t="str">
        <v>Buckeye</v>
      </c>
      <c r="E53" s="92">
        <v>85326</v>
      </c>
      <c r="F53" s="137" t="str">
        <v>Opposed</v>
      </c>
      <c r="G53" s="93" t="str">
        <v>https://images.edocket.azcc.gov/docketpdf/E000046155.pdf</v>
      </c>
      <c r="H53" s="150" t="s">
        <v>344</v>
      </c>
      <c r="I53" s="114" t="str">
        <v>RTOUE47</v>
      </c>
      <c r="J53" s="94" t="str">
        <v>No</v>
      </c>
      <c r="K53" s="94" t="str">
        <v>No</v>
      </c>
      <c r="L53" s="137" t="str">
        <v>Yes</v>
      </c>
      <c r="M53" s="94" t="str">
        <v>No</v>
      </c>
      <c r="N53" s="134" t="str">
        <v>No</v>
      </c>
      <c r="O53" s="119" t="str">
        <v>Yes</v>
      </c>
      <c r="P53" s="92" t="str">
        <v>N</v>
      </c>
      <c r="Q53" s="91">
        <v>45958</v>
      </c>
      <c r="R53" s="140">
        <v>0</v>
      </c>
      <c r="S53" s="92">
        <v>0</v>
      </c>
      <c r="T53" s="92">
        <v>0</v>
      </c>
      <c r="U53" s="137">
        <v>0</v>
      </c>
      <c r="V53" s="126" t="str">
        <f t="shared" si="0"/>
        <v>✅ On Best Plan</v>
      </c>
      <c r="W53" s="130" t="str">
        <f>IFERROR(_xlfn.XLOOKUP(TEXT(H53,"0000000000"),'📞 Call Tracker'!A$2:A$2000,'📞 Call Tracker'!B$2:B$2000,""),"")</f>
        <v>Michelle</v>
      </c>
      <c r="X53" s="96">
        <f>IFERROR(_xlfn.XLOOKUP(TEXT(H53,"0000000000"),'📞 Call Tracker'!A$2:A$2000,'📞 Call Tracker'!C$2:C$2000,""),"")</f>
        <v>46067</v>
      </c>
      <c r="Y53" s="95" t="str">
        <f>IFERROR(_xlfn.XLOOKUP(TEXT(H53,"0000000000"),'📞 Call Tracker'!A$2:A$2000,'📞 Call Tracker'!D$2:D$2000,""),"")</f>
        <v>NO</v>
      </c>
      <c r="Z53" s="95">
        <f>IFERROR(_xlfn.XLOOKUP(TEXT(H53,"0000000000"),'📞 Call Tracker'!A$2:A$2000,'📞 Call Tracker'!E$2:E$2000,""),"")</f>
        <v>0</v>
      </c>
      <c r="AA53" s="145" t="str">
        <f>IFERROR(_xlfn.XLOOKUP(TEXT(H53,"0000000000"),'📞 Call Tracker'!A$2:A$2000,'📞 Call Tracker'!F$2:F$2000,""),"")</f>
        <v>SOLAR ACCT</v>
      </c>
      <c r="AB53" s="132">
        <f t="shared" si="1"/>
        <v>99</v>
      </c>
      <c r="AC53" s="79"/>
    </row>
    <row r="54" spans="1:29" ht="20.100000000000001" customHeight="1">
      <c r="A54" s="91">
        <v>45902</v>
      </c>
      <c r="B54" s="92" t="str">
        <v>O'Gorman</v>
      </c>
      <c r="C54" s="92" t="str">
        <v>Erin</v>
      </c>
      <c r="D54" s="92" t="str">
        <v>Prescott Valley</v>
      </c>
      <c r="E54" s="92">
        <v>86314</v>
      </c>
      <c r="F54" s="137" t="str">
        <v>Opposed</v>
      </c>
      <c r="G54" s="93" t="str">
        <v>https://images.edocket.azcc.gov/docketpdf/E000046155.pdf</v>
      </c>
      <c r="H54" s="150" t="s">
        <v>6537</v>
      </c>
      <c r="I54" s="114" t="str">
        <v>R-BASIC</v>
      </c>
      <c r="J54" s="94" t="str">
        <v>No</v>
      </c>
      <c r="K54" s="94" t="str">
        <v>No</v>
      </c>
      <c r="L54" s="137" t="str">
        <v>No-MEP R3-47($141.01)</v>
      </c>
      <c r="M54" s="94" t="str">
        <v>Yes</v>
      </c>
      <c r="N54" s="134">
        <v>605.92999999999995</v>
      </c>
      <c r="O54" s="119" t="str">
        <v>Yes</v>
      </c>
      <c r="P54" s="92">
        <v>45932</v>
      </c>
      <c r="Q54" s="91">
        <v>0</v>
      </c>
      <c r="R54" s="140" t="str">
        <v xml:space="preserve">10/02 - LM </v>
      </c>
      <c r="S54" s="92">
        <v>0</v>
      </c>
      <c r="T54" s="92">
        <v>0</v>
      </c>
      <c r="U54" s="137">
        <v>0</v>
      </c>
      <c r="V54" s="126" t="str">
        <f t="shared" si="0"/>
        <v>❌ Not on Best Plan</v>
      </c>
      <c r="W54" s="130" t="str">
        <f>IFERROR(_xlfn.XLOOKUP(TEXT(H54,"0000000000"),'📞 Call Tracker'!A$2:A$2000,'📞 Call Tracker'!B$2:B$2000,""),"")</f>
        <v>Joaquin</v>
      </c>
      <c r="X54" s="96">
        <f>IFERROR(_xlfn.XLOOKUP(TEXT(H54,"0000000000"),'📞 Call Tracker'!A$2:A$2000,'📞 Call Tracker'!C$2:C$2000,""),"")</f>
        <v>46011</v>
      </c>
      <c r="Y54" s="95" t="str">
        <f>IFERROR(_xlfn.XLOOKUP(TEXT(H54,"0000000000"),'📞 Call Tracker'!A$2:A$2000,'📞 Call Tracker'!D$2:D$2000,""),"")</f>
        <v>YES</v>
      </c>
      <c r="Z54" s="95">
        <f>IFERROR(_xlfn.XLOOKUP(TEXT(H54,"0000000000"),'📞 Call Tracker'!A$2:A$2000,'📞 Call Tracker'!E$2:E$2000,""),"")</f>
        <v>0</v>
      </c>
      <c r="AA54" s="145" t="str">
        <f>IFERROR(_xlfn.XLOOKUP(TEXT(H54,"0000000000"),'📞 Call Tracker'!A$2:A$2000,'📞 Call Tracker'!F$2:F$2000,""),"")</f>
        <v>ACT 0644019886</v>
      </c>
      <c r="AB54" s="132">
        <f t="shared" si="1"/>
        <v>99</v>
      </c>
      <c r="AC54" s="79"/>
    </row>
    <row r="55" spans="1:29" ht="20.100000000000001" customHeight="1">
      <c r="A55" s="91">
        <v>45902</v>
      </c>
      <c r="B55" s="92" t="str">
        <v>Lara</v>
      </c>
      <c r="C55" s="92" t="str">
        <v>Gerardo</v>
      </c>
      <c r="D55" s="92" t="str">
        <v>Glendale</v>
      </c>
      <c r="E55" s="92">
        <v>85306</v>
      </c>
      <c r="F55" s="137" t="str">
        <v>Form letter</v>
      </c>
      <c r="G55" s="93" t="str">
        <v>https://images.edocket.azcc.gov/docketpdf/E000046155.pdf</v>
      </c>
      <c r="H55" s="150" t="s">
        <v>350</v>
      </c>
      <c r="I55" s="114" t="str">
        <v>R-BASICL</v>
      </c>
      <c r="J55" s="94" t="str">
        <v>No</v>
      </c>
      <c r="K55" s="94" t="str">
        <v>No</v>
      </c>
      <c r="L55" s="137" t="str">
        <v>No MEP R3-47(249.30)</v>
      </c>
      <c r="M55" s="94" t="str">
        <v>Yes</v>
      </c>
      <c r="N55" s="134">
        <v>591.48</v>
      </c>
      <c r="O55" s="119" t="str">
        <v>Yes</v>
      </c>
      <c r="P55" s="92">
        <v>45932</v>
      </c>
      <c r="Q55" s="91">
        <v>45968</v>
      </c>
      <c r="R55" s="140" t="str">
        <v>10/02 - LM - COR initiated rate change to MEP on 10/23</v>
      </c>
      <c r="S55" s="92">
        <v>0</v>
      </c>
      <c r="T55" s="92">
        <v>0</v>
      </c>
      <c r="U55" s="137">
        <v>0</v>
      </c>
      <c r="V55" s="126" t="str">
        <f t="shared" si="0"/>
        <v>❌ Not on Best Plan</v>
      </c>
      <c r="W55" s="130" t="str">
        <f>IFERROR(_xlfn.XLOOKUP(TEXT(H55,"0000000000"),'📞 Call Tracker'!A$2:A$2000,'📞 Call Tracker'!B$2:B$2000,""),"")</f>
        <v>Joaquin</v>
      </c>
      <c r="X55" s="96">
        <f>IFERROR(_xlfn.XLOOKUP(TEXT(H55,"0000000000"),'📞 Call Tracker'!A$2:A$2000,'📞 Call Tracker'!C$2:C$2000,""),"")</f>
        <v>46011</v>
      </c>
      <c r="Y55" s="95" t="str">
        <f>IFERROR(_xlfn.XLOOKUP(TEXT(H55,"0000000000"),'📞 Call Tracker'!A$2:A$2000,'📞 Call Tracker'!D$2:D$2000,""),"")</f>
        <v>NO</v>
      </c>
      <c r="Z55" s="95" t="str">
        <f>IFERROR(_xlfn.XLOOKUP(TEXT(H55,"0000000000"),'📞 Call Tracker'!A$2:A$2000,'📞 Call Tracker'!E$2:E$2000,""),"")</f>
        <v>E3/E4</v>
      </c>
      <c r="AA55" s="145" t="str">
        <f>IFERROR(_xlfn.XLOOKUP(TEXT(H55,"0000000000"),'📞 Call Tracker'!A$2:A$2000,'📞 Call Tracker'!F$2:F$2000,""),"")</f>
        <v>SENT E3</v>
      </c>
      <c r="AB55" s="132">
        <f t="shared" si="1"/>
        <v>99</v>
      </c>
      <c r="AC55" s="79"/>
    </row>
    <row r="56" spans="1:29" ht="20.100000000000001" customHeight="1">
      <c r="A56" s="91">
        <v>45902</v>
      </c>
      <c r="B56" s="92" t="str">
        <v>Howell</v>
      </c>
      <c r="C56" s="92" t="str">
        <v>Chris</v>
      </c>
      <c r="D56" s="92" t="str">
        <v>Surprise</v>
      </c>
      <c r="E56" s="92">
        <v>85387</v>
      </c>
      <c r="F56" s="137" t="str">
        <v>Form letter</v>
      </c>
      <c r="G56" s="93" t="str">
        <v>https://images.edocket.azcc.gov/docketpdf/E000046155.pdf</v>
      </c>
      <c r="H56" s="150" t="s">
        <v>355</v>
      </c>
      <c r="I56" s="114" t="str">
        <v>RTOUE47</v>
      </c>
      <c r="J56" s="94" t="str">
        <v>No</v>
      </c>
      <c r="K56" s="94" t="str">
        <v>No</v>
      </c>
      <c r="L56" s="137" t="str">
        <v>No MEP R3-47($2.91)</v>
      </c>
      <c r="M56" s="94" t="str">
        <v>No</v>
      </c>
      <c r="N56" s="134" t="str">
        <v>No</v>
      </c>
      <c r="O56" s="119" t="str">
        <v>Yes</v>
      </c>
      <c r="P56" s="92" t="str">
        <v>N</v>
      </c>
      <c r="Q56" s="91">
        <v>45968</v>
      </c>
      <c r="R56" s="140">
        <v>0</v>
      </c>
      <c r="S56" s="92">
        <v>0</v>
      </c>
      <c r="T56" s="92">
        <v>0</v>
      </c>
      <c r="U56" s="137">
        <v>0</v>
      </c>
      <c r="V56" s="126" t="str">
        <f t="shared" si="0"/>
        <v>❌ Not on Best Plan</v>
      </c>
      <c r="W56" s="130" t="str">
        <f>IFERROR(_xlfn.XLOOKUP(TEXT(H56,"0000000000"),'📞 Call Tracker'!A$2:A$2000,'📞 Call Tracker'!B$2:B$2000,""),"")</f>
        <v>Michelle</v>
      </c>
      <c r="X56" s="96">
        <f>IFERROR(_xlfn.XLOOKUP(TEXT(H56,"0000000000"),'📞 Call Tracker'!A$2:A$2000,'📞 Call Tracker'!C$2:C$2000,""),"")</f>
        <v>46032</v>
      </c>
      <c r="Y56" s="95" t="str">
        <f>IFERROR(_xlfn.XLOOKUP(TEXT(H56,"0000000000"),'📞 Call Tracker'!A$2:A$2000,'📞 Call Tracker'!D$2:D$2000,""),"")</f>
        <v>NO</v>
      </c>
      <c r="Z56" s="95" t="str">
        <f>IFERROR(_xlfn.XLOOKUP(TEXT(H56,"0000000000"),'📞 Call Tracker'!A$2:A$2000,'📞 Call Tracker'!E$2:E$2000,""),"")</f>
        <v>Other (fill in)</v>
      </c>
      <c r="AA56" s="145" t="str">
        <f>IFERROR(_xlfn.XLOOKUP(TEXT(H56,"0000000000"),'📞 Call Tracker'!A$2:A$2000,'📞 Call Tracker'!F$2:F$2000,""),"")</f>
        <v>SOLAR ACCT</v>
      </c>
      <c r="AB56" s="132">
        <f t="shared" si="1"/>
        <v>99</v>
      </c>
      <c r="AC56" s="79"/>
    </row>
    <row r="57" spans="1:29" ht="20.100000000000001" customHeight="1">
      <c r="A57" s="91">
        <v>45902</v>
      </c>
      <c r="B57" s="92" t="str">
        <v>Torres</v>
      </c>
      <c r="C57" s="92" t="str">
        <v>Kyle</v>
      </c>
      <c r="D57" s="92" t="str">
        <v>Phoenix</v>
      </c>
      <c r="E57" s="92">
        <v>85020</v>
      </c>
      <c r="F57" s="137" t="str">
        <v>Form letter</v>
      </c>
      <c r="G57" s="93" t="str">
        <v>https://images.edocket.azcc.gov/docketpdf/E000046155.pdf</v>
      </c>
      <c r="H57" s="150" t="s">
        <v>359</v>
      </c>
      <c r="I57" s="114" t="str">
        <v>R-BASIC</v>
      </c>
      <c r="J57" s="94" t="str">
        <v>No</v>
      </c>
      <c r="K57" s="94" t="str">
        <v>No</v>
      </c>
      <c r="L57" s="137" t="str">
        <v>No MEP R3-47($18.99)</v>
      </c>
      <c r="M57" s="94" t="str">
        <v>No</v>
      </c>
      <c r="N57" s="134" t="str">
        <v>No</v>
      </c>
      <c r="O57" s="119" t="str">
        <v>Yes</v>
      </c>
      <c r="P57" s="92" t="str">
        <v>N</v>
      </c>
      <c r="Q57" s="91">
        <v>45968</v>
      </c>
      <c r="R57" s="140">
        <v>0</v>
      </c>
      <c r="S57" s="92">
        <v>0</v>
      </c>
      <c r="T57" s="92">
        <v>0</v>
      </c>
      <c r="U57" s="137">
        <v>0</v>
      </c>
      <c r="V57" s="126" t="str">
        <f t="shared" si="0"/>
        <v>❌ Not on Best Plan</v>
      </c>
      <c r="W57" s="130" t="str">
        <f>IFERROR(_xlfn.XLOOKUP(TEXT(H57,"0000000000"),'📞 Call Tracker'!A$2:A$2000,'📞 Call Tracker'!B$2:B$2000,""),"")</f>
        <v>Joaquin</v>
      </c>
      <c r="X57" s="96">
        <f>IFERROR(_xlfn.XLOOKUP(TEXT(H57,"0000000000"),'📞 Call Tracker'!A$2:A$2000,'📞 Call Tracker'!C$2:C$2000,""),"")</f>
        <v>46011</v>
      </c>
      <c r="Y57" s="95" t="str">
        <f>IFERROR(_xlfn.XLOOKUP(TEXT(H57,"0000000000"),'📞 Call Tracker'!A$2:A$2000,'📞 Call Tracker'!D$2:D$2000,""),"")</f>
        <v>YES</v>
      </c>
      <c r="Z57" s="95">
        <f>IFERROR(_xlfn.XLOOKUP(TEXT(H57,"0000000000"),'📞 Call Tracker'!A$2:A$2000,'📞 Call Tracker'!E$2:E$2000,""),"")</f>
        <v>0</v>
      </c>
      <c r="AA57" s="145">
        <f>IFERROR(_xlfn.XLOOKUP(TEXT(H57,"0000000000"),'📞 Call Tracker'!A$2:A$2000,'📞 Call Tracker'!F$2:F$2000,""),"")</f>
        <v>0</v>
      </c>
      <c r="AB57" s="132">
        <f t="shared" si="1"/>
        <v>99</v>
      </c>
      <c r="AC57" s="79"/>
    </row>
    <row r="58" spans="1:29" ht="20.100000000000001" customHeight="1">
      <c r="A58" s="91">
        <v>45902</v>
      </c>
      <c r="B58" s="92" t="str">
        <v>Tighe</v>
      </c>
      <c r="C58" s="92" t="str">
        <v>Paul</v>
      </c>
      <c r="D58" s="92" t="str">
        <v>Litchfield Park</v>
      </c>
      <c r="E58" s="92">
        <v>85340</v>
      </c>
      <c r="F58" s="137" t="str">
        <v>Opposed</v>
      </c>
      <c r="G58" s="93" t="str">
        <v>https://images.edocket.azcc.gov/docketpdf/E000046155.pdf</v>
      </c>
      <c r="H58" s="150" t="s">
        <v>363</v>
      </c>
      <c r="I58" s="114" t="str">
        <v>R3-47</v>
      </c>
      <c r="J58" s="94" t="str">
        <v>No</v>
      </c>
      <c r="K58" s="94" t="str">
        <v>No</v>
      </c>
      <c r="L58" s="137" t="str">
        <v>Yes</v>
      </c>
      <c r="M58" s="94" t="str">
        <v>No</v>
      </c>
      <c r="N58" s="134" t="str">
        <v>No</v>
      </c>
      <c r="O58" s="119" t="str">
        <v>Yes</v>
      </c>
      <c r="P58" s="92" t="str">
        <v>N</v>
      </c>
      <c r="Q58" s="91">
        <v>45968</v>
      </c>
      <c r="R58" s="140">
        <v>0</v>
      </c>
      <c r="S58" s="92">
        <v>0</v>
      </c>
      <c r="T58" s="92">
        <v>0</v>
      </c>
      <c r="U58" s="137">
        <v>0</v>
      </c>
      <c r="V58" s="126" t="str">
        <f t="shared" si="0"/>
        <v>✅ On Best Plan</v>
      </c>
      <c r="W58" s="130">
        <f>IFERROR(_xlfn.XLOOKUP(TEXT(H58,"0000000000"),'📞 Call Tracker'!A$2:A$2000,'📞 Call Tracker'!B$2:B$2000,""),"")</f>
        <v>0</v>
      </c>
      <c r="X58" s="96">
        <f>IFERROR(_xlfn.XLOOKUP(TEXT(H58,"0000000000"),'📞 Call Tracker'!A$2:A$2000,'📞 Call Tracker'!C$2:C$2000,""),"")</f>
        <v>0</v>
      </c>
      <c r="Y58" s="95">
        <f>IFERROR(_xlfn.XLOOKUP(TEXT(H58,"0000000000"),'📞 Call Tracker'!A$2:A$2000,'📞 Call Tracker'!D$2:D$2000,""),"")</f>
        <v>0</v>
      </c>
      <c r="Z58" s="95">
        <f>IFERROR(_xlfn.XLOOKUP(TEXT(H58,"0000000000"),'📞 Call Tracker'!A$2:A$2000,'📞 Call Tracker'!E$2:E$2000,""),"")</f>
        <v>0</v>
      </c>
      <c r="AA58" s="145">
        <f>IFERROR(_xlfn.XLOOKUP(TEXT(H58,"0000000000"),'📞 Call Tracker'!A$2:A$2000,'📞 Call Tracker'!F$2:F$2000,""),"")</f>
        <v>0</v>
      </c>
      <c r="AB58" s="132">
        <f t="shared" si="1"/>
        <v>99</v>
      </c>
      <c r="AC58" s="79"/>
    </row>
    <row r="59" spans="1:29" ht="20.100000000000001" customHeight="1">
      <c r="A59" s="91">
        <v>45902</v>
      </c>
      <c r="B59" s="92" t="str">
        <v>Ward</v>
      </c>
      <c r="C59" s="92" t="str">
        <v>Karen</v>
      </c>
      <c r="D59" s="92" t="str">
        <v>Surprise</v>
      </c>
      <c r="E59" s="92">
        <v>85387</v>
      </c>
      <c r="F59" s="137" t="str">
        <v>Opposed</v>
      </c>
      <c r="G59" s="93" t="str">
        <v>https://images.edocket.azcc.gov/docketpdf/E000046155.pdf</v>
      </c>
      <c r="H59" s="150" t="s">
        <v>365</v>
      </c>
      <c r="I59" s="114" t="str">
        <v xml:space="preserve">R-XS </v>
      </c>
      <c r="J59" s="94" t="str">
        <v>Yes</v>
      </c>
      <c r="K59" s="94" t="str">
        <v>No</v>
      </c>
      <c r="L59" s="137" t="str">
        <v>Yes</v>
      </c>
      <c r="M59" s="94" t="str">
        <v>No</v>
      </c>
      <c r="N59" s="134" t="str">
        <v>No</v>
      </c>
      <c r="O59" s="119" t="str">
        <v>Yes</v>
      </c>
      <c r="P59" s="92" t="str">
        <v>N</v>
      </c>
      <c r="Q59" s="91">
        <v>45968</v>
      </c>
      <c r="R59" s="140">
        <v>0</v>
      </c>
      <c r="S59" s="92">
        <v>0</v>
      </c>
      <c r="T59" s="92">
        <v>0</v>
      </c>
      <c r="U59" s="137">
        <v>0</v>
      </c>
      <c r="V59" s="126" t="str">
        <f t="shared" si="0"/>
        <v>✅ On Best Plan</v>
      </c>
      <c r="W59" s="130" t="str">
        <f>IFERROR(_xlfn.XLOOKUP(TEXT(H59,"0000000000"),'📞 Call Tracker'!A$2:A$2000,'📞 Call Tracker'!B$2:B$2000,""),"")</f>
        <v>Michelle</v>
      </c>
      <c r="X59" s="96">
        <f>IFERROR(_xlfn.XLOOKUP(TEXT(H59,"0000000000"),'📞 Call Tracker'!A$2:A$2000,'📞 Call Tracker'!C$2:C$2000,""),"")</f>
        <v>46067</v>
      </c>
      <c r="Y59" s="95" t="str">
        <f>IFERROR(_xlfn.XLOOKUP(TEXT(H59,"0000000000"),'📞 Call Tracker'!A$2:A$2000,'📞 Call Tracker'!D$2:D$2000,""),"")</f>
        <v>YES</v>
      </c>
      <c r="Z59" s="95">
        <f>IFERROR(_xlfn.XLOOKUP(TEXT(H59,"0000000000"),'📞 Call Tracker'!A$2:A$2000,'📞 Call Tracker'!E$2:E$2000,""),"")</f>
        <v>0</v>
      </c>
      <c r="AA59" s="145">
        <f>IFERROR(_xlfn.XLOOKUP(TEXT(H59,"0000000000"),'📞 Call Tracker'!A$2:A$2000,'📞 Call Tracker'!F$2:F$2000,""),"")</f>
        <v>0</v>
      </c>
      <c r="AB59" s="132">
        <f t="shared" si="1"/>
        <v>99</v>
      </c>
      <c r="AC59" s="79"/>
    </row>
    <row r="60" spans="1:29" ht="20.100000000000001" customHeight="1">
      <c r="A60" s="91">
        <v>45902</v>
      </c>
      <c r="B60" s="92" t="str">
        <v>Nash</v>
      </c>
      <c r="C60" s="92" t="str">
        <v>Destiny</v>
      </c>
      <c r="D60" s="92" t="str">
        <v>Chandler</v>
      </c>
      <c r="E60" s="92">
        <v>85225</v>
      </c>
      <c r="F60" s="137" t="str">
        <v>Opposed</v>
      </c>
      <c r="G60" s="93" t="str">
        <v>https://images.edocket.azcc.gov/docketpdf/E000046155.pdf</v>
      </c>
      <c r="H60" s="150" t="s">
        <v>370</v>
      </c>
      <c r="I60" s="114" t="str">
        <v>R3-47</v>
      </c>
      <c r="J60" s="94" t="str">
        <v>No</v>
      </c>
      <c r="K60" s="94" t="str">
        <v>No</v>
      </c>
      <c r="L60" s="137" t="str">
        <v>Yes</v>
      </c>
      <c r="M60" s="94" t="str">
        <v>No</v>
      </c>
      <c r="N60" s="134" t="str">
        <v>No</v>
      </c>
      <c r="O60" s="119" t="str">
        <v>Yes</v>
      </c>
      <c r="P60" s="92" t="str">
        <v>N</v>
      </c>
      <c r="Q60" s="91">
        <v>45968</v>
      </c>
      <c r="R60" s="140">
        <v>0</v>
      </c>
      <c r="S60" s="92">
        <v>0</v>
      </c>
      <c r="T60" s="92">
        <v>0</v>
      </c>
      <c r="U60" s="137">
        <v>0</v>
      </c>
      <c r="V60" s="126" t="str">
        <f t="shared" si="0"/>
        <v>✅ On Best Plan</v>
      </c>
      <c r="W60" s="130">
        <f>IFERROR(_xlfn.XLOOKUP(TEXT(H60,"0000000000"),'📞 Call Tracker'!A$2:A$2000,'📞 Call Tracker'!B$2:B$2000,""),"")</f>
        <v>0</v>
      </c>
      <c r="X60" s="96">
        <f>IFERROR(_xlfn.XLOOKUP(TEXT(H60,"0000000000"),'📞 Call Tracker'!A$2:A$2000,'📞 Call Tracker'!C$2:C$2000,""),"")</f>
        <v>0</v>
      </c>
      <c r="Y60" s="95">
        <f>IFERROR(_xlfn.XLOOKUP(TEXT(H60,"0000000000"),'📞 Call Tracker'!A$2:A$2000,'📞 Call Tracker'!D$2:D$2000,""),"")</f>
        <v>0</v>
      </c>
      <c r="Z60" s="95">
        <f>IFERROR(_xlfn.XLOOKUP(TEXT(H60,"0000000000"),'📞 Call Tracker'!A$2:A$2000,'📞 Call Tracker'!E$2:E$2000,""),"")</f>
        <v>0</v>
      </c>
      <c r="AA60" s="145">
        <f>IFERROR(_xlfn.XLOOKUP(TEXT(H60,"0000000000"),'📞 Call Tracker'!A$2:A$2000,'📞 Call Tracker'!F$2:F$2000,""),"")</f>
        <v>0</v>
      </c>
      <c r="AB60" s="132">
        <f t="shared" si="1"/>
        <v>99</v>
      </c>
      <c r="AC60" s="79"/>
    </row>
    <row r="61" spans="1:29" ht="20.100000000000001" customHeight="1">
      <c r="A61" s="91">
        <v>45902</v>
      </c>
      <c r="B61" s="92" t="str">
        <v>Wilkymacky</v>
      </c>
      <c r="C61" s="92" t="str">
        <v>Abby</v>
      </c>
      <c r="D61" s="92" t="str">
        <v>Phoenix</v>
      </c>
      <c r="E61" s="92">
        <v>85006</v>
      </c>
      <c r="F61" s="137" t="str">
        <v>Opposed</v>
      </c>
      <c r="G61" s="93" t="str">
        <v>https://images.edocket.azcc.gov/docketpdf/E000046155.pdf</v>
      </c>
      <c r="H61" s="150" t="s">
        <v>373</v>
      </c>
      <c r="I61" s="114" t="str">
        <v>RTOUE47</v>
      </c>
      <c r="J61" s="94" t="str">
        <v>No</v>
      </c>
      <c r="K61" s="94" t="str">
        <v>No</v>
      </c>
      <c r="L61" s="137" t="str">
        <v>Yes</v>
      </c>
      <c r="M61" s="94" t="str">
        <v>No</v>
      </c>
      <c r="N61" s="134" t="str">
        <v>No</v>
      </c>
      <c r="O61" s="119" t="str">
        <v>Yes</v>
      </c>
      <c r="P61" s="92" t="str">
        <v>N</v>
      </c>
      <c r="Q61" s="91">
        <v>45968</v>
      </c>
      <c r="R61" s="140">
        <v>0</v>
      </c>
      <c r="S61" s="92">
        <v>0</v>
      </c>
      <c r="T61" s="92">
        <v>0</v>
      </c>
      <c r="U61" s="137">
        <v>0</v>
      </c>
      <c r="V61" s="126" t="str">
        <f t="shared" si="0"/>
        <v>✅ On Best Plan</v>
      </c>
      <c r="W61" s="130" t="str">
        <f>IFERROR(_xlfn.XLOOKUP(TEXT(H61,"0000000000"),'📞 Call Tracker'!A$2:A$2000,'📞 Call Tracker'!B$2:B$2000,""),"")</f>
        <v>Michelle</v>
      </c>
      <c r="X61" s="96">
        <f>IFERROR(_xlfn.XLOOKUP(TEXT(H61,"0000000000"),'📞 Call Tracker'!A$2:A$2000,'📞 Call Tracker'!C$2:C$2000,""),"")</f>
        <v>46067</v>
      </c>
      <c r="Y61" s="95" t="str">
        <f>IFERROR(_xlfn.XLOOKUP(TEXT(H61,"0000000000"),'📞 Call Tracker'!A$2:A$2000,'📞 Call Tracker'!D$2:D$2000,""),"")</f>
        <v>YES</v>
      </c>
      <c r="Z61" s="95">
        <f>IFERROR(_xlfn.XLOOKUP(TEXT(H61,"0000000000"),'📞 Call Tracker'!A$2:A$2000,'📞 Call Tracker'!E$2:E$2000,""),"")</f>
        <v>0</v>
      </c>
      <c r="AA61" s="145">
        <f>IFERROR(_xlfn.XLOOKUP(TEXT(H61,"0000000000"),'📞 Call Tracker'!A$2:A$2000,'📞 Call Tracker'!F$2:F$2000,""),"")</f>
        <v>0</v>
      </c>
      <c r="AB61" s="132">
        <f t="shared" si="1"/>
        <v>99</v>
      </c>
      <c r="AC61" s="79"/>
    </row>
    <row r="62" spans="1:29" ht="20.100000000000001" customHeight="1">
      <c r="A62" s="91">
        <v>45902</v>
      </c>
      <c r="B62" s="92" t="str">
        <v>Melendez</v>
      </c>
      <c r="C62" s="92" t="str">
        <v>Jose</v>
      </c>
      <c r="D62" s="92" t="str">
        <v>Surprise</v>
      </c>
      <c r="E62" s="92">
        <v>85388</v>
      </c>
      <c r="F62" s="137" t="str">
        <v>Opposed</v>
      </c>
      <c r="G62" s="93" t="str">
        <v>https://images.edocket.azcc.gov/docketpdf/E000046155.pdf</v>
      </c>
      <c r="H62" s="150" t="s">
        <v>376</v>
      </c>
      <c r="I62" s="114" t="str">
        <v>RTOUE47</v>
      </c>
      <c r="J62" s="94" t="str">
        <v>No</v>
      </c>
      <c r="K62" s="94" t="str">
        <v>No</v>
      </c>
      <c r="L62" s="137" t="str">
        <v>No MEP R3-47 ($128.91)</v>
      </c>
      <c r="M62" s="94" t="str">
        <v>No</v>
      </c>
      <c r="N62" s="134" t="str">
        <v>No</v>
      </c>
      <c r="O62" s="119" t="str">
        <v>Yes</v>
      </c>
      <c r="P62" s="92">
        <v>45932</v>
      </c>
      <c r="Q62" s="91">
        <v>45968</v>
      </c>
      <c r="R62" s="140" t="str">
        <v xml:space="preserve">10/02 - LM </v>
      </c>
      <c r="S62" s="92">
        <v>0</v>
      </c>
      <c r="T62" s="92">
        <v>0</v>
      </c>
      <c r="U62" s="137">
        <v>0</v>
      </c>
      <c r="V62" s="126" t="str">
        <f t="shared" si="0"/>
        <v>❌ Not on Best Plan</v>
      </c>
      <c r="W62" s="130" t="str">
        <f>IFERROR(_xlfn.XLOOKUP(TEXT(H62,"0000000000"),'📞 Call Tracker'!A$2:A$2000,'📞 Call Tracker'!B$2:B$2000,""),"")</f>
        <v>Joaquin</v>
      </c>
      <c r="X62" s="96">
        <f>IFERROR(_xlfn.XLOOKUP(TEXT(H62,"0000000000"),'📞 Call Tracker'!A$2:A$2000,'📞 Call Tracker'!C$2:C$2000,""),"")</f>
        <v>46011</v>
      </c>
      <c r="Y62" s="95" t="str">
        <f>IFERROR(_xlfn.XLOOKUP(TEXT(H62,"0000000000"),'📞 Call Tracker'!A$2:A$2000,'📞 Call Tracker'!D$2:D$2000,""),"")</f>
        <v>YES</v>
      </c>
      <c r="Z62" s="95">
        <f>IFERROR(_xlfn.XLOOKUP(TEXT(H62,"0000000000"),'📞 Call Tracker'!A$2:A$2000,'📞 Call Tracker'!E$2:E$2000,""),"")</f>
        <v>0</v>
      </c>
      <c r="AA62" s="145" t="str">
        <f>IFERROR(_xlfn.XLOOKUP(TEXT(H62,"0000000000"),'📞 Call Tracker'!A$2:A$2000,'📞 Call Tracker'!F$2:F$2000,""),"")</f>
        <v>VOICE MESSAGE</v>
      </c>
      <c r="AB62" s="132">
        <f t="shared" si="1"/>
        <v>99</v>
      </c>
      <c r="AC62" s="79"/>
    </row>
    <row r="63" spans="1:29" ht="20.100000000000001" customHeight="1">
      <c r="A63" s="91">
        <v>45902</v>
      </c>
      <c r="B63" s="92" t="str">
        <v>Crosbie</v>
      </c>
      <c r="C63" s="92" t="str">
        <v>David</v>
      </c>
      <c r="D63" s="92" t="str">
        <v>Goodyear</v>
      </c>
      <c r="E63" s="92">
        <v>85338</v>
      </c>
      <c r="F63" s="137" t="str">
        <v>Opposed</v>
      </c>
      <c r="G63" s="93" t="str">
        <v>https://images.edocket.azcc.gov/docketpdf/E000046155.pdf</v>
      </c>
      <c r="H63" s="150" t="s">
        <v>379</v>
      </c>
      <c r="I63" s="114" t="str">
        <v>RTOUE47</v>
      </c>
      <c r="J63" s="94" t="str">
        <v>No</v>
      </c>
      <c r="K63" s="94" t="str">
        <v>No</v>
      </c>
      <c r="L63" s="137" t="str">
        <v>Yes</v>
      </c>
      <c r="M63" s="94" t="str">
        <v>No</v>
      </c>
      <c r="N63" s="134" t="str">
        <v>No</v>
      </c>
      <c r="O63" s="119" t="str">
        <v>Yes</v>
      </c>
      <c r="P63" s="92" t="str">
        <v>N</v>
      </c>
      <c r="Q63" s="91">
        <v>45968</v>
      </c>
      <c r="R63" s="140">
        <v>0</v>
      </c>
      <c r="S63" s="92">
        <v>0</v>
      </c>
      <c r="T63" s="92">
        <v>0</v>
      </c>
      <c r="U63" s="137">
        <v>0</v>
      </c>
      <c r="V63" s="126" t="str">
        <f t="shared" si="0"/>
        <v>✅ On Best Plan</v>
      </c>
      <c r="W63" s="130" t="str">
        <f>IFERROR(_xlfn.XLOOKUP(TEXT(H63,"0000000000"),'📞 Call Tracker'!A$2:A$2000,'📞 Call Tracker'!B$2:B$2000,""),"")</f>
        <v>Michelle</v>
      </c>
      <c r="X63" s="96">
        <f>IFERROR(_xlfn.XLOOKUP(TEXT(H63,"0000000000"),'📞 Call Tracker'!A$2:A$2000,'📞 Call Tracker'!C$2:C$2000,""),"")</f>
        <v>46067</v>
      </c>
      <c r="Y63" s="95" t="str">
        <f>IFERROR(_xlfn.XLOOKUP(TEXT(H63,"0000000000"),'📞 Call Tracker'!A$2:A$2000,'📞 Call Tracker'!D$2:D$2000,""),"")</f>
        <v>YES</v>
      </c>
      <c r="Z63" s="95">
        <f>IFERROR(_xlfn.XLOOKUP(TEXT(H63,"0000000000"),'📞 Call Tracker'!A$2:A$2000,'📞 Call Tracker'!E$2:E$2000,""),"")</f>
        <v>0</v>
      </c>
      <c r="AA63" s="145" t="str">
        <f>IFERROR(_xlfn.XLOOKUP(TEXT(H63,"0000000000"),'📞 Call Tracker'!A$2:A$2000,'📞 Call Tracker'!F$2:F$2000,""),"")</f>
        <v>SOLAR ACCT</v>
      </c>
      <c r="AB63" s="132">
        <f t="shared" si="1"/>
        <v>99</v>
      </c>
      <c r="AC63" s="79"/>
    </row>
    <row r="64" spans="1:29" ht="20.100000000000001" customHeight="1">
      <c r="A64" s="91">
        <v>45902</v>
      </c>
      <c r="B64" s="92" t="str">
        <v>Tolinos</v>
      </c>
      <c r="C64" s="92" t="str">
        <v>Jacinta</v>
      </c>
      <c r="D64" s="92" t="str">
        <v>Phoenix</v>
      </c>
      <c r="E64" s="92">
        <v>85023</v>
      </c>
      <c r="F64" s="137" t="str">
        <v>Opposed</v>
      </c>
      <c r="G64" s="93" t="str">
        <v>https://images.edocket.azcc.gov/docketpdf/E000046155.pdf</v>
      </c>
      <c r="H64" s="150" t="s">
        <v>6536</v>
      </c>
      <c r="I64" s="114" t="str">
        <v>R-BASIC</v>
      </c>
      <c r="J64" s="94" t="str">
        <v>No</v>
      </c>
      <c r="K64" s="94" t="str">
        <v>No</v>
      </c>
      <c r="L64" s="137" t="str">
        <v>Yes</v>
      </c>
      <c r="M64" s="94" t="str">
        <v>No</v>
      </c>
      <c r="N64" s="134" t="str">
        <v>No</v>
      </c>
      <c r="O64" s="119" t="str">
        <v>Yes</v>
      </c>
      <c r="P64" s="92" t="str">
        <v>N</v>
      </c>
      <c r="Q64" s="91">
        <v>45968</v>
      </c>
      <c r="R64" s="140">
        <v>0</v>
      </c>
      <c r="S64" s="92">
        <v>0</v>
      </c>
      <c r="T64" s="92">
        <v>0</v>
      </c>
      <c r="U64" s="137">
        <v>0</v>
      </c>
      <c r="V64" s="126" t="str">
        <f t="shared" si="0"/>
        <v>✅ On Best Plan</v>
      </c>
      <c r="W64" s="130" t="str">
        <f>IFERROR(_xlfn.XLOOKUP(TEXT(H64,"0000000000"),'📞 Call Tracker'!A$2:A$2000,'📞 Call Tracker'!B$2:B$2000,""),"")</f>
        <v>Michelle</v>
      </c>
      <c r="X64" s="96">
        <f>IFERROR(_xlfn.XLOOKUP(TEXT(H64,"0000000000"),'📞 Call Tracker'!A$2:A$2000,'📞 Call Tracker'!C$2:C$2000,""),"")</f>
        <v>45997</v>
      </c>
      <c r="Y64" s="95" t="str">
        <f>IFERROR(_xlfn.XLOOKUP(TEXT(H64,"0000000000"),'📞 Call Tracker'!A$2:A$2000,'📞 Call Tracker'!D$2:D$2000,""),"")</f>
        <v>YES</v>
      </c>
      <c r="Z64" s="95">
        <f>IFERROR(_xlfn.XLOOKUP(TEXT(H64,"0000000000"),'📞 Call Tracker'!A$2:A$2000,'📞 Call Tracker'!E$2:E$2000,""),"")</f>
        <v>0</v>
      </c>
      <c r="AA64" s="145">
        <f>IFERROR(_xlfn.XLOOKUP(TEXT(H64,"0000000000"),'📞 Call Tracker'!A$2:A$2000,'📞 Call Tracker'!F$2:F$2000,""),"")</f>
        <v>0</v>
      </c>
      <c r="AB64" s="132">
        <f t="shared" si="1"/>
        <v>99</v>
      </c>
      <c r="AC64" s="79"/>
    </row>
    <row r="65" spans="1:29" ht="20.100000000000001" customHeight="1">
      <c r="A65" s="91">
        <v>45902</v>
      </c>
      <c r="B65" s="92" t="str">
        <v>Findley</v>
      </c>
      <c r="C65" s="92" t="str">
        <v>Moses</v>
      </c>
      <c r="D65" s="92" t="str">
        <v>Goodyear</v>
      </c>
      <c r="E65" s="92">
        <v>85338</v>
      </c>
      <c r="F65" s="137" t="str">
        <v>Opposed</v>
      </c>
      <c r="G65" s="93" t="str">
        <v>https://images.edocket.azcc.gov/docketpdf/E000046155.pdf</v>
      </c>
      <c r="H65" s="150" t="s">
        <v>386</v>
      </c>
      <c r="I65" s="114" t="str">
        <v>EPR-6w/E-12</v>
      </c>
      <c r="J65" s="94" t="str">
        <v>Yes</v>
      </c>
      <c r="K65" s="94" t="str">
        <v>No</v>
      </c>
      <c r="L65" s="137" t="str">
        <v>Frozen Rate</v>
      </c>
      <c r="M65" s="94" t="str">
        <v>Yes</v>
      </c>
      <c r="N65" s="134">
        <v>326.87</v>
      </c>
      <c r="O65" s="119" t="str">
        <v>Yes</v>
      </c>
      <c r="P65" s="92" t="str">
        <v>N</v>
      </c>
      <c r="Q65" s="91">
        <v>45968</v>
      </c>
      <c r="R65" s="140" t="str">
        <v>COR has spoken to CX several times in the last few weeks and been advised of assitance options and extended PA</v>
      </c>
      <c r="S65" s="92">
        <v>0</v>
      </c>
      <c r="T65" s="92">
        <v>0</v>
      </c>
      <c r="U65" s="137">
        <v>0</v>
      </c>
      <c r="V65" s="126" t="str">
        <f t="shared" si="0"/>
        <v>❄ Frozen Rate</v>
      </c>
      <c r="W65" s="130" t="str">
        <f>IFERROR(_xlfn.XLOOKUP(TEXT(H65,"0000000000"),'📞 Call Tracker'!A$2:A$2000,'📞 Call Tracker'!B$2:B$2000,""),"")</f>
        <v>Michelle</v>
      </c>
      <c r="X65" s="96">
        <f>IFERROR(_xlfn.XLOOKUP(TEXT(H65,"0000000000"),'📞 Call Tracker'!A$2:A$2000,'📞 Call Tracker'!C$2:C$2000,""),"")</f>
        <v>46032</v>
      </c>
      <c r="Y65" s="95" t="str">
        <f>IFERROR(_xlfn.XLOOKUP(TEXT(H65,"0000000000"),'📞 Call Tracker'!A$2:A$2000,'📞 Call Tracker'!D$2:D$2000,""),"")</f>
        <v>YES</v>
      </c>
      <c r="Z65" s="95">
        <f>IFERROR(_xlfn.XLOOKUP(TEXT(H65,"0000000000"),'📞 Call Tracker'!A$2:A$2000,'📞 Call Tracker'!E$2:E$2000,""),"")</f>
        <v>0</v>
      </c>
      <c r="AA65" s="145" t="str">
        <f>IFERROR(_xlfn.XLOOKUP(TEXT(H65,"0000000000"),'📞 Call Tracker'!A$2:A$2000,'📞 Call Tracker'!F$2:F$2000,""),"")</f>
        <v>SOLAR ACCT</v>
      </c>
      <c r="AB65" s="132">
        <f t="shared" si="1"/>
        <v>99</v>
      </c>
      <c r="AC65" s="79"/>
    </row>
    <row r="66" spans="1:29" ht="20.100000000000001" customHeight="1">
      <c r="A66" s="91">
        <v>45902</v>
      </c>
      <c r="B66" s="92" t="str">
        <v>Schmidt</v>
      </c>
      <c r="C66" s="92" t="str">
        <v>Bryan</v>
      </c>
      <c r="D66" s="92" t="str">
        <v>Goodyear</v>
      </c>
      <c r="E66" s="92">
        <v>85338</v>
      </c>
      <c r="F66" s="137" t="str">
        <v>Opposed</v>
      </c>
      <c r="G66" s="93" t="str">
        <v>https://images.edocket.azcc.gov/docketpdf/E000046155.pdf</v>
      </c>
      <c r="H66" s="150" t="s">
        <v>391</v>
      </c>
      <c r="I66" s="114" t="str">
        <v>R3-47</v>
      </c>
      <c r="J66" s="94" t="str">
        <v>No</v>
      </c>
      <c r="K66" s="94" t="str">
        <v>No</v>
      </c>
      <c r="L66" s="137" t="str">
        <v>Yes</v>
      </c>
      <c r="M66" s="94" t="str">
        <v>No</v>
      </c>
      <c r="N66" s="134" t="str">
        <v>No</v>
      </c>
      <c r="O66" s="119" t="str">
        <v>Yes</v>
      </c>
      <c r="P66" s="92" t="str">
        <v>N</v>
      </c>
      <c r="Q66" s="91">
        <v>45968</v>
      </c>
      <c r="R66" s="140">
        <v>0</v>
      </c>
      <c r="S66" s="92">
        <v>0</v>
      </c>
      <c r="T66" s="92">
        <v>0</v>
      </c>
      <c r="U66" s="137">
        <v>0</v>
      </c>
      <c r="V66" s="126" t="str">
        <f t="shared" si="0"/>
        <v>✅ On Best Plan</v>
      </c>
      <c r="W66" s="130">
        <f>IFERROR(_xlfn.XLOOKUP(TEXT(H66,"0000000000"),'📞 Call Tracker'!A$2:A$2000,'📞 Call Tracker'!B$2:B$2000,""),"")</f>
        <v>0</v>
      </c>
      <c r="X66" s="96">
        <f>IFERROR(_xlfn.XLOOKUP(TEXT(H66,"0000000000"),'📞 Call Tracker'!A$2:A$2000,'📞 Call Tracker'!C$2:C$2000,""),"")</f>
        <v>0</v>
      </c>
      <c r="Y66" s="95">
        <f>IFERROR(_xlfn.XLOOKUP(TEXT(H66,"0000000000"),'📞 Call Tracker'!A$2:A$2000,'📞 Call Tracker'!D$2:D$2000,""),"")</f>
        <v>0</v>
      </c>
      <c r="Z66" s="95">
        <f>IFERROR(_xlfn.XLOOKUP(TEXT(H66,"0000000000"),'📞 Call Tracker'!A$2:A$2000,'📞 Call Tracker'!E$2:E$2000,""),"")</f>
        <v>0</v>
      </c>
      <c r="AA66" s="145">
        <f>IFERROR(_xlfn.XLOOKUP(TEXT(H66,"0000000000"),'📞 Call Tracker'!A$2:A$2000,'📞 Call Tracker'!F$2:F$2000,""),"")</f>
        <v>0</v>
      </c>
      <c r="AB66" s="132">
        <f t="shared" si="1"/>
        <v>99</v>
      </c>
      <c r="AC66" s="79"/>
    </row>
    <row r="67" spans="1:29" ht="20.100000000000001" customHeight="1">
      <c r="A67" s="91">
        <v>45902</v>
      </c>
      <c r="B67" s="92" t="str">
        <v>Bernardi</v>
      </c>
      <c r="C67" s="92" t="str">
        <v>Patrick</v>
      </c>
      <c r="D67" s="92" t="str">
        <v xml:space="preserve">Prescott  </v>
      </c>
      <c r="E67" s="92">
        <v>85303</v>
      </c>
      <c r="F67" s="137" t="str">
        <v>Opposed</v>
      </c>
      <c r="G67" s="93" t="str">
        <v>https://images.edocket.azcc.gov/docketpdf/E000046155.pdf</v>
      </c>
      <c r="H67" s="150" t="s">
        <v>395</v>
      </c>
      <c r="I67" s="114" t="str">
        <v>R-BASIC</v>
      </c>
      <c r="J67" s="94" t="str">
        <v>No</v>
      </c>
      <c r="K67" s="94" t="str">
        <v>No</v>
      </c>
      <c r="L67" s="137" t="str">
        <v>Yes</v>
      </c>
      <c r="M67" s="94" t="str">
        <v>No</v>
      </c>
      <c r="N67" s="134" t="str">
        <v>No</v>
      </c>
      <c r="O67" s="119" t="str">
        <v>Yes</v>
      </c>
      <c r="P67" s="92" t="str">
        <v>N</v>
      </c>
      <c r="Q67" s="91">
        <v>45968</v>
      </c>
      <c r="R67" s="140">
        <v>0</v>
      </c>
      <c r="S67" s="92">
        <v>0</v>
      </c>
      <c r="T67" s="92">
        <v>0</v>
      </c>
      <c r="U67" s="137">
        <v>0</v>
      </c>
      <c r="V67" s="126" t="str">
        <f t="shared" ref="V67:V130" si="2">IF(OR(LEFT(TRIM(L67),3)="Yes",TRIM(L67)="Y"),"✅ On Best Plan",IF(OR(L67="Frozen Rate",L67="Frozen Plan"),"❄ Frozen Rate",IF(OR(L67="Not able to Compare",L67="Info Not Avail",L67="NA",L67=""),"⚠ Unknown","❌ Not on Best Plan")))</f>
        <v>✅ On Best Plan</v>
      </c>
      <c r="W67" s="130" t="str">
        <f>IFERROR(_xlfn.XLOOKUP(TEXT(H67,"0000000000"),'📞 Call Tracker'!A$2:A$2000,'📞 Call Tracker'!B$2:B$2000,""),"")</f>
        <v>Michelle</v>
      </c>
      <c r="X67" s="96">
        <f>IFERROR(_xlfn.XLOOKUP(TEXT(H67,"0000000000"),'📞 Call Tracker'!A$2:A$2000,'📞 Call Tracker'!C$2:C$2000,""),"")</f>
        <v>46067</v>
      </c>
      <c r="Y67" s="95" t="str">
        <f>IFERROR(_xlfn.XLOOKUP(TEXT(H67,"0000000000"),'📞 Call Tracker'!A$2:A$2000,'📞 Call Tracker'!D$2:D$2000,""),"")</f>
        <v>YES</v>
      </c>
      <c r="Z67" s="95">
        <f>IFERROR(_xlfn.XLOOKUP(TEXT(H67,"0000000000"),'📞 Call Tracker'!A$2:A$2000,'📞 Call Tracker'!E$2:E$2000,""),"")</f>
        <v>0</v>
      </c>
      <c r="AA67" s="145">
        <f>IFERROR(_xlfn.XLOOKUP(TEXT(H67,"0000000000"),'📞 Call Tracker'!A$2:A$2000,'📞 Call Tracker'!F$2:F$2000,""),"")</f>
        <v>0</v>
      </c>
      <c r="AB67" s="132">
        <f t="shared" ref="AB67:AB130" si="3">IF(OR(H67="",X67&lt;&gt;""),99,IF(AND(NOT(OR(LEFT(TRIM(L67),3)="Yes",TRIM(L67)="Y",L67="Frozen Rate",L67="Frozen Plan",L67="Not able to Compare",L67="Info Not Avail",L67="NA",L67="")),AND(N67&lt;&gt;"No",N67&lt;&gt;"")),1,IF(NOT(OR(LEFT(TRIM(L67),3)="Yes",TRIM(L67)="Y",L67="Frozen Rate",L67="Frozen Plan",L67="Not able to Compare",L67="Info Not Avail",L67="NA",L67="")),2,IF(AND(N67&lt;&gt;"No",N67&lt;&gt;""),3,4))))</f>
        <v>99</v>
      </c>
      <c r="AC67" s="79"/>
    </row>
    <row r="68" spans="1:29" ht="20.100000000000001" customHeight="1">
      <c r="A68" s="91">
        <v>45902</v>
      </c>
      <c r="B68" s="92" t="str">
        <v>Scharroo</v>
      </c>
      <c r="C68" s="92" t="str">
        <v>George</v>
      </c>
      <c r="D68" s="92" t="str">
        <v>Phoenix</v>
      </c>
      <c r="E68" s="92">
        <v>85006</v>
      </c>
      <c r="F68" s="137" t="str">
        <v>Opposed</v>
      </c>
      <c r="G68" s="93" t="str">
        <v>https://images.edocket.azcc.gov/docketpdf/E000046155.pdf</v>
      </c>
      <c r="H68" s="150" t="s">
        <v>398</v>
      </c>
      <c r="I68" s="114" t="str">
        <v>R3-47</v>
      </c>
      <c r="J68" s="94" t="str">
        <v>No</v>
      </c>
      <c r="K68" s="94" t="str">
        <v>No</v>
      </c>
      <c r="L68" s="137" t="str">
        <v>Not eligible yet (needs 3 months)</v>
      </c>
      <c r="M68" s="94" t="str">
        <v>No</v>
      </c>
      <c r="N68" s="134" t="str">
        <v>No</v>
      </c>
      <c r="O68" s="119" t="str">
        <v>Yes</v>
      </c>
      <c r="P68" s="92" t="str">
        <v>N</v>
      </c>
      <c r="Q68" s="91">
        <v>45968</v>
      </c>
      <c r="R68" s="140">
        <v>0</v>
      </c>
      <c r="S68" s="92">
        <v>0</v>
      </c>
      <c r="T68" s="92">
        <v>0</v>
      </c>
      <c r="U68" s="137">
        <v>0</v>
      </c>
      <c r="V68" s="126" t="str">
        <f t="shared" si="2"/>
        <v>❌ Not on Best Plan</v>
      </c>
      <c r="W68" s="130" t="str">
        <f>IFERROR(_xlfn.XLOOKUP(TEXT(H68,"0000000000"),'📞 Call Tracker'!A$2:A$2000,'📞 Call Tracker'!B$2:B$2000,""),"")</f>
        <v>Michelle</v>
      </c>
      <c r="X68" s="96">
        <f>IFERROR(_xlfn.XLOOKUP(TEXT(H68,"0000000000"),'📞 Call Tracker'!A$2:A$2000,'📞 Call Tracker'!C$2:C$2000,""),"")</f>
        <v>46053</v>
      </c>
      <c r="Y68" s="95" t="str">
        <f>IFERROR(_xlfn.XLOOKUP(TEXT(H68,"0000000000"),'📞 Call Tracker'!A$2:A$2000,'📞 Call Tracker'!D$2:D$2000,""),"")</f>
        <v>NO</v>
      </c>
      <c r="Z68" s="95" t="str">
        <f>IFERROR(_xlfn.XLOOKUP(TEXT(H68,"0000000000"),'📞 Call Tracker'!A$2:A$2000,'📞 Call Tracker'!E$2:E$2000,""),"")</f>
        <v>General Education</v>
      </c>
      <c r="AA68" s="145">
        <f>IFERROR(_xlfn.XLOOKUP(TEXT(H68,"0000000000"),'📞 Call Tracker'!A$2:A$2000,'📞 Call Tracker'!F$2:F$2000,""),"")</f>
        <v>0</v>
      </c>
      <c r="AB68" s="132">
        <f t="shared" si="3"/>
        <v>99</v>
      </c>
      <c r="AC68" s="79"/>
    </row>
    <row r="69" spans="1:29" ht="20.100000000000001" customHeight="1">
      <c r="A69" s="91">
        <v>45902</v>
      </c>
      <c r="B69" s="92" t="str">
        <v>Nava</v>
      </c>
      <c r="C69" s="92" t="str">
        <v>Alfredo</v>
      </c>
      <c r="D69" s="92" t="str">
        <v>Glendale</v>
      </c>
      <c r="E69" s="92">
        <v>85307</v>
      </c>
      <c r="F69" s="137" t="str">
        <v>Form letter</v>
      </c>
      <c r="G69" s="93" t="str">
        <v>https://images.edocket.azcc.gov/docketpdf/E000046155.pdf</v>
      </c>
      <c r="H69" s="150" t="s">
        <v>402</v>
      </c>
      <c r="I69" s="114" t="str">
        <v>R-BASIC</v>
      </c>
      <c r="J69" s="94" t="str">
        <v>No</v>
      </c>
      <c r="K69" s="94" t="str">
        <v>No</v>
      </c>
      <c r="L69" s="137" t="str">
        <v>No MEP-R3-47($66.86)</v>
      </c>
      <c r="M69" s="94" t="str">
        <v>No</v>
      </c>
      <c r="N69" s="134" t="str">
        <v>No</v>
      </c>
      <c r="O69" s="119" t="str">
        <v>Yes</v>
      </c>
      <c r="P69" s="92" t="str">
        <v>N</v>
      </c>
      <c r="Q69" s="91">
        <v>45968</v>
      </c>
      <c r="R69" s="140">
        <v>0</v>
      </c>
      <c r="S69" s="92">
        <v>0</v>
      </c>
      <c r="T69" s="92">
        <v>0</v>
      </c>
      <c r="U69" s="137">
        <v>0</v>
      </c>
      <c r="V69" s="126" t="str">
        <f t="shared" si="2"/>
        <v>❌ Not on Best Plan</v>
      </c>
      <c r="W69" s="130" t="str">
        <f>IFERROR(_xlfn.XLOOKUP(TEXT(H69,"0000000000"),'📞 Call Tracker'!A$2:A$2000,'📞 Call Tracker'!B$2:B$2000,""),"")</f>
        <v>Joaquin</v>
      </c>
      <c r="X69" s="96">
        <f>IFERROR(_xlfn.XLOOKUP(TEXT(H69,"0000000000"),'📞 Call Tracker'!A$2:A$2000,'📞 Call Tracker'!C$2:C$2000,""),"")</f>
        <v>46011</v>
      </c>
      <c r="Y69" s="95" t="str">
        <f>IFERROR(_xlfn.XLOOKUP(TEXT(H69,"0000000000"),'📞 Call Tracker'!A$2:A$2000,'📞 Call Tracker'!D$2:D$2000,""),"")</f>
        <v>YES</v>
      </c>
      <c r="Z69" s="95">
        <f>IFERROR(_xlfn.XLOOKUP(TEXT(H69,"0000000000"),'📞 Call Tracker'!A$2:A$2000,'📞 Call Tracker'!E$2:E$2000,""),"")</f>
        <v>0</v>
      </c>
      <c r="AA69" s="145">
        <f>IFERROR(_xlfn.XLOOKUP(TEXT(H69,"0000000000"),'📞 Call Tracker'!A$2:A$2000,'📞 Call Tracker'!F$2:F$2000,""),"")</f>
        <v>0</v>
      </c>
      <c r="AB69" s="132">
        <f t="shared" si="3"/>
        <v>99</v>
      </c>
      <c r="AC69" s="79"/>
    </row>
    <row r="70" spans="1:29" ht="20.100000000000001" customHeight="1">
      <c r="A70" s="91">
        <v>45902</v>
      </c>
      <c r="B70" s="92" t="str">
        <v>Hay</v>
      </c>
      <c r="C70" s="92" t="str">
        <v>Leanne</v>
      </c>
      <c r="D70" s="92" t="str">
        <v>Phoenix</v>
      </c>
      <c r="E70" s="92">
        <v>85006</v>
      </c>
      <c r="F70" s="137" t="str">
        <v>Opposed</v>
      </c>
      <c r="G70" s="93" t="str">
        <v>https://images.edocket.azcc.gov/docketpdf/E000046155.pdf</v>
      </c>
      <c r="H70" s="150" t="s">
        <v>406</v>
      </c>
      <c r="I70" s="114" t="str">
        <v>R-BASICL</v>
      </c>
      <c r="J70" s="94" t="str">
        <v>No</v>
      </c>
      <c r="K70" s="94" t="str">
        <v>No</v>
      </c>
      <c r="L70" s="137" t="str">
        <v>No MEP R3-47($261.63)</v>
      </c>
      <c r="M70" s="94" t="str">
        <v>No</v>
      </c>
      <c r="N70" s="134" t="str">
        <v>No</v>
      </c>
      <c r="O70" s="119" t="str">
        <v>Yes</v>
      </c>
      <c r="P70" s="92">
        <v>45932</v>
      </c>
      <c r="Q70" s="91">
        <v>45968</v>
      </c>
      <c r="R70" s="140" t="str">
        <v xml:space="preserve">10/02 - LM </v>
      </c>
      <c r="S70" s="92">
        <v>0</v>
      </c>
      <c r="T70" s="92">
        <v>0</v>
      </c>
      <c r="U70" s="137">
        <v>0</v>
      </c>
      <c r="V70" s="126" t="str">
        <f t="shared" si="2"/>
        <v>❌ Not on Best Plan</v>
      </c>
      <c r="W70" s="130" t="str">
        <f>IFERROR(_xlfn.XLOOKUP(TEXT(H70,"0000000000"),'📞 Call Tracker'!A$2:A$2000,'📞 Call Tracker'!B$2:B$2000,""),"")</f>
        <v>Joaquin</v>
      </c>
      <c r="X70" s="96">
        <f>IFERROR(_xlfn.XLOOKUP(TEXT(H70,"0000000000"),'📞 Call Tracker'!A$2:A$2000,'📞 Call Tracker'!C$2:C$2000,""),"")</f>
        <v>46011</v>
      </c>
      <c r="Y70" s="95" t="str">
        <f>IFERROR(_xlfn.XLOOKUP(TEXT(H70,"0000000000"),'📞 Call Tracker'!A$2:A$2000,'📞 Call Tracker'!D$2:D$2000,""),"")</f>
        <v>YES</v>
      </c>
      <c r="Z70" s="95">
        <f>IFERROR(_xlfn.XLOOKUP(TEXT(H70,"0000000000"),'📞 Call Tracker'!A$2:A$2000,'📞 Call Tracker'!E$2:E$2000,""),"")</f>
        <v>0</v>
      </c>
      <c r="AA70" s="145">
        <f>IFERROR(_xlfn.XLOOKUP(TEXT(H70,"0000000000"),'📞 Call Tracker'!A$2:A$2000,'📞 Call Tracker'!F$2:F$2000,""),"")</f>
        <v>0</v>
      </c>
      <c r="AB70" s="132">
        <f t="shared" si="3"/>
        <v>99</v>
      </c>
      <c r="AC70" s="79"/>
    </row>
    <row r="71" spans="1:29" ht="20.100000000000001" customHeight="1">
      <c r="A71" s="91">
        <v>45902</v>
      </c>
      <c r="B71" s="92" t="str">
        <v>Harmon</v>
      </c>
      <c r="C71" s="92" t="str">
        <v>Austin</v>
      </c>
      <c r="D71" s="92" t="str">
        <v>Arizona City</v>
      </c>
      <c r="E71" s="92">
        <v>85123</v>
      </c>
      <c r="F71" s="137" t="str">
        <v>Form letter</v>
      </c>
      <c r="G71" s="93" t="str">
        <v>https://images.edocket.azcc.gov/docketpdf/E000046155.pdf</v>
      </c>
      <c r="H71" s="150" t="s">
        <v>411</v>
      </c>
      <c r="I71" s="114" t="str">
        <v>RTOUE47</v>
      </c>
      <c r="J71" s="94" t="str">
        <v>No</v>
      </c>
      <c r="K71" s="94" t="str">
        <v>No</v>
      </c>
      <c r="L71" s="137" t="str">
        <v>No MAEP R-BASIC($56.50)</v>
      </c>
      <c r="M71" s="94" t="str">
        <v>No</v>
      </c>
      <c r="N71" s="134" t="str">
        <v>No</v>
      </c>
      <c r="O71" s="119" t="str">
        <v>Yes</v>
      </c>
      <c r="P71" s="92" t="str">
        <v>N</v>
      </c>
      <c r="Q71" s="91">
        <v>45968</v>
      </c>
      <c r="R71" s="140">
        <v>0</v>
      </c>
      <c r="S71" s="92">
        <v>0</v>
      </c>
      <c r="T71" s="92">
        <v>0</v>
      </c>
      <c r="U71" s="137">
        <v>0</v>
      </c>
      <c r="V71" s="126" t="str">
        <f t="shared" si="2"/>
        <v>❌ Not on Best Plan</v>
      </c>
      <c r="W71" s="130" t="str">
        <f>IFERROR(_xlfn.XLOOKUP(TEXT(H71,"0000000000"),'📞 Call Tracker'!A$2:A$2000,'📞 Call Tracker'!B$2:B$2000,""),"")</f>
        <v>Joaquin</v>
      </c>
      <c r="X71" s="96">
        <f>IFERROR(_xlfn.XLOOKUP(TEXT(H71,"0000000000"),'📞 Call Tracker'!A$2:A$2000,'📞 Call Tracker'!C$2:C$2000,""),"")</f>
        <v>46011</v>
      </c>
      <c r="Y71" s="95" t="str">
        <f>IFERROR(_xlfn.XLOOKUP(TEXT(H71,"0000000000"),'📞 Call Tracker'!A$2:A$2000,'📞 Call Tracker'!D$2:D$2000,""),"")</f>
        <v>YES</v>
      </c>
      <c r="Z71" s="95">
        <f>IFERROR(_xlfn.XLOOKUP(TEXT(H71,"0000000000"),'📞 Call Tracker'!A$2:A$2000,'📞 Call Tracker'!E$2:E$2000,""),"")</f>
        <v>0</v>
      </c>
      <c r="AA71" s="145">
        <f>IFERROR(_xlfn.XLOOKUP(TEXT(H71,"0000000000"),'📞 Call Tracker'!A$2:A$2000,'📞 Call Tracker'!F$2:F$2000,""),"")</f>
        <v>0</v>
      </c>
      <c r="AB71" s="132">
        <f t="shared" si="3"/>
        <v>99</v>
      </c>
      <c r="AC71" s="79"/>
    </row>
    <row r="72" spans="1:29" ht="20.100000000000001" customHeight="1">
      <c r="A72" s="91">
        <v>45902</v>
      </c>
      <c r="B72" s="92" t="str">
        <v>Mangerie</v>
      </c>
      <c r="C72" s="92" t="str">
        <v>Chelsea</v>
      </c>
      <c r="D72" s="92" t="str">
        <v>Surprise</v>
      </c>
      <c r="E72" s="92">
        <v>85379</v>
      </c>
      <c r="F72" s="137" t="str">
        <v>Opposed</v>
      </c>
      <c r="G72" s="93" t="str">
        <v>https://images.edocket.azcc.gov/docketpdf/E000046155.pdf</v>
      </c>
      <c r="H72" s="150" t="s">
        <v>415</v>
      </c>
      <c r="I72" s="114" t="str">
        <v>EPR-6w/ET-2</v>
      </c>
      <c r="J72" s="94" t="str">
        <v>No</v>
      </c>
      <c r="K72" s="94" t="str">
        <v>No</v>
      </c>
      <c r="L72" s="137" t="str">
        <v>Frozen Rate</v>
      </c>
      <c r="M72" s="94" t="str">
        <v>No</v>
      </c>
      <c r="N72" s="134" t="str">
        <v>No</v>
      </c>
      <c r="O72" s="119" t="str">
        <v>Yes</v>
      </c>
      <c r="P72" s="92" t="str">
        <v>N</v>
      </c>
      <c r="Q72" s="91">
        <v>45968</v>
      </c>
      <c r="R72" s="140">
        <v>0</v>
      </c>
      <c r="S72" s="92">
        <v>0</v>
      </c>
      <c r="T72" s="92">
        <v>0</v>
      </c>
      <c r="U72" s="137">
        <v>0</v>
      </c>
      <c r="V72" s="126" t="str">
        <f t="shared" si="2"/>
        <v>❄ Frozen Rate</v>
      </c>
      <c r="W72" s="130">
        <f>IFERROR(_xlfn.XLOOKUP(TEXT(H72,"0000000000"),'📞 Call Tracker'!A$2:A$2000,'📞 Call Tracker'!B$2:B$2000,""),"")</f>
        <v>0</v>
      </c>
      <c r="X72" s="96">
        <f>IFERROR(_xlfn.XLOOKUP(TEXT(H72,"0000000000"),'📞 Call Tracker'!A$2:A$2000,'📞 Call Tracker'!C$2:C$2000,""),"")</f>
        <v>0</v>
      </c>
      <c r="Y72" s="95">
        <f>IFERROR(_xlfn.XLOOKUP(TEXT(H72,"0000000000"),'📞 Call Tracker'!A$2:A$2000,'📞 Call Tracker'!D$2:D$2000,""),"")</f>
        <v>0</v>
      </c>
      <c r="Z72" s="95">
        <f>IFERROR(_xlfn.XLOOKUP(TEXT(H72,"0000000000"),'📞 Call Tracker'!A$2:A$2000,'📞 Call Tracker'!E$2:E$2000,""),"")</f>
        <v>0</v>
      </c>
      <c r="AA72" s="145">
        <f>IFERROR(_xlfn.XLOOKUP(TEXT(H72,"0000000000"),'📞 Call Tracker'!A$2:A$2000,'📞 Call Tracker'!F$2:F$2000,""),"")</f>
        <v>0</v>
      </c>
      <c r="AB72" s="132">
        <f t="shared" si="3"/>
        <v>99</v>
      </c>
      <c r="AC72" s="79"/>
    </row>
    <row r="73" spans="1:29" ht="20.100000000000001" customHeight="1">
      <c r="A73" s="91">
        <v>45902</v>
      </c>
      <c r="B73" s="92" t="str">
        <v>Farr</v>
      </c>
      <c r="C73" s="92" t="str">
        <v>Amanda</v>
      </c>
      <c r="D73" s="92" t="str">
        <v>Phoenix</v>
      </c>
      <c r="E73" s="92">
        <v>85054</v>
      </c>
      <c r="F73" s="137" t="str">
        <v>Form letter</v>
      </c>
      <c r="G73" s="93" t="str">
        <v>https://images.edocket.azcc.gov/docketpdf/E000046155.pdf</v>
      </c>
      <c r="H73" s="150" t="s">
        <v>6011</v>
      </c>
      <c r="I73" s="114" t="str">
        <v>RTOUE47</v>
      </c>
      <c r="J73" s="94" t="str">
        <v>No</v>
      </c>
      <c r="K73" s="94" t="str">
        <v>No</v>
      </c>
      <c r="L73" s="137" t="str">
        <v>No MEP R3-47(463.60)</v>
      </c>
      <c r="M73" s="94" t="str">
        <v>No</v>
      </c>
      <c r="N73" s="134" t="str">
        <v>No</v>
      </c>
      <c r="O73" s="119" t="str">
        <v>Yes</v>
      </c>
      <c r="P73" s="92">
        <v>45932</v>
      </c>
      <c r="Q73" s="91">
        <v>45958</v>
      </c>
      <c r="R73" s="140" t="str">
        <v xml:space="preserve">10/02 - LM </v>
      </c>
      <c r="S73" s="92">
        <v>0</v>
      </c>
      <c r="T73" s="92">
        <v>0</v>
      </c>
      <c r="U73" s="137">
        <v>0</v>
      </c>
      <c r="V73" s="126" t="str">
        <f t="shared" si="2"/>
        <v>❌ Not on Best Plan</v>
      </c>
      <c r="W73" s="130" t="str">
        <f>IFERROR(_xlfn.XLOOKUP(TEXT(H73,"0000000000"),'📞 Call Tracker'!A$2:A$2000,'📞 Call Tracker'!B$2:B$2000,""),"")</f>
        <v>Michelle</v>
      </c>
      <c r="X73" s="96">
        <f>IFERROR(_xlfn.XLOOKUP(TEXT(H73,"0000000000"),'📞 Call Tracker'!A$2:A$2000,'📞 Call Tracker'!C$2:C$2000,""),"")</f>
        <v>46053</v>
      </c>
      <c r="Y73" s="95" t="str">
        <f>IFERROR(_xlfn.XLOOKUP(TEXT(H73,"0000000000"),'📞 Call Tracker'!A$2:A$2000,'📞 Call Tracker'!D$2:D$2000,""),"")</f>
        <v>YES</v>
      </c>
      <c r="Z73" s="95">
        <f>IFERROR(_xlfn.XLOOKUP(TEXT(H73,"0000000000"),'📞 Call Tracker'!A$2:A$2000,'📞 Call Tracker'!E$2:E$2000,""),"")</f>
        <v>0</v>
      </c>
      <c r="AA73" s="145">
        <f>IFERROR(_xlfn.XLOOKUP(TEXT(H73,"0000000000"),'📞 Call Tracker'!A$2:A$2000,'📞 Call Tracker'!F$2:F$2000,""),"")</f>
        <v>0</v>
      </c>
      <c r="AB73" s="132">
        <f t="shared" si="3"/>
        <v>99</v>
      </c>
      <c r="AC73" s="79"/>
    </row>
    <row r="74" spans="1:29" ht="20.100000000000001" customHeight="1">
      <c r="A74" s="91">
        <v>45902</v>
      </c>
      <c r="B74" s="92" t="str">
        <v>Strauss</v>
      </c>
      <c r="C74" s="92" t="str">
        <v>John</v>
      </c>
      <c r="D74" s="92" t="str">
        <v>Phoenix</v>
      </c>
      <c r="E74" s="92">
        <v>85029</v>
      </c>
      <c r="F74" s="137" t="str">
        <v>Form letter</v>
      </c>
      <c r="G74" s="93" t="str">
        <v>https://images.edocket.azcc.gov/docketpdf/E000046155.pdf</v>
      </c>
      <c r="H74" s="150" t="s">
        <v>6178</v>
      </c>
      <c r="I74" s="114" t="str">
        <v>R3-47</v>
      </c>
      <c r="J74" s="94" t="str">
        <v>Yes</v>
      </c>
      <c r="K74" s="94" t="str">
        <v>No</v>
      </c>
      <c r="L74" s="137" t="str">
        <v>Yes</v>
      </c>
      <c r="M74" s="94" t="str">
        <v>No</v>
      </c>
      <c r="N74" s="134" t="str">
        <v>No</v>
      </c>
      <c r="O74" s="119" t="str">
        <v>Yes</v>
      </c>
      <c r="P74" s="92" t="str">
        <v xml:space="preserve">N </v>
      </c>
      <c r="Q74" s="91">
        <v>45958</v>
      </c>
      <c r="R74" s="140">
        <v>0</v>
      </c>
      <c r="S74" s="92">
        <v>0</v>
      </c>
      <c r="T74" s="92">
        <v>0</v>
      </c>
      <c r="U74" s="137">
        <v>0</v>
      </c>
      <c r="V74" s="126" t="str">
        <f t="shared" si="2"/>
        <v>✅ On Best Plan</v>
      </c>
      <c r="W74" s="130">
        <f>IFERROR(_xlfn.XLOOKUP(TEXT(H74,"0000000000"),'📞 Call Tracker'!A$2:A$2000,'📞 Call Tracker'!B$2:B$2000,""),"")</f>
        <v>0</v>
      </c>
      <c r="X74" s="96">
        <f>IFERROR(_xlfn.XLOOKUP(TEXT(H74,"0000000000"),'📞 Call Tracker'!A$2:A$2000,'📞 Call Tracker'!C$2:C$2000,""),"")</f>
        <v>0</v>
      </c>
      <c r="Y74" s="95">
        <f>IFERROR(_xlfn.XLOOKUP(TEXT(H74,"0000000000"),'📞 Call Tracker'!A$2:A$2000,'📞 Call Tracker'!D$2:D$2000,""),"")</f>
        <v>0</v>
      </c>
      <c r="Z74" s="95">
        <f>IFERROR(_xlfn.XLOOKUP(TEXT(H74,"0000000000"),'📞 Call Tracker'!A$2:A$2000,'📞 Call Tracker'!E$2:E$2000,""),"")</f>
        <v>0</v>
      </c>
      <c r="AA74" s="145">
        <f>IFERROR(_xlfn.XLOOKUP(TEXT(H74,"0000000000"),'📞 Call Tracker'!A$2:A$2000,'📞 Call Tracker'!F$2:F$2000,""),"")</f>
        <v>0</v>
      </c>
      <c r="AB74" s="132">
        <f t="shared" si="3"/>
        <v>99</v>
      </c>
      <c r="AC74" s="79"/>
    </row>
    <row r="75" spans="1:29" ht="20.100000000000001" customHeight="1">
      <c r="A75" s="91">
        <v>45902</v>
      </c>
      <c r="B75" s="92" t="str">
        <v>Bauman</v>
      </c>
      <c r="C75" s="92" t="str">
        <v>Raymie</v>
      </c>
      <c r="D75" s="92" t="str">
        <v>Chino Valley</v>
      </c>
      <c r="E75" s="92">
        <v>86323</v>
      </c>
      <c r="F75" s="137" t="str">
        <v>Opposed</v>
      </c>
      <c r="G75" s="93" t="str">
        <v>https://images.edocket.azcc.gov/docketpdf/E000046155.pdf</v>
      </c>
      <c r="H75" s="150" t="s">
        <v>455</v>
      </c>
      <c r="I75" s="114" t="str">
        <v xml:space="preserve">R-XS </v>
      </c>
      <c r="J75" s="94" t="str">
        <v>No</v>
      </c>
      <c r="K75" s="94" t="str">
        <v>No</v>
      </c>
      <c r="L75" s="137" t="str">
        <v>Yes</v>
      </c>
      <c r="M75" s="94" t="str">
        <v>No</v>
      </c>
      <c r="N75" s="134" t="str">
        <v>No</v>
      </c>
      <c r="O75" s="119" t="str">
        <v>Yes</v>
      </c>
      <c r="P75" s="92" t="str">
        <v>N</v>
      </c>
      <c r="Q75" s="91">
        <v>45958</v>
      </c>
      <c r="R75" s="140">
        <v>0</v>
      </c>
      <c r="S75" s="92">
        <v>0</v>
      </c>
      <c r="T75" s="92">
        <v>0</v>
      </c>
      <c r="U75" s="137">
        <v>0</v>
      </c>
      <c r="V75" s="126" t="str">
        <f t="shared" si="2"/>
        <v>✅ On Best Plan</v>
      </c>
      <c r="W75" s="130" t="str">
        <f>IFERROR(_xlfn.XLOOKUP(TEXT(H75,"0000000000"),'📞 Call Tracker'!A$2:A$2000,'📞 Call Tracker'!B$2:B$2000,""),"")</f>
        <v>Michelle</v>
      </c>
      <c r="X75" s="96">
        <f>IFERROR(_xlfn.XLOOKUP(TEXT(H75,"0000000000"),'📞 Call Tracker'!A$2:A$2000,'📞 Call Tracker'!C$2:C$2000,""),"")</f>
        <v>46067</v>
      </c>
      <c r="Y75" s="95" t="str">
        <f>IFERROR(_xlfn.XLOOKUP(TEXT(H75,"0000000000"),'📞 Call Tracker'!A$2:A$2000,'📞 Call Tracker'!D$2:D$2000,""),"")</f>
        <v>YES</v>
      </c>
      <c r="Z75" s="95">
        <f>IFERROR(_xlfn.XLOOKUP(TEXT(H75,"0000000000"),'📞 Call Tracker'!A$2:A$2000,'📞 Call Tracker'!E$2:E$2000,""),"")</f>
        <v>0</v>
      </c>
      <c r="AA75" s="145">
        <f>IFERROR(_xlfn.XLOOKUP(TEXT(H75,"0000000000"),'📞 Call Tracker'!A$2:A$2000,'📞 Call Tracker'!F$2:F$2000,""),"")</f>
        <v>0</v>
      </c>
      <c r="AB75" s="132">
        <f t="shared" si="3"/>
        <v>99</v>
      </c>
      <c r="AC75" s="79"/>
    </row>
    <row r="76" spans="1:29" ht="20.100000000000001" customHeight="1">
      <c r="A76" s="91">
        <v>45902</v>
      </c>
      <c r="B76" s="92" t="str">
        <v>Bradley</v>
      </c>
      <c r="C76" s="92" t="str">
        <v>Steven</v>
      </c>
      <c r="D76" s="92" t="str">
        <v>Surprise</v>
      </c>
      <c r="E76" s="92">
        <v>85379</v>
      </c>
      <c r="F76" s="137" t="str">
        <v>Form letter</v>
      </c>
      <c r="G76" s="93" t="str">
        <v>https://images.edocket.azcc.gov/docketpdf/E000046155.pdf</v>
      </c>
      <c r="H76" s="150" t="s">
        <v>433</v>
      </c>
      <c r="I76" s="114" t="str">
        <v>R-BASIC</v>
      </c>
      <c r="J76" s="94" t="str">
        <v>No</v>
      </c>
      <c r="K76" s="94" t="str">
        <v>No</v>
      </c>
      <c r="L76" s="137" t="str">
        <v>Yes</v>
      </c>
      <c r="M76" s="94" t="str">
        <v>No</v>
      </c>
      <c r="N76" s="134" t="str">
        <v>No</v>
      </c>
      <c r="O76" s="119" t="str">
        <v>Yes</v>
      </c>
      <c r="P76" s="92" t="str">
        <v>N</v>
      </c>
      <c r="Q76" s="91">
        <v>45958</v>
      </c>
      <c r="R76" s="140">
        <v>0</v>
      </c>
      <c r="S76" s="92">
        <v>0</v>
      </c>
      <c r="T76" s="92">
        <v>0</v>
      </c>
      <c r="U76" s="137">
        <v>0</v>
      </c>
      <c r="V76" s="126" t="str">
        <f t="shared" si="2"/>
        <v>✅ On Best Plan</v>
      </c>
      <c r="W76" s="130">
        <f>IFERROR(_xlfn.XLOOKUP(TEXT(H76,"0000000000"),'📞 Call Tracker'!A$2:A$2000,'📞 Call Tracker'!B$2:B$2000,""),"")</f>
        <v>0</v>
      </c>
      <c r="X76" s="96">
        <f>IFERROR(_xlfn.XLOOKUP(TEXT(H76,"0000000000"),'📞 Call Tracker'!A$2:A$2000,'📞 Call Tracker'!C$2:C$2000,""),"")</f>
        <v>0</v>
      </c>
      <c r="Y76" s="95">
        <f>IFERROR(_xlfn.XLOOKUP(TEXT(H76,"0000000000"),'📞 Call Tracker'!A$2:A$2000,'📞 Call Tracker'!D$2:D$2000,""),"")</f>
        <v>0</v>
      </c>
      <c r="Z76" s="95">
        <f>IFERROR(_xlfn.XLOOKUP(TEXT(H76,"0000000000"),'📞 Call Tracker'!A$2:A$2000,'📞 Call Tracker'!E$2:E$2000,""),"")</f>
        <v>0</v>
      </c>
      <c r="AA76" s="145">
        <f>IFERROR(_xlfn.XLOOKUP(TEXT(H76,"0000000000"),'📞 Call Tracker'!A$2:A$2000,'📞 Call Tracker'!F$2:F$2000,""),"")</f>
        <v>0</v>
      </c>
      <c r="AB76" s="132">
        <f t="shared" si="3"/>
        <v>99</v>
      </c>
      <c r="AC76" s="79"/>
    </row>
    <row r="77" spans="1:29" ht="20.100000000000001" customHeight="1">
      <c r="A77" s="91">
        <v>45902</v>
      </c>
      <c r="B77" s="92" t="str">
        <v>Frazier</v>
      </c>
      <c r="C77" s="92" t="str">
        <v>Brandon</v>
      </c>
      <c r="D77" s="92" t="str">
        <v>Goodyear</v>
      </c>
      <c r="E77" s="92">
        <v>85338</v>
      </c>
      <c r="F77" s="137" t="str">
        <v>Opposed</v>
      </c>
      <c r="G77" s="93" t="str">
        <v>https://images.edocket.azcc.gov/docketpdf/E000046155.pdf</v>
      </c>
      <c r="H77" s="150" t="s">
        <v>436</v>
      </c>
      <c r="I77" s="114" t="str">
        <v>EPR-6w/ET-2</v>
      </c>
      <c r="J77" s="94" t="str">
        <v>Yes</v>
      </c>
      <c r="K77" s="94" t="str">
        <v>No</v>
      </c>
      <c r="L77" s="137" t="str">
        <v>Frozen Rate</v>
      </c>
      <c r="M77" s="94" t="str">
        <v>Yes</v>
      </c>
      <c r="N77" s="134">
        <v>179.9</v>
      </c>
      <c r="O77" s="119" t="str">
        <v>Yes</v>
      </c>
      <c r="P77" s="92" t="str">
        <v>N</v>
      </c>
      <c r="Q77" s="91">
        <v>45968</v>
      </c>
      <c r="R77" s="140">
        <v>0</v>
      </c>
      <c r="S77" s="92">
        <v>0</v>
      </c>
      <c r="T77" s="92">
        <v>0</v>
      </c>
      <c r="U77" s="137">
        <v>0</v>
      </c>
      <c r="V77" s="126" t="str">
        <f t="shared" si="2"/>
        <v>❄ Frozen Rate</v>
      </c>
      <c r="W77" s="130" t="str">
        <f>IFERROR(_xlfn.XLOOKUP(TEXT(H77,"0000000000"),'📞 Call Tracker'!A$2:A$2000,'📞 Call Tracker'!B$2:B$2000,""),"")</f>
        <v>Michelle</v>
      </c>
      <c r="X77" s="96">
        <f>IFERROR(_xlfn.XLOOKUP(TEXT(H77,"0000000000"),'📞 Call Tracker'!A$2:A$2000,'📞 Call Tracker'!C$2:C$2000,""),"")</f>
        <v>45997</v>
      </c>
      <c r="Y77" s="95" t="str">
        <f>IFERROR(_xlfn.XLOOKUP(TEXT(H77,"0000000000"),'📞 Call Tracker'!A$2:A$2000,'📞 Call Tracker'!D$2:D$2000,""),"")</f>
        <v>YES</v>
      </c>
      <c r="Z77" s="95">
        <f>IFERROR(_xlfn.XLOOKUP(TEXT(H77,"0000000000"),'📞 Call Tracker'!A$2:A$2000,'📞 Call Tracker'!E$2:E$2000,""),"")</f>
        <v>0</v>
      </c>
      <c r="AA77" s="145" t="str">
        <f>IFERROR(_xlfn.XLOOKUP(TEXT(H77,"0000000000"),'📞 Call Tracker'!A$2:A$2000,'📞 Call Tracker'!F$2:F$2000,""),"")</f>
        <v>SOLAR ACCT</v>
      </c>
      <c r="AB77" s="132">
        <f t="shared" si="3"/>
        <v>99</v>
      </c>
      <c r="AC77" s="79"/>
    </row>
    <row r="78" spans="1:29" ht="20.100000000000001" customHeight="1">
      <c r="A78" s="91">
        <v>45902</v>
      </c>
      <c r="B78" s="92" t="str">
        <v>Hale</v>
      </c>
      <c r="C78" s="92" t="str">
        <v>Catherine</v>
      </c>
      <c r="D78" s="92" t="str">
        <v>Scottsdale</v>
      </c>
      <c r="E78" s="92">
        <v>85254</v>
      </c>
      <c r="F78" s="137" t="str">
        <v>Form letter</v>
      </c>
      <c r="G78" s="93" t="str">
        <v>https://images.edocket.azcc.gov/docketpdf/E000046155.pdf</v>
      </c>
      <c r="H78" s="150" t="s">
        <v>439</v>
      </c>
      <c r="I78" s="114" t="str">
        <v>R3-47</v>
      </c>
      <c r="J78" s="94" t="str">
        <v>No</v>
      </c>
      <c r="K78" s="94" t="str">
        <v>No</v>
      </c>
      <c r="L78" s="137" t="str">
        <v>Yes</v>
      </c>
      <c r="M78" s="94" t="str">
        <v>No</v>
      </c>
      <c r="N78" s="134" t="str">
        <v>No</v>
      </c>
      <c r="O78" s="119" t="str">
        <v>Yes</v>
      </c>
      <c r="P78" s="92" t="str">
        <v>N</v>
      </c>
      <c r="Q78" s="91">
        <v>45968</v>
      </c>
      <c r="R78" s="140">
        <v>0</v>
      </c>
      <c r="S78" s="92">
        <v>0</v>
      </c>
      <c r="T78" s="92">
        <v>0</v>
      </c>
      <c r="U78" s="137">
        <v>0</v>
      </c>
      <c r="V78" s="126" t="str">
        <f t="shared" si="2"/>
        <v>✅ On Best Plan</v>
      </c>
      <c r="W78" s="130">
        <f>IFERROR(_xlfn.XLOOKUP(TEXT(H78,"0000000000"),'📞 Call Tracker'!A$2:A$2000,'📞 Call Tracker'!B$2:B$2000,""),"")</f>
        <v>0</v>
      </c>
      <c r="X78" s="96">
        <f>IFERROR(_xlfn.XLOOKUP(TEXT(H78,"0000000000"),'📞 Call Tracker'!A$2:A$2000,'📞 Call Tracker'!C$2:C$2000,""),"")</f>
        <v>0</v>
      </c>
      <c r="Y78" s="95">
        <f>IFERROR(_xlfn.XLOOKUP(TEXT(H78,"0000000000"),'📞 Call Tracker'!A$2:A$2000,'📞 Call Tracker'!D$2:D$2000,""),"")</f>
        <v>0</v>
      </c>
      <c r="Z78" s="95">
        <f>IFERROR(_xlfn.XLOOKUP(TEXT(H78,"0000000000"),'📞 Call Tracker'!A$2:A$2000,'📞 Call Tracker'!E$2:E$2000,""),"")</f>
        <v>0</v>
      </c>
      <c r="AA78" s="145">
        <f>IFERROR(_xlfn.XLOOKUP(TEXT(H78,"0000000000"),'📞 Call Tracker'!A$2:A$2000,'📞 Call Tracker'!F$2:F$2000,""),"")</f>
        <v>0</v>
      </c>
      <c r="AB78" s="132">
        <f t="shared" si="3"/>
        <v>99</v>
      </c>
      <c r="AC78" s="79"/>
    </row>
    <row r="79" spans="1:29" ht="20.100000000000001" customHeight="1">
      <c r="A79" s="91">
        <v>45902</v>
      </c>
      <c r="B79" s="92" t="str">
        <v>Norton</v>
      </c>
      <c r="C79" s="92" t="str">
        <v>Colin</v>
      </c>
      <c r="D79" s="92" t="str">
        <v>Phoenix</v>
      </c>
      <c r="E79" s="92">
        <v>85032</v>
      </c>
      <c r="F79" s="137" t="str">
        <v>Form letter</v>
      </c>
      <c r="G79" s="93" t="str">
        <v>https://images.edocket.azcc.gov/docketpdf/E000046155.pdf</v>
      </c>
      <c r="H79" s="150" t="s">
        <v>442</v>
      </c>
      <c r="I79" s="114" t="str">
        <v>RTOUE47</v>
      </c>
      <c r="J79" s="94" t="str">
        <v>No</v>
      </c>
      <c r="K79" s="94" t="str">
        <v>No</v>
      </c>
      <c r="L79" s="137" t="str">
        <v>No-MEP R3-47($453.80)</v>
      </c>
      <c r="M79" s="94" t="str">
        <v>No</v>
      </c>
      <c r="N79" s="134" t="str">
        <v>No</v>
      </c>
      <c r="O79" s="119" t="str">
        <v>Yes</v>
      </c>
      <c r="P79" s="92">
        <v>45932</v>
      </c>
      <c r="Q79" s="91">
        <v>45968</v>
      </c>
      <c r="R79" s="140" t="str">
        <v xml:space="preserve">10/2 Spoke with customer and provided information regarding MEP. He wanted to review the details online. Also provided the information is available on his bill each month. Offered our number if he had any questions. </v>
      </c>
      <c r="S79" s="92">
        <v>0</v>
      </c>
      <c r="T79" s="92">
        <v>0</v>
      </c>
      <c r="U79" s="137">
        <v>0</v>
      </c>
      <c r="V79" s="126" t="str">
        <f t="shared" si="2"/>
        <v>❌ Not on Best Plan</v>
      </c>
      <c r="W79" s="130" t="str">
        <f>IFERROR(_xlfn.XLOOKUP(TEXT(H79,"0000000000"),'📞 Call Tracker'!A$2:A$2000,'📞 Call Tracker'!B$2:B$2000,""),"")</f>
        <v>Joaquin</v>
      </c>
      <c r="X79" s="96">
        <f>IFERROR(_xlfn.XLOOKUP(TEXT(H79,"0000000000"),'📞 Call Tracker'!A$2:A$2000,'📞 Call Tracker'!C$2:C$2000,""),"")</f>
        <v>46018</v>
      </c>
      <c r="Y79" s="95" t="str">
        <f>IFERROR(_xlfn.XLOOKUP(TEXT(H79,"0000000000"),'📞 Call Tracker'!A$2:A$2000,'📞 Call Tracker'!D$2:D$2000,""),"")</f>
        <v>YES</v>
      </c>
      <c r="Z79" s="95">
        <f>IFERROR(_xlfn.XLOOKUP(TEXT(H79,"0000000000"),'📞 Call Tracker'!A$2:A$2000,'📞 Call Tracker'!E$2:E$2000,""),"")</f>
        <v>0</v>
      </c>
      <c r="AA79" s="145">
        <f>IFERROR(_xlfn.XLOOKUP(TEXT(H79,"0000000000"),'📞 Call Tracker'!A$2:A$2000,'📞 Call Tracker'!F$2:F$2000,""),"")</f>
        <v>0</v>
      </c>
      <c r="AB79" s="132">
        <f t="shared" si="3"/>
        <v>99</v>
      </c>
      <c r="AC79" s="79"/>
    </row>
    <row r="80" spans="1:29" ht="20.100000000000001" customHeight="1">
      <c r="A80" s="91">
        <v>45902</v>
      </c>
      <c r="B80" s="92" t="str">
        <v>Lindsey</v>
      </c>
      <c r="C80" s="92" t="str">
        <v>Alexander</v>
      </c>
      <c r="D80" s="92" t="str">
        <v>Scottsdale</v>
      </c>
      <c r="E80" s="92">
        <v>85260</v>
      </c>
      <c r="F80" s="137" t="str">
        <v>Form letter</v>
      </c>
      <c r="G80" s="93" t="str">
        <v>https://images.edocket.azcc.gov/docketpdf/E000046155.pdf</v>
      </c>
      <c r="H80" s="150" t="s">
        <v>448</v>
      </c>
      <c r="I80" s="114" t="str">
        <v>R-BASIC</v>
      </c>
      <c r="J80" s="94" t="str">
        <v>No</v>
      </c>
      <c r="K80" s="94" t="str">
        <v>No</v>
      </c>
      <c r="L80" s="137" t="str">
        <v>Yes</v>
      </c>
      <c r="M80" s="94" t="str">
        <v>No</v>
      </c>
      <c r="N80" s="134" t="str">
        <v>No</v>
      </c>
      <c r="O80" s="119" t="str">
        <v>Yes</v>
      </c>
      <c r="P80" s="92" t="str">
        <v>N</v>
      </c>
      <c r="Q80" s="91">
        <v>45968</v>
      </c>
      <c r="R80" s="140">
        <v>0</v>
      </c>
      <c r="S80" s="92">
        <v>0</v>
      </c>
      <c r="T80" s="92">
        <v>0</v>
      </c>
      <c r="U80" s="137">
        <v>0</v>
      </c>
      <c r="V80" s="126" t="str">
        <f t="shared" si="2"/>
        <v>✅ On Best Plan</v>
      </c>
      <c r="W80" s="130">
        <f>IFERROR(_xlfn.XLOOKUP(TEXT(H80,"0000000000"),'📞 Call Tracker'!A$2:A$2000,'📞 Call Tracker'!B$2:B$2000,""),"")</f>
        <v>0</v>
      </c>
      <c r="X80" s="96">
        <f>IFERROR(_xlfn.XLOOKUP(TEXT(H80,"0000000000"),'📞 Call Tracker'!A$2:A$2000,'📞 Call Tracker'!C$2:C$2000,""),"")</f>
        <v>0</v>
      </c>
      <c r="Y80" s="95">
        <f>IFERROR(_xlfn.XLOOKUP(TEXT(H80,"0000000000"),'📞 Call Tracker'!A$2:A$2000,'📞 Call Tracker'!D$2:D$2000,""),"")</f>
        <v>0</v>
      </c>
      <c r="Z80" s="95">
        <f>IFERROR(_xlfn.XLOOKUP(TEXT(H80,"0000000000"),'📞 Call Tracker'!A$2:A$2000,'📞 Call Tracker'!E$2:E$2000,""),"")</f>
        <v>0</v>
      </c>
      <c r="AA80" s="145">
        <f>IFERROR(_xlfn.XLOOKUP(TEXT(H80,"0000000000"),'📞 Call Tracker'!A$2:A$2000,'📞 Call Tracker'!F$2:F$2000,""),"")</f>
        <v>0</v>
      </c>
      <c r="AB80" s="132">
        <f t="shared" si="3"/>
        <v>99</v>
      </c>
      <c r="AC80" s="79"/>
    </row>
    <row r="81" spans="1:29" ht="20.100000000000001" customHeight="1">
      <c r="A81" s="91">
        <v>45902</v>
      </c>
      <c r="B81" s="92" t="str">
        <v>Koduri</v>
      </c>
      <c r="C81" s="92" t="str">
        <v>Divya</v>
      </c>
      <c r="D81" s="92" t="str">
        <v>Scottsdale</v>
      </c>
      <c r="E81" s="92">
        <v>85255</v>
      </c>
      <c r="F81" s="137" t="str">
        <v>Form letter</v>
      </c>
      <c r="G81" s="93" t="str">
        <v>https://images.edocket.azcc.gov/docketpdf/E000046155.pdf</v>
      </c>
      <c r="H81" s="150" t="s">
        <v>453</v>
      </c>
      <c r="I81" s="114" t="str">
        <v xml:space="preserve">R-XS </v>
      </c>
      <c r="J81" s="94" t="str">
        <v>No</v>
      </c>
      <c r="K81" s="94" t="str">
        <v>No</v>
      </c>
      <c r="L81" s="137" t="str">
        <v>Yes</v>
      </c>
      <c r="M81" s="94" t="str">
        <v>No</v>
      </c>
      <c r="N81" s="134" t="str">
        <v>No</v>
      </c>
      <c r="O81" s="119" t="str">
        <v>Yes</v>
      </c>
      <c r="P81" s="92" t="str">
        <v>N</v>
      </c>
      <c r="Q81" s="91">
        <v>45968</v>
      </c>
      <c r="R81" s="140">
        <v>0</v>
      </c>
      <c r="S81" s="92">
        <v>0</v>
      </c>
      <c r="T81" s="92">
        <v>0</v>
      </c>
      <c r="U81" s="137">
        <v>0</v>
      </c>
      <c r="V81" s="126" t="str">
        <f t="shared" si="2"/>
        <v>✅ On Best Plan</v>
      </c>
      <c r="W81" s="130" t="str">
        <f>IFERROR(_xlfn.XLOOKUP(TEXT(H81,"0000000000"),'📞 Call Tracker'!A$2:A$2000,'📞 Call Tracker'!B$2:B$2000,""),"")</f>
        <v>Michelle</v>
      </c>
      <c r="X81" s="96">
        <f>IFERROR(_xlfn.XLOOKUP(TEXT(H81,"0000000000"),'📞 Call Tracker'!A$2:A$2000,'📞 Call Tracker'!C$2:C$2000,""),"")</f>
        <v>46067</v>
      </c>
      <c r="Y81" s="95" t="str">
        <f>IFERROR(_xlfn.XLOOKUP(TEXT(H81,"0000000000"),'📞 Call Tracker'!A$2:A$2000,'📞 Call Tracker'!D$2:D$2000,""),"")</f>
        <v>YES</v>
      </c>
      <c r="Z81" s="95">
        <f>IFERROR(_xlfn.XLOOKUP(TEXT(H81,"0000000000"),'📞 Call Tracker'!A$2:A$2000,'📞 Call Tracker'!E$2:E$2000,""),"")</f>
        <v>0</v>
      </c>
      <c r="AA81" s="145">
        <f>IFERROR(_xlfn.XLOOKUP(TEXT(H81,"0000000000"),'📞 Call Tracker'!A$2:A$2000,'📞 Call Tracker'!F$2:F$2000,""),"")</f>
        <v>0</v>
      </c>
      <c r="AB81" s="132">
        <f t="shared" si="3"/>
        <v>99</v>
      </c>
      <c r="AC81" s="79"/>
    </row>
    <row r="82" spans="1:29" ht="20.100000000000001" customHeight="1">
      <c r="A82" s="91">
        <v>45902</v>
      </c>
      <c r="B82" s="92" t="str">
        <v>Lyngaas</v>
      </c>
      <c r="C82" s="92" t="str">
        <v>Owen</v>
      </c>
      <c r="D82" s="92" t="str">
        <v>Scottsdale</v>
      </c>
      <c r="E82" s="92">
        <v>85255</v>
      </c>
      <c r="F82" s="137" t="str">
        <v>Form letter</v>
      </c>
      <c r="G82" s="93" t="str">
        <v>https://images.edocket.azcc.gov/docketpdf/E000046155.pdf</v>
      </c>
      <c r="H82" s="150" t="s">
        <v>455</v>
      </c>
      <c r="I82" s="114" t="str">
        <v xml:space="preserve">R-XS </v>
      </c>
      <c r="J82" s="94" t="str">
        <v>No</v>
      </c>
      <c r="K82" s="94" t="str">
        <v>No</v>
      </c>
      <c r="L82" s="137" t="str">
        <v>Yes</v>
      </c>
      <c r="M82" s="94" t="str">
        <v>No</v>
      </c>
      <c r="N82" s="134" t="str">
        <v>No</v>
      </c>
      <c r="O82" s="119" t="str">
        <v>Yes</v>
      </c>
      <c r="P82" s="92" t="str">
        <v>N</v>
      </c>
      <c r="Q82" s="91">
        <v>45968</v>
      </c>
      <c r="R82" s="140">
        <v>0</v>
      </c>
      <c r="S82" s="92">
        <v>0</v>
      </c>
      <c r="T82" s="92">
        <v>0</v>
      </c>
      <c r="U82" s="137">
        <v>0</v>
      </c>
      <c r="V82" s="126" t="str">
        <f t="shared" si="2"/>
        <v>✅ On Best Plan</v>
      </c>
      <c r="W82" s="130" t="str">
        <f>IFERROR(_xlfn.XLOOKUP(TEXT(H82,"0000000000"),'📞 Call Tracker'!A$2:A$2000,'📞 Call Tracker'!B$2:B$2000,""),"")</f>
        <v>Michelle</v>
      </c>
      <c r="X82" s="96">
        <f>IFERROR(_xlfn.XLOOKUP(TEXT(H82,"0000000000"),'📞 Call Tracker'!A$2:A$2000,'📞 Call Tracker'!C$2:C$2000,""),"")</f>
        <v>46067</v>
      </c>
      <c r="Y82" s="95" t="str">
        <f>IFERROR(_xlfn.XLOOKUP(TEXT(H82,"0000000000"),'📞 Call Tracker'!A$2:A$2000,'📞 Call Tracker'!D$2:D$2000,""),"")</f>
        <v>YES</v>
      </c>
      <c r="Z82" s="95">
        <f>IFERROR(_xlfn.XLOOKUP(TEXT(H82,"0000000000"),'📞 Call Tracker'!A$2:A$2000,'📞 Call Tracker'!E$2:E$2000,""),"")</f>
        <v>0</v>
      </c>
      <c r="AA82" s="145">
        <f>IFERROR(_xlfn.XLOOKUP(TEXT(H82,"0000000000"),'📞 Call Tracker'!A$2:A$2000,'📞 Call Tracker'!F$2:F$2000,""),"")</f>
        <v>0</v>
      </c>
      <c r="AB82" s="132">
        <f t="shared" si="3"/>
        <v>99</v>
      </c>
      <c r="AC82" s="79"/>
    </row>
    <row r="83" spans="1:29" ht="20.100000000000001" customHeight="1">
      <c r="A83" s="91">
        <v>45902</v>
      </c>
      <c r="B83" s="92" t="str">
        <v>Peluso</v>
      </c>
      <c r="C83" s="92" t="str">
        <v>Colin</v>
      </c>
      <c r="D83" s="92" t="str">
        <v>Scottsdale</v>
      </c>
      <c r="E83" s="92">
        <v>85254</v>
      </c>
      <c r="F83" s="137" t="str">
        <v>Form letter</v>
      </c>
      <c r="G83" s="93" t="str">
        <v>https://images.edocket.azcc.gov/docketpdf/E000046155.pdf</v>
      </c>
      <c r="H83" s="150" t="s">
        <v>458</v>
      </c>
      <c r="I83" s="114" t="str">
        <v>R3-47</v>
      </c>
      <c r="J83" s="94" t="str">
        <v>No</v>
      </c>
      <c r="K83" s="94" t="str">
        <v>No</v>
      </c>
      <c r="L83" s="137" t="str">
        <v>Yes</v>
      </c>
      <c r="M83" s="94" t="str">
        <v>No</v>
      </c>
      <c r="N83" s="134" t="str">
        <v>No</v>
      </c>
      <c r="O83" s="119" t="str">
        <v>Yes</v>
      </c>
      <c r="P83" s="92" t="str">
        <v>N</v>
      </c>
      <c r="Q83" s="91">
        <v>45968</v>
      </c>
      <c r="R83" s="140">
        <v>0</v>
      </c>
      <c r="S83" s="92">
        <v>0</v>
      </c>
      <c r="T83" s="92">
        <v>0</v>
      </c>
      <c r="U83" s="137">
        <v>0</v>
      </c>
      <c r="V83" s="126" t="str">
        <f t="shared" si="2"/>
        <v>✅ On Best Plan</v>
      </c>
      <c r="W83" s="130" t="str">
        <f>IFERROR(_xlfn.XLOOKUP(TEXT(H83,"0000000000"),'📞 Call Tracker'!A$2:A$2000,'📞 Call Tracker'!B$2:B$2000,""),"")</f>
        <v>Michelle</v>
      </c>
      <c r="X83" s="96">
        <f>IFERROR(_xlfn.XLOOKUP(TEXT(H83,"0000000000"),'📞 Call Tracker'!A$2:A$2000,'📞 Call Tracker'!C$2:C$2000,""),"")</f>
        <v>46067</v>
      </c>
      <c r="Y83" s="95" t="str">
        <f>IFERROR(_xlfn.XLOOKUP(TEXT(H83,"0000000000"),'📞 Call Tracker'!A$2:A$2000,'📞 Call Tracker'!D$2:D$2000,""),"")</f>
        <v>YES</v>
      </c>
      <c r="Z83" s="95">
        <f>IFERROR(_xlfn.XLOOKUP(TEXT(H83,"0000000000"),'📞 Call Tracker'!A$2:A$2000,'📞 Call Tracker'!E$2:E$2000,""),"")</f>
        <v>0</v>
      </c>
      <c r="AA83" s="145">
        <f>IFERROR(_xlfn.XLOOKUP(TEXT(H83,"0000000000"),'📞 Call Tracker'!A$2:A$2000,'📞 Call Tracker'!F$2:F$2000,""),"")</f>
        <v>0</v>
      </c>
      <c r="AB83" s="132">
        <f t="shared" si="3"/>
        <v>99</v>
      </c>
      <c r="AC83" s="79"/>
    </row>
    <row r="84" spans="1:29" ht="20.100000000000001" customHeight="1">
      <c r="A84" s="91">
        <v>45902</v>
      </c>
      <c r="B84" s="92" t="str">
        <v>Scaminaci</v>
      </c>
      <c r="C84" s="92" t="str">
        <v>Todd</v>
      </c>
      <c r="D84" s="92" t="str">
        <v>Phoenix</v>
      </c>
      <c r="E84" s="92">
        <v>85024</v>
      </c>
      <c r="F84" s="137" t="str">
        <v>Form letter</v>
      </c>
      <c r="G84" s="93" t="str">
        <v>https://images.edocket.azcc.gov/docketpdf/E000046155.pdf</v>
      </c>
      <c r="H84" s="150" t="s">
        <v>460</v>
      </c>
      <c r="I84" s="114" t="str">
        <v>EPR-6w/ET-2</v>
      </c>
      <c r="J84" s="94" t="str">
        <v>No</v>
      </c>
      <c r="K84" s="94" t="str">
        <v>No</v>
      </c>
      <c r="L84" s="137" t="str">
        <v>Frozen Rate</v>
      </c>
      <c r="M84" s="94" t="str">
        <v>No</v>
      </c>
      <c r="N84" s="134" t="str">
        <v>No</v>
      </c>
      <c r="O84" s="119" t="str">
        <v>Yes</v>
      </c>
      <c r="P84" s="92" t="str">
        <v>N</v>
      </c>
      <c r="Q84" s="91">
        <v>45968</v>
      </c>
      <c r="R84" s="140">
        <v>0</v>
      </c>
      <c r="S84" s="92">
        <v>0</v>
      </c>
      <c r="T84" s="92">
        <v>0</v>
      </c>
      <c r="U84" s="137">
        <v>0</v>
      </c>
      <c r="V84" s="126" t="str">
        <f t="shared" si="2"/>
        <v>❄ Frozen Rate</v>
      </c>
      <c r="W84" s="130">
        <f>IFERROR(_xlfn.XLOOKUP(TEXT(H84,"0000000000"),'📞 Call Tracker'!A$2:A$2000,'📞 Call Tracker'!B$2:B$2000,""),"")</f>
        <v>0</v>
      </c>
      <c r="X84" s="96">
        <f>IFERROR(_xlfn.XLOOKUP(TEXT(H84,"0000000000"),'📞 Call Tracker'!A$2:A$2000,'📞 Call Tracker'!C$2:C$2000,""),"")</f>
        <v>0</v>
      </c>
      <c r="Y84" s="95">
        <f>IFERROR(_xlfn.XLOOKUP(TEXT(H84,"0000000000"),'📞 Call Tracker'!A$2:A$2000,'📞 Call Tracker'!D$2:D$2000,""),"")</f>
        <v>0</v>
      </c>
      <c r="Z84" s="95">
        <f>IFERROR(_xlfn.XLOOKUP(TEXT(H84,"0000000000"),'📞 Call Tracker'!A$2:A$2000,'📞 Call Tracker'!E$2:E$2000,""),"")</f>
        <v>0</v>
      </c>
      <c r="AA84" s="145">
        <f>IFERROR(_xlfn.XLOOKUP(TEXT(H84,"0000000000"),'📞 Call Tracker'!A$2:A$2000,'📞 Call Tracker'!F$2:F$2000,""),"")</f>
        <v>0</v>
      </c>
      <c r="AB84" s="132">
        <f t="shared" si="3"/>
        <v>99</v>
      </c>
      <c r="AC84" s="79"/>
    </row>
    <row r="85" spans="1:29" ht="20.100000000000001" customHeight="1">
      <c r="A85" s="91">
        <v>45902</v>
      </c>
      <c r="B85" s="92" t="str">
        <v>Bailey</v>
      </c>
      <c r="C85" s="92" t="str">
        <v>Isaiah</v>
      </c>
      <c r="D85" s="92" t="str">
        <v>Phoenix</v>
      </c>
      <c r="E85" s="92">
        <v>85008</v>
      </c>
      <c r="F85" s="137" t="str">
        <v>Form letter</v>
      </c>
      <c r="G85" s="93" t="str">
        <v>https://images.edocket.azcc.gov/docketpdf/E000046155.pdf</v>
      </c>
      <c r="H85" s="150" t="s">
        <v>463</v>
      </c>
      <c r="I85" s="114" t="str">
        <v>R3-47</v>
      </c>
      <c r="J85" s="94" t="str">
        <v>No</v>
      </c>
      <c r="K85" s="94" t="str">
        <v>No</v>
      </c>
      <c r="L85" s="137" t="str">
        <v>Yes</v>
      </c>
      <c r="M85" s="94" t="str">
        <v>No</v>
      </c>
      <c r="N85" s="134" t="str">
        <v>No</v>
      </c>
      <c r="O85" s="119" t="str">
        <v>Yes</v>
      </c>
      <c r="P85" s="92" t="str">
        <v>N</v>
      </c>
      <c r="Q85" s="91">
        <v>45968</v>
      </c>
      <c r="R85" s="140">
        <v>0</v>
      </c>
      <c r="S85" s="92">
        <v>0</v>
      </c>
      <c r="T85" s="92">
        <v>0</v>
      </c>
      <c r="U85" s="137">
        <v>0</v>
      </c>
      <c r="V85" s="126" t="str">
        <f t="shared" si="2"/>
        <v>✅ On Best Plan</v>
      </c>
      <c r="W85" s="130" t="str">
        <f>IFERROR(_xlfn.XLOOKUP(TEXT(H85,"0000000000"),'📞 Call Tracker'!A$2:A$2000,'📞 Call Tracker'!B$2:B$2000,""),"")</f>
        <v>Michelle</v>
      </c>
      <c r="X85" s="96">
        <f>IFERROR(_xlfn.XLOOKUP(TEXT(H85,"0000000000"),'📞 Call Tracker'!A$2:A$2000,'📞 Call Tracker'!C$2:C$2000,""),"")</f>
        <v>46067</v>
      </c>
      <c r="Y85" s="95" t="str">
        <f>IFERROR(_xlfn.XLOOKUP(TEXT(H85,"0000000000"),'📞 Call Tracker'!A$2:A$2000,'📞 Call Tracker'!D$2:D$2000,""),"")</f>
        <v>YES</v>
      </c>
      <c r="Z85" s="95">
        <f>IFERROR(_xlfn.XLOOKUP(TEXT(H85,"0000000000"),'📞 Call Tracker'!A$2:A$2000,'📞 Call Tracker'!E$2:E$2000,""),"")</f>
        <v>0</v>
      </c>
      <c r="AA85" s="145" t="str">
        <f>IFERROR(_xlfn.XLOOKUP(TEXT(H85,"0000000000"),'📞 Call Tracker'!A$2:A$2000,'📞 Call Tracker'!F$2:F$2000,""),"")</f>
        <v>SOLAR ACCT</v>
      </c>
      <c r="AB85" s="132">
        <f t="shared" si="3"/>
        <v>99</v>
      </c>
      <c r="AC85" s="79"/>
    </row>
    <row r="86" spans="1:29" ht="20.100000000000001" customHeight="1">
      <c r="A86" s="91">
        <v>45902</v>
      </c>
      <c r="B86" s="92" t="str">
        <v>Nadolski</v>
      </c>
      <c r="C86" s="92" t="str">
        <v>Andrew</v>
      </c>
      <c r="D86" s="92" t="str">
        <v>Phoenix</v>
      </c>
      <c r="E86" s="92">
        <v>85004</v>
      </c>
      <c r="F86" s="137" t="str">
        <v>Form letter</v>
      </c>
      <c r="G86" s="93" t="str">
        <v>https://images.edocket.azcc.gov/docketpdf/E000046155.pdf</v>
      </c>
      <c r="H86" s="150" t="s">
        <v>467</v>
      </c>
      <c r="I86" s="114" t="str">
        <v xml:space="preserve">R-XS </v>
      </c>
      <c r="J86" s="94" t="str">
        <v>No</v>
      </c>
      <c r="K86" s="94" t="str">
        <v>No</v>
      </c>
      <c r="L86" s="137" t="str">
        <v>Yes</v>
      </c>
      <c r="M86" s="94" t="str">
        <v>No</v>
      </c>
      <c r="N86" s="134" t="str">
        <v>No</v>
      </c>
      <c r="O86" s="119" t="str">
        <v>Yes</v>
      </c>
      <c r="P86" s="92" t="str">
        <v>N</v>
      </c>
      <c r="Q86" s="91">
        <v>45968</v>
      </c>
      <c r="R86" s="140">
        <v>0</v>
      </c>
      <c r="S86" s="92">
        <v>0</v>
      </c>
      <c r="T86" s="92">
        <v>0</v>
      </c>
      <c r="U86" s="137">
        <v>0</v>
      </c>
      <c r="V86" s="126" t="str">
        <f t="shared" si="2"/>
        <v>✅ On Best Plan</v>
      </c>
      <c r="W86" s="130">
        <f>IFERROR(_xlfn.XLOOKUP(TEXT(H86,"0000000000"),'📞 Call Tracker'!A$2:A$2000,'📞 Call Tracker'!B$2:B$2000,""),"")</f>
        <v>0</v>
      </c>
      <c r="X86" s="96">
        <f>IFERROR(_xlfn.XLOOKUP(TEXT(H86,"0000000000"),'📞 Call Tracker'!A$2:A$2000,'📞 Call Tracker'!C$2:C$2000,""),"")</f>
        <v>0</v>
      </c>
      <c r="Y86" s="95">
        <f>IFERROR(_xlfn.XLOOKUP(TEXT(H86,"0000000000"),'📞 Call Tracker'!A$2:A$2000,'📞 Call Tracker'!D$2:D$2000,""),"")</f>
        <v>0</v>
      </c>
      <c r="Z86" s="95">
        <f>IFERROR(_xlfn.XLOOKUP(TEXT(H86,"0000000000"),'📞 Call Tracker'!A$2:A$2000,'📞 Call Tracker'!E$2:E$2000,""),"")</f>
        <v>0</v>
      </c>
      <c r="AA86" s="145">
        <f>IFERROR(_xlfn.XLOOKUP(TEXT(H86,"0000000000"),'📞 Call Tracker'!A$2:A$2000,'📞 Call Tracker'!F$2:F$2000,""),"")</f>
        <v>0</v>
      </c>
      <c r="AB86" s="132">
        <f t="shared" si="3"/>
        <v>99</v>
      </c>
      <c r="AC86" s="79"/>
    </row>
    <row r="87" spans="1:29" ht="20.100000000000001" customHeight="1">
      <c r="A87" s="91">
        <v>45902</v>
      </c>
      <c r="B87" s="92" t="str">
        <v>Vargo</v>
      </c>
      <c r="C87" s="92" t="str">
        <v xml:space="preserve">Daniel </v>
      </c>
      <c r="D87" s="92" t="str">
        <v>Phoenix</v>
      </c>
      <c r="E87" s="92">
        <v>85050</v>
      </c>
      <c r="F87" s="137" t="str">
        <v>Opposed</v>
      </c>
      <c r="G87" s="93" t="str">
        <v>https://images.edocket.azcc.gov/docketpdf/E000046155.pdf</v>
      </c>
      <c r="H87" s="150" t="s">
        <v>470</v>
      </c>
      <c r="I87" s="114" t="str">
        <v>R3-47</v>
      </c>
      <c r="J87" s="94" t="str">
        <v>No</v>
      </c>
      <c r="K87" s="94" t="str">
        <v>No</v>
      </c>
      <c r="L87" s="137" t="str">
        <v>Yes</v>
      </c>
      <c r="M87" s="94" t="str">
        <v>No</v>
      </c>
      <c r="N87" s="134" t="str">
        <v>No</v>
      </c>
      <c r="O87" s="119" t="str">
        <v>Yes</v>
      </c>
      <c r="P87" s="92" t="str">
        <v>N</v>
      </c>
      <c r="Q87" s="91">
        <v>45968</v>
      </c>
      <c r="R87" s="140">
        <v>0</v>
      </c>
      <c r="S87" s="92">
        <v>0</v>
      </c>
      <c r="T87" s="92">
        <v>0</v>
      </c>
      <c r="U87" s="137">
        <v>0</v>
      </c>
      <c r="V87" s="126" t="str">
        <f t="shared" si="2"/>
        <v>✅ On Best Plan</v>
      </c>
      <c r="W87" s="130" t="str">
        <f>IFERROR(_xlfn.XLOOKUP(TEXT(H87,"0000000000"),'📞 Call Tracker'!A$2:A$2000,'📞 Call Tracker'!B$2:B$2000,""),"")</f>
        <v>Michelle</v>
      </c>
      <c r="X87" s="96">
        <f>IFERROR(_xlfn.XLOOKUP(TEXT(H87,"0000000000"),'📞 Call Tracker'!A$2:A$2000,'📞 Call Tracker'!C$2:C$2000,""),"")</f>
        <v>46067</v>
      </c>
      <c r="Y87" s="95" t="str">
        <f>IFERROR(_xlfn.XLOOKUP(TEXT(H87,"0000000000"),'📞 Call Tracker'!A$2:A$2000,'📞 Call Tracker'!D$2:D$2000,""),"")</f>
        <v>NO</v>
      </c>
      <c r="Z87" s="95" t="str">
        <f>IFERROR(_xlfn.XLOOKUP(TEXT(H87,"0000000000"),'📞 Call Tracker'!A$2:A$2000,'📞 Call Tracker'!E$2:E$2000,""),"")</f>
        <v>General Education</v>
      </c>
      <c r="AA87" s="145">
        <f>IFERROR(_xlfn.XLOOKUP(TEXT(H87,"0000000000"),'📞 Call Tracker'!A$2:A$2000,'📞 Call Tracker'!F$2:F$2000,""),"")</f>
        <v>0</v>
      </c>
      <c r="AB87" s="132">
        <f t="shared" si="3"/>
        <v>99</v>
      </c>
      <c r="AC87" s="79"/>
    </row>
    <row r="88" spans="1:29" ht="20.100000000000001" customHeight="1">
      <c r="A88" s="91">
        <v>45902</v>
      </c>
      <c r="B88" s="92" t="str">
        <v>Wasserman</v>
      </c>
      <c r="C88" s="92" t="str">
        <v>Michael</v>
      </c>
      <c r="D88" s="92" t="str">
        <v>Phoenix</v>
      </c>
      <c r="E88" s="92">
        <v>85083</v>
      </c>
      <c r="F88" s="137" t="str">
        <v>Form letter</v>
      </c>
      <c r="G88" s="93" t="str">
        <v>https://images.edocket.azcc.gov/docketpdf/E000046155.pdf</v>
      </c>
      <c r="H88" s="150" t="s">
        <v>6179</v>
      </c>
      <c r="I88" s="114" t="str">
        <v>RCPw/RTOUE47</v>
      </c>
      <c r="J88" s="94" t="str">
        <v>No</v>
      </c>
      <c r="K88" s="94" t="str">
        <v>No</v>
      </c>
      <c r="L88" s="137" t="str">
        <v>No MEP R3-47($123.47)</v>
      </c>
      <c r="M88" s="94" t="str">
        <v>No</v>
      </c>
      <c r="N88" s="134" t="str">
        <v>No</v>
      </c>
      <c r="O88" s="119" t="str">
        <v>Yes</v>
      </c>
      <c r="P88" s="92">
        <v>45939</v>
      </c>
      <c r="Q88" s="91">
        <v>45968</v>
      </c>
      <c r="R88" s="140" t="str">
        <v>10/9 - Left VM</v>
      </c>
      <c r="S88" s="92">
        <v>0</v>
      </c>
      <c r="T88" s="92">
        <v>0</v>
      </c>
      <c r="U88" s="137">
        <v>0</v>
      </c>
      <c r="V88" s="126" t="str">
        <f t="shared" si="2"/>
        <v>❌ Not on Best Plan</v>
      </c>
      <c r="W88" s="130">
        <f>IFERROR(_xlfn.XLOOKUP(TEXT(H88,"0000000000"),'📞 Call Tracker'!A$2:A$2000,'📞 Call Tracker'!B$2:B$2000,""),"")</f>
        <v>0</v>
      </c>
      <c r="X88" s="96">
        <f>IFERROR(_xlfn.XLOOKUP(TEXT(H88,"0000000000"),'📞 Call Tracker'!A$2:A$2000,'📞 Call Tracker'!C$2:C$2000,""),"")</f>
        <v>0</v>
      </c>
      <c r="Y88" s="95">
        <f>IFERROR(_xlfn.XLOOKUP(TEXT(H88,"0000000000"),'📞 Call Tracker'!A$2:A$2000,'📞 Call Tracker'!D$2:D$2000,""),"")</f>
        <v>0</v>
      </c>
      <c r="Z88" s="95">
        <f>IFERROR(_xlfn.XLOOKUP(TEXT(H88,"0000000000"),'📞 Call Tracker'!A$2:A$2000,'📞 Call Tracker'!E$2:E$2000,""),"")</f>
        <v>0</v>
      </c>
      <c r="AA88" s="145">
        <f>IFERROR(_xlfn.XLOOKUP(TEXT(H88,"0000000000"),'📞 Call Tracker'!A$2:A$2000,'📞 Call Tracker'!F$2:F$2000,""),"")</f>
        <v>0</v>
      </c>
      <c r="AB88" s="132">
        <f t="shared" si="3"/>
        <v>99</v>
      </c>
      <c r="AC88" s="79"/>
    </row>
    <row r="89" spans="1:29" ht="20.100000000000001" customHeight="1">
      <c r="A89" s="91">
        <v>45902</v>
      </c>
      <c r="B89" s="92" t="str">
        <v>Nicosia</v>
      </c>
      <c r="C89" s="92" t="str">
        <v>Marcella</v>
      </c>
      <c r="D89" s="92" t="str">
        <v>Phoenix</v>
      </c>
      <c r="E89" s="92">
        <v>85013</v>
      </c>
      <c r="F89" s="137" t="str">
        <v>Form letter</v>
      </c>
      <c r="G89" s="93" t="str">
        <v>https://images.edocket.azcc.gov/docketpdf/E000046155.pdf</v>
      </c>
      <c r="H89" s="150" t="s">
        <v>479</v>
      </c>
      <c r="I89" s="114" t="str">
        <v>R-BASIC</v>
      </c>
      <c r="J89" s="94" t="str">
        <v>No</v>
      </c>
      <c r="K89" s="94" t="str">
        <v>No</v>
      </c>
      <c r="L89" s="137" t="str">
        <v>Yes</v>
      </c>
      <c r="M89" s="94" t="str">
        <v>No</v>
      </c>
      <c r="N89" s="134" t="str">
        <v>No</v>
      </c>
      <c r="O89" s="119" t="str">
        <v>Yes</v>
      </c>
      <c r="P89" s="92" t="str">
        <v>N</v>
      </c>
      <c r="Q89" s="91">
        <v>45968</v>
      </c>
      <c r="R89" s="140">
        <v>0</v>
      </c>
      <c r="S89" s="92">
        <v>0</v>
      </c>
      <c r="T89" s="92">
        <v>0</v>
      </c>
      <c r="U89" s="137">
        <v>0</v>
      </c>
      <c r="V89" s="126" t="str">
        <f t="shared" si="2"/>
        <v>✅ On Best Plan</v>
      </c>
      <c r="W89" s="130" t="str">
        <f>IFERROR(_xlfn.XLOOKUP(TEXT(H89,"0000000000"),'📞 Call Tracker'!A$2:A$2000,'📞 Call Tracker'!B$2:B$2000,""),"")</f>
        <v>Joaquin</v>
      </c>
      <c r="X89" s="96">
        <f>IFERROR(_xlfn.XLOOKUP(TEXT(H89,"0000000000"),'📞 Call Tracker'!A$2:A$2000,'📞 Call Tracker'!C$2:C$2000,""),"")</f>
        <v>46011</v>
      </c>
      <c r="Y89" s="95" t="str">
        <f>IFERROR(_xlfn.XLOOKUP(TEXT(H89,"0000000000"),'📞 Call Tracker'!A$2:A$2000,'📞 Call Tracker'!D$2:D$2000,""),"")</f>
        <v>YES</v>
      </c>
      <c r="Z89" s="95">
        <f>IFERROR(_xlfn.XLOOKUP(TEXT(H89,"0000000000"),'📞 Call Tracker'!A$2:A$2000,'📞 Call Tracker'!E$2:E$2000,""),"")</f>
        <v>0</v>
      </c>
      <c r="AA89" s="145" t="str">
        <f>IFERROR(_xlfn.XLOOKUP(TEXT(H89,"0000000000"),'📞 Call Tracker'!A$2:A$2000,'📞 Call Tracker'!F$2:F$2000,""),"")</f>
        <v>TIME OF USE PLAN WITH DEMAND BEST PLAN</v>
      </c>
      <c r="AB89" s="132">
        <f t="shared" si="3"/>
        <v>99</v>
      </c>
      <c r="AC89" s="79"/>
    </row>
    <row r="90" spans="1:29" ht="20.100000000000001" customHeight="1">
      <c r="A90" s="91">
        <v>45902</v>
      </c>
      <c r="B90" s="92" t="str">
        <v>Assaraf</v>
      </c>
      <c r="C90" s="92" t="str">
        <v>Sandy</v>
      </c>
      <c r="D90" s="92" t="str">
        <v>Unknown</v>
      </c>
      <c r="E90" s="92" t="str">
        <v>Unknown</v>
      </c>
      <c r="F90" s="137" t="str">
        <v>Opposed</v>
      </c>
      <c r="G90" s="93" t="str">
        <v>https://images.edocket.azcc.gov/docketpdf/E000046155.pdf</v>
      </c>
      <c r="H90" s="150" t="s">
        <v>486</v>
      </c>
      <c r="I90" s="114" t="str">
        <v>R-BASIC</v>
      </c>
      <c r="J90" s="94" t="str">
        <v>Yes</v>
      </c>
      <c r="K90" s="94" t="str">
        <v>No</v>
      </c>
      <c r="L90" s="137" t="str">
        <v>Yes</v>
      </c>
      <c r="M90" s="94" t="str">
        <v>No</v>
      </c>
      <c r="N90" s="134" t="str">
        <v>No</v>
      </c>
      <c r="O90" s="119" t="str">
        <v>Yes</v>
      </c>
      <c r="P90" s="92" t="str">
        <v>N</v>
      </c>
      <c r="Q90" s="91">
        <v>45968</v>
      </c>
      <c r="R90" s="140">
        <v>0</v>
      </c>
      <c r="S90" s="92">
        <v>0</v>
      </c>
      <c r="T90" s="92">
        <v>0</v>
      </c>
      <c r="U90" s="137">
        <v>0</v>
      </c>
      <c r="V90" s="126" t="str">
        <f t="shared" si="2"/>
        <v>✅ On Best Plan</v>
      </c>
      <c r="W90" s="130">
        <f>IFERROR(_xlfn.XLOOKUP(TEXT(H90,"0000000000"),'📞 Call Tracker'!A$2:A$2000,'📞 Call Tracker'!B$2:B$2000,""),"")</f>
        <v>0</v>
      </c>
      <c r="X90" s="96">
        <f>IFERROR(_xlfn.XLOOKUP(TEXT(H90,"0000000000"),'📞 Call Tracker'!A$2:A$2000,'📞 Call Tracker'!C$2:C$2000,""),"")</f>
        <v>0</v>
      </c>
      <c r="Y90" s="95">
        <f>IFERROR(_xlfn.XLOOKUP(TEXT(H90,"0000000000"),'📞 Call Tracker'!A$2:A$2000,'📞 Call Tracker'!D$2:D$2000,""),"")</f>
        <v>0</v>
      </c>
      <c r="Z90" s="95">
        <f>IFERROR(_xlfn.XLOOKUP(TEXT(H90,"0000000000"),'📞 Call Tracker'!A$2:A$2000,'📞 Call Tracker'!E$2:E$2000,""),"")</f>
        <v>0</v>
      </c>
      <c r="AA90" s="145">
        <f>IFERROR(_xlfn.XLOOKUP(TEXT(H90,"0000000000"),'📞 Call Tracker'!A$2:A$2000,'📞 Call Tracker'!F$2:F$2000,""),"")</f>
        <v>0</v>
      </c>
      <c r="AB90" s="132">
        <f t="shared" si="3"/>
        <v>99</v>
      </c>
      <c r="AC90" s="79"/>
    </row>
    <row r="91" spans="1:29" ht="20.100000000000001" customHeight="1">
      <c r="A91" s="91">
        <v>45902</v>
      </c>
      <c r="B91" s="92" t="str">
        <v>Roudette</v>
      </c>
      <c r="C91" s="92" t="str">
        <v>Alexander</v>
      </c>
      <c r="D91" s="92" t="str">
        <v>Phoenix</v>
      </c>
      <c r="E91" s="92">
        <v>85009</v>
      </c>
      <c r="F91" s="137" t="str">
        <v>Opposed</v>
      </c>
      <c r="G91" s="93" t="str">
        <v>https://images.edocket.azcc.gov/docketpdf/E000046155.pdf</v>
      </c>
      <c r="H91" s="150" t="s">
        <v>489</v>
      </c>
      <c r="I91" s="114" t="str">
        <v>R3-47</v>
      </c>
      <c r="J91" s="94" t="str">
        <v>No</v>
      </c>
      <c r="K91" s="94" t="str">
        <v>No</v>
      </c>
      <c r="L91" s="137" t="str">
        <v>Yes</v>
      </c>
      <c r="M91" s="94" t="str">
        <v>Yes</v>
      </c>
      <c r="N91" s="134">
        <v>942.59</v>
      </c>
      <c r="O91" s="119" t="str">
        <v>Yes</v>
      </c>
      <c r="P91" s="92">
        <v>0</v>
      </c>
      <c r="Q91" s="91">
        <v>45968</v>
      </c>
      <c r="R91" s="140" t="str">
        <v>Assistance?</v>
      </c>
      <c r="S91" s="92">
        <v>0</v>
      </c>
      <c r="T91" s="92">
        <v>0</v>
      </c>
      <c r="U91" s="137">
        <v>0</v>
      </c>
      <c r="V91" s="126" t="str">
        <f t="shared" si="2"/>
        <v>✅ On Best Plan</v>
      </c>
      <c r="W91" s="130" t="str">
        <f>IFERROR(_xlfn.XLOOKUP(TEXT(H91,"0000000000"),'📞 Call Tracker'!A$2:A$2000,'📞 Call Tracker'!B$2:B$2000,""),"")</f>
        <v>Michelle</v>
      </c>
      <c r="X91" s="96">
        <f>IFERROR(_xlfn.XLOOKUP(TEXT(H91,"0000000000"),'📞 Call Tracker'!A$2:A$2000,'📞 Call Tracker'!C$2:C$2000,""),"")</f>
        <v>46067</v>
      </c>
      <c r="Y91" s="95" t="str">
        <f>IFERROR(_xlfn.XLOOKUP(TEXT(H91,"0000000000"),'📞 Call Tracker'!A$2:A$2000,'📞 Call Tracker'!D$2:D$2000,""),"")</f>
        <v>NO</v>
      </c>
      <c r="Z91" s="95" t="str">
        <f>IFERROR(_xlfn.XLOOKUP(TEXT(H91,"0000000000"),'📞 Call Tracker'!A$2:A$2000,'📞 Call Tracker'!E$2:E$2000,""),"")</f>
        <v>General Education</v>
      </c>
      <c r="AA91" s="145">
        <f>IFERROR(_xlfn.XLOOKUP(TEXT(H91,"0000000000"),'📞 Call Tracker'!A$2:A$2000,'📞 Call Tracker'!F$2:F$2000,""),"")</f>
        <v>0</v>
      </c>
      <c r="AB91" s="132">
        <f t="shared" si="3"/>
        <v>99</v>
      </c>
      <c r="AC91" s="79"/>
    </row>
    <row r="92" spans="1:29" ht="20.100000000000001" customHeight="1">
      <c r="A92" s="91">
        <v>45903</v>
      </c>
      <c r="B92" s="92" t="str">
        <v>Esho</v>
      </c>
      <c r="C92" s="92" t="str">
        <v>Jacob</v>
      </c>
      <c r="D92" s="92" t="str">
        <v>Unknown</v>
      </c>
      <c r="E92" s="92" t="str">
        <v>Unknown</v>
      </c>
      <c r="F92" s="137" t="str">
        <v>Opposed</v>
      </c>
      <c r="G92" s="93" t="str">
        <v>https://images.edocket.azcc.gov/docketpdf/0000215113.pdf</v>
      </c>
      <c r="H92" s="150" t="s">
        <v>491</v>
      </c>
      <c r="I92" s="114" t="str">
        <v>R3-47</v>
      </c>
      <c r="J92" s="94" t="str">
        <v>No</v>
      </c>
      <c r="K92" s="94" t="str">
        <v>No</v>
      </c>
      <c r="L92" s="137" t="str">
        <v>Yes</v>
      </c>
      <c r="M92" s="94" t="str">
        <v>No</v>
      </c>
      <c r="N92" s="134" t="str">
        <v>No</v>
      </c>
      <c r="O92" s="119" t="str">
        <v>Yes</v>
      </c>
      <c r="P92" s="92" t="str">
        <v>N</v>
      </c>
      <c r="Q92" s="91">
        <v>45968</v>
      </c>
      <c r="R92" s="140">
        <v>0</v>
      </c>
      <c r="S92" s="92">
        <v>0</v>
      </c>
      <c r="T92" s="92">
        <v>0</v>
      </c>
      <c r="U92" s="137">
        <v>0</v>
      </c>
      <c r="V92" s="126" t="str">
        <f t="shared" si="2"/>
        <v>✅ On Best Plan</v>
      </c>
      <c r="W92" s="130" t="str">
        <f>IFERROR(_xlfn.XLOOKUP(TEXT(H92,"0000000000"),'📞 Call Tracker'!A$2:A$2000,'📞 Call Tracker'!B$2:B$2000,""),"")</f>
        <v>Joaquin</v>
      </c>
      <c r="X92" s="96">
        <f>IFERROR(_xlfn.XLOOKUP(TEXT(H92,"0000000000"),'📞 Call Tracker'!A$2:A$2000,'📞 Call Tracker'!C$2:C$2000,""),"")</f>
        <v>46011</v>
      </c>
      <c r="Y92" s="95" t="str">
        <f>IFERROR(_xlfn.XLOOKUP(TEXT(H92,"0000000000"),'📞 Call Tracker'!A$2:A$2000,'📞 Call Tracker'!D$2:D$2000,""),"")</f>
        <v>NO</v>
      </c>
      <c r="Z92" s="95" t="str">
        <f>IFERROR(_xlfn.XLOOKUP(TEXT(H92,"0000000000"),'📞 Call Tracker'!A$2:A$2000,'📞 Call Tracker'!E$2:E$2000,""),"")</f>
        <v>General Education</v>
      </c>
      <c r="AA92" s="145" t="str">
        <f>IFERROR(_xlfn.XLOOKUP(TEXT(H92,"0000000000"),'📞 Call Tracker'!A$2:A$2000,'📞 Call Tracker'!F$2:F$2000,""),"")</f>
        <v>sent claim form to fill out updated contact#</v>
      </c>
      <c r="AB92" s="132">
        <f t="shared" si="3"/>
        <v>99</v>
      </c>
      <c r="AC92" s="79"/>
    </row>
    <row r="93" spans="1:29" ht="20.100000000000001" customHeight="1">
      <c r="A93" s="91">
        <v>45903</v>
      </c>
      <c r="B93" s="92" t="str">
        <v>Shuck</v>
      </c>
      <c r="C93" s="92" t="str">
        <v>Ken</v>
      </c>
      <c r="D93" s="92" t="str">
        <v>Flagstaff</v>
      </c>
      <c r="E93" s="92">
        <v>86001</v>
      </c>
      <c r="F93" s="137" t="str">
        <v>Would be a hardship</v>
      </c>
      <c r="G93" s="93" t="str">
        <v>https://images.edocket.azcc.gov/docketpdf/E000046190.pdf</v>
      </c>
      <c r="H93" s="150" t="s">
        <v>498</v>
      </c>
      <c r="I93" s="114" t="str">
        <v>R-XS</v>
      </c>
      <c r="J93" s="94" t="str">
        <v>No</v>
      </c>
      <c r="K93" s="94" t="str">
        <v>No</v>
      </c>
      <c r="L93" s="137" t="str">
        <v>Yes</v>
      </c>
      <c r="M93" s="94" t="str">
        <v>No</v>
      </c>
      <c r="N93" s="134" t="str">
        <v>No</v>
      </c>
      <c r="O93" s="119" t="str">
        <v>Yes</v>
      </c>
      <c r="P93" s="92" t="str">
        <v>N</v>
      </c>
      <c r="Q93" s="91">
        <v>45968</v>
      </c>
      <c r="R93" s="140">
        <v>0</v>
      </c>
      <c r="S93" s="92">
        <v>0</v>
      </c>
      <c r="T93" s="92">
        <v>0</v>
      </c>
      <c r="U93" s="137">
        <v>0</v>
      </c>
      <c r="V93" s="126" t="str">
        <f t="shared" si="2"/>
        <v>✅ On Best Plan</v>
      </c>
      <c r="W93" s="130" t="str">
        <f>IFERROR(_xlfn.XLOOKUP(TEXT(H93,"0000000000"),'📞 Call Tracker'!A$2:A$2000,'📞 Call Tracker'!B$2:B$2000,""),"")</f>
        <v>Michelle</v>
      </c>
      <c r="X93" s="96">
        <f>IFERROR(_xlfn.XLOOKUP(TEXT(H93,"0000000000"),'📞 Call Tracker'!A$2:A$2000,'📞 Call Tracker'!C$2:C$2000,""),"")</f>
        <v>46067</v>
      </c>
      <c r="Y93" s="95" t="str">
        <f>IFERROR(_xlfn.XLOOKUP(TEXT(H93,"0000000000"),'📞 Call Tracker'!A$2:A$2000,'📞 Call Tracker'!D$2:D$2000,""),"")</f>
        <v>YES</v>
      </c>
      <c r="Z93" s="95">
        <f>IFERROR(_xlfn.XLOOKUP(TEXT(H93,"0000000000"),'📞 Call Tracker'!A$2:A$2000,'📞 Call Tracker'!E$2:E$2000,""),"")</f>
        <v>0</v>
      </c>
      <c r="AA93" s="145" t="str">
        <f>IFERROR(_xlfn.XLOOKUP(TEXT(H93,"0000000000"),'📞 Call Tracker'!A$2:A$2000,'📞 Call Tracker'!F$2:F$2000,""),"")</f>
        <v>SOLAR ACCT</v>
      </c>
      <c r="AB93" s="132">
        <f t="shared" si="3"/>
        <v>99</v>
      </c>
      <c r="AC93" s="79"/>
    </row>
    <row r="94" spans="1:29" ht="20.100000000000001" customHeight="1">
      <c r="A94" s="91">
        <v>45903</v>
      </c>
      <c r="B94" s="92" t="str">
        <v>Gardner</v>
      </c>
      <c r="C94" s="92" t="str">
        <v>Karece</v>
      </c>
      <c r="D94" s="92" t="str">
        <v>Glendale</v>
      </c>
      <c r="E94" s="92">
        <v>85308</v>
      </c>
      <c r="F94" s="137" t="str">
        <v>Opposed</v>
      </c>
      <c r="G94" s="93" t="str">
        <v>https://images.edocket.azcc.gov/docketpdf/E000046190.pdf</v>
      </c>
      <c r="H94" s="150" t="s">
        <v>504</v>
      </c>
      <c r="I94" s="114" t="str">
        <v>RTOUE47</v>
      </c>
      <c r="J94" s="94" t="str">
        <v>No</v>
      </c>
      <c r="K94" s="94" t="str">
        <v>No</v>
      </c>
      <c r="L94" s="137" t="str">
        <v>No MEP R3-47($216.65)</v>
      </c>
      <c r="M94" s="94" t="str">
        <v>No</v>
      </c>
      <c r="N94" s="134" t="str">
        <v>No</v>
      </c>
      <c r="O94" s="119" t="str">
        <v>Yes</v>
      </c>
      <c r="P94" s="92">
        <v>45932</v>
      </c>
      <c r="Q94" s="91">
        <v>45968</v>
      </c>
      <c r="R94" s="140" t="str">
        <v>10/2 - Left VM</v>
      </c>
      <c r="S94" s="92">
        <v>0</v>
      </c>
      <c r="T94" s="92">
        <v>0</v>
      </c>
      <c r="U94" s="137">
        <v>0</v>
      </c>
      <c r="V94" s="126" t="str">
        <f t="shared" si="2"/>
        <v>❌ Not on Best Plan</v>
      </c>
      <c r="W94" s="130">
        <f>IFERROR(_xlfn.XLOOKUP(TEXT(H94,"0000000000"),'📞 Call Tracker'!A$2:A$2000,'📞 Call Tracker'!B$2:B$2000,""),"")</f>
        <v>0</v>
      </c>
      <c r="X94" s="96">
        <f>IFERROR(_xlfn.XLOOKUP(TEXT(H94,"0000000000"),'📞 Call Tracker'!A$2:A$2000,'📞 Call Tracker'!C$2:C$2000,""),"")</f>
        <v>0</v>
      </c>
      <c r="Y94" s="95">
        <f>IFERROR(_xlfn.XLOOKUP(TEXT(H94,"0000000000"),'📞 Call Tracker'!A$2:A$2000,'📞 Call Tracker'!D$2:D$2000,""),"")</f>
        <v>0</v>
      </c>
      <c r="Z94" s="95">
        <f>IFERROR(_xlfn.XLOOKUP(TEXT(H94,"0000000000"),'📞 Call Tracker'!A$2:A$2000,'📞 Call Tracker'!E$2:E$2000,""),"")</f>
        <v>0</v>
      </c>
      <c r="AA94" s="145">
        <f>IFERROR(_xlfn.XLOOKUP(TEXT(H94,"0000000000"),'📞 Call Tracker'!A$2:A$2000,'📞 Call Tracker'!F$2:F$2000,""),"")</f>
        <v>0</v>
      </c>
      <c r="AB94" s="132">
        <f t="shared" si="3"/>
        <v>99</v>
      </c>
      <c r="AC94" s="79"/>
    </row>
    <row r="95" spans="1:29" ht="20.100000000000001" customHeight="1">
      <c r="A95" s="91">
        <v>45903</v>
      </c>
      <c r="B95" s="92" t="str">
        <v>Hampton</v>
      </c>
      <c r="C95" s="92" t="str">
        <v>Destiny</v>
      </c>
      <c r="D95" s="92" t="str">
        <v>Phoenix</v>
      </c>
      <c r="E95" s="92">
        <v>85024</v>
      </c>
      <c r="F95" s="137" t="str">
        <v>Form letter</v>
      </c>
      <c r="G95" s="93" t="str">
        <v>https://images.edocket.azcc.gov/docketpdf/E000046190.pdf</v>
      </c>
      <c r="H95" s="150" t="s">
        <v>507</v>
      </c>
      <c r="I95" s="114" t="str">
        <v>R-BASIC</v>
      </c>
      <c r="J95" s="94" t="str">
        <v>No</v>
      </c>
      <c r="K95" s="94" t="str">
        <v>No</v>
      </c>
      <c r="L95" s="137" t="str">
        <v>Yes</v>
      </c>
      <c r="M95" s="94" t="str">
        <v>No</v>
      </c>
      <c r="N95" s="134" t="str">
        <v>No</v>
      </c>
      <c r="O95" s="119" t="str">
        <v>Yes</v>
      </c>
      <c r="P95" s="92" t="str">
        <v>N</v>
      </c>
      <c r="Q95" s="91">
        <v>45968</v>
      </c>
      <c r="R95" s="140">
        <v>0</v>
      </c>
      <c r="S95" s="92">
        <v>0</v>
      </c>
      <c r="T95" s="92">
        <v>0</v>
      </c>
      <c r="U95" s="137">
        <v>0</v>
      </c>
      <c r="V95" s="126" t="str">
        <f t="shared" si="2"/>
        <v>✅ On Best Plan</v>
      </c>
      <c r="W95" s="130" t="str">
        <f>IFERROR(_xlfn.XLOOKUP(TEXT(H95,"0000000000"),'📞 Call Tracker'!A$2:A$2000,'📞 Call Tracker'!B$2:B$2000,""),"")</f>
        <v>Joaquin</v>
      </c>
      <c r="X95" s="96">
        <f>IFERROR(_xlfn.XLOOKUP(TEXT(H95,"0000000000"),'📞 Call Tracker'!A$2:A$2000,'📞 Call Tracker'!C$2:C$2000,""),"")</f>
        <v>46011</v>
      </c>
      <c r="Y95" s="95" t="str">
        <f>IFERROR(_xlfn.XLOOKUP(TEXT(H95,"0000000000"),'📞 Call Tracker'!A$2:A$2000,'📞 Call Tracker'!D$2:D$2000,""),"")</f>
        <v>YES</v>
      </c>
      <c r="Z95" s="95">
        <f>IFERROR(_xlfn.XLOOKUP(TEXT(H95,"0000000000"),'📞 Call Tracker'!A$2:A$2000,'📞 Call Tracker'!E$2:E$2000,""),"")</f>
        <v>0</v>
      </c>
      <c r="AA95" s="145">
        <f>IFERROR(_xlfn.XLOOKUP(TEXT(H95,"0000000000"),'📞 Call Tracker'!A$2:A$2000,'📞 Call Tracker'!F$2:F$2000,""),"")</f>
        <v>0</v>
      </c>
      <c r="AB95" s="132">
        <f t="shared" si="3"/>
        <v>99</v>
      </c>
      <c r="AC95" s="79"/>
    </row>
    <row r="96" spans="1:29" ht="20.100000000000001" customHeight="1">
      <c r="A96" s="91">
        <v>45903</v>
      </c>
      <c r="B96" s="92" t="str">
        <v>Premjee</v>
      </c>
      <c r="C96" s="92" t="str">
        <v>Jayesh</v>
      </c>
      <c r="D96" s="92" t="str">
        <v>Peoria</v>
      </c>
      <c r="E96" s="92">
        <v>85383</v>
      </c>
      <c r="F96" s="137" t="str">
        <v>Financial burden</v>
      </c>
      <c r="G96" s="93" t="str">
        <v>https://images.edocket.azcc.gov/docketpdf/E000046190.pdf</v>
      </c>
      <c r="H96" s="150" t="s">
        <v>511</v>
      </c>
      <c r="I96" s="114" t="str">
        <v>RTOUE47</v>
      </c>
      <c r="J96" s="94" t="str">
        <v>No</v>
      </c>
      <c r="K96" s="94" t="str">
        <v>No</v>
      </c>
      <c r="L96" s="137" t="str">
        <v>No MEP R3-47($176.22)</v>
      </c>
      <c r="M96" s="94" t="str">
        <v>No</v>
      </c>
      <c r="N96" s="134" t="str">
        <v>No</v>
      </c>
      <c r="O96" s="119" t="str">
        <v>Yes</v>
      </c>
      <c r="P96" s="92">
        <v>45932</v>
      </c>
      <c r="Q96" s="91">
        <v>45968</v>
      </c>
      <c r="R96" s="140" t="str">
        <v>Spoke w/customer- he will think about it and either call back or change online</v>
      </c>
      <c r="S96" s="92">
        <v>0</v>
      </c>
      <c r="T96" s="92">
        <v>0</v>
      </c>
      <c r="U96" s="137">
        <v>0</v>
      </c>
      <c r="V96" s="126" t="str">
        <f t="shared" si="2"/>
        <v>❌ Not on Best Plan</v>
      </c>
      <c r="W96" s="130">
        <f>IFERROR(_xlfn.XLOOKUP(TEXT(H96,"0000000000"),'📞 Call Tracker'!A$2:A$2000,'📞 Call Tracker'!B$2:B$2000,""),"")</f>
        <v>0</v>
      </c>
      <c r="X96" s="96">
        <f>IFERROR(_xlfn.XLOOKUP(TEXT(H96,"0000000000"),'📞 Call Tracker'!A$2:A$2000,'📞 Call Tracker'!C$2:C$2000,""),"")</f>
        <v>0</v>
      </c>
      <c r="Y96" s="95">
        <f>IFERROR(_xlfn.XLOOKUP(TEXT(H96,"0000000000"),'📞 Call Tracker'!A$2:A$2000,'📞 Call Tracker'!D$2:D$2000,""),"")</f>
        <v>0</v>
      </c>
      <c r="Z96" s="95">
        <f>IFERROR(_xlfn.XLOOKUP(TEXT(H96,"0000000000"),'📞 Call Tracker'!A$2:A$2000,'📞 Call Tracker'!E$2:E$2000,""),"")</f>
        <v>0</v>
      </c>
      <c r="AA96" s="145">
        <f>IFERROR(_xlfn.XLOOKUP(TEXT(H96,"0000000000"),'📞 Call Tracker'!A$2:A$2000,'📞 Call Tracker'!F$2:F$2000,""),"")</f>
        <v>0</v>
      </c>
      <c r="AB96" s="132">
        <f t="shared" si="3"/>
        <v>99</v>
      </c>
      <c r="AC96" s="79"/>
    </row>
    <row r="97" spans="1:29" ht="20.100000000000001" customHeight="1">
      <c r="A97" s="91">
        <v>45903</v>
      </c>
      <c r="B97" s="92" t="str">
        <v>Soledad</v>
      </c>
      <c r="C97" s="92" t="str">
        <v>Ramon</v>
      </c>
      <c r="D97" s="92" t="str">
        <v>Avondale</v>
      </c>
      <c r="E97" s="92">
        <v>85392</v>
      </c>
      <c r="F97" s="137" t="str">
        <v>Opposed</v>
      </c>
      <c r="G97" s="93" t="str">
        <v>https://images.edocket.azcc.gov/docketpdf/E000046190.pdf</v>
      </c>
      <c r="H97" s="150" t="s">
        <v>515</v>
      </c>
      <c r="I97" s="114" t="str">
        <v>R3-47</v>
      </c>
      <c r="J97" s="94" t="str">
        <v>No</v>
      </c>
      <c r="K97" s="94" t="str">
        <v>No</v>
      </c>
      <c r="L97" s="137" t="str">
        <v>Yes</v>
      </c>
      <c r="M97" s="94" t="str">
        <v>No</v>
      </c>
      <c r="N97" s="134" t="str">
        <v>No</v>
      </c>
      <c r="O97" s="119" t="str">
        <v>Yes</v>
      </c>
      <c r="P97" s="92" t="str">
        <v>N</v>
      </c>
      <c r="Q97" s="91">
        <v>45968</v>
      </c>
      <c r="R97" s="140" t="str">
        <v>Spanish preference customer</v>
      </c>
      <c r="S97" s="92">
        <v>0</v>
      </c>
      <c r="T97" s="92">
        <v>0</v>
      </c>
      <c r="U97" s="137">
        <v>0</v>
      </c>
      <c r="V97" s="126" t="str">
        <f t="shared" si="2"/>
        <v>✅ On Best Plan</v>
      </c>
      <c r="W97" s="130" t="str">
        <f>IFERROR(_xlfn.XLOOKUP(TEXT(H97,"0000000000"),'📞 Call Tracker'!A$2:A$2000,'📞 Call Tracker'!B$2:B$2000,""),"")</f>
        <v>Joaquin</v>
      </c>
      <c r="X97" s="96">
        <f>IFERROR(_xlfn.XLOOKUP(TEXT(H97,"0000000000"),'📞 Call Tracker'!A$2:A$2000,'📞 Call Tracker'!C$2:C$2000,""),"")</f>
        <v>46011</v>
      </c>
      <c r="Y97" s="95" t="str">
        <f>IFERROR(_xlfn.XLOOKUP(TEXT(H97,"0000000000"),'📞 Call Tracker'!A$2:A$2000,'📞 Call Tracker'!D$2:D$2000,""),"")</f>
        <v>NO</v>
      </c>
      <c r="Z97" s="95" t="str">
        <f>IFERROR(_xlfn.XLOOKUP(TEXT(H97,"0000000000"),'📞 Call Tracker'!A$2:A$2000,'📞 Call Tracker'!E$2:E$2000,""),"")</f>
        <v>Other (fill in)</v>
      </c>
      <c r="AA97" s="145" t="str">
        <f>IFERROR(_xlfn.XLOOKUP(TEXT(H97,"0000000000"),'📞 Call Tracker'!A$2:A$2000,'📞 Call Tracker'!F$2:F$2000,""),"")</f>
        <v>solar acct////WILL CB TO REVIEW OPTION TO LOWER BILL</v>
      </c>
      <c r="AB97" s="132">
        <f t="shared" si="3"/>
        <v>99</v>
      </c>
      <c r="AC97" s="79"/>
    </row>
    <row r="98" spans="1:29" ht="20.100000000000001" customHeight="1">
      <c r="A98" s="91">
        <v>45903</v>
      </c>
      <c r="B98" s="92" t="str">
        <v>Simpson</v>
      </c>
      <c r="C98" s="92" t="str">
        <v>Adam</v>
      </c>
      <c r="D98" s="92" t="str">
        <v>Glendale</v>
      </c>
      <c r="E98" s="92">
        <v>85310</v>
      </c>
      <c r="F98" s="137" t="str">
        <v>Form letter</v>
      </c>
      <c r="G98" s="93" t="str">
        <v>https://images.edocket.azcc.gov/docketpdf/E000046190.pdf</v>
      </c>
      <c r="H98" s="150" t="s">
        <v>521</v>
      </c>
      <c r="I98" s="114" t="str">
        <v>RTOUE47</v>
      </c>
      <c r="J98" s="94" t="str">
        <v>No</v>
      </c>
      <c r="K98" s="94" t="str">
        <v>No</v>
      </c>
      <c r="L98" s="137" t="str">
        <v>Yes</v>
      </c>
      <c r="M98" s="94" t="str">
        <v>No</v>
      </c>
      <c r="N98" s="134" t="str">
        <v>No</v>
      </c>
      <c r="O98" s="119" t="str">
        <v>Yes</v>
      </c>
      <c r="P98" s="92" t="str">
        <v>N</v>
      </c>
      <c r="Q98" s="91">
        <v>45968</v>
      </c>
      <c r="R98" s="140">
        <v>0</v>
      </c>
      <c r="S98" s="92">
        <v>0</v>
      </c>
      <c r="T98" s="92">
        <v>0</v>
      </c>
      <c r="U98" s="137">
        <v>0</v>
      </c>
      <c r="V98" s="126" t="str">
        <f t="shared" si="2"/>
        <v>✅ On Best Plan</v>
      </c>
      <c r="W98" s="130">
        <f>IFERROR(_xlfn.XLOOKUP(TEXT(H98,"0000000000"),'📞 Call Tracker'!A$2:A$2000,'📞 Call Tracker'!B$2:B$2000,""),"")</f>
        <v>0</v>
      </c>
      <c r="X98" s="96">
        <f>IFERROR(_xlfn.XLOOKUP(TEXT(H98,"0000000000"),'📞 Call Tracker'!A$2:A$2000,'📞 Call Tracker'!C$2:C$2000,""),"")</f>
        <v>0</v>
      </c>
      <c r="Y98" s="95">
        <f>IFERROR(_xlfn.XLOOKUP(TEXT(H98,"0000000000"),'📞 Call Tracker'!A$2:A$2000,'📞 Call Tracker'!D$2:D$2000,""),"")</f>
        <v>0</v>
      </c>
      <c r="Z98" s="95">
        <f>IFERROR(_xlfn.XLOOKUP(TEXT(H98,"0000000000"),'📞 Call Tracker'!A$2:A$2000,'📞 Call Tracker'!E$2:E$2000,""),"")</f>
        <v>0</v>
      </c>
      <c r="AA98" s="145">
        <f>IFERROR(_xlfn.XLOOKUP(TEXT(H98,"0000000000"),'📞 Call Tracker'!A$2:A$2000,'📞 Call Tracker'!F$2:F$2000,""),"")</f>
        <v>0</v>
      </c>
      <c r="AB98" s="132">
        <f t="shared" si="3"/>
        <v>99</v>
      </c>
      <c r="AC98" s="79"/>
    </row>
    <row r="99" spans="1:29" ht="20.100000000000001" customHeight="1">
      <c r="A99" s="91">
        <v>45903</v>
      </c>
      <c r="B99" s="92" t="str">
        <v>Marr</v>
      </c>
      <c r="C99" s="92" t="str">
        <v>Michaela</v>
      </c>
      <c r="D99" s="92" t="str">
        <v>Goodyear</v>
      </c>
      <c r="E99" s="92">
        <v>85395</v>
      </c>
      <c r="F99" s="137" t="str">
        <v>Opposed</v>
      </c>
      <c r="G99" s="93" t="str">
        <v>https://images.edocket.azcc.gov/docketpdf/E000046190.pdf</v>
      </c>
      <c r="H99" s="150" t="s">
        <v>527</v>
      </c>
      <c r="I99" s="114" t="str">
        <v>R3-47</v>
      </c>
      <c r="J99" s="94" t="str">
        <v>No</v>
      </c>
      <c r="K99" s="94" t="str">
        <v>No</v>
      </c>
      <c r="L99" s="137" t="str">
        <v>Yes</v>
      </c>
      <c r="M99" s="94" t="str">
        <v>No</v>
      </c>
      <c r="N99" s="134" t="str">
        <v>No</v>
      </c>
      <c r="O99" s="119" t="str">
        <v>Yes</v>
      </c>
      <c r="P99" s="92" t="str">
        <v>N</v>
      </c>
      <c r="Q99" s="91">
        <v>45968</v>
      </c>
      <c r="R99" s="140">
        <v>0</v>
      </c>
      <c r="S99" s="92">
        <v>0</v>
      </c>
      <c r="T99" s="92">
        <v>0</v>
      </c>
      <c r="U99" s="137">
        <v>0</v>
      </c>
      <c r="V99" s="126" t="str">
        <f t="shared" si="2"/>
        <v>✅ On Best Plan</v>
      </c>
      <c r="W99" s="130" t="str">
        <f>IFERROR(_xlfn.XLOOKUP(TEXT(H99,"0000000000"),'📞 Call Tracker'!A$2:A$2000,'📞 Call Tracker'!B$2:B$2000,""),"")</f>
        <v>Michelle</v>
      </c>
      <c r="X99" s="96">
        <f>IFERROR(_xlfn.XLOOKUP(TEXT(H99,"0000000000"),'📞 Call Tracker'!A$2:A$2000,'📞 Call Tracker'!C$2:C$2000,""),"")</f>
        <v>46067</v>
      </c>
      <c r="Y99" s="95" t="str">
        <f>IFERROR(_xlfn.XLOOKUP(TEXT(H99,"0000000000"),'📞 Call Tracker'!A$2:A$2000,'📞 Call Tracker'!D$2:D$2000,""),"")</f>
        <v>YES</v>
      </c>
      <c r="Z99" s="95">
        <f>IFERROR(_xlfn.XLOOKUP(TEXT(H99,"0000000000"),'📞 Call Tracker'!A$2:A$2000,'📞 Call Tracker'!E$2:E$2000,""),"")</f>
        <v>0</v>
      </c>
      <c r="AA99" s="145" t="str">
        <f>IFERROR(_xlfn.XLOOKUP(TEXT(H99,"0000000000"),'📞 Call Tracker'!A$2:A$2000,'📞 Call Tracker'!F$2:F$2000,""),"")</f>
        <v>SOLAR ACCT</v>
      </c>
      <c r="AB99" s="132">
        <f t="shared" si="3"/>
        <v>99</v>
      </c>
      <c r="AC99" s="79"/>
    </row>
    <row r="100" spans="1:29" ht="20.100000000000001" customHeight="1">
      <c r="A100" s="91">
        <v>45903</v>
      </c>
      <c r="B100" s="92" t="str">
        <v>Hatch</v>
      </c>
      <c r="C100" s="92" t="str">
        <v>Geoffrey</v>
      </c>
      <c r="D100" s="92" t="str">
        <v>Avondale</v>
      </c>
      <c r="E100" s="92">
        <v>85392</v>
      </c>
      <c r="F100" s="137" t="str">
        <v>Opposed</v>
      </c>
      <c r="G100" s="93" t="str">
        <v>https://images.edocket.azcc.gov/docketpdf/E000046190.pdf</v>
      </c>
      <c r="H100" s="150" t="s">
        <v>530</v>
      </c>
      <c r="I100" s="114" t="str">
        <v>EPR-6w/ET-2</v>
      </c>
      <c r="J100" s="94" t="str">
        <v>No</v>
      </c>
      <c r="K100" s="94" t="str">
        <v>No</v>
      </c>
      <c r="L100" s="137" t="str">
        <v>Frozen Rate</v>
      </c>
      <c r="M100" s="94" t="str">
        <v>No</v>
      </c>
      <c r="N100" s="134" t="str">
        <v>No</v>
      </c>
      <c r="O100" s="119" t="str">
        <v>Yes</v>
      </c>
      <c r="P100" s="92" t="str">
        <v>N</v>
      </c>
      <c r="Q100" s="91">
        <v>45968</v>
      </c>
      <c r="R100" s="140">
        <v>0</v>
      </c>
      <c r="S100" s="92">
        <v>0</v>
      </c>
      <c r="T100" s="92">
        <v>0</v>
      </c>
      <c r="U100" s="137">
        <v>0</v>
      </c>
      <c r="V100" s="126" t="str">
        <f t="shared" si="2"/>
        <v>❄ Frozen Rate</v>
      </c>
      <c r="W100" s="130">
        <f>IFERROR(_xlfn.XLOOKUP(TEXT(H100,"0000000000"),'📞 Call Tracker'!A$2:A$2000,'📞 Call Tracker'!B$2:B$2000,""),"")</f>
        <v>0</v>
      </c>
      <c r="X100" s="96">
        <f>IFERROR(_xlfn.XLOOKUP(TEXT(H100,"0000000000"),'📞 Call Tracker'!A$2:A$2000,'📞 Call Tracker'!C$2:C$2000,""),"")</f>
        <v>0</v>
      </c>
      <c r="Y100" s="95">
        <f>IFERROR(_xlfn.XLOOKUP(TEXT(H100,"0000000000"),'📞 Call Tracker'!A$2:A$2000,'📞 Call Tracker'!D$2:D$2000,""),"")</f>
        <v>0</v>
      </c>
      <c r="Z100" s="95">
        <f>IFERROR(_xlfn.XLOOKUP(TEXT(H100,"0000000000"),'📞 Call Tracker'!A$2:A$2000,'📞 Call Tracker'!E$2:E$2000,""),"")</f>
        <v>0</v>
      </c>
      <c r="AA100" s="145">
        <f>IFERROR(_xlfn.XLOOKUP(TEXT(H100,"0000000000"),'📞 Call Tracker'!A$2:A$2000,'📞 Call Tracker'!F$2:F$2000,""),"")</f>
        <v>0</v>
      </c>
      <c r="AB100" s="132">
        <f t="shared" si="3"/>
        <v>99</v>
      </c>
      <c r="AC100" s="79"/>
    </row>
    <row r="101" spans="1:29" ht="20.100000000000001" customHeight="1">
      <c r="A101" s="91">
        <v>45903</v>
      </c>
      <c r="B101" s="92" t="str">
        <v>Sutton</v>
      </c>
      <c r="C101" s="92" t="str">
        <v>Terry</v>
      </c>
      <c r="D101" s="92" t="str">
        <v>Casa Grande</v>
      </c>
      <c r="E101" s="92">
        <v>85194</v>
      </c>
      <c r="F101" s="137" t="str">
        <v>Form letter</v>
      </c>
      <c r="G101" s="93" t="str">
        <v>https://images.edocket.azcc.gov/docketpdf/E000046190.pdf</v>
      </c>
      <c r="H101" s="150" t="s">
        <v>533</v>
      </c>
      <c r="I101" s="114" t="str">
        <v>R-2</v>
      </c>
      <c r="J101" s="94" t="str">
        <v>No</v>
      </c>
      <c r="K101" s="94" t="str">
        <v>No</v>
      </c>
      <c r="L101" s="137" t="str">
        <v>Frozen Rate</v>
      </c>
      <c r="M101" s="94" t="str">
        <v>No</v>
      </c>
      <c r="N101" s="134" t="str">
        <v>No</v>
      </c>
      <c r="O101" s="119" t="str">
        <v>Yes</v>
      </c>
      <c r="P101" s="92" t="str">
        <v>N</v>
      </c>
      <c r="Q101" s="91">
        <v>45968</v>
      </c>
      <c r="R101" s="140">
        <v>0</v>
      </c>
      <c r="S101" s="92">
        <v>0</v>
      </c>
      <c r="T101" s="92">
        <v>0</v>
      </c>
      <c r="U101" s="137">
        <v>0</v>
      </c>
      <c r="V101" s="126" t="str">
        <f t="shared" si="2"/>
        <v>❄ Frozen Rate</v>
      </c>
      <c r="W101" s="130" t="str">
        <f>IFERROR(_xlfn.XLOOKUP(TEXT(H101,"0000000000"),'📞 Call Tracker'!A$2:A$2000,'📞 Call Tracker'!B$2:B$2000,""),"")</f>
        <v>Michelle</v>
      </c>
      <c r="X101" s="96">
        <f>IFERROR(_xlfn.XLOOKUP(TEXT(H101,"0000000000"),'📞 Call Tracker'!A$2:A$2000,'📞 Call Tracker'!C$2:C$2000,""),"")</f>
        <v>46067</v>
      </c>
      <c r="Y101" s="95" t="str">
        <f>IFERROR(_xlfn.XLOOKUP(TEXT(H101,"0000000000"),'📞 Call Tracker'!A$2:A$2000,'📞 Call Tracker'!D$2:D$2000,""),"")</f>
        <v>NO</v>
      </c>
      <c r="Z101" s="95">
        <f>IFERROR(_xlfn.XLOOKUP(TEXT(H101,"0000000000"),'📞 Call Tracker'!A$2:A$2000,'📞 Call Tracker'!E$2:E$2000,""),"")</f>
        <v>0</v>
      </c>
      <c r="AA101" s="145" t="str">
        <f>IFERROR(_xlfn.XLOOKUP(TEXT(H101,"0000000000"),'📞 Call Tracker'!A$2:A$2000,'📞 Call Tracker'!F$2:F$2000,""),"")</f>
        <v>SOLAR ACCT</v>
      </c>
      <c r="AB101" s="132">
        <f t="shared" si="3"/>
        <v>99</v>
      </c>
      <c r="AC101" s="79"/>
    </row>
    <row r="102" spans="1:29" ht="20.100000000000001" customHeight="1">
      <c r="A102" s="91">
        <v>45903</v>
      </c>
      <c r="B102" s="92" t="str">
        <v>Klein</v>
      </c>
      <c r="C102" s="92" t="str">
        <v>Christian</v>
      </c>
      <c r="D102" s="92" t="str">
        <v>Phoenix</v>
      </c>
      <c r="E102" s="92">
        <v>85050</v>
      </c>
      <c r="F102" s="137" t="str">
        <v>Form letter</v>
      </c>
      <c r="G102" s="93" t="str">
        <v>https://images.edocket.azcc.gov/docketpdf/E000046190.pdf</v>
      </c>
      <c r="H102" s="150" t="s">
        <v>537</v>
      </c>
      <c r="I102" s="114" t="str">
        <v>R3-47</v>
      </c>
      <c r="J102" s="94" t="str">
        <v>No</v>
      </c>
      <c r="K102" s="94" t="str">
        <v>No</v>
      </c>
      <c r="L102" s="137" t="str">
        <v>Yes</v>
      </c>
      <c r="M102" s="94" t="str">
        <v>No</v>
      </c>
      <c r="N102" s="134" t="str">
        <v>No</v>
      </c>
      <c r="O102" s="119" t="str">
        <v>Yes</v>
      </c>
      <c r="P102" s="92" t="str">
        <v>N</v>
      </c>
      <c r="Q102" s="91">
        <v>45968</v>
      </c>
      <c r="R102" s="140">
        <v>0</v>
      </c>
      <c r="S102" s="92">
        <v>0</v>
      </c>
      <c r="T102" s="92">
        <v>0</v>
      </c>
      <c r="U102" s="137">
        <v>0</v>
      </c>
      <c r="V102" s="126" t="str">
        <f t="shared" si="2"/>
        <v>✅ On Best Plan</v>
      </c>
      <c r="W102" s="130">
        <f>IFERROR(_xlfn.XLOOKUP(TEXT(H102,"0000000000"),'📞 Call Tracker'!A$2:A$2000,'📞 Call Tracker'!B$2:B$2000,""),"")</f>
        <v>0</v>
      </c>
      <c r="X102" s="96">
        <f>IFERROR(_xlfn.XLOOKUP(TEXT(H102,"0000000000"),'📞 Call Tracker'!A$2:A$2000,'📞 Call Tracker'!C$2:C$2000,""),"")</f>
        <v>0</v>
      </c>
      <c r="Y102" s="95">
        <f>IFERROR(_xlfn.XLOOKUP(TEXT(H102,"0000000000"),'📞 Call Tracker'!A$2:A$2000,'📞 Call Tracker'!D$2:D$2000,""),"")</f>
        <v>0</v>
      </c>
      <c r="Z102" s="95">
        <f>IFERROR(_xlfn.XLOOKUP(TEXT(H102,"0000000000"),'📞 Call Tracker'!A$2:A$2000,'📞 Call Tracker'!E$2:E$2000,""),"")</f>
        <v>0</v>
      </c>
      <c r="AA102" s="145">
        <f>IFERROR(_xlfn.XLOOKUP(TEXT(H102,"0000000000"),'📞 Call Tracker'!A$2:A$2000,'📞 Call Tracker'!F$2:F$2000,""),"")</f>
        <v>0</v>
      </c>
      <c r="AB102" s="132">
        <f t="shared" si="3"/>
        <v>99</v>
      </c>
      <c r="AC102" s="79"/>
    </row>
    <row r="103" spans="1:29" ht="20.100000000000001" customHeight="1">
      <c r="A103" s="91">
        <v>45903</v>
      </c>
      <c r="B103" s="92" t="str">
        <v>Becker</v>
      </c>
      <c r="C103" s="92" t="str">
        <v>Nicholas</v>
      </c>
      <c r="D103" s="92" t="str">
        <v>Goodyear</v>
      </c>
      <c r="E103" s="92">
        <v>85338</v>
      </c>
      <c r="F103" s="137" t="str">
        <v>Opposed</v>
      </c>
      <c r="G103" s="93" t="str">
        <v>https://images.edocket.azcc.gov/docketpdf/E000046190.pdf</v>
      </c>
      <c r="H103" s="150" t="s">
        <v>541</v>
      </c>
      <c r="I103" s="114" t="str">
        <v>R3-47</v>
      </c>
      <c r="J103" s="94" t="str">
        <v>No</v>
      </c>
      <c r="K103" s="94" t="str">
        <v>No</v>
      </c>
      <c r="L103" s="137" t="str">
        <v>Yes</v>
      </c>
      <c r="M103" s="94" t="str">
        <v>No</v>
      </c>
      <c r="N103" s="134" t="str">
        <v>No</v>
      </c>
      <c r="O103" s="119" t="str">
        <v>Yes</v>
      </c>
      <c r="P103" s="92" t="str">
        <v>N</v>
      </c>
      <c r="Q103" s="91">
        <v>45968</v>
      </c>
      <c r="R103" s="140">
        <v>0</v>
      </c>
      <c r="S103" s="92">
        <v>0</v>
      </c>
      <c r="T103" s="92">
        <v>0</v>
      </c>
      <c r="U103" s="137">
        <v>0</v>
      </c>
      <c r="V103" s="126" t="str">
        <f t="shared" si="2"/>
        <v>✅ On Best Plan</v>
      </c>
      <c r="W103" s="130" t="str">
        <f>IFERROR(_xlfn.XLOOKUP(TEXT(H103,"0000000000"),'📞 Call Tracker'!A$2:A$2000,'📞 Call Tracker'!B$2:B$2000,""),"")</f>
        <v>Michelle</v>
      </c>
      <c r="X103" s="96">
        <f>IFERROR(_xlfn.XLOOKUP(TEXT(H103,"0000000000"),'📞 Call Tracker'!A$2:A$2000,'📞 Call Tracker'!C$2:C$2000,""),"")</f>
        <v>46067</v>
      </c>
      <c r="Y103" s="95" t="str">
        <f>IFERROR(_xlfn.XLOOKUP(TEXT(H103,"0000000000"),'📞 Call Tracker'!A$2:A$2000,'📞 Call Tracker'!D$2:D$2000,""),"")</f>
        <v>YES</v>
      </c>
      <c r="Z103" s="95">
        <f>IFERROR(_xlfn.XLOOKUP(TEXT(H103,"0000000000"),'📞 Call Tracker'!A$2:A$2000,'📞 Call Tracker'!E$2:E$2000,""),"")</f>
        <v>0</v>
      </c>
      <c r="AA103" s="145">
        <f>IFERROR(_xlfn.XLOOKUP(TEXT(H103,"0000000000"),'📞 Call Tracker'!A$2:A$2000,'📞 Call Tracker'!F$2:F$2000,""),"")</f>
        <v>0</v>
      </c>
      <c r="AB103" s="132">
        <f t="shared" si="3"/>
        <v>99</v>
      </c>
      <c r="AC103" s="79"/>
    </row>
    <row r="104" spans="1:29" ht="20.100000000000001" customHeight="1">
      <c r="A104" s="91">
        <v>45903</v>
      </c>
      <c r="B104" s="92" t="str">
        <v>Shoop</v>
      </c>
      <c r="C104" s="92" t="str">
        <v>Jordan</v>
      </c>
      <c r="D104" s="92" t="str">
        <v>Phoenix</v>
      </c>
      <c r="E104" s="92">
        <v>85012</v>
      </c>
      <c r="F104" s="137" t="str">
        <v>Form letter</v>
      </c>
      <c r="G104" s="93" t="str">
        <v>https://images.edocket.azcc.gov/docketpdf/E000046190.pdf</v>
      </c>
      <c r="H104" s="150" t="s">
        <v>548</v>
      </c>
      <c r="I104" s="114" t="str">
        <v>R3-47</v>
      </c>
      <c r="J104" s="94" t="str">
        <v>No</v>
      </c>
      <c r="K104" s="94" t="str">
        <v>No</v>
      </c>
      <c r="L104" s="137" t="str">
        <v>Yes</v>
      </c>
      <c r="M104" s="94" t="str">
        <v>No</v>
      </c>
      <c r="N104" s="134" t="str">
        <v>No</v>
      </c>
      <c r="O104" s="119" t="str">
        <v>Yes</v>
      </c>
      <c r="P104" s="92" t="str">
        <v>N</v>
      </c>
      <c r="Q104" s="91">
        <v>45968</v>
      </c>
      <c r="R104" s="140">
        <v>0</v>
      </c>
      <c r="S104" s="92">
        <v>0</v>
      </c>
      <c r="T104" s="92">
        <v>0</v>
      </c>
      <c r="U104" s="137">
        <v>0</v>
      </c>
      <c r="V104" s="126" t="str">
        <f t="shared" si="2"/>
        <v>✅ On Best Plan</v>
      </c>
      <c r="W104" s="130">
        <f>IFERROR(_xlfn.XLOOKUP(TEXT(H104,"0000000000"),'📞 Call Tracker'!A$2:A$2000,'📞 Call Tracker'!B$2:B$2000,""),"")</f>
        <v>0</v>
      </c>
      <c r="X104" s="96">
        <f>IFERROR(_xlfn.XLOOKUP(TEXT(H104,"0000000000"),'📞 Call Tracker'!A$2:A$2000,'📞 Call Tracker'!C$2:C$2000,""),"")</f>
        <v>0</v>
      </c>
      <c r="Y104" s="95">
        <f>IFERROR(_xlfn.XLOOKUP(TEXT(H104,"0000000000"),'📞 Call Tracker'!A$2:A$2000,'📞 Call Tracker'!D$2:D$2000,""),"")</f>
        <v>0</v>
      </c>
      <c r="Z104" s="95">
        <f>IFERROR(_xlfn.XLOOKUP(TEXT(H104,"0000000000"),'📞 Call Tracker'!A$2:A$2000,'📞 Call Tracker'!E$2:E$2000,""),"")</f>
        <v>0</v>
      </c>
      <c r="AA104" s="145">
        <f>IFERROR(_xlfn.XLOOKUP(TEXT(H104,"0000000000"),'📞 Call Tracker'!A$2:A$2000,'📞 Call Tracker'!F$2:F$2000,""),"")</f>
        <v>0</v>
      </c>
      <c r="AB104" s="132">
        <f t="shared" si="3"/>
        <v>99</v>
      </c>
      <c r="AC104" s="79"/>
    </row>
    <row r="105" spans="1:29" ht="20.100000000000001" customHeight="1">
      <c r="A105" s="91">
        <v>45903</v>
      </c>
      <c r="B105" s="92" t="str">
        <v>Bednarz</v>
      </c>
      <c r="C105" s="92" t="str">
        <v>Taylor</v>
      </c>
      <c r="D105" s="92" t="str">
        <v>Phoenix</v>
      </c>
      <c r="E105" s="92">
        <v>85020</v>
      </c>
      <c r="F105" s="137" t="str">
        <v>Form letter</v>
      </c>
      <c r="G105" s="93" t="str">
        <v>https://images.edocket.azcc.gov/docketpdf/E000046190.pdf</v>
      </c>
      <c r="H105" s="150" t="s">
        <v>551</v>
      </c>
      <c r="I105" s="114" t="str">
        <v>R-BASIC</v>
      </c>
      <c r="J105" s="94" t="str">
        <v>No</v>
      </c>
      <c r="K105" s="94" t="str">
        <v>No</v>
      </c>
      <c r="L105" s="137" t="str">
        <v>No MEP R3-47($129.92)</v>
      </c>
      <c r="M105" s="94" t="str">
        <v>No</v>
      </c>
      <c r="N105" s="134" t="str">
        <v>No</v>
      </c>
      <c r="O105" s="119" t="str">
        <v>Yes</v>
      </c>
      <c r="P105" s="92">
        <v>45933</v>
      </c>
      <c r="Q105" s="91">
        <v>45968</v>
      </c>
      <c r="R105" s="140" t="str">
        <v>Left VM 10/03/2025</v>
      </c>
      <c r="S105" s="92">
        <v>0</v>
      </c>
      <c r="T105" s="92">
        <v>0</v>
      </c>
      <c r="U105" s="137">
        <v>0</v>
      </c>
      <c r="V105" s="126" t="str">
        <f t="shared" si="2"/>
        <v>❌ Not on Best Plan</v>
      </c>
      <c r="W105" s="130" t="str">
        <f>IFERROR(_xlfn.XLOOKUP(TEXT(H105,"0000000000"),'📞 Call Tracker'!A$2:A$2000,'📞 Call Tracker'!B$2:B$2000,""),"")</f>
        <v>Michelle</v>
      </c>
      <c r="X105" s="96">
        <f>IFERROR(_xlfn.XLOOKUP(TEXT(H105,"0000000000"),'📞 Call Tracker'!A$2:A$2000,'📞 Call Tracker'!C$2:C$2000,""),"")</f>
        <v>46067</v>
      </c>
      <c r="Y105" s="95" t="str">
        <f>IFERROR(_xlfn.XLOOKUP(TEXT(H105,"0000000000"),'📞 Call Tracker'!A$2:A$2000,'📞 Call Tracker'!D$2:D$2000,""),"")</f>
        <v>YES</v>
      </c>
      <c r="Z105" s="95">
        <f>IFERROR(_xlfn.XLOOKUP(TEXT(H105,"0000000000"),'📞 Call Tracker'!A$2:A$2000,'📞 Call Tracker'!E$2:E$2000,""),"")</f>
        <v>0</v>
      </c>
      <c r="AA105" s="145">
        <f>IFERROR(_xlfn.XLOOKUP(TEXT(H105,"0000000000"),'📞 Call Tracker'!A$2:A$2000,'📞 Call Tracker'!F$2:F$2000,""),"")</f>
        <v>0</v>
      </c>
      <c r="AB105" s="132">
        <f t="shared" si="3"/>
        <v>99</v>
      </c>
      <c r="AC105" s="79"/>
    </row>
    <row r="106" spans="1:29" ht="20.100000000000001" customHeight="1">
      <c r="A106" s="91">
        <v>45903</v>
      </c>
      <c r="B106" s="92" t="str">
        <v>Kovar</v>
      </c>
      <c r="C106" s="92" t="str">
        <v>Paul</v>
      </c>
      <c r="D106" s="92" t="str">
        <v>Phoenix</v>
      </c>
      <c r="E106" s="92">
        <v>85023</v>
      </c>
      <c r="F106" s="137" t="str">
        <v>No rate hikes</v>
      </c>
      <c r="G106" s="93" t="str">
        <v>https://images.edocket.azcc.gov/docketpdf/E000046190.pdf</v>
      </c>
      <c r="H106" s="150" t="s">
        <v>556</v>
      </c>
      <c r="I106" s="114" t="str">
        <v>R3-47</v>
      </c>
      <c r="J106" s="94" t="str">
        <v>No</v>
      </c>
      <c r="K106" s="94" t="str">
        <v>No</v>
      </c>
      <c r="L106" s="137" t="str">
        <v>Yes</v>
      </c>
      <c r="M106" s="94" t="str">
        <v>No</v>
      </c>
      <c r="N106" s="134" t="str">
        <v>No</v>
      </c>
      <c r="O106" s="119" t="str">
        <v>Yes</v>
      </c>
      <c r="P106" s="92" t="str">
        <v>N</v>
      </c>
      <c r="Q106" s="91">
        <v>45968</v>
      </c>
      <c r="R106" s="140">
        <v>0</v>
      </c>
      <c r="S106" s="92">
        <v>0</v>
      </c>
      <c r="T106" s="92">
        <v>0</v>
      </c>
      <c r="U106" s="137">
        <v>0</v>
      </c>
      <c r="V106" s="126" t="str">
        <f t="shared" si="2"/>
        <v>✅ On Best Plan</v>
      </c>
      <c r="W106" s="130" t="str">
        <f>IFERROR(_xlfn.XLOOKUP(TEXT(H106,"0000000000"),'📞 Call Tracker'!A$2:A$2000,'📞 Call Tracker'!B$2:B$2000,""),"")</f>
        <v>Joaquin</v>
      </c>
      <c r="X106" s="96">
        <f>IFERROR(_xlfn.XLOOKUP(TEXT(H106,"0000000000"),'📞 Call Tracker'!A$2:A$2000,'📞 Call Tracker'!C$2:C$2000,""),"")</f>
        <v>46011</v>
      </c>
      <c r="Y106" s="95" t="str">
        <f>IFERROR(_xlfn.XLOOKUP(TEXT(H106,"0000000000"),'📞 Call Tracker'!A$2:A$2000,'📞 Call Tracker'!D$2:D$2000,""),"")</f>
        <v>YES</v>
      </c>
      <c r="Z106" s="95">
        <f>IFERROR(_xlfn.XLOOKUP(TEXT(H106,"0000000000"),'📞 Call Tracker'!A$2:A$2000,'📞 Call Tracker'!E$2:E$2000,""),"")</f>
        <v>0</v>
      </c>
      <c r="AA106" s="145" t="str">
        <f>IFERROR(_xlfn.XLOOKUP(TEXT(H106,"0000000000"),'📞 Call Tracker'!A$2:A$2000,'📞 Call Tracker'!F$2:F$2000,""),"")</f>
        <v>TIME OF USE WITH DEMAND BEST PLAN</v>
      </c>
      <c r="AB106" s="132">
        <f t="shared" si="3"/>
        <v>99</v>
      </c>
      <c r="AC106" s="79"/>
    </row>
    <row r="107" spans="1:29" ht="20.100000000000001" customHeight="1">
      <c r="A107" s="91">
        <v>45903</v>
      </c>
      <c r="B107" s="92" t="str">
        <v>Lamb</v>
      </c>
      <c r="C107" s="92" t="str">
        <v>Sarah</v>
      </c>
      <c r="D107" s="92" t="str">
        <v>Phoenix</v>
      </c>
      <c r="E107" s="92">
        <v>85020</v>
      </c>
      <c r="F107" s="137" t="str">
        <v>Form letter</v>
      </c>
      <c r="G107" s="93" t="str">
        <v>https://images.edocket.azcc.gov/docketpdf/E000046190.pdf</v>
      </c>
      <c r="H107" s="150" t="s">
        <v>561</v>
      </c>
      <c r="I107" s="114" t="str">
        <v>RTOUE47</v>
      </c>
      <c r="J107" s="94" t="str">
        <v>No</v>
      </c>
      <c r="K107" s="94" t="str">
        <v>No</v>
      </c>
      <c r="L107" s="137" t="str">
        <v>Yes</v>
      </c>
      <c r="M107" s="94" t="str">
        <v>No</v>
      </c>
      <c r="N107" s="134" t="str">
        <v>No</v>
      </c>
      <c r="O107" s="119" t="str">
        <v>Yes</v>
      </c>
      <c r="P107" s="92" t="str">
        <v>N</v>
      </c>
      <c r="Q107" s="91">
        <v>45968</v>
      </c>
      <c r="R107" s="140">
        <v>0</v>
      </c>
      <c r="S107" s="92">
        <v>0</v>
      </c>
      <c r="T107" s="92">
        <v>0</v>
      </c>
      <c r="U107" s="137">
        <v>0</v>
      </c>
      <c r="V107" s="126" t="str">
        <f t="shared" si="2"/>
        <v>✅ On Best Plan</v>
      </c>
      <c r="W107" s="130" t="str">
        <f>IFERROR(_xlfn.XLOOKUP(TEXT(H107,"0000000000"),'📞 Call Tracker'!A$2:A$2000,'📞 Call Tracker'!B$2:B$2000,""),"")</f>
        <v>Michelle</v>
      </c>
      <c r="X107" s="96">
        <f>IFERROR(_xlfn.XLOOKUP(TEXT(H107,"0000000000"),'📞 Call Tracker'!A$2:A$2000,'📞 Call Tracker'!C$2:C$2000,""),"")</f>
        <v>46067</v>
      </c>
      <c r="Y107" s="95" t="str">
        <f>IFERROR(_xlfn.XLOOKUP(TEXT(H107,"0000000000"),'📞 Call Tracker'!A$2:A$2000,'📞 Call Tracker'!D$2:D$2000,""),"")</f>
        <v>NO</v>
      </c>
      <c r="Z107" s="95">
        <f>IFERROR(_xlfn.XLOOKUP(TEXT(H107,"0000000000"),'📞 Call Tracker'!A$2:A$2000,'📞 Call Tracker'!E$2:E$2000,""),"")</f>
        <v>0</v>
      </c>
      <c r="AA107" s="145" t="str">
        <f>IFERROR(_xlfn.XLOOKUP(TEXT(H107,"0000000000"),'📞 Call Tracker'!A$2:A$2000,'📞 Call Tracker'!F$2:F$2000,""),"")</f>
        <v>SAID HE WAS GOOD</v>
      </c>
      <c r="AB107" s="132">
        <f t="shared" si="3"/>
        <v>99</v>
      </c>
      <c r="AC107" s="79"/>
    </row>
    <row r="108" spans="1:29" ht="20.100000000000001" customHeight="1">
      <c r="A108" s="91">
        <v>45903</v>
      </c>
      <c r="B108" s="92" t="str">
        <v>Munuswamy</v>
      </c>
      <c r="C108" s="92" t="str">
        <v>Dinesh</v>
      </c>
      <c r="D108" s="92" t="str">
        <v>Peoria</v>
      </c>
      <c r="E108" s="92">
        <v>85383</v>
      </c>
      <c r="F108" s="137" t="str">
        <v>Form letter</v>
      </c>
      <c r="G108" s="93" t="str">
        <v>https://images.edocket.azcc.gov/docketpdf/E000046190.pdf</v>
      </c>
      <c r="H108" s="150" t="s">
        <v>563</v>
      </c>
      <c r="I108" s="114" t="str">
        <v>R3-47</v>
      </c>
      <c r="J108" s="94" t="str">
        <v>No</v>
      </c>
      <c r="K108" s="94" t="str">
        <v>No</v>
      </c>
      <c r="L108" s="137" t="str">
        <v>Yes</v>
      </c>
      <c r="M108" s="94" t="str">
        <v>No</v>
      </c>
      <c r="N108" s="134" t="str">
        <v>No</v>
      </c>
      <c r="O108" s="119" t="str">
        <v>Yes</v>
      </c>
      <c r="P108" s="92" t="str">
        <v>N</v>
      </c>
      <c r="Q108" s="91">
        <v>45968</v>
      </c>
      <c r="R108" s="140">
        <v>0</v>
      </c>
      <c r="S108" s="92">
        <v>0</v>
      </c>
      <c r="T108" s="92">
        <v>0</v>
      </c>
      <c r="U108" s="137">
        <v>0</v>
      </c>
      <c r="V108" s="126" t="str">
        <f t="shared" si="2"/>
        <v>✅ On Best Plan</v>
      </c>
      <c r="W108" s="130">
        <f>IFERROR(_xlfn.XLOOKUP(TEXT(H108,"0000000000"),'📞 Call Tracker'!A$2:A$2000,'📞 Call Tracker'!B$2:B$2000,""),"")</f>
        <v>0</v>
      </c>
      <c r="X108" s="96">
        <f>IFERROR(_xlfn.XLOOKUP(TEXT(H108,"0000000000"),'📞 Call Tracker'!A$2:A$2000,'📞 Call Tracker'!C$2:C$2000,""),"")</f>
        <v>0</v>
      </c>
      <c r="Y108" s="95">
        <f>IFERROR(_xlfn.XLOOKUP(TEXT(H108,"0000000000"),'📞 Call Tracker'!A$2:A$2000,'📞 Call Tracker'!D$2:D$2000,""),"")</f>
        <v>0</v>
      </c>
      <c r="Z108" s="95">
        <f>IFERROR(_xlfn.XLOOKUP(TEXT(H108,"0000000000"),'📞 Call Tracker'!A$2:A$2000,'📞 Call Tracker'!E$2:E$2000,""),"")</f>
        <v>0</v>
      </c>
      <c r="AA108" s="145">
        <f>IFERROR(_xlfn.XLOOKUP(TEXT(H108,"0000000000"),'📞 Call Tracker'!A$2:A$2000,'📞 Call Tracker'!F$2:F$2000,""),"")</f>
        <v>0</v>
      </c>
      <c r="AB108" s="132">
        <f t="shared" si="3"/>
        <v>99</v>
      </c>
      <c r="AC108" s="79"/>
    </row>
    <row r="109" spans="1:29" ht="20.100000000000001" customHeight="1">
      <c r="A109" s="91">
        <v>45903</v>
      </c>
      <c r="B109" s="92" t="str">
        <v>Mandloi</v>
      </c>
      <c r="C109" s="92" t="str">
        <v>Anurag</v>
      </c>
      <c r="D109" s="92" t="str">
        <v>Phoenix</v>
      </c>
      <c r="E109" s="92">
        <v>85024</v>
      </c>
      <c r="F109" s="137" t="str">
        <v>Form letter</v>
      </c>
      <c r="G109" s="93" t="str">
        <v>https://images.edocket.azcc.gov/docketpdf/E000046190.pdf</v>
      </c>
      <c r="H109" s="150" t="s">
        <v>568</v>
      </c>
      <c r="I109" s="114" t="str">
        <v>RTOUE47</v>
      </c>
      <c r="J109" s="94" t="str">
        <v>No</v>
      </c>
      <c r="K109" s="94" t="str">
        <v>No</v>
      </c>
      <c r="L109" s="137" t="str">
        <v>Yes</v>
      </c>
      <c r="M109" s="94" t="str">
        <v>No</v>
      </c>
      <c r="N109" s="134" t="str">
        <v>No</v>
      </c>
      <c r="O109" s="119" t="str">
        <v>Yes</v>
      </c>
      <c r="P109" s="92" t="str">
        <v>N</v>
      </c>
      <c r="Q109" s="91">
        <v>45968</v>
      </c>
      <c r="R109" s="140">
        <v>0</v>
      </c>
      <c r="S109" s="92">
        <v>0</v>
      </c>
      <c r="T109" s="92">
        <v>0</v>
      </c>
      <c r="U109" s="137">
        <v>0</v>
      </c>
      <c r="V109" s="126" t="str">
        <f t="shared" si="2"/>
        <v>✅ On Best Plan</v>
      </c>
      <c r="W109" s="130" t="str">
        <f>IFERROR(_xlfn.XLOOKUP(TEXT(H109,"0000000000"),'📞 Call Tracker'!A$2:A$2000,'📞 Call Tracker'!B$2:B$2000,""),"")</f>
        <v>Michelle</v>
      </c>
      <c r="X109" s="96">
        <f>IFERROR(_xlfn.XLOOKUP(TEXT(H109,"0000000000"),'📞 Call Tracker'!A$2:A$2000,'📞 Call Tracker'!C$2:C$2000,""),"")</f>
        <v>46067</v>
      </c>
      <c r="Y109" s="95" t="str">
        <f>IFERROR(_xlfn.XLOOKUP(TEXT(H109,"0000000000"),'📞 Call Tracker'!A$2:A$2000,'📞 Call Tracker'!D$2:D$2000,""),"")</f>
        <v>NO</v>
      </c>
      <c r="Z109" s="95">
        <f>IFERROR(_xlfn.XLOOKUP(TEXT(H109,"0000000000"),'📞 Call Tracker'!A$2:A$2000,'📞 Call Tracker'!E$2:E$2000,""),"")</f>
        <v>0</v>
      </c>
      <c r="AA109" s="145" t="str">
        <f>IFERROR(_xlfn.XLOOKUP(TEXT(H109,"0000000000"),'📞 Call Tracker'!A$2:A$2000,'📞 Call Tracker'!F$2:F$2000,""),"")</f>
        <v>WILL CALL US BACK</v>
      </c>
      <c r="AB109" s="132">
        <f t="shared" si="3"/>
        <v>99</v>
      </c>
      <c r="AC109" s="79"/>
    </row>
    <row r="110" spans="1:29" ht="20.100000000000001" customHeight="1">
      <c r="A110" s="91">
        <v>45903</v>
      </c>
      <c r="B110" s="92" t="str">
        <v>Kelly</v>
      </c>
      <c r="C110" s="92" t="str">
        <v>Wilson</v>
      </c>
      <c r="D110" s="92" t="str">
        <v>Phoenix</v>
      </c>
      <c r="E110" s="92">
        <v>85004</v>
      </c>
      <c r="F110" s="137" t="str">
        <v>Form letter</v>
      </c>
      <c r="G110" s="93" t="str">
        <v>https://images.edocket.azcc.gov/docketpdf/E000046190.pdf</v>
      </c>
      <c r="H110" s="150" t="s">
        <v>571</v>
      </c>
      <c r="I110" s="114" t="str">
        <v>R-XS</v>
      </c>
      <c r="J110" s="94" t="str">
        <v>No</v>
      </c>
      <c r="K110" s="94" t="str">
        <v>No</v>
      </c>
      <c r="L110" s="137" t="str">
        <v>Yes</v>
      </c>
      <c r="M110" s="94" t="str">
        <v>No</v>
      </c>
      <c r="N110" s="134" t="str">
        <v>No</v>
      </c>
      <c r="O110" s="119" t="str">
        <v>Yes</v>
      </c>
      <c r="P110" s="92" t="str">
        <v>N</v>
      </c>
      <c r="Q110" s="91">
        <v>45968</v>
      </c>
      <c r="R110" s="140">
        <v>0</v>
      </c>
      <c r="S110" s="92">
        <v>0</v>
      </c>
      <c r="T110" s="92">
        <v>0</v>
      </c>
      <c r="U110" s="137">
        <v>0</v>
      </c>
      <c r="V110" s="126" t="str">
        <f t="shared" si="2"/>
        <v>✅ On Best Plan</v>
      </c>
      <c r="W110" s="130" t="str">
        <f>IFERROR(_xlfn.XLOOKUP(TEXT(H110,"0000000000"),'📞 Call Tracker'!A$2:A$2000,'📞 Call Tracker'!B$2:B$2000,""),"")</f>
        <v>Michelle</v>
      </c>
      <c r="X110" s="96">
        <f>IFERROR(_xlfn.XLOOKUP(TEXT(H110,"0000000000"),'📞 Call Tracker'!A$2:A$2000,'📞 Call Tracker'!C$2:C$2000,""),"")</f>
        <v>45997</v>
      </c>
      <c r="Y110" s="95" t="str">
        <f>IFERROR(_xlfn.XLOOKUP(TEXT(H110,"0000000000"),'📞 Call Tracker'!A$2:A$2000,'📞 Call Tracker'!D$2:D$2000,""),"")</f>
        <v>YES</v>
      </c>
      <c r="Z110" s="95">
        <f>IFERROR(_xlfn.XLOOKUP(TEXT(H110,"0000000000"),'📞 Call Tracker'!A$2:A$2000,'📞 Call Tracker'!E$2:E$2000,""),"")</f>
        <v>0</v>
      </c>
      <c r="AA110" s="145" t="str">
        <f>IFERROR(_xlfn.XLOOKUP(TEXT(H110,"0000000000"),'📞 Call Tracker'!A$2:A$2000,'📞 Call Tracker'!F$2:F$2000,""),"")</f>
        <v>ON THE BEST PLAN</v>
      </c>
      <c r="AB110" s="132">
        <f t="shared" si="3"/>
        <v>99</v>
      </c>
      <c r="AC110" s="79"/>
    </row>
    <row r="111" spans="1:29" ht="20.100000000000001" customHeight="1">
      <c r="A111" s="91">
        <v>45903</v>
      </c>
      <c r="B111" s="92" t="str">
        <v>Sahoo</v>
      </c>
      <c r="C111" s="92" t="str">
        <v>Prakash</v>
      </c>
      <c r="D111" s="92" t="str">
        <v>Scottsdale</v>
      </c>
      <c r="E111" s="92">
        <v>85260</v>
      </c>
      <c r="F111" s="137" t="str">
        <v>Does not support</v>
      </c>
      <c r="G111" s="93" t="str">
        <v>https://images.edocket.azcc.gov/docketpdf/E000046190.pdf</v>
      </c>
      <c r="H111" s="150" t="s">
        <v>573</v>
      </c>
      <c r="I111" s="114" t="str">
        <v>RTOUE47</v>
      </c>
      <c r="J111" s="94" t="str">
        <v>No</v>
      </c>
      <c r="K111" s="94" t="str">
        <v>No</v>
      </c>
      <c r="L111" s="137" t="str">
        <v>Yes</v>
      </c>
      <c r="M111" s="94" t="str">
        <v>No</v>
      </c>
      <c r="N111" s="134" t="str">
        <v>No</v>
      </c>
      <c r="O111" s="119" t="str">
        <v>Yes</v>
      </c>
      <c r="P111" s="92" t="str">
        <v>N</v>
      </c>
      <c r="Q111" s="91">
        <v>45968</v>
      </c>
      <c r="R111" s="140">
        <v>0</v>
      </c>
      <c r="S111" s="92">
        <v>0</v>
      </c>
      <c r="T111" s="92">
        <v>0</v>
      </c>
      <c r="U111" s="137">
        <v>0</v>
      </c>
      <c r="V111" s="126" t="str">
        <f t="shared" si="2"/>
        <v>✅ On Best Plan</v>
      </c>
      <c r="W111" s="130" t="str">
        <f>IFERROR(_xlfn.XLOOKUP(TEXT(H111,"0000000000"),'📞 Call Tracker'!A$2:A$2000,'📞 Call Tracker'!B$2:B$2000,""),"")</f>
        <v>Michelle</v>
      </c>
      <c r="X111" s="96">
        <f>IFERROR(_xlfn.XLOOKUP(TEXT(H111,"0000000000"),'📞 Call Tracker'!A$2:A$2000,'📞 Call Tracker'!C$2:C$2000,""),"")</f>
        <v>46067</v>
      </c>
      <c r="Y111" s="95" t="str">
        <f>IFERROR(_xlfn.XLOOKUP(TEXT(H111,"0000000000"),'📞 Call Tracker'!A$2:A$2000,'📞 Call Tracker'!D$2:D$2000,""),"")</f>
        <v>YES</v>
      </c>
      <c r="Z111" s="95">
        <f>IFERROR(_xlfn.XLOOKUP(TEXT(H111,"0000000000"),'📞 Call Tracker'!A$2:A$2000,'📞 Call Tracker'!E$2:E$2000,""),"")</f>
        <v>0</v>
      </c>
      <c r="AA111" s="145">
        <f>IFERROR(_xlfn.XLOOKUP(TEXT(H111,"0000000000"),'📞 Call Tracker'!A$2:A$2000,'📞 Call Tracker'!F$2:F$2000,""),"")</f>
        <v>0</v>
      </c>
      <c r="AB111" s="132">
        <f t="shared" si="3"/>
        <v>99</v>
      </c>
      <c r="AC111" s="79"/>
    </row>
    <row r="112" spans="1:29" ht="20.100000000000001" customHeight="1">
      <c r="A112" s="91">
        <v>45903</v>
      </c>
      <c r="B112" s="92" t="str">
        <v>Lichtner</v>
      </c>
      <c r="C112" s="92" t="str">
        <v>Nicholas</v>
      </c>
      <c r="D112" s="92" t="str">
        <v>Phoenix</v>
      </c>
      <c r="E112" s="92">
        <v>85015</v>
      </c>
      <c r="F112" s="137" t="str">
        <v>Form letter</v>
      </c>
      <c r="G112" s="93" t="str">
        <v>https://images.edocket.azcc.gov/docketpdf/E000046190.pdf</v>
      </c>
      <c r="H112" s="150" t="s">
        <v>577</v>
      </c>
      <c r="I112" s="114" t="str">
        <v>R-BASICL</v>
      </c>
      <c r="J112" s="94" t="str">
        <v>No</v>
      </c>
      <c r="K112" s="94" t="str">
        <v>No</v>
      </c>
      <c r="L112" s="137" t="str">
        <v>No MEP R3-47($45.27)</v>
      </c>
      <c r="M112" s="94" t="str">
        <v>No</v>
      </c>
      <c r="N112" s="134" t="str">
        <v>No</v>
      </c>
      <c r="O112" s="119" t="str">
        <v>Yes</v>
      </c>
      <c r="P112" s="92" t="str">
        <v>N</v>
      </c>
      <c r="Q112" s="91">
        <v>45968</v>
      </c>
      <c r="R112" s="140">
        <v>0</v>
      </c>
      <c r="S112" s="92">
        <v>0</v>
      </c>
      <c r="T112" s="92">
        <v>0</v>
      </c>
      <c r="U112" s="137">
        <v>0</v>
      </c>
      <c r="V112" s="126" t="str">
        <f t="shared" si="2"/>
        <v>❌ Not on Best Plan</v>
      </c>
      <c r="W112" s="130">
        <f>IFERROR(_xlfn.XLOOKUP(TEXT(H112,"0000000000"),'📞 Call Tracker'!A$2:A$2000,'📞 Call Tracker'!B$2:B$2000,""),"")</f>
        <v>0</v>
      </c>
      <c r="X112" s="96">
        <f>IFERROR(_xlfn.XLOOKUP(TEXT(H112,"0000000000"),'📞 Call Tracker'!A$2:A$2000,'📞 Call Tracker'!C$2:C$2000,""),"")</f>
        <v>0</v>
      </c>
      <c r="Y112" s="95">
        <f>IFERROR(_xlfn.XLOOKUP(TEXT(H112,"0000000000"),'📞 Call Tracker'!A$2:A$2000,'📞 Call Tracker'!D$2:D$2000,""),"")</f>
        <v>0</v>
      </c>
      <c r="Z112" s="95">
        <f>IFERROR(_xlfn.XLOOKUP(TEXT(H112,"0000000000"),'📞 Call Tracker'!A$2:A$2000,'📞 Call Tracker'!E$2:E$2000,""),"")</f>
        <v>0</v>
      </c>
      <c r="AA112" s="145">
        <f>IFERROR(_xlfn.XLOOKUP(TEXT(H112,"0000000000"),'📞 Call Tracker'!A$2:A$2000,'📞 Call Tracker'!F$2:F$2000,""),"")</f>
        <v>0</v>
      </c>
      <c r="AB112" s="132">
        <f t="shared" si="3"/>
        <v>99</v>
      </c>
      <c r="AC112" s="79"/>
    </row>
    <row r="113" spans="1:29" ht="20.100000000000001" customHeight="1">
      <c r="A113" s="91">
        <v>45903</v>
      </c>
      <c r="B113" s="92" t="str">
        <v>Pela</v>
      </c>
      <c r="C113" s="92" t="str">
        <v>Allison</v>
      </c>
      <c r="D113" s="92" t="str">
        <v>Phoenix</v>
      </c>
      <c r="E113" s="92">
        <v>85028</v>
      </c>
      <c r="F113" s="137" t="str">
        <v>Punishing solar customers</v>
      </c>
      <c r="G113" s="93" t="str">
        <v>https://images.edocket.azcc.gov/docketpdf/E000046190.pdf</v>
      </c>
      <c r="H113" s="150" t="s">
        <v>579</v>
      </c>
      <c r="I113" s="114" t="str">
        <v>R3-47</v>
      </c>
      <c r="J113" s="94" t="str">
        <v>No</v>
      </c>
      <c r="K113" s="94" t="str">
        <v>No</v>
      </c>
      <c r="L113" s="137" t="str">
        <v>Yes</v>
      </c>
      <c r="M113" s="94" t="str">
        <v>No</v>
      </c>
      <c r="N113" s="134" t="str">
        <v>No</v>
      </c>
      <c r="O113" s="119" t="str">
        <v>Yes</v>
      </c>
      <c r="P113" s="92" t="str">
        <v>N</v>
      </c>
      <c r="Q113" s="91">
        <v>45968</v>
      </c>
      <c r="R113" s="140">
        <v>0</v>
      </c>
      <c r="S113" s="92">
        <v>0</v>
      </c>
      <c r="T113" s="92">
        <v>0</v>
      </c>
      <c r="U113" s="137">
        <v>0</v>
      </c>
      <c r="V113" s="126" t="str">
        <f t="shared" si="2"/>
        <v>✅ On Best Plan</v>
      </c>
      <c r="W113" s="130" t="str">
        <f>IFERROR(_xlfn.XLOOKUP(TEXT(H113,"0000000000"),'📞 Call Tracker'!A$2:A$2000,'📞 Call Tracker'!B$2:B$2000,""),"")</f>
        <v>Joaquin</v>
      </c>
      <c r="X113" s="96">
        <f>IFERROR(_xlfn.XLOOKUP(TEXT(H113,"0000000000"),'📞 Call Tracker'!A$2:A$2000,'📞 Call Tracker'!C$2:C$2000,""),"")</f>
        <v>46011</v>
      </c>
      <c r="Y113" s="95" t="str">
        <f>IFERROR(_xlfn.XLOOKUP(TEXT(H113,"0000000000"),'📞 Call Tracker'!A$2:A$2000,'📞 Call Tracker'!D$2:D$2000,""),"")</f>
        <v>YES</v>
      </c>
      <c r="Z113" s="95">
        <f>IFERROR(_xlfn.XLOOKUP(TEXT(H113,"0000000000"),'📞 Call Tracker'!A$2:A$2000,'📞 Call Tracker'!E$2:E$2000,""),"")</f>
        <v>0</v>
      </c>
      <c r="AA113" s="145" t="str">
        <f>IFERROR(_xlfn.XLOOKUP(TEXT(H113,"0000000000"),'📞 Call Tracker'!A$2:A$2000,'📞 Call Tracker'!F$2:F$2000,""),"")</f>
        <v>LEFT VOICE MESSAGE</v>
      </c>
      <c r="AB113" s="132">
        <f t="shared" si="3"/>
        <v>99</v>
      </c>
      <c r="AC113" s="79"/>
    </row>
    <row r="114" spans="1:29" ht="20.100000000000001" customHeight="1">
      <c r="A114" s="91">
        <v>45903</v>
      </c>
      <c r="B114" s="92" t="str">
        <v>Elliston</v>
      </c>
      <c r="C114" s="92" t="str">
        <v>Juanita</v>
      </c>
      <c r="D114" s="92" t="str">
        <v>Litchfield Park</v>
      </c>
      <c r="E114" s="92">
        <v>85340</v>
      </c>
      <c r="F114" s="137" t="str">
        <v>Opposed</v>
      </c>
      <c r="G114" s="93" t="str">
        <v>https://images.edocket.azcc.gov/docketpdf/E000046190.pdf</v>
      </c>
      <c r="H114" s="150" t="s">
        <v>586</v>
      </c>
      <c r="I114" s="114" t="str">
        <v>R3-47</v>
      </c>
      <c r="J114" s="94" t="str">
        <v>No</v>
      </c>
      <c r="K114" s="94" t="str">
        <v>No</v>
      </c>
      <c r="L114" s="137" t="str">
        <v>Yes</v>
      </c>
      <c r="M114" s="94" t="str">
        <v>No</v>
      </c>
      <c r="N114" s="134" t="str">
        <v>No</v>
      </c>
      <c r="O114" s="119" t="str">
        <v>Yes</v>
      </c>
      <c r="P114" s="92" t="str">
        <v>N</v>
      </c>
      <c r="Q114" s="91">
        <v>45968</v>
      </c>
      <c r="R114" s="140">
        <v>0</v>
      </c>
      <c r="S114" s="92">
        <v>0</v>
      </c>
      <c r="T114" s="92">
        <v>0</v>
      </c>
      <c r="U114" s="137">
        <v>0</v>
      </c>
      <c r="V114" s="126" t="str">
        <f t="shared" si="2"/>
        <v>✅ On Best Plan</v>
      </c>
      <c r="W114" s="130">
        <f>IFERROR(_xlfn.XLOOKUP(TEXT(H114,"0000000000"),'📞 Call Tracker'!A$2:A$2000,'📞 Call Tracker'!B$2:B$2000,""),"")</f>
        <v>0</v>
      </c>
      <c r="X114" s="96">
        <f>IFERROR(_xlfn.XLOOKUP(TEXT(H114,"0000000000"),'📞 Call Tracker'!A$2:A$2000,'📞 Call Tracker'!C$2:C$2000,""),"")</f>
        <v>0</v>
      </c>
      <c r="Y114" s="95">
        <f>IFERROR(_xlfn.XLOOKUP(TEXT(H114,"0000000000"),'📞 Call Tracker'!A$2:A$2000,'📞 Call Tracker'!D$2:D$2000,""),"")</f>
        <v>0</v>
      </c>
      <c r="Z114" s="95">
        <f>IFERROR(_xlfn.XLOOKUP(TEXT(H114,"0000000000"),'📞 Call Tracker'!A$2:A$2000,'📞 Call Tracker'!E$2:E$2000,""),"")</f>
        <v>0</v>
      </c>
      <c r="AA114" s="145">
        <f>IFERROR(_xlfn.XLOOKUP(TEXT(H114,"0000000000"),'📞 Call Tracker'!A$2:A$2000,'📞 Call Tracker'!F$2:F$2000,""),"")</f>
        <v>0</v>
      </c>
      <c r="AB114" s="132">
        <f t="shared" si="3"/>
        <v>99</v>
      </c>
      <c r="AC114" s="79"/>
    </row>
    <row r="115" spans="1:29" ht="20.100000000000001" customHeight="1">
      <c r="A115" s="91">
        <v>45903</v>
      </c>
      <c r="B115" s="92" t="str">
        <v>Kroytoro</v>
      </c>
      <c r="C115" s="92" t="str">
        <v>Eli</v>
      </c>
      <c r="D115" s="92" t="str">
        <v>Phoenix</v>
      </c>
      <c r="E115" s="92">
        <v>85024</v>
      </c>
      <c r="F115" s="137" t="str">
        <v>Form letter</v>
      </c>
      <c r="G115" s="93" t="str">
        <v>https://images.edocket.azcc.gov/docketpdf/E000046190.pdf</v>
      </c>
      <c r="H115" s="150" t="s">
        <v>589</v>
      </c>
      <c r="I115" s="114" t="str">
        <v>R3-47</v>
      </c>
      <c r="J115" s="94" t="str">
        <v>No</v>
      </c>
      <c r="K115" s="94" t="str">
        <v>No</v>
      </c>
      <c r="L115" s="137" t="str">
        <v>Yes</v>
      </c>
      <c r="M115" s="94" t="str">
        <v>No</v>
      </c>
      <c r="N115" s="134" t="str">
        <v>No</v>
      </c>
      <c r="O115" s="119" t="str">
        <v>Yes</v>
      </c>
      <c r="P115" s="92" t="str">
        <v>N</v>
      </c>
      <c r="Q115" s="91">
        <v>45968</v>
      </c>
      <c r="R115" s="140">
        <v>0</v>
      </c>
      <c r="S115" s="92">
        <v>0</v>
      </c>
      <c r="T115" s="92">
        <v>0</v>
      </c>
      <c r="U115" s="137">
        <v>0</v>
      </c>
      <c r="V115" s="126" t="str">
        <f t="shared" si="2"/>
        <v>✅ On Best Plan</v>
      </c>
      <c r="W115" s="130" t="str">
        <f>IFERROR(_xlfn.XLOOKUP(TEXT(H115,"0000000000"),'📞 Call Tracker'!A$2:A$2000,'📞 Call Tracker'!B$2:B$2000,""),"")</f>
        <v>Michelle</v>
      </c>
      <c r="X115" s="96">
        <f>IFERROR(_xlfn.XLOOKUP(TEXT(H115,"0000000000"),'📞 Call Tracker'!A$2:A$2000,'📞 Call Tracker'!C$2:C$2000,""),"")</f>
        <v>46074</v>
      </c>
      <c r="Y115" s="95" t="str">
        <f>IFERROR(_xlfn.XLOOKUP(TEXT(H115,"0000000000"),'📞 Call Tracker'!A$2:A$2000,'📞 Call Tracker'!D$2:D$2000,""),"")</f>
        <v>YES</v>
      </c>
      <c r="Z115" s="95">
        <f>IFERROR(_xlfn.XLOOKUP(TEXT(H115,"0000000000"),'📞 Call Tracker'!A$2:A$2000,'📞 Call Tracker'!E$2:E$2000,""),"")</f>
        <v>0</v>
      </c>
      <c r="AA115" s="145">
        <f>IFERROR(_xlfn.XLOOKUP(TEXT(H115,"0000000000"),'📞 Call Tracker'!A$2:A$2000,'📞 Call Tracker'!F$2:F$2000,""),"")</f>
        <v>0</v>
      </c>
      <c r="AB115" s="132">
        <f t="shared" si="3"/>
        <v>99</v>
      </c>
      <c r="AC115" s="79"/>
    </row>
    <row r="116" spans="1:29" ht="20.100000000000001" customHeight="1">
      <c r="A116" s="91">
        <v>45903</v>
      </c>
      <c r="B116" s="92" t="str">
        <v>McCallum</v>
      </c>
      <c r="C116" s="92" t="str">
        <v>Robert</v>
      </c>
      <c r="D116" s="92" t="str">
        <v>Litchfield Park</v>
      </c>
      <c r="E116" s="92">
        <v>85340</v>
      </c>
      <c r="F116" s="137" t="str">
        <v xml:space="preserve">Cannot afford/retired </v>
      </c>
      <c r="G116" s="93" t="str">
        <v>https://images.edocket.azcc.gov/docketpdf/E000046190.pdf</v>
      </c>
      <c r="H116" s="150" t="s">
        <v>592</v>
      </c>
      <c r="I116" s="114" t="str">
        <v>R-BASIC</v>
      </c>
      <c r="J116" s="94" t="str">
        <v>No</v>
      </c>
      <c r="K116" s="94" t="str">
        <v>No</v>
      </c>
      <c r="L116" s="137" t="str">
        <v>Yes</v>
      </c>
      <c r="M116" s="94" t="str">
        <v>No</v>
      </c>
      <c r="N116" s="134" t="str">
        <v>No</v>
      </c>
      <c r="O116" s="119" t="str">
        <v>Yes</v>
      </c>
      <c r="P116" s="92" t="str">
        <v>N</v>
      </c>
      <c r="Q116" s="91">
        <v>45968</v>
      </c>
      <c r="R116" s="140">
        <v>0</v>
      </c>
      <c r="S116" s="92">
        <v>0</v>
      </c>
      <c r="T116" s="92">
        <v>0</v>
      </c>
      <c r="U116" s="137">
        <v>0</v>
      </c>
      <c r="V116" s="126" t="str">
        <f t="shared" si="2"/>
        <v>✅ On Best Plan</v>
      </c>
      <c r="W116" s="130">
        <f>IFERROR(_xlfn.XLOOKUP(TEXT(H116,"0000000000"),'📞 Call Tracker'!A$2:A$2000,'📞 Call Tracker'!B$2:B$2000,""),"")</f>
        <v>0</v>
      </c>
      <c r="X116" s="96">
        <f>IFERROR(_xlfn.XLOOKUP(TEXT(H116,"0000000000"),'📞 Call Tracker'!A$2:A$2000,'📞 Call Tracker'!C$2:C$2000,""),"")</f>
        <v>0</v>
      </c>
      <c r="Y116" s="95">
        <f>IFERROR(_xlfn.XLOOKUP(TEXT(H116,"0000000000"),'📞 Call Tracker'!A$2:A$2000,'📞 Call Tracker'!D$2:D$2000,""),"")</f>
        <v>0</v>
      </c>
      <c r="Z116" s="95">
        <f>IFERROR(_xlfn.XLOOKUP(TEXT(H116,"0000000000"),'📞 Call Tracker'!A$2:A$2000,'📞 Call Tracker'!E$2:E$2000,""),"")</f>
        <v>0</v>
      </c>
      <c r="AA116" s="145">
        <f>IFERROR(_xlfn.XLOOKUP(TEXT(H116,"0000000000"),'📞 Call Tracker'!A$2:A$2000,'📞 Call Tracker'!F$2:F$2000,""),"")</f>
        <v>0</v>
      </c>
      <c r="AB116" s="132">
        <f t="shared" si="3"/>
        <v>99</v>
      </c>
      <c r="AC116" s="79"/>
    </row>
    <row r="117" spans="1:29" ht="20.100000000000001" customHeight="1">
      <c r="A117" s="91">
        <v>45903</v>
      </c>
      <c r="B117" s="92" t="str">
        <v>Kontryn</v>
      </c>
      <c r="C117" s="92" t="str">
        <v xml:space="preserve">Sara </v>
      </c>
      <c r="D117" s="92" t="str">
        <v>Phoenix</v>
      </c>
      <c r="E117" s="92">
        <v>85022</v>
      </c>
      <c r="F117" s="137" t="str">
        <v>Form letter</v>
      </c>
      <c r="G117" s="93" t="str">
        <v>https://images.edocket.azcc.gov/docketpdf/E000046190.pdf</v>
      </c>
      <c r="H117" s="150" t="s">
        <v>596</v>
      </c>
      <c r="I117" s="114" t="str">
        <v>RTOUE47</v>
      </c>
      <c r="J117" s="94" t="str">
        <v>No</v>
      </c>
      <c r="K117" s="94" t="str">
        <v>No</v>
      </c>
      <c r="L117" s="137" t="str">
        <v>No MEP R3-47($91.81)</v>
      </c>
      <c r="M117" s="94" t="str">
        <v>No</v>
      </c>
      <c r="N117" s="134" t="str">
        <v>No</v>
      </c>
      <c r="O117" s="119" t="str">
        <v>Yes</v>
      </c>
      <c r="P117" s="92">
        <v>45933</v>
      </c>
      <c r="Q117" s="91">
        <v>45968</v>
      </c>
      <c r="R117" s="140" t="str">
        <v>Left VM 10/03/2025</v>
      </c>
      <c r="S117" s="92">
        <v>0</v>
      </c>
      <c r="T117" s="92">
        <v>0</v>
      </c>
      <c r="U117" s="137">
        <v>0</v>
      </c>
      <c r="V117" s="126" t="str">
        <f t="shared" si="2"/>
        <v>❌ Not on Best Plan</v>
      </c>
      <c r="W117" s="130" t="str">
        <f>IFERROR(_xlfn.XLOOKUP(TEXT(H117,"0000000000"),'📞 Call Tracker'!A$2:A$2000,'📞 Call Tracker'!B$2:B$2000,""),"")</f>
        <v>Michelle</v>
      </c>
      <c r="X117" s="96">
        <f>IFERROR(_xlfn.XLOOKUP(TEXT(H117,"0000000000"),'📞 Call Tracker'!A$2:A$2000,'📞 Call Tracker'!C$2:C$2000,""),"")</f>
        <v>46074</v>
      </c>
      <c r="Y117" s="95" t="str">
        <f>IFERROR(_xlfn.XLOOKUP(TEXT(H117,"0000000000"),'📞 Call Tracker'!A$2:A$2000,'📞 Call Tracker'!D$2:D$2000,""),"")</f>
        <v>YES</v>
      </c>
      <c r="Z117" s="95">
        <f>IFERROR(_xlfn.XLOOKUP(TEXT(H117,"0000000000"),'📞 Call Tracker'!A$2:A$2000,'📞 Call Tracker'!E$2:E$2000,""),"")</f>
        <v>0</v>
      </c>
      <c r="AA117" s="145">
        <f>IFERROR(_xlfn.XLOOKUP(TEXT(H117,"0000000000"),'📞 Call Tracker'!A$2:A$2000,'📞 Call Tracker'!F$2:F$2000,""),"")</f>
        <v>0</v>
      </c>
      <c r="AB117" s="132">
        <f t="shared" si="3"/>
        <v>99</v>
      </c>
      <c r="AC117" s="79"/>
    </row>
    <row r="118" spans="1:29" ht="20.100000000000001" customHeight="1">
      <c r="A118" s="91">
        <v>45903</v>
      </c>
      <c r="B118" s="92" t="str">
        <v>Petersen</v>
      </c>
      <c r="C118" s="92" t="str">
        <v>Ashley</v>
      </c>
      <c r="D118" s="92" t="str">
        <v>Glendale</v>
      </c>
      <c r="E118" s="92">
        <v>85308</v>
      </c>
      <c r="F118" s="137" t="str">
        <v>Form letter</v>
      </c>
      <c r="G118" s="93" t="str">
        <v>https://images.edocket.azcc.gov/docketpdf/E000046190.pdf</v>
      </c>
      <c r="H118" s="150" t="s">
        <v>599</v>
      </c>
      <c r="I118" s="114" t="str">
        <v>R-XS</v>
      </c>
      <c r="J118" s="94" t="str">
        <v>No</v>
      </c>
      <c r="K118" s="94">
        <v>0</v>
      </c>
      <c r="L118" s="137" t="str">
        <v>Yes</v>
      </c>
      <c r="M118" s="94">
        <v>0</v>
      </c>
      <c r="N118" s="134">
        <v>0</v>
      </c>
      <c r="O118" s="119" t="str">
        <v>Yes</v>
      </c>
      <c r="P118" s="92" t="str">
        <v>N</v>
      </c>
      <c r="Q118" s="91">
        <v>0</v>
      </c>
      <c r="R118" s="140">
        <v>0</v>
      </c>
      <c r="S118" s="92">
        <v>0</v>
      </c>
      <c r="T118" s="92">
        <v>0</v>
      </c>
      <c r="U118" s="137">
        <v>0</v>
      </c>
      <c r="V118" s="126" t="str">
        <f t="shared" si="2"/>
        <v>✅ On Best Plan</v>
      </c>
      <c r="W118" s="130" t="str">
        <f>IFERROR(_xlfn.XLOOKUP(TEXT(H118,"0000000000"),'📞 Call Tracker'!A$2:A$2000,'📞 Call Tracker'!B$2:B$2000,""),"")</f>
        <v>Joaquin</v>
      </c>
      <c r="X118" s="96">
        <f>IFERROR(_xlfn.XLOOKUP(TEXT(H118,"0000000000"),'📞 Call Tracker'!A$2:A$2000,'📞 Call Tracker'!C$2:C$2000,""),"")</f>
        <v>46011</v>
      </c>
      <c r="Y118" s="95" t="str">
        <f>IFERROR(_xlfn.XLOOKUP(TEXT(H118,"0000000000"),'📞 Call Tracker'!A$2:A$2000,'📞 Call Tracker'!D$2:D$2000,""),"")</f>
        <v>YES</v>
      </c>
      <c r="Z118" s="95">
        <f>IFERROR(_xlfn.XLOOKUP(TEXT(H118,"0000000000"),'📞 Call Tracker'!A$2:A$2000,'📞 Call Tracker'!E$2:E$2000,""),"")</f>
        <v>0</v>
      </c>
      <c r="AA118" s="145" t="str">
        <f>IFERROR(_xlfn.XLOOKUP(TEXT(H118,"0000000000"),'📞 Call Tracker'!A$2:A$2000,'📞 Call Tracker'!F$2:F$2000,""),"")</f>
        <v>LEFT VOICE MESSAGE</v>
      </c>
      <c r="AB118" s="132">
        <f t="shared" si="3"/>
        <v>99</v>
      </c>
      <c r="AC118" s="79"/>
    </row>
    <row r="119" spans="1:29" ht="20.100000000000001" customHeight="1">
      <c r="A119" s="91">
        <v>45903</v>
      </c>
      <c r="B119" s="92" t="str">
        <v>Bergstrom</v>
      </c>
      <c r="C119" s="92" t="str">
        <v>Shailey</v>
      </c>
      <c r="D119" s="92" t="str">
        <v>Phoenix</v>
      </c>
      <c r="E119" s="92">
        <v>85022</v>
      </c>
      <c r="F119" s="137" t="str">
        <v>Apt electric bill is as high as her parent home in Tucson</v>
      </c>
      <c r="G119" s="93" t="str">
        <v>https://images.edocket.azcc.gov/docketpdf/E000046190.pdf</v>
      </c>
      <c r="H119" s="150" t="s">
        <v>6147</v>
      </c>
      <c r="I119" s="114" t="str">
        <v>R-BASICL</v>
      </c>
      <c r="J119" s="94" t="str">
        <v>No</v>
      </c>
      <c r="K119" s="94" t="str">
        <v>No</v>
      </c>
      <c r="L119" s="137" t="str">
        <v>No MEP R-BASIC(170.69)</v>
      </c>
      <c r="M119" s="94" t="str">
        <v>No</v>
      </c>
      <c r="N119" s="134" t="str">
        <v>No</v>
      </c>
      <c r="O119" s="119" t="str">
        <v>Yes</v>
      </c>
      <c r="P119" s="92">
        <v>45933</v>
      </c>
      <c r="Q119" s="91">
        <v>45968</v>
      </c>
      <c r="R119" s="140" t="str">
        <v>Left VM 10/03/2025 - Will be automatically reassigned to Tier 2 soon</v>
      </c>
      <c r="S119" s="92">
        <v>0</v>
      </c>
      <c r="T119" s="92">
        <v>0</v>
      </c>
      <c r="U119" s="137">
        <v>0</v>
      </c>
      <c r="V119" s="126" t="str">
        <f t="shared" si="2"/>
        <v>❌ Not on Best Plan</v>
      </c>
      <c r="W119" s="130" t="str">
        <f>IFERROR(_xlfn.XLOOKUP(TEXT(H119,"0000000000"),'📞 Call Tracker'!A$2:A$2000,'📞 Call Tracker'!B$2:B$2000,""),"")</f>
        <v>Michelle</v>
      </c>
      <c r="X119" s="96">
        <f>IFERROR(_xlfn.XLOOKUP(TEXT(H119,"0000000000"),'📞 Call Tracker'!A$2:A$2000,'📞 Call Tracker'!C$2:C$2000,""),"")</f>
        <v>46074</v>
      </c>
      <c r="Y119" s="95" t="str">
        <f>IFERROR(_xlfn.XLOOKUP(TEXT(H119,"0000000000"),'📞 Call Tracker'!A$2:A$2000,'📞 Call Tracker'!D$2:D$2000,""),"")</f>
        <v>NO</v>
      </c>
      <c r="Z119" s="95" t="str">
        <f>IFERROR(_xlfn.XLOOKUP(TEXT(H119,"0000000000"),'📞 Call Tracker'!A$2:A$2000,'📞 Call Tracker'!E$2:E$2000,""),"")</f>
        <v>General Education</v>
      </c>
      <c r="AA119" s="145" t="str">
        <f>IFERROR(_xlfn.XLOOKUP(TEXT(H119,"0000000000"),'📞 Call Tracker'!A$2:A$2000,'📞 Call Tracker'!F$2:F$2000,""),"")</f>
        <v>SET UP BB $123</v>
      </c>
      <c r="AB119" s="132">
        <f t="shared" si="3"/>
        <v>99</v>
      </c>
      <c r="AC119" s="79"/>
    </row>
    <row r="120" spans="1:29" ht="20.100000000000001" customHeight="1">
      <c r="A120" s="91">
        <v>45903</v>
      </c>
      <c r="B120" s="92" t="str">
        <v>Rogers</v>
      </c>
      <c r="C120" s="92" t="str">
        <v>Richard</v>
      </c>
      <c r="D120" s="92" t="str">
        <v>Flagstaff</v>
      </c>
      <c r="E120" s="92">
        <v>86001</v>
      </c>
      <c r="F120" s="137" t="str">
        <v>Opposed</v>
      </c>
      <c r="G120" s="93" t="str">
        <v>https://images.edocket.azcc.gov/docketpdf/E000046190.pdf</v>
      </c>
      <c r="H120" s="150" t="s">
        <v>605</v>
      </c>
      <c r="I120" s="114" t="str">
        <v>R-BASIC</v>
      </c>
      <c r="J120" s="94" t="str">
        <v>No</v>
      </c>
      <c r="K120" s="94" t="str">
        <v>No</v>
      </c>
      <c r="L120" s="137" t="str">
        <v>No Multiple SAs not on MEP</v>
      </c>
      <c r="M120" s="94" t="str">
        <v>No</v>
      </c>
      <c r="N120" s="134" t="str">
        <v>No</v>
      </c>
      <c r="O120" s="119" t="str">
        <v>Yes</v>
      </c>
      <c r="P120" s="92">
        <v>45933</v>
      </c>
      <c r="Q120" s="91">
        <v>45968</v>
      </c>
      <c r="R120" s="140" t="str">
        <v>Left VM 10/03/2025</v>
      </c>
      <c r="S120" s="92">
        <v>0</v>
      </c>
      <c r="T120" s="92">
        <v>0</v>
      </c>
      <c r="U120" s="137">
        <v>0</v>
      </c>
      <c r="V120" s="126" t="str">
        <f t="shared" si="2"/>
        <v>❌ Not on Best Plan</v>
      </c>
      <c r="W120" s="130" t="str">
        <f>IFERROR(_xlfn.XLOOKUP(TEXT(H120,"0000000000"),'📞 Call Tracker'!A$2:A$2000,'📞 Call Tracker'!B$2:B$2000,""),"")</f>
        <v>Michelle</v>
      </c>
      <c r="X120" s="96">
        <f>IFERROR(_xlfn.XLOOKUP(TEXT(H120,"0000000000"),'📞 Call Tracker'!A$2:A$2000,'📞 Call Tracker'!C$2:C$2000,""),"")</f>
        <v>46053</v>
      </c>
      <c r="Y120" s="95" t="str">
        <f>IFERROR(_xlfn.XLOOKUP(TEXT(H120,"0000000000"),'📞 Call Tracker'!A$2:A$2000,'📞 Call Tracker'!D$2:D$2000,""),"")</f>
        <v>YES</v>
      </c>
      <c r="Z120" s="95">
        <f>IFERROR(_xlfn.XLOOKUP(TEXT(H120,"0000000000"),'📞 Call Tracker'!A$2:A$2000,'📞 Call Tracker'!E$2:E$2000,""),"")</f>
        <v>0</v>
      </c>
      <c r="AA120" s="145">
        <f>IFERROR(_xlfn.XLOOKUP(TEXT(H120,"0000000000"),'📞 Call Tracker'!A$2:A$2000,'📞 Call Tracker'!F$2:F$2000,""),"")</f>
        <v>0</v>
      </c>
      <c r="AB120" s="132">
        <f t="shared" si="3"/>
        <v>99</v>
      </c>
      <c r="AC120" s="79"/>
    </row>
    <row r="121" spans="1:29" ht="20.100000000000001" customHeight="1">
      <c r="A121" s="91">
        <v>45903</v>
      </c>
      <c r="B121" s="92" t="str">
        <v>Weaver</v>
      </c>
      <c r="C121" s="92" t="str">
        <v>Jordan</v>
      </c>
      <c r="D121" s="92" t="str">
        <v>Phoenix</v>
      </c>
      <c r="E121" s="92">
        <v>85014</v>
      </c>
      <c r="F121" s="137" t="str">
        <v>Make data centers pay more not people who are struggling</v>
      </c>
      <c r="G121" s="93" t="str">
        <v>https://images.edocket.azcc.gov/docketpdf/E000046190.pdf</v>
      </c>
      <c r="H121" s="150" t="s">
        <v>609</v>
      </c>
      <c r="I121" s="114" t="str">
        <v>R-XS</v>
      </c>
      <c r="J121" s="94" t="str">
        <v>No</v>
      </c>
      <c r="K121" s="94" t="str">
        <v>No</v>
      </c>
      <c r="L121" s="137" t="str">
        <v>Yes</v>
      </c>
      <c r="M121" s="94" t="str">
        <v>No</v>
      </c>
      <c r="N121" s="134" t="str">
        <v>No</v>
      </c>
      <c r="O121" s="119" t="str">
        <v>Yes</v>
      </c>
      <c r="P121" s="92" t="str">
        <v>N</v>
      </c>
      <c r="Q121" s="91">
        <v>45968</v>
      </c>
      <c r="R121" s="140">
        <v>0</v>
      </c>
      <c r="S121" s="92">
        <v>0</v>
      </c>
      <c r="T121" s="92">
        <v>0</v>
      </c>
      <c r="U121" s="137">
        <v>0</v>
      </c>
      <c r="V121" s="126" t="str">
        <f t="shared" si="2"/>
        <v>✅ On Best Plan</v>
      </c>
      <c r="W121" s="130" t="str">
        <f>IFERROR(_xlfn.XLOOKUP(TEXT(H121,"0000000000"),'📞 Call Tracker'!A$2:A$2000,'📞 Call Tracker'!B$2:B$2000,""),"")</f>
        <v>Michelle</v>
      </c>
      <c r="X121" s="96">
        <f>IFERROR(_xlfn.XLOOKUP(TEXT(H121,"0000000000"),'📞 Call Tracker'!A$2:A$2000,'📞 Call Tracker'!C$2:C$2000,""),"")</f>
        <v>46053</v>
      </c>
      <c r="Y121" s="95" t="str">
        <f>IFERROR(_xlfn.XLOOKUP(TEXT(H121,"0000000000"),'📞 Call Tracker'!A$2:A$2000,'📞 Call Tracker'!D$2:D$2000,""),"")</f>
        <v>YES</v>
      </c>
      <c r="Z121" s="95">
        <f>IFERROR(_xlfn.XLOOKUP(TEXT(H121,"0000000000"),'📞 Call Tracker'!A$2:A$2000,'📞 Call Tracker'!E$2:E$2000,""),"")</f>
        <v>0</v>
      </c>
      <c r="AA121" s="145" t="str">
        <f>IFERROR(_xlfn.XLOOKUP(TEXT(H121,"0000000000"),'📞 Call Tracker'!A$2:A$2000,'📞 Call Tracker'!F$2:F$2000,""),"")</f>
        <v>LEFT VM</v>
      </c>
      <c r="AB121" s="132">
        <f t="shared" si="3"/>
        <v>99</v>
      </c>
      <c r="AC121" s="79"/>
    </row>
    <row r="122" spans="1:29" ht="20.100000000000001" customHeight="1">
      <c r="A122" s="91">
        <v>45903</v>
      </c>
      <c r="B122" s="92" t="str">
        <v>Gutierrez</v>
      </c>
      <c r="C122" s="92" t="str">
        <v>Francisco</v>
      </c>
      <c r="D122" s="92" t="str">
        <v>Yuma</v>
      </c>
      <c r="E122" s="92">
        <v>85365</v>
      </c>
      <c r="F122" s="137" t="str">
        <v>Form letter</v>
      </c>
      <c r="G122" s="93" t="str">
        <v>https://images.edocket.azcc.gov/docketpdf/E000046190.pdf</v>
      </c>
      <c r="H122" s="150" t="s">
        <v>613</v>
      </c>
      <c r="I122" s="114" t="str">
        <v>RTOUE47</v>
      </c>
      <c r="J122" s="94" t="str">
        <v>No</v>
      </c>
      <c r="K122" s="94" t="str">
        <v>No</v>
      </c>
      <c r="L122" s="137" t="str">
        <v>No MEP R3-47($92.74)</v>
      </c>
      <c r="M122" s="94" t="str">
        <v>No</v>
      </c>
      <c r="N122" s="134" t="str">
        <v>No</v>
      </c>
      <c r="O122" s="119" t="str">
        <v>Yes</v>
      </c>
      <c r="P122" s="92" t="str">
        <v>N</v>
      </c>
      <c r="Q122" s="91">
        <v>45968</v>
      </c>
      <c r="R122" s="140" t="str">
        <v>Unable to leave VM- Mailbox full 10/03/25</v>
      </c>
      <c r="S122" s="92">
        <v>0</v>
      </c>
      <c r="T122" s="92">
        <v>0</v>
      </c>
      <c r="U122" s="137">
        <v>0</v>
      </c>
      <c r="V122" s="126" t="str">
        <f t="shared" si="2"/>
        <v>❌ Not on Best Plan</v>
      </c>
      <c r="W122" s="130">
        <f>IFERROR(_xlfn.XLOOKUP(TEXT(H122,"0000000000"),'📞 Call Tracker'!A$2:A$2000,'📞 Call Tracker'!B$2:B$2000,""),"")</f>
        <v>0</v>
      </c>
      <c r="X122" s="96">
        <f>IFERROR(_xlfn.XLOOKUP(TEXT(H122,"0000000000"),'📞 Call Tracker'!A$2:A$2000,'📞 Call Tracker'!C$2:C$2000,""),"")</f>
        <v>0</v>
      </c>
      <c r="Y122" s="95">
        <f>IFERROR(_xlfn.XLOOKUP(TEXT(H122,"0000000000"),'📞 Call Tracker'!A$2:A$2000,'📞 Call Tracker'!D$2:D$2000,""),"")</f>
        <v>0</v>
      </c>
      <c r="Z122" s="95">
        <f>IFERROR(_xlfn.XLOOKUP(TEXT(H122,"0000000000"),'📞 Call Tracker'!A$2:A$2000,'📞 Call Tracker'!E$2:E$2000,""),"")</f>
        <v>0</v>
      </c>
      <c r="AA122" s="145">
        <f>IFERROR(_xlfn.XLOOKUP(TEXT(H122,"0000000000"),'📞 Call Tracker'!A$2:A$2000,'📞 Call Tracker'!F$2:F$2000,""),"")</f>
        <v>0</v>
      </c>
      <c r="AB122" s="132">
        <f t="shared" si="3"/>
        <v>99</v>
      </c>
      <c r="AC122" s="79"/>
    </row>
    <row r="123" spans="1:29" ht="20.100000000000001" customHeight="1">
      <c r="A123" s="91">
        <v>45903</v>
      </c>
      <c r="B123" s="92" t="str">
        <v>Ramakrishnan</v>
      </c>
      <c r="C123" s="92" t="str">
        <v>Shyam Sundar</v>
      </c>
      <c r="D123" s="92" t="str">
        <v>Phoenix</v>
      </c>
      <c r="E123" s="92">
        <v>85085</v>
      </c>
      <c r="F123" s="137" t="str">
        <v>Unnecessary financial strain</v>
      </c>
      <c r="G123" s="93" t="str">
        <v>https://images.edocket.azcc.gov/docketpdf/E000046190.pdf</v>
      </c>
      <c r="H123" s="150" t="s">
        <v>617</v>
      </c>
      <c r="I123" s="114" t="str">
        <v>R3-47</v>
      </c>
      <c r="J123" s="94" t="str">
        <v>No</v>
      </c>
      <c r="K123" s="94" t="str">
        <v>No</v>
      </c>
      <c r="L123" s="137" t="str">
        <v>Yes</v>
      </c>
      <c r="M123" s="94" t="str">
        <v>No</v>
      </c>
      <c r="N123" s="134" t="str">
        <v>No</v>
      </c>
      <c r="O123" s="119" t="str">
        <v>Yes</v>
      </c>
      <c r="P123" s="92" t="str">
        <v>N</v>
      </c>
      <c r="Q123" s="91">
        <v>45968</v>
      </c>
      <c r="R123" s="140">
        <v>0</v>
      </c>
      <c r="S123" s="92">
        <v>0</v>
      </c>
      <c r="T123" s="92">
        <v>0</v>
      </c>
      <c r="U123" s="137">
        <v>0</v>
      </c>
      <c r="V123" s="126" t="str">
        <f t="shared" si="2"/>
        <v>✅ On Best Plan</v>
      </c>
      <c r="W123" s="130" t="str">
        <f>IFERROR(_xlfn.XLOOKUP(TEXT(H123,"0000000000"),'📞 Call Tracker'!A$2:A$2000,'📞 Call Tracker'!B$2:B$2000,""),"")</f>
        <v>Joaquin</v>
      </c>
      <c r="X123" s="96">
        <f>IFERROR(_xlfn.XLOOKUP(TEXT(H123,"0000000000"),'📞 Call Tracker'!A$2:A$2000,'📞 Call Tracker'!C$2:C$2000,""),"")</f>
        <v>46018</v>
      </c>
      <c r="Y123" s="95" t="str">
        <f>IFERROR(_xlfn.XLOOKUP(TEXT(H123,"0000000000"),'📞 Call Tracker'!A$2:A$2000,'📞 Call Tracker'!D$2:D$2000,""),"")</f>
        <v>NO</v>
      </c>
      <c r="Z123" s="95">
        <f>IFERROR(_xlfn.XLOOKUP(TEXT(H123,"0000000000"),'📞 Call Tracker'!A$2:A$2000,'📞 Call Tracker'!E$2:E$2000,""),"")</f>
        <v>0</v>
      </c>
      <c r="AA123" s="145">
        <f>IFERROR(_xlfn.XLOOKUP(TEXT(H123,"0000000000"),'📞 Call Tracker'!A$2:A$2000,'📞 Call Tracker'!F$2:F$2000,""),"")</f>
        <v>0</v>
      </c>
      <c r="AB123" s="132">
        <f t="shared" si="3"/>
        <v>99</v>
      </c>
      <c r="AC123" s="79"/>
    </row>
    <row r="124" spans="1:29" ht="20.100000000000001" customHeight="1">
      <c r="A124" s="91">
        <v>45903</v>
      </c>
      <c r="B124" s="92" t="str">
        <v>Vandiver</v>
      </c>
      <c r="C124" s="92" t="str">
        <v>Kaneshea</v>
      </c>
      <c r="D124" s="92" t="str">
        <v>Avondale</v>
      </c>
      <c r="E124" s="92">
        <v>85392</v>
      </c>
      <c r="F124" s="137" t="str">
        <v>Already having a hard time affording electric bill</v>
      </c>
      <c r="G124" s="93" t="str">
        <v>https://images.edocket.azcc.gov/docketpdf/E000046190.pdf</v>
      </c>
      <c r="H124" s="150" t="s">
        <v>625</v>
      </c>
      <c r="I124" s="114" t="str">
        <v>R-BASIC</v>
      </c>
      <c r="J124" s="94" t="str">
        <v>No</v>
      </c>
      <c r="K124" s="94" t="str">
        <v>No</v>
      </c>
      <c r="L124" s="137" t="str">
        <v>Yes</v>
      </c>
      <c r="M124" s="94" t="str">
        <v>No</v>
      </c>
      <c r="N124" s="134" t="str">
        <v>No</v>
      </c>
      <c r="O124" s="119" t="str">
        <v>Yes</v>
      </c>
      <c r="P124" s="92" t="str">
        <v>N</v>
      </c>
      <c r="Q124" s="91">
        <v>45968</v>
      </c>
      <c r="R124" s="140">
        <v>0</v>
      </c>
      <c r="S124" s="92">
        <v>0</v>
      </c>
      <c r="T124" s="92">
        <v>0</v>
      </c>
      <c r="U124" s="137">
        <v>0</v>
      </c>
      <c r="V124" s="126" t="str">
        <f t="shared" si="2"/>
        <v>✅ On Best Plan</v>
      </c>
      <c r="W124" s="130">
        <f>IFERROR(_xlfn.XLOOKUP(TEXT(H124,"0000000000"),'📞 Call Tracker'!A$2:A$2000,'📞 Call Tracker'!B$2:B$2000,""),"")</f>
        <v>0</v>
      </c>
      <c r="X124" s="96">
        <f>IFERROR(_xlfn.XLOOKUP(TEXT(H124,"0000000000"),'📞 Call Tracker'!A$2:A$2000,'📞 Call Tracker'!C$2:C$2000,""),"")</f>
        <v>0</v>
      </c>
      <c r="Y124" s="95">
        <f>IFERROR(_xlfn.XLOOKUP(TEXT(H124,"0000000000"),'📞 Call Tracker'!A$2:A$2000,'📞 Call Tracker'!D$2:D$2000,""),"")</f>
        <v>0</v>
      </c>
      <c r="Z124" s="95">
        <f>IFERROR(_xlfn.XLOOKUP(TEXT(H124,"0000000000"),'📞 Call Tracker'!A$2:A$2000,'📞 Call Tracker'!E$2:E$2000,""),"")</f>
        <v>0</v>
      </c>
      <c r="AA124" s="145">
        <f>IFERROR(_xlfn.XLOOKUP(TEXT(H124,"0000000000"),'📞 Call Tracker'!A$2:A$2000,'📞 Call Tracker'!F$2:F$2000,""),"")</f>
        <v>0</v>
      </c>
      <c r="AB124" s="132">
        <f t="shared" si="3"/>
        <v>99</v>
      </c>
      <c r="AC124" s="79"/>
    </row>
    <row r="125" spans="1:29" ht="20.100000000000001" customHeight="1">
      <c r="A125" s="91">
        <v>45903</v>
      </c>
      <c r="B125" s="92" t="str">
        <v>Fajardo</v>
      </c>
      <c r="C125" s="92" t="str">
        <v>Adam</v>
      </c>
      <c r="D125" s="92" t="str">
        <v>Flagstaff</v>
      </c>
      <c r="E125" s="92">
        <v>86001</v>
      </c>
      <c r="F125" s="137" t="str">
        <v>Form letter</v>
      </c>
      <c r="G125" s="93" t="str">
        <v>https://images.edocket.azcc.gov/docketpdf/E000046190.pdf</v>
      </c>
      <c r="H125" s="150" t="s">
        <v>629</v>
      </c>
      <c r="I125" s="114" t="str">
        <v>R-XS</v>
      </c>
      <c r="J125" s="94" t="str">
        <v>No</v>
      </c>
      <c r="K125" s="94" t="str">
        <v>No</v>
      </c>
      <c r="L125" s="137" t="str">
        <v>Yes</v>
      </c>
      <c r="M125" s="94" t="str">
        <v>No</v>
      </c>
      <c r="N125" s="134" t="str">
        <v>No</v>
      </c>
      <c r="O125" s="119" t="str">
        <v>Yes</v>
      </c>
      <c r="P125" s="92" t="str">
        <v>N</v>
      </c>
      <c r="Q125" s="91">
        <v>45968</v>
      </c>
      <c r="R125" s="140">
        <v>0</v>
      </c>
      <c r="S125" s="92">
        <v>0</v>
      </c>
      <c r="T125" s="92">
        <v>0</v>
      </c>
      <c r="U125" s="137">
        <v>0</v>
      </c>
      <c r="V125" s="126" t="str">
        <f t="shared" si="2"/>
        <v>✅ On Best Plan</v>
      </c>
      <c r="W125" s="130" t="str">
        <f>IFERROR(_xlfn.XLOOKUP(TEXT(H125,"0000000000"),'📞 Call Tracker'!A$2:A$2000,'📞 Call Tracker'!B$2:B$2000,""),"")</f>
        <v>Michelle</v>
      </c>
      <c r="X125" s="96">
        <f>IFERROR(_xlfn.XLOOKUP(TEXT(H125,"0000000000"),'📞 Call Tracker'!A$2:A$2000,'📞 Call Tracker'!C$2:C$2000,""),"")</f>
        <v>46074</v>
      </c>
      <c r="Y125" s="95" t="str">
        <f>IFERROR(_xlfn.XLOOKUP(TEXT(H125,"0000000000"),'📞 Call Tracker'!A$2:A$2000,'📞 Call Tracker'!D$2:D$2000,""),"")</f>
        <v>YES</v>
      </c>
      <c r="Z125" s="95">
        <f>IFERROR(_xlfn.XLOOKUP(TEXT(H125,"0000000000"),'📞 Call Tracker'!A$2:A$2000,'📞 Call Tracker'!E$2:E$2000,""),"")</f>
        <v>0</v>
      </c>
      <c r="AA125" s="145">
        <f>IFERROR(_xlfn.XLOOKUP(TEXT(H125,"0000000000"),'📞 Call Tracker'!A$2:A$2000,'📞 Call Tracker'!F$2:F$2000,""),"")</f>
        <v>0</v>
      </c>
      <c r="AB125" s="132">
        <f t="shared" si="3"/>
        <v>99</v>
      </c>
      <c r="AC125" s="79"/>
    </row>
    <row r="126" spans="1:29" ht="20.100000000000001" customHeight="1">
      <c r="A126" s="91">
        <v>45903</v>
      </c>
      <c r="B126" s="92" t="str">
        <v>Mohapatra</v>
      </c>
      <c r="C126" s="92" t="str">
        <v>Sangram</v>
      </c>
      <c r="D126" s="92" t="str">
        <v>Peoria</v>
      </c>
      <c r="E126" s="92">
        <v>85383</v>
      </c>
      <c r="F126" s="137" t="str">
        <v>Form letter</v>
      </c>
      <c r="G126" s="93" t="str">
        <v>https://images.edocket.azcc.gov/docketpdf/E000046190.pdf</v>
      </c>
      <c r="H126" s="150" t="s">
        <v>634</v>
      </c>
      <c r="I126" s="114" t="str">
        <v>RTOUE47</v>
      </c>
      <c r="J126" s="94" t="str">
        <v>No</v>
      </c>
      <c r="K126" s="94" t="str">
        <v>No</v>
      </c>
      <c r="L126" s="137" t="str">
        <v>No MEP R3-47($197.05)</v>
      </c>
      <c r="M126" s="94" t="str">
        <v>No</v>
      </c>
      <c r="N126" s="134" t="str">
        <v>No</v>
      </c>
      <c r="O126" s="119" t="str">
        <v>Yes</v>
      </c>
      <c r="P126" s="92">
        <v>45933</v>
      </c>
      <c r="Q126" s="91">
        <v>45968</v>
      </c>
      <c r="R126" s="140" t="str">
        <v>Left VM 10/03/2025</v>
      </c>
      <c r="S126" s="92">
        <v>0</v>
      </c>
      <c r="T126" s="92">
        <v>0</v>
      </c>
      <c r="U126" s="137">
        <v>0</v>
      </c>
      <c r="V126" s="126" t="str">
        <f t="shared" si="2"/>
        <v>❌ Not on Best Plan</v>
      </c>
      <c r="W126" s="130">
        <f>IFERROR(_xlfn.XLOOKUP(TEXT(H126,"0000000000"),'📞 Call Tracker'!A$2:A$2000,'📞 Call Tracker'!B$2:B$2000,""),"")</f>
        <v>0</v>
      </c>
      <c r="X126" s="96">
        <f>IFERROR(_xlfn.XLOOKUP(TEXT(H126,"0000000000"),'📞 Call Tracker'!A$2:A$2000,'📞 Call Tracker'!C$2:C$2000,""),"")</f>
        <v>0</v>
      </c>
      <c r="Y126" s="95">
        <f>IFERROR(_xlfn.XLOOKUP(TEXT(H126,"0000000000"),'📞 Call Tracker'!A$2:A$2000,'📞 Call Tracker'!D$2:D$2000,""),"")</f>
        <v>0</v>
      </c>
      <c r="Z126" s="95">
        <f>IFERROR(_xlfn.XLOOKUP(TEXT(H126,"0000000000"),'📞 Call Tracker'!A$2:A$2000,'📞 Call Tracker'!E$2:E$2000,""),"")</f>
        <v>0</v>
      </c>
      <c r="AA126" s="145">
        <f>IFERROR(_xlfn.XLOOKUP(TEXT(H126,"0000000000"),'📞 Call Tracker'!A$2:A$2000,'📞 Call Tracker'!F$2:F$2000,""),"")</f>
        <v>0</v>
      </c>
      <c r="AB126" s="132">
        <f t="shared" si="3"/>
        <v>99</v>
      </c>
      <c r="AC126" s="79"/>
    </row>
    <row r="127" spans="1:29" ht="20.100000000000001" customHeight="1">
      <c r="A127" s="91">
        <v>45903</v>
      </c>
      <c r="B127" s="92" t="str">
        <v>Purohit</v>
      </c>
      <c r="C127" s="92" t="str">
        <v>Amit Kumar</v>
      </c>
      <c r="D127" s="92" t="str">
        <v>Scottsdale</v>
      </c>
      <c r="E127" s="92">
        <v>85255</v>
      </c>
      <c r="F127" s="137" t="str">
        <v>Form letter</v>
      </c>
      <c r="G127" s="93" t="str">
        <v>https://images.edocket.azcc.gov/docketpdf/E000046190.pdf</v>
      </c>
      <c r="H127" s="150" t="s">
        <v>637</v>
      </c>
      <c r="I127" s="114" t="str">
        <v>R3-47</v>
      </c>
      <c r="J127" s="94" t="str">
        <v>No</v>
      </c>
      <c r="K127" s="94" t="str">
        <v>No</v>
      </c>
      <c r="L127" s="137" t="str">
        <v>Yes</v>
      </c>
      <c r="M127" s="94" t="str">
        <v>No</v>
      </c>
      <c r="N127" s="134" t="str">
        <v>No</v>
      </c>
      <c r="O127" s="119" t="str">
        <v>Yes</v>
      </c>
      <c r="P127" s="92" t="str">
        <v>N</v>
      </c>
      <c r="Q127" s="91">
        <v>45968</v>
      </c>
      <c r="R127" s="140">
        <v>0</v>
      </c>
      <c r="S127" s="92">
        <v>0</v>
      </c>
      <c r="T127" s="92">
        <v>0</v>
      </c>
      <c r="U127" s="137">
        <v>0</v>
      </c>
      <c r="V127" s="126" t="str">
        <f t="shared" si="2"/>
        <v>✅ On Best Plan</v>
      </c>
      <c r="W127" s="130" t="str">
        <f>IFERROR(_xlfn.XLOOKUP(TEXT(H127,"0000000000"),'📞 Call Tracker'!A$2:A$2000,'📞 Call Tracker'!B$2:B$2000,""),"")</f>
        <v>Michelle</v>
      </c>
      <c r="X127" s="96">
        <f>IFERROR(_xlfn.XLOOKUP(TEXT(H127,"0000000000"),'📞 Call Tracker'!A$2:A$2000,'📞 Call Tracker'!C$2:C$2000,""),"")</f>
        <v>46032</v>
      </c>
      <c r="Y127" s="95" t="str">
        <f>IFERROR(_xlfn.XLOOKUP(TEXT(H127,"0000000000"),'📞 Call Tracker'!A$2:A$2000,'📞 Call Tracker'!D$2:D$2000,""),"")</f>
        <v>NO</v>
      </c>
      <c r="Z127" s="95" t="str">
        <f>IFERROR(_xlfn.XLOOKUP(TEXT(H127,"0000000000"),'📞 Call Tracker'!A$2:A$2000,'📞 Call Tracker'!E$2:E$2000,""),"")</f>
        <v>General Education</v>
      </c>
      <c r="AA127" s="145" t="str">
        <f>IFERROR(_xlfn.XLOOKUP(TEXT(H127,"0000000000"),'📞 Call Tracker'!A$2:A$2000,'📞 Call Tracker'!F$2:F$2000,""),"")</f>
        <v>SOLAR ACCT</v>
      </c>
      <c r="AB127" s="132">
        <f t="shared" si="3"/>
        <v>99</v>
      </c>
      <c r="AC127" s="79"/>
    </row>
    <row r="128" spans="1:29" ht="20.100000000000001" customHeight="1">
      <c r="A128" s="91">
        <v>45903</v>
      </c>
      <c r="B128" s="92" t="str">
        <v>Theis</v>
      </c>
      <c r="C128" s="92" t="str">
        <v>Madison</v>
      </c>
      <c r="D128" s="92" t="str">
        <v>Phoenix</v>
      </c>
      <c r="E128" s="92">
        <v>85022</v>
      </c>
      <c r="F128" s="137" t="str">
        <v>Form letter</v>
      </c>
      <c r="G128" s="93" t="str">
        <v>https://images.edocket.azcc.gov/docketpdf/E000046190.pdf</v>
      </c>
      <c r="H128" s="150" t="s">
        <v>641</v>
      </c>
      <c r="I128" s="114" t="str">
        <v>R-XS</v>
      </c>
      <c r="J128" s="94" t="str">
        <v>No</v>
      </c>
      <c r="K128" s="94" t="str">
        <v>No</v>
      </c>
      <c r="L128" s="137" t="str">
        <v>Yes</v>
      </c>
      <c r="M128" s="94" t="str">
        <v>No</v>
      </c>
      <c r="N128" s="134" t="str">
        <v>No</v>
      </c>
      <c r="O128" s="119" t="str">
        <v>Yes</v>
      </c>
      <c r="P128" s="92" t="str">
        <v>N</v>
      </c>
      <c r="Q128" s="91">
        <v>45968</v>
      </c>
      <c r="R128" s="140">
        <v>0</v>
      </c>
      <c r="S128" s="92">
        <v>0</v>
      </c>
      <c r="T128" s="92">
        <v>0</v>
      </c>
      <c r="U128" s="137">
        <v>0</v>
      </c>
      <c r="V128" s="126" t="str">
        <f t="shared" si="2"/>
        <v>✅ On Best Plan</v>
      </c>
      <c r="W128" s="130">
        <f>IFERROR(_xlfn.XLOOKUP(TEXT(H128,"0000000000"),'📞 Call Tracker'!A$2:A$2000,'📞 Call Tracker'!B$2:B$2000,""),"")</f>
        <v>0</v>
      </c>
      <c r="X128" s="96">
        <f>IFERROR(_xlfn.XLOOKUP(TEXT(H128,"0000000000"),'📞 Call Tracker'!A$2:A$2000,'📞 Call Tracker'!C$2:C$2000,""),"")</f>
        <v>0</v>
      </c>
      <c r="Y128" s="95">
        <f>IFERROR(_xlfn.XLOOKUP(TEXT(H128,"0000000000"),'📞 Call Tracker'!A$2:A$2000,'📞 Call Tracker'!D$2:D$2000,""),"")</f>
        <v>0</v>
      </c>
      <c r="Z128" s="95">
        <f>IFERROR(_xlfn.XLOOKUP(TEXT(H128,"0000000000"),'📞 Call Tracker'!A$2:A$2000,'📞 Call Tracker'!E$2:E$2000,""),"")</f>
        <v>0</v>
      </c>
      <c r="AA128" s="145">
        <f>IFERROR(_xlfn.XLOOKUP(TEXT(H128,"0000000000"),'📞 Call Tracker'!A$2:A$2000,'📞 Call Tracker'!F$2:F$2000,""),"")</f>
        <v>0</v>
      </c>
      <c r="AB128" s="132">
        <f t="shared" si="3"/>
        <v>99</v>
      </c>
      <c r="AC128" s="79"/>
    </row>
    <row r="129" spans="1:29" ht="20.100000000000001" customHeight="1">
      <c r="A129" s="91">
        <v>45903</v>
      </c>
      <c r="B129" s="92" t="str">
        <v>Hupka</v>
      </c>
      <c r="C129" s="92" t="str">
        <v>Tanner</v>
      </c>
      <c r="D129" s="92" t="str">
        <v>Unknown</v>
      </c>
      <c r="E129" s="92">
        <v>85254</v>
      </c>
      <c r="F129" s="137" t="str">
        <v>Form letter</v>
      </c>
      <c r="G129" s="93" t="str">
        <v>https://images.edocket.azcc.gov/docketpdf/E000046190.pdf</v>
      </c>
      <c r="H129" s="150" t="s">
        <v>646</v>
      </c>
      <c r="I129" s="114" t="str">
        <v>R-BASIC</v>
      </c>
      <c r="J129" s="94" t="str">
        <v>No</v>
      </c>
      <c r="K129" s="94" t="str">
        <v>No</v>
      </c>
      <c r="L129" s="137" t="str">
        <v>Yes</v>
      </c>
      <c r="M129" s="94" t="str">
        <v>Yes</v>
      </c>
      <c r="N129" s="134">
        <v>664.06</v>
      </c>
      <c r="O129" s="119" t="str">
        <v>Yes</v>
      </c>
      <c r="P129" s="92">
        <v>0</v>
      </c>
      <c r="Q129" s="91">
        <v>45968</v>
      </c>
      <c r="R129" s="140">
        <v>0</v>
      </c>
      <c r="S129" s="92">
        <v>0</v>
      </c>
      <c r="T129" s="92">
        <v>0</v>
      </c>
      <c r="U129" s="137">
        <v>0</v>
      </c>
      <c r="V129" s="126" t="str">
        <f t="shared" si="2"/>
        <v>✅ On Best Plan</v>
      </c>
      <c r="W129" s="130" t="str">
        <f>IFERROR(_xlfn.XLOOKUP(TEXT(H129,"0000000000"),'📞 Call Tracker'!A$2:A$2000,'📞 Call Tracker'!B$2:B$2000,""),"")</f>
        <v>Michelle</v>
      </c>
      <c r="X129" s="96">
        <f>IFERROR(_xlfn.XLOOKUP(TEXT(H129,"0000000000"),'📞 Call Tracker'!A$2:A$2000,'📞 Call Tracker'!C$2:C$2000,""),"")</f>
        <v>46074</v>
      </c>
      <c r="Y129" s="95" t="str">
        <f>IFERROR(_xlfn.XLOOKUP(TEXT(H129,"0000000000"),'📞 Call Tracker'!A$2:A$2000,'📞 Call Tracker'!D$2:D$2000,""),"")</f>
        <v>YES</v>
      </c>
      <c r="Z129" s="95">
        <f>IFERROR(_xlfn.XLOOKUP(TEXT(H129,"0000000000"),'📞 Call Tracker'!A$2:A$2000,'📞 Call Tracker'!E$2:E$2000,""),"")</f>
        <v>0</v>
      </c>
      <c r="AA129" s="145">
        <f>IFERROR(_xlfn.XLOOKUP(TEXT(H129,"0000000000"),'📞 Call Tracker'!A$2:A$2000,'📞 Call Tracker'!F$2:F$2000,""),"")</f>
        <v>0</v>
      </c>
      <c r="AB129" s="132">
        <f t="shared" si="3"/>
        <v>99</v>
      </c>
      <c r="AC129" s="79"/>
    </row>
    <row r="130" spans="1:29" ht="20.100000000000001" customHeight="1">
      <c r="A130" s="91">
        <v>45903</v>
      </c>
      <c r="B130" s="92" t="str">
        <v>Coudriet</v>
      </c>
      <c r="C130" s="92" t="str">
        <v>Lise</v>
      </c>
      <c r="D130" s="92" t="str">
        <v>Goodyear</v>
      </c>
      <c r="E130" s="92">
        <v>85338</v>
      </c>
      <c r="F130" s="137" t="str">
        <v xml:space="preserve">Will cause hardships </v>
      </c>
      <c r="G130" s="93" t="str">
        <v>https://images.edocket.azcc.gov/docketpdf/E000046190.pdf</v>
      </c>
      <c r="H130" s="150" t="s">
        <v>653</v>
      </c>
      <c r="I130" s="114" t="str">
        <v>R-BASICL</v>
      </c>
      <c r="J130" s="94" t="str">
        <v>Yes</v>
      </c>
      <c r="K130" s="94" t="str">
        <v>No</v>
      </c>
      <c r="L130" s="137" t="str">
        <v>No MEP R3-47(755.73)</v>
      </c>
      <c r="M130" s="94" t="str">
        <v>Yes</v>
      </c>
      <c r="N130" s="134">
        <v>3681.83</v>
      </c>
      <c r="O130" s="119" t="str">
        <v>Yes</v>
      </c>
      <c r="P130" s="92">
        <v>45933</v>
      </c>
      <c r="Q130" s="91">
        <v>45968</v>
      </c>
      <c r="R130" s="140" t="str">
        <v>Left VM 10/03/2025 - Initiated rate change to MEP on 10/10 - MAY NEED MORE ASSISTANCE</v>
      </c>
      <c r="S130" s="92">
        <v>0</v>
      </c>
      <c r="T130" s="92">
        <v>0</v>
      </c>
      <c r="U130" s="137">
        <v>0</v>
      </c>
      <c r="V130" s="126" t="str">
        <f t="shared" si="2"/>
        <v>❌ Not on Best Plan</v>
      </c>
      <c r="W130" s="130" t="str">
        <f>IFERROR(_xlfn.XLOOKUP(TEXT(H130,"0000000000"),'📞 Call Tracker'!A$2:A$2000,'📞 Call Tracker'!B$2:B$2000,""),"")</f>
        <v>Michelle</v>
      </c>
      <c r="X130" s="96">
        <f>IFERROR(_xlfn.XLOOKUP(TEXT(H130,"0000000000"),'📞 Call Tracker'!A$2:A$2000,'📞 Call Tracker'!C$2:C$2000,""),"")</f>
        <v>46018</v>
      </c>
      <c r="Y130" s="95" t="str">
        <f>IFERROR(_xlfn.XLOOKUP(TEXT(H130,"0000000000"),'📞 Call Tracker'!A$2:A$2000,'📞 Call Tracker'!D$2:D$2000,""),"")</f>
        <v>YES</v>
      </c>
      <c r="Z130" s="95">
        <f>IFERROR(_xlfn.XLOOKUP(TEXT(H130,"0000000000"),'📞 Call Tracker'!A$2:A$2000,'📞 Call Tracker'!E$2:E$2000,""),"")</f>
        <v>0</v>
      </c>
      <c r="AA130" s="145">
        <f>IFERROR(_xlfn.XLOOKUP(TEXT(H130,"0000000000"),'📞 Call Tracker'!A$2:A$2000,'📞 Call Tracker'!F$2:F$2000,""),"")</f>
        <v>0</v>
      </c>
      <c r="AB130" s="132">
        <f t="shared" si="3"/>
        <v>99</v>
      </c>
      <c r="AC130" s="79"/>
    </row>
    <row r="131" spans="1:29" ht="20.100000000000001" customHeight="1">
      <c r="A131" s="91">
        <v>45903</v>
      </c>
      <c r="B131" s="92" t="str">
        <v>Deep</v>
      </c>
      <c r="C131" s="92" t="str">
        <v>Varun</v>
      </c>
      <c r="D131" s="92" t="str">
        <v>Peoria</v>
      </c>
      <c r="E131" s="92">
        <v>85382</v>
      </c>
      <c r="F131" s="137" t="str">
        <v>Opposed</v>
      </c>
      <c r="G131" s="93" t="str">
        <v>https://images.edocket.azcc.gov/docketpdf/E000046190.pdf</v>
      </c>
      <c r="H131" s="150" t="s">
        <v>665</v>
      </c>
      <c r="I131" s="114" t="str">
        <v>R-XS</v>
      </c>
      <c r="J131" s="94" t="str">
        <v>No</v>
      </c>
      <c r="K131" s="94" t="str">
        <v>No</v>
      </c>
      <c r="L131" s="137" t="str">
        <v>Yes</v>
      </c>
      <c r="M131" s="94" t="str">
        <v>No</v>
      </c>
      <c r="N131" s="134" t="str">
        <v>No</v>
      </c>
      <c r="O131" s="119" t="str">
        <v>Yes</v>
      </c>
      <c r="P131" s="92" t="str">
        <v>N</v>
      </c>
      <c r="Q131" s="91">
        <v>45968</v>
      </c>
      <c r="R131" s="140">
        <v>0</v>
      </c>
      <c r="S131" s="92">
        <v>0</v>
      </c>
      <c r="T131" s="92">
        <v>0</v>
      </c>
      <c r="U131" s="137">
        <v>0</v>
      </c>
      <c r="V131" s="126" t="str">
        <f t="shared" ref="V131:V194" si="4">IF(OR(LEFT(TRIM(L131),3)="Yes",TRIM(L131)="Y"),"✅ On Best Plan",IF(OR(L131="Frozen Rate",L131="Frozen Plan"),"❄ Frozen Rate",IF(OR(L131="Not able to Compare",L131="Info Not Avail",L131="NA",L131=""),"⚠ Unknown","❌ Not on Best Plan")))</f>
        <v>✅ On Best Plan</v>
      </c>
      <c r="W131" s="130" t="str">
        <f>IFERROR(_xlfn.XLOOKUP(TEXT(H131,"0000000000"),'📞 Call Tracker'!A$2:A$2000,'📞 Call Tracker'!B$2:B$2000,""),"")</f>
        <v>Michelle</v>
      </c>
      <c r="X131" s="96">
        <f>IFERROR(_xlfn.XLOOKUP(TEXT(H131,"0000000000"),'📞 Call Tracker'!A$2:A$2000,'📞 Call Tracker'!C$2:C$2000,""),"")</f>
        <v>46025</v>
      </c>
      <c r="Y131" s="95" t="str">
        <f>IFERROR(_xlfn.XLOOKUP(TEXT(H131,"0000000000"),'📞 Call Tracker'!A$2:A$2000,'📞 Call Tracker'!D$2:D$2000,""),"")</f>
        <v>YES</v>
      </c>
      <c r="Z131" s="95">
        <f>IFERROR(_xlfn.XLOOKUP(TEXT(H131,"0000000000"),'📞 Call Tracker'!A$2:A$2000,'📞 Call Tracker'!E$2:E$2000,""),"")</f>
        <v>0</v>
      </c>
      <c r="AA131" s="145">
        <f>IFERROR(_xlfn.XLOOKUP(TEXT(H131,"0000000000"),'📞 Call Tracker'!A$2:A$2000,'📞 Call Tracker'!F$2:F$2000,""),"")</f>
        <v>0</v>
      </c>
      <c r="AB131" s="132">
        <f t="shared" ref="AB131:AB194" si="5">IF(OR(H131="",X131&lt;&gt;""),99,IF(AND(NOT(OR(LEFT(TRIM(L131),3)="Yes",TRIM(L131)="Y",L131="Frozen Rate",L131="Frozen Plan",L131="Not able to Compare",L131="Info Not Avail",L131="NA",L131="")),AND(N131&lt;&gt;"No",N131&lt;&gt;"")),1,IF(NOT(OR(LEFT(TRIM(L131),3)="Yes",TRIM(L131)="Y",L131="Frozen Rate",L131="Frozen Plan",L131="Not able to Compare",L131="Info Not Avail",L131="NA",L131="")),2,IF(AND(N131&lt;&gt;"No",N131&lt;&gt;""),3,4))))</f>
        <v>99</v>
      </c>
      <c r="AC131" s="79"/>
    </row>
    <row r="132" spans="1:29" ht="20.100000000000001" customHeight="1">
      <c r="A132" s="91">
        <v>45903</v>
      </c>
      <c r="B132" s="92" t="str">
        <v>Skidmore</v>
      </c>
      <c r="C132" s="92" t="str">
        <v>Marie</v>
      </c>
      <c r="D132" s="92" t="str">
        <v>Avondale</v>
      </c>
      <c r="E132" s="92">
        <v>85392</v>
      </c>
      <c r="F132" s="137" t="str">
        <v>Not affordable</v>
      </c>
      <c r="G132" s="93" t="str">
        <v>https://images.edocket.azcc.gov/docketpdf/E000046190.pdf</v>
      </c>
      <c r="H132" s="150" t="s">
        <v>671</v>
      </c>
      <c r="I132" s="114" t="str">
        <v>R3-47</v>
      </c>
      <c r="J132" s="94" t="str">
        <v>No</v>
      </c>
      <c r="K132" s="94" t="str">
        <v>No</v>
      </c>
      <c r="L132" s="137" t="str">
        <v>Yes</v>
      </c>
      <c r="M132" s="94" t="str">
        <v>No</v>
      </c>
      <c r="N132" s="134" t="str">
        <v>No</v>
      </c>
      <c r="O132" s="119" t="str">
        <v>Yes</v>
      </c>
      <c r="P132" s="92" t="str">
        <v>N</v>
      </c>
      <c r="Q132" s="91">
        <v>45968</v>
      </c>
      <c r="R132" s="140">
        <v>0</v>
      </c>
      <c r="S132" s="92">
        <v>0</v>
      </c>
      <c r="T132" s="92">
        <v>0</v>
      </c>
      <c r="U132" s="137">
        <v>0</v>
      </c>
      <c r="V132" s="126" t="str">
        <f t="shared" si="4"/>
        <v>✅ On Best Plan</v>
      </c>
      <c r="W132" s="130">
        <f>IFERROR(_xlfn.XLOOKUP(TEXT(H132,"0000000000"),'📞 Call Tracker'!A$2:A$2000,'📞 Call Tracker'!B$2:B$2000,""),"")</f>
        <v>0</v>
      </c>
      <c r="X132" s="96">
        <f>IFERROR(_xlfn.XLOOKUP(TEXT(H132,"0000000000"),'📞 Call Tracker'!A$2:A$2000,'📞 Call Tracker'!C$2:C$2000,""),"")</f>
        <v>0</v>
      </c>
      <c r="Y132" s="95">
        <f>IFERROR(_xlfn.XLOOKUP(TEXT(H132,"0000000000"),'📞 Call Tracker'!A$2:A$2000,'📞 Call Tracker'!D$2:D$2000,""),"")</f>
        <v>0</v>
      </c>
      <c r="Z132" s="95">
        <f>IFERROR(_xlfn.XLOOKUP(TEXT(H132,"0000000000"),'📞 Call Tracker'!A$2:A$2000,'📞 Call Tracker'!E$2:E$2000,""),"")</f>
        <v>0</v>
      </c>
      <c r="AA132" s="145">
        <f>IFERROR(_xlfn.XLOOKUP(TEXT(H132,"0000000000"),'📞 Call Tracker'!A$2:A$2000,'📞 Call Tracker'!F$2:F$2000,""),"")</f>
        <v>0</v>
      </c>
      <c r="AB132" s="132">
        <f t="shared" si="5"/>
        <v>99</v>
      </c>
      <c r="AC132" s="79"/>
    </row>
    <row r="133" spans="1:29" ht="20.100000000000001" customHeight="1">
      <c r="A133" s="91">
        <v>45903</v>
      </c>
      <c r="B133" s="92" t="str">
        <v>Floyd</v>
      </c>
      <c r="C133" s="92" t="str">
        <v>Casey</v>
      </c>
      <c r="D133" s="92" t="str">
        <v>Peoria</v>
      </c>
      <c r="E133" s="92">
        <v>85383</v>
      </c>
      <c r="F133" s="137" t="str">
        <v>Form letter</v>
      </c>
      <c r="G133" s="93" t="str">
        <v>https://images.edocket.azcc.gov/docketpdf/E000046190.pdf</v>
      </c>
      <c r="H133" s="150" t="s">
        <v>675</v>
      </c>
      <c r="I133" s="114" t="str">
        <v>R3-47</v>
      </c>
      <c r="J133" s="94" t="str">
        <v>No</v>
      </c>
      <c r="K133" s="94" t="str">
        <v>No</v>
      </c>
      <c r="L133" s="137" t="str">
        <v>Yes</v>
      </c>
      <c r="M133" s="94" t="str">
        <v>No</v>
      </c>
      <c r="N133" s="134" t="str">
        <v>No</v>
      </c>
      <c r="O133" s="119" t="str">
        <v>Yes</v>
      </c>
      <c r="P133" s="92" t="str">
        <v>N</v>
      </c>
      <c r="Q133" s="91">
        <v>45968</v>
      </c>
      <c r="R133" s="140">
        <v>0</v>
      </c>
      <c r="S133" s="92">
        <v>0</v>
      </c>
      <c r="T133" s="92">
        <v>0</v>
      </c>
      <c r="U133" s="137">
        <v>0</v>
      </c>
      <c r="V133" s="126" t="str">
        <f t="shared" si="4"/>
        <v>✅ On Best Plan</v>
      </c>
      <c r="W133" s="130" t="str">
        <f>IFERROR(_xlfn.XLOOKUP(TEXT(H133,"0000000000"),'📞 Call Tracker'!A$2:A$2000,'📞 Call Tracker'!B$2:B$2000,""),"")</f>
        <v>Michelle</v>
      </c>
      <c r="X133" s="96">
        <f>IFERROR(_xlfn.XLOOKUP(TEXT(H133,"0000000000"),'📞 Call Tracker'!A$2:A$2000,'📞 Call Tracker'!C$2:C$2000,""),"")</f>
        <v>46074</v>
      </c>
      <c r="Y133" s="95" t="str">
        <f>IFERROR(_xlfn.XLOOKUP(TEXT(H133,"0000000000"),'📞 Call Tracker'!A$2:A$2000,'📞 Call Tracker'!D$2:D$2000,""),"")</f>
        <v>NO</v>
      </c>
      <c r="Z133" s="95" t="str">
        <f>IFERROR(_xlfn.XLOOKUP(TEXT(H133,"0000000000"),'📞 Call Tracker'!A$2:A$2000,'📞 Call Tracker'!E$2:E$2000,""),"")</f>
        <v>General Education</v>
      </c>
      <c r="AA133" s="145">
        <f>IFERROR(_xlfn.XLOOKUP(TEXT(H133,"0000000000"),'📞 Call Tracker'!A$2:A$2000,'📞 Call Tracker'!F$2:F$2000,""),"")</f>
        <v>0</v>
      </c>
      <c r="AB133" s="132">
        <f t="shared" si="5"/>
        <v>99</v>
      </c>
      <c r="AC133" s="79"/>
    </row>
    <row r="134" spans="1:29" ht="20.100000000000001" customHeight="1">
      <c r="A134" s="91">
        <v>45903</v>
      </c>
      <c r="B134" s="92" t="str">
        <v xml:space="preserve">Gurram </v>
      </c>
      <c r="C134" s="92" t="str">
        <v>Tanooj Kumar Reddy</v>
      </c>
      <c r="D134" s="92" t="str">
        <v>Peoria</v>
      </c>
      <c r="E134" s="92">
        <v>85383</v>
      </c>
      <c r="F134" s="137" t="str">
        <v>Form letter</v>
      </c>
      <c r="G134" s="93" t="str">
        <v>https://images.edocket.azcc.gov/docketpdf/E000046190.pdf</v>
      </c>
      <c r="H134" s="150" t="s">
        <v>678</v>
      </c>
      <c r="I134" s="114" t="str">
        <v>RTOUE47</v>
      </c>
      <c r="J134" s="94" t="str">
        <v>No</v>
      </c>
      <c r="K134" s="94" t="str">
        <v>No</v>
      </c>
      <c r="L134" s="137" t="str">
        <v>No MEP R3-47($194.29)</v>
      </c>
      <c r="M134" s="94" t="str">
        <v>No</v>
      </c>
      <c r="N134" s="134" t="str">
        <v>No</v>
      </c>
      <c r="O134" s="119" t="str">
        <v>Yes</v>
      </c>
      <c r="P134" s="92">
        <v>45933</v>
      </c>
      <c r="Q134" s="91">
        <v>45968</v>
      </c>
      <c r="R134" s="140" t="str">
        <v>Left VM 10/03/2025</v>
      </c>
      <c r="S134" s="92">
        <v>0</v>
      </c>
      <c r="T134" s="92">
        <v>0</v>
      </c>
      <c r="U134" s="137">
        <v>0</v>
      </c>
      <c r="V134" s="126" t="str">
        <f t="shared" si="4"/>
        <v>❌ Not on Best Plan</v>
      </c>
      <c r="W134" s="130">
        <f>IFERROR(_xlfn.XLOOKUP(TEXT(H134,"0000000000"),'📞 Call Tracker'!A$2:A$2000,'📞 Call Tracker'!B$2:B$2000,""),"")</f>
        <v>0</v>
      </c>
      <c r="X134" s="96">
        <f>IFERROR(_xlfn.XLOOKUP(TEXT(H134,"0000000000"),'📞 Call Tracker'!A$2:A$2000,'📞 Call Tracker'!C$2:C$2000,""),"")</f>
        <v>0</v>
      </c>
      <c r="Y134" s="95">
        <f>IFERROR(_xlfn.XLOOKUP(TEXT(H134,"0000000000"),'📞 Call Tracker'!A$2:A$2000,'📞 Call Tracker'!D$2:D$2000,""),"")</f>
        <v>0</v>
      </c>
      <c r="Z134" s="95">
        <f>IFERROR(_xlfn.XLOOKUP(TEXT(H134,"0000000000"),'📞 Call Tracker'!A$2:A$2000,'📞 Call Tracker'!E$2:E$2000,""),"")</f>
        <v>0</v>
      </c>
      <c r="AA134" s="145">
        <f>IFERROR(_xlfn.XLOOKUP(TEXT(H134,"0000000000"),'📞 Call Tracker'!A$2:A$2000,'📞 Call Tracker'!F$2:F$2000,""),"")</f>
        <v>0</v>
      </c>
      <c r="AB134" s="132">
        <f t="shared" si="5"/>
        <v>99</v>
      </c>
      <c r="AC134" s="79"/>
    </row>
    <row r="135" spans="1:29" ht="20.100000000000001" customHeight="1">
      <c r="A135" s="91">
        <v>45903</v>
      </c>
      <c r="B135" s="92" t="str">
        <v>Vogt</v>
      </c>
      <c r="C135" s="92" t="str">
        <v>Gary</v>
      </c>
      <c r="D135" s="92" t="str">
        <v>Sun City West</v>
      </c>
      <c r="E135" s="92">
        <v>85375</v>
      </c>
      <c r="F135" s="137" t="str">
        <v>APS profits high/fixed income, will strain budget</v>
      </c>
      <c r="G135" s="93" t="str">
        <v>https://images.edocket.azcc.gov/docketpdf/E000046190.pdf</v>
      </c>
      <c r="H135" s="150" t="s">
        <v>691</v>
      </c>
      <c r="I135" s="114" t="str">
        <v>R-XS</v>
      </c>
      <c r="J135" s="94" t="str">
        <v>No</v>
      </c>
      <c r="K135" s="94" t="str">
        <v>No</v>
      </c>
      <c r="L135" s="137" t="str">
        <v>Yes</v>
      </c>
      <c r="M135" s="94" t="str">
        <v>No</v>
      </c>
      <c r="N135" s="134" t="str">
        <v>No</v>
      </c>
      <c r="O135" s="119" t="str">
        <v>Yes</v>
      </c>
      <c r="P135" s="92" t="str">
        <v>N</v>
      </c>
      <c r="Q135" s="91">
        <v>45968</v>
      </c>
      <c r="R135" s="140">
        <v>0</v>
      </c>
      <c r="S135" s="92">
        <v>0</v>
      </c>
      <c r="T135" s="92">
        <v>0</v>
      </c>
      <c r="U135" s="137">
        <v>0</v>
      </c>
      <c r="V135" s="126" t="str">
        <f t="shared" si="4"/>
        <v>✅ On Best Plan</v>
      </c>
      <c r="W135" s="130" t="str">
        <f>IFERROR(_xlfn.XLOOKUP(TEXT(H135,"0000000000"),'📞 Call Tracker'!A$2:A$2000,'📞 Call Tracker'!B$2:B$2000,""),"")</f>
        <v>Michelle</v>
      </c>
      <c r="X135" s="96">
        <f>IFERROR(_xlfn.XLOOKUP(TEXT(H135,"0000000000"),'📞 Call Tracker'!A$2:A$2000,'📞 Call Tracker'!C$2:C$2000,""),"")</f>
        <v>46039</v>
      </c>
      <c r="Y135" s="95" t="str">
        <f>IFERROR(_xlfn.XLOOKUP(TEXT(H135,"0000000000"),'📞 Call Tracker'!A$2:A$2000,'📞 Call Tracker'!D$2:D$2000,""),"")</f>
        <v>YES</v>
      </c>
      <c r="Z135" s="95">
        <f>IFERROR(_xlfn.XLOOKUP(TEXT(H135,"0000000000"),'📞 Call Tracker'!A$2:A$2000,'📞 Call Tracker'!E$2:E$2000,""),"")</f>
        <v>0</v>
      </c>
      <c r="AA135" s="145" t="str">
        <f>IFERROR(_xlfn.XLOOKUP(TEXT(H135,"0000000000"),'📞 Call Tracker'!A$2:A$2000,'📞 Call Tracker'!F$2:F$2000,""),"")</f>
        <v>SOLAR ACCT</v>
      </c>
      <c r="AB135" s="132">
        <f t="shared" si="5"/>
        <v>99</v>
      </c>
      <c r="AC135" s="79"/>
    </row>
    <row r="136" spans="1:29" ht="20.100000000000001" customHeight="1">
      <c r="A136" s="91">
        <v>45903</v>
      </c>
      <c r="B136" s="92" t="str">
        <v>Heck</v>
      </c>
      <c r="C136" s="92" t="str">
        <v>Traci</v>
      </c>
      <c r="D136" s="92" t="str">
        <v>Surprise</v>
      </c>
      <c r="E136" s="92">
        <v>85388</v>
      </c>
      <c r="F136" s="137" t="str">
        <v>Paying $100s for house at 80 degrees</v>
      </c>
      <c r="G136" s="93" t="str">
        <v>https://images.edocket.azcc.gov/docketpdf/E000046190.pdf</v>
      </c>
      <c r="H136" s="150" t="s">
        <v>697</v>
      </c>
      <c r="I136" s="114" t="str">
        <v>R3-47</v>
      </c>
      <c r="J136" s="94" t="str">
        <v>No</v>
      </c>
      <c r="K136" s="94" t="str">
        <v>No</v>
      </c>
      <c r="L136" s="137" t="str">
        <v>Yes</v>
      </c>
      <c r="M136" s="94" t="str">
        <v>No</v>
      </c>
      <c r="N136" s="134" t="str">
        <v>No</v>
      </c>
      <c r="O136" s="119" t="str">
        <v>Yes</v>
      </c>
      <c r="P136" s="92" t="str">
        <v>N</v>
      </c>
      <c r="Q136" s="91">
        <v>45968</v>
      </c>
      <c r="R136" s="140">
        <v>0</v>
      </c>
      <c r="S136" s="92">
        <v>0</v>
      </c>
      <c r="T136" s="92">
        <v>0</v>
      </c>
      <c r="U136" s="137">
        <v>0</v>
      </c>
      <c r="V136" s="126" t="str">
        <f t="shared" si="4"/>
        <v>✅ On Best Plan</v>
      </c>
      <c r="W136" s="130">
        <f>IFERROR(_xlfn.XLOOKUP(TEXT(H136,"0000000000"),'📞 Call Tracker'!A$2:A$2000,'📞 Call Tracker'!B$2:B$2000,""),"")</f>
        <v>0</v>
      </c>
      <c r="X136" s="96">
        <f>IFERROR(_xlfn.XLOOKUP(TEXT(H136,"0000000000"),'📞 Call Tracker'!A$2:A$2000,'📞 Call Tracker'!C$2:C$2000,""),"")</f>
        <v>0</v>
      </c>
      <c r="Y136" s="95">
        <f>IFERROR(_xlfn.XLOOKUP(TEXT(H136,"0000000000"),'📞 Call Tracker'!A$2:A$2000,'📞 Call Tracker'!D$2:D$2000,""),"")</f>
        <v>0</v>
      </c>
      <c r="Z136" s="95">
        <f>IFERROR(_xlfn.XLOOKUP(TEXT(H136,"0000000000"),'📞 Call Tracker'!A$2:A$2000,'📞 Call Tracker'!E$2:E$2000,""),"")</f>
        <v>0</v>
      </c>
      <c r="AA136" s="145">
        <f>IFERROR(_xlfn.XLOOKUP(TEXT(H136,"0000000000"),'📞 Call Tracker'!A$2:A$2000,'📞 Call Tracker'!F$2:F$2000,""),"")</f>
        <v>0</v>
      </c>
      <c r="AB136" s="132">
        <f t="shared" si="5"/>
        <v>99</v>
      </c>
      <c r="AC136" s="79"/>
    </row>
    <row r="137" spans="1:29" ht="20.100000000000001" customHeight="1">
      <c r="A137" s="91">
        <v>45903</v>
      </c>
      <c r="B137" s="92" t="str">
        <v>Dhamotharan</v>
      </c>
      <c r="C137" s="92" t="str">
        <v>Madhavan</v>
      </c>
      <c r="D137" s="92" t="str">
        <v>Phoenix</v>
      </c>
      <c r="E137" s="92">
        <v>85085</v>
      </c>
      <c r="F137" s="137" t="str">
        <v>Form letter</v>
      </c>
      <c r="G137" s="93" t="str">
        <v>https://images.edocket.azcc.gov/docketpdf/E000046190.pdf</v>
      </c>
      <c r="H137" s="150" t="s">
        <v>706</v>
      </c>
      <c r="I137" s="114" t="str">
        <v>R3-47</v>
      </c>
      <c r="J137" s="94" t="str">
        <v>No</v>
      </c>
      <c r="K137" s="94" t="str">
        <v>No</v>
      </c>
      <c r="L137" s="137" t="str">
        <v>Yes</v>
      </c>
      <c r="M137" s="94" t="str">
        <v>No</v>
      </c>
      <c r="N137" s="134" t="str">
        <v>No</v>
      </c>
      <c r="O137" s="119" t="str">
        <v>Yes</v>
      </c>
      <c r="P137" s="92" t="str">
        <v>N</v>
      </c>
      <c r="Q137" s="91">
        <v>45968</v>
      </c>
      <c r="R137" s="140">
        <v>0</v>
      </c>
      <c r="S137" s="92">
        <v>0</v>
      </c>
      <c r="T137" s="92">
        <v>0</v>
      </c>
      <c r="U137" s="137">
        <v>0</v>
      </c>
      <c r="V137" s="126" t="str">
        <f t="shared" si="4"/>
        <v>✅ On Best Plan</v>
      </c>
      <c r="W137" s="130" t="str">
        <f>IFERROR(_xlfn.XLOOKUP(TEXT(H137,"0000000000"),'📞 Call Tracker'!A$2:A$2000,'📞 Call Tracker'!B$2:B$2000,""),"")</f>
        <v>Michelle</v>
      </c>
      <c r="X137" s="96">
        <f>IFERROR(_xlfn.XLOOKUP(TEXT(H137,"0000000000"),'📞 Call Tracker'!A$2:A$2000,'📞 Call Tracker'!C$2:C$2000,""),"")</f>
        <v>46074</v>
      </c>
      <c r="Y137" s="95" t="str">
        <f>IFERROR(_xlfn.XLOOKUP(TEXT(H137,"0000000000"),'📞 Call Tracker'!A$2:A$2000,'📞 Call Tracker'!D$2:D$2000,""),"")</f>
        <v>YES</v>
      </c>
      <c r="Z137" s="95">
        <f>IFERROR(_xlfn.XLOOKUP(TEXT(H137,"0000000000"),'📞 Call Tracker'!A$2:A$2000,'📞 Call Tracker'!E$2:E$2000,""),"")</f>
        <v>0</v>
      </c>
      <c r="AA137" s="145">
        <f>IFERROR(_xlfn.XLOOKUP(TEXT(H137,"0000000000"),'📞 Call Tracker'!A$2:A$2000,'📞 Call Tracker'!F$2:F$2000,""),"")</f>
        <v>0</v>
      </c>
      <c r="AB137" s="132">
        <f t="shared" si="5"/>
        <v>99</v>
      </c>
      <c r="AC137" s="79"/>
    </row>
    <row r="138" spans="1:29" ht="20.100000000000001" customHeight="1">
      <c r="A138" s="91">
        <v>45903</v>
      </c>
      <c r="B138" s="92" t="str">
        <v>Champion</v>
      </c>
      <c r="C138" s="92" t="str">
        <v>Vicki</v>
      </c>
      <c r="D138" s="92" t="str">
        <v>Litchfield Park</v>
      </c>
      <c r="E138" s="92">
        <v>85340</v>
      </c>
      <c r="F138" s="137" t="str">
        <v>APS charges more than SRP</v>
      </c>
      <c r="G138" s="93" t="str">
        <v>https://images.edocket.azcc.gov/docketpdf/E000046190.pdf</v>
      </c>
      <c r="H138" s="150" t="s">
        <v>712</v>
      </c>
      <c r="I138" s="114" t="str">
        <v>RTOUE47//ET-2 W/EPR6</v>
      </c>
      <c r="J138" s="94" t="str">
        <v>No</v>
      </c>
      <c r="K138" s="94" t="str">
        <v>No</v>
      </c>
      <c r="L138" s="137" t="str">
        <v>No MEP R3-47 ($127.42)</v>
      </c>
      <c r="M138" s="94" t="str">
        <v>No</v>
      </c>
      <c r="N138" s="134" t="str">
        <v>No</v>
      </c>
      <c r="O138" s="119" t="str">
        <v>Yes</v>
      </c>
      <c r="P138" s="92" t="str">
        <v>N</v>
      </c>
      <c r="Q138" s="91">
        <v>45968</v>
      </c>
      <c r="R138" s="140">
        <v>0</v>
      </c>
      <c r="S138" s="92">
        <v>0</v>
      </c>
      <c r="T138" s="92">
        <v>0</v>
      </c>
      <c r="U138" s="137">
        <v>0</v>
      </c>
      <c r="V138" s="126" t="str">
        <f t="shared" si="4"/>
        <v>❌ Not on Best Plan</v>
      </c>
      <c r="W138" s="130">
        <f>IFERROR(_xlfn.XLOOKUP(TEXT(H138,"0000000000"),'📞 Call Tracker'!A$2:A$2000,'📞 Call Tracker'!B$2:B$2000,""),"")</f>
        <v>0</v>
      </c>
      <c r="X138" s="96">
        <f>IFERROR(_xlfn.XLOOKUP(TEXT(H138,"0000000000"),'📞 Call Tracker'!A$2:A$2000,'📞 Call Tracker'!C$2:C$2000,""),"")</f>
        <v>0</v>
      </c>
      <c r="Y138" s="95">
        <f>IFERROR(_xlfn.XLOOKUP(TEXT(H138,"0000000000"),'📞 Call Tracker'!A$2:A$2000,'📞 Call Tracker'!D$2:D$2000,""),"")</f>
        <v>0</v>
      </c>
      <c r="Z138" s="95">
        <f>IFERROR(_xlfn.XLOOKUP(TEXT(H138,"0000000000"),'📞 Call Tracker'!A$2:A$2000,'📞 Call Tracker'!E$2:E$2000,""),"")</f>
        <v>0</v>
      </c>
      <c r="AA138" s="145">
        <f>IFERROR(_xlfn.XLOOKUP(TEXT(H138,"0000000000"),'📞 Call Tracker'!A$2:A$2000,'📞 Call Tracker'!F$2:F$2000,""),"")</f>
        <v>0</v>
      </c>
      <c r="AB138" s="132">
        <f t="shared" si="5"/>
        <v>99</v>
      </c>
      <c r="AC138" s="79"/>
    </row>
    <row r="139" spans="1:29" ht="20.100000000000001" customHeight="1">
      <c r="A139" s="91">
        <v>45903</v>
      </c>
      <c r="B139" s="92" t="str">
        <v>Johnson</v>
      </c>
      <c r="C139" s="92" t="str">
        <v xml:space="preserve">Ty </v>
      </c>
      <c r="D139" s="92" t="str">
        <v>Chandler</v>
      </c>
      <c r="E139" s="92">
        <v>85225</v>
      </c>
      <c r="F139" s="137" t="str">
        <v>Form letter</v>
      </c>
      <c r="G139" s="93" t="str">
        <v>https://images.edocket.azcc.gov/docketpdf/E000046190.pdf</v>
      </c>
      <c r="H139" s="150" t="s">
        <v>716</v>
      </c>
      <c r="I139" s="114" t="str">
        <v>R3-47</v>
      </c>
      <c r="J139" s="94" t="str">
        <v>No</v>
      </c>
      <c r="K139" s="94" t="str">
        <v>No</v>
      </c>
      <c r="L139" s="137" t="str">
        <v>Yes</v>
      </c>
      <c r="M139" s="94" t="str">
        <v>No</v>
      </c>
      <c r="N139" s="134" t="str">
        <v>No</v>
      </c>
      <c r="O139" s="119" t="str">
        <v>Yes</v>
      </c>
      <c r="P139" s="92" t="str">
        <v>N</v>
      </c>
      <c r="Q139" s="91">
        <v>45968</v>
      </c>
      <c r="R139" s="140">
        <v>0</v>
      </c>
      <c r="S139" s="92">
        <v>0</v>
      </c>
      <c r="T139" s="92">
        <v>0</v>
      </c>
      <c r="U139" s="137" t="str">
        <v>filed 2x on this day</v>
      </c>
      <c r="V139" s="126" t="str">
        <f t="shared" si="4"/>
        <v>✅ On Best Plan</v>
      </c>
      <c r="W139" s="130" t="str">
        <f>IFERROR(_xlfn.XLOOKUP(TEXT(H139,"0000000000"),'📞 Call Tracker'!A$2:A$2000,'📞 Call Tracker'!B$2:B$2000,""),"")</f>
        <v/>
      </c>
      <c r="X139" s="96" t="str">
        <f>IFERROR(_xlfn.XLOOKUP(TEXT(H139,"0000000000"),'📞 Call Tracker'!A$2:A$2000,'📞 Call Tracker'!C$2:C$2000,""),"")</f>
        <v/>
      </c>
      <c r="Y139" s="95" t="str">
        <f>IFERROR(_xlfn.XLOOKUP(TEXT(H139,"0000000000"),'📞 Call Tracker'!A$2:A$2000,'📞 Call Tracker'!D$2:D$2000,""),"")</f>
        <v/>
      </c>
      <c r="Z139" s="95" t="str">
        <f>IFERROR(_xlfn.XLOOKUP(TEXT(H139,"0000000000"),'📞 Call Tracker'!A$2:A$2000,'📞 Call Tracker'!E$2:E$2000,""),"")</f>
        <v/>
      </c>
      <c r="AA139" s="145" t="str">
        <f>IFERROR(_xlfn.XLOOKUP(TEXT(H139,"0000000000"),'📞 Call Tracker'!A$2:A$2000,'📞 Call Tracker'!F$2:F$2000,""),"")</f>
        <v/>
      </c>
      <c r="AB139" s="132">
        <f t="shared" si="5"/>
        <v>4</v>
      </c>
      <c r="AC139" s="79"/>
    </row>
    <row r="140" spans="1:29" ht="20.100000000000001" customHeight="1">
      <c r="A140" s="91">
        <v>45903</v>
      </c>
      <c r="B140" s="92" t="str">
        <v>Willett</v>
      </c>
      <c r="C140" s="92" t="str">
        <v>Wayne</v>
      </c>
      <c r="D140" s="92" t="str">
        <v>Phoenix</v>
      </c>
      <c r="E140" s="92">
        <v>85051</v>
      </c>
      <c r="F140" s="137" t="str">
        <v>Form letter</v>
      </c>
      <c r="G140" s="93" t="str">
        <v>https://images.edocket.azcc.gov/docketpdf/E000046190.pdf</v>
      </c>
      <c r="H140" s="150" t="s">
        <v>720</v>
      </c>
      <c r="I140" s="114" t="str">
        <v>R-XS</v>
      </c>
      <c r="J140" s="94" t="str">
        <v>No</v>
      </c>
      <c r="K140" s="94" t="str">
        <v>No</v>
      </c>
      <c r="L140" s="137" t="str">
        <v>Yes</v>
      </c>
      <c r="M140" s="94" t="str">
        <v>No</v>
      </c>
      <c r="N140" s="134" t="str">
        <v>No</v>
      </c>
      <c r="O140" s="119" t="str">
        <v>Yes</v>
      </c>
      <c r="P140" s="92" t="str">
        <v>N</v>
      </c>
      <c r="Q140" s="91">
        <v>45968</v>
      </c>
      <c r="R140" s="140">
        <v>0</v>
      </c>
      <c r="S140" s="92">
        <v>0</v>
      </c>
      <c r="T140" s="92">
        <v>0</v>
      </c>
      <c r="U140" s="137">
        <v>0</v>
      </c>
      <c r="V140" s="126" t="str">
        <f t="shared" si="4"/>
        <v>✅ On Best Plan</v>
      </c>
      <c r="W140" s="130" t="str">
        <f>IFERROR(_xlfn.XLOOKUP(TEXT(H140,"0000000000"),'📞 Call Tracker'!A$2:A$2000,'📞 Call Tracker'!B$2:B$2000,""),"")</f>
        <v>Michelle</v>
      </c>
      <c r="X140" s="96">
        <f>IFERROR(_xlfn.XLOOKUP(TEXT(H140,"0000000000"),'📞 Call Tracker'!A$2:A$2000,'📞 Call Tracker'!C$2:C$2000,""),"")</f>
        <v>46074</v>
      </c>
      <c r="Y140" s="95" t="str">
        <f>IFERROR(_xlfn.XLOOKUP(TEXT(H140,"0000000000"),'📞 Call Tracker'!A$2:A$2000,'📞 Call Tracker'!D$2:D$2000,""),"")</f>
        <v>NO</v>
      </c>
      <c r="Z140" s="95" t="str">
        <f>IFERROR(_xlfn.XLOOKUP(TEXT(H140,"0000000000"),'📞 Call Tracker'!A$2:A$2000,'📞 Call Tracker'!E$2:E$2000,""),"")</f>
        <v>Updated/New PA</v>
      </c>
      <c r="AA140" s="145">
        <f>IFERROR(_xlfn.XLOOKUP(TEXT(H140,"0000000000"),'📞 Call Tracker'!A$2:A$2000,'📞 Call Tracker'!F$2:F$2000,""),"")</f>
        <v>0</v>
      </c>
      <c r="AB140" s="132">
        <f t="shared" si="5"/>
        <v>99</v>
      </c>
      <c r="AC140" s="79"/>
    </row>
    <row r="141" spans="1:29" ht="20.100000000000001" customHeight="1">
      <c r="A141" s="91">
        <v>45903</v>
      </c>
      <c r="B141" s="92" t="str">
        <v>Schwartz</v>
      </c>
      <c r="C141" s="92" t="str">
        <v>Alan</v>
      </c>
      <c r="D141" s="92" t="str">
        <v>Surprise</v>
      </c>
      <c r="E141" s="92">
        <v>85388</v>
      </c>
      <c r="F141" s="137" t="str">
        <v>Doesn't deserve another rate increase</v>
      </c>
      <c r="G141" s="93" t="str">
        <v>https://images.edocket.azcc.gov/docketpdf/E000046190.pdf</v>
      </c>
      <c r="H141" s="150" t="s">
        <v>723</v>
      </c>
      <c r="I141" s="114" t="str">
        <v>RCPw/RTOUE47</v>
      </c>
      <c r="J141" s="94" t="str">
        <v>No</v>
      </c>
      <c r="K141" s="94" t="str">
        <v>No</v>
      </c>
      <c r="L141" s="137" t="str">
        <v>Yes</v>
      </c>
      <c r="M141" s="94" t="str">
        <v>No</v>
      </c>
      <c r="N141" s="134" t="str">
        <v>No</v>
      </c>
      <c r="O141" s="119" t="str">
        <v>Yes</v>
      </c>
      <c r="P141" s="92" t="str">
        <v>N</v>
      </c>
      <c r="Q141" s="91">
        <v>45968</v>
      </c>
      <c r="R141" s="140">
        <v>0</v>
      </c>
      <c r="S141" s="92">
        <v>0</v>
      </c>
      <c r="T141" s="92">
        <v>0</v>
      </c>
      <c r="U141" s="137">
        <v>0</v>
      </c>
      <c r="V141" s="126" t="str">
        <f t="shared" si="4"/>
        <v>✅ On Best Plan</v>
      </c>
      <c r="W141" s="130">
        <f>IFERROR(_xlfn.XLOOKUP(TEXT(H141,"0000000000"),'📞 Call Tracker'!A$2:A$2000,'📞 Call Tracker'!B$2:B$2000,""),"")</f>
        <v>0</v>
      </c>
      <c r="X141" s="96">
        <f>IFERROR(_xlfn.XLOOKUP(TEXT(H141,"0000000000"),'📞 Call Tracker'!A$2:A$2000,'📞 Call Tracker'!C$2:C$2000,""),"")</f>
        <v>0</v>
      </c>
      <c r="Y141" s="95">
        <f>IFERROR(_xlfn.XLOOKUP(TEXT(H141,"0000000000"),'📞 Call Tracker'!A$2:A$2000,'📞 Call Tracker'!D$2:D$2000,""),"")</f>
        <v>0</v>
      </c>
      <c r="Z141" s="95">
        <f>IFERROR(_xlfn.XLOOKUP(TEXT(H141,"0000000000"),'📞 Call Tracker'!A$2:A$2000,'📞 Call Tracker'!E$2:E$2000,""),"")</f>
        <v>0</v>
      </c>
      <c r="AA141" s="145">
        <f>IFERROR(_xlfn.XLOOKUP(TEXT(H141,"0000000000"),'📞 Call Tracker'!A$2:A$2000,'📞 Call Tracker'!F$2:F$2000,""),"")</f>
        <v>0</v>
      </c>
      <c r="AB141" s="132">
        <f t="shared" si="5"/>
        <v>99</v>
      </c>
      <c r="AC141" s="79"/>
    </row>
    <row r="142" spans="1:29" ht="20.100000000000001" customHeight="1">
      <c r="A142" s="91">
        <v>45903</v>
      </c>
      <c r="B142" s="92" t="str">
        <v>Nance</v>
      </c>
      <c r="C142" s="92" t="str">
        <v>Stacy</v>
      </c>
      <c r="D142" s="92" t="str">
        <v>Goodyear</v>
      </c>
      <c r="E142" s="92">
        <v>85338</v>
      </c>
      <c r="F142" s="137" t="str">
        <v>No more increases, already paycheck to paycheck</v>
      </c>
      <c r="G142" s="93" t="str">
        <v>https://images.edocket.azcc.gov/docketpdf/E000046190.pdf</v>
      </c>
      <c r="H142" s="150" t="s">
        <v>728</v>
      </c>
      <c r="I142" s="114" t="str">
        <v>R-XS</v>
      </c>
      <c r="J142" s="94" t="str">
        <v>No</v>
      </c>
      <c r="K142" s="94" t="str">
        <v>No</v>
      </c>
      <c r="L142" s="137" t="str">
        <v>Yes</v>
      </c>
      <c r="M142" s="94" t="str">
        <v>No</v>
      </c>
      <c r="N142" s="134" t="str">
        <v>No</v>
      </c>
      <c r="O142" s="119" t="str">
        <v>Yes</v>
      </c>
      <c r="P142" s="92" t="str">
        <v>N</v>
      </c>
      <c r="Q142" s="91">
        <v>45968</v>
      </c>
      <c r="R142" s="140">
        <v>0</v>
      </c>
      <c r="S142" s="92">
        <v>0</v>
      </c>
      <c r="T142" s="92">
        <v>0</v>
      </c>
      <c r="U142" s="137">
        <v>0</v>
      </c>
      <c r="V142" s="126" t="str">
        <f t="shared" si="4"/>
        <v>✅ On Best Plan</v>
      </c>
      <c r="W142" s="130" t="str">
        <f>IFERROR(_xlfn.XLOOKUP(TEXT(H142,"0000000000"),'📞 Call Tracker'!A$2:A$2000,'📞 Call Tracker'!B$2:B$2000,""),"")</f>
        <v>Michelle</v>
      </c>
      <c r="X142" s="96">
        <f>IFERROR(_xlfn.XLOOKUP(TEXT(H142,"0000000000"),'📞 Call Tracker'!A$2:A$2000,'📞 Call Tracker'!C$2:C$2000,""),"")</f>
        <v>46074</v>
      </c>
      <c r="Y142" s="95" t="str">
        <f>IFERROR(_xlfn.XLOOKUP(TEXT(H142,"0000000000"),'📞 Call Tracker'!A$2:A$2000,'📞 Call Tracker'!D$2:D$2000,""),"")</f>
        <v>NO</v>
      </c>
      <c r="Z142" s="95">
        <f>IFERROR(_xlfn.XLOOKUP(TEXT(H142,"0000000000"),'📞 Call Tracker'!A$2:A$2000,'📞 Call Tracker'!E$2:E$2000,""),"")</f>
        <v>0</v>
      </c>
      <c r="AA142" s="145" t="str">
        <f>IFERROR(_xlfn.XLOOKUP(TEXT(H142,"0000000000"),'📞 Call Tracker'!A$2:A$2000,'📞 Call Tracker'!F$2:F$2000,""),"")</f>
        <v>SOLAR ACCT</v>
      </c>
      <c r="AB142" s="132">
        <f t="shared" si="5"/>
        <v>99</v>
      </c>
      <c r="AC142" s="79"/>
    </row>
    <row r="143" spans="1:29" ht="20.100000000000001" customHeight="1">
      <c r="A143" s="91">
        <v>45903</v>
      </c>
      <c r="B143" s="92" t="str">
        <v>Beatty</v>
      </c>
      <c r="C143" s="92" t="str">
        <v>Austin</v>
      </c>
      <c r="D143" s="92" t="str">
        <v>Cottonwood</v>
      </c>
      <c r="E143" s="92">
        <v>86326</v>
      </c>
      <c r="F143" s="137" t="str">
        <v>Unacceptable financial burden</v>
      </c>
      <c r="G143" s="93" t="str">
        <v>https://images.edocket.azcc.gov/docketpdf/E000046190.pdf</v>
      </c>
      <c r="H143" s="150" t="s">
        <v>732</v>
      </c>
      <c r="I143" s="114" t="str">
        <v>R-2</v>
      </c>
      <c r="J143" s="94" t="str">
        <v>No</v>
      </c>
      <c r="K143" s="94" t="str">
        <v>No</v>
      </c>
      <c r="L143" s="137" t="str">
        <v>Frozen Rate</v>
      </c>
      <c r="M143" s="94" t="str">
        <v>No</v>
      </c>
      <c r="N143" s="134" t="str">
        <v>No</v>
      </c>
      <c r="O143" s="119" t="str">
        <v>Yes</v>
      </c>
      <c r="P143" s="92" t="str">
        <v>N</v>
      </c>
      <c r="Q143" s="91">
        <v>45968</v>
      </c>
      <c r="R143" s="140">
        <v>0</v>
      </c>
      <c r="S143" s="92">
        <v>0</v>
      </c>
      <c r="T143" s="92">
        <v>0</v>
      </c>
      <c r="U143" s="137">
        <v>0</v>
      </c>
      <c r="V143" s="126" t="str">
        <f t="shared" si="4"/>
        <v>❄ Frozen Rate</v>
      </c>
      <c r="W143" s="130">
        <f>IFERROR(_xlfn.XLOOKUP(TEXT(H143,"0000000000"),'📞 Call Tracker'!A$2:A$2000,'📞 Call Tracker'!B$2:B$2000,""),"")</f>
        <v>0</v>
      </c>
      <c r="X143" s="96">
        <f>IFERROR(_xlfn.XLOOKUP(TEXT(H143,"0000000000"),'📞 Call Tracker'!A$2:A$2000,'📞 Call Tracker'!C$2:C$2000,""),"")</f>
        <v>0</v>
      </c>
      <c r="Y143" s="95">
        <f>IFERROR(_xlfn.XLOOKUP(TEXT(H143,"0000000000"),'📞 Call Tracker'!A$2:A$2000,'📞 Call Tracker'!D$2:D$2000,""),"")</f>
        <v>0</v>
      </c>
      <c r="Z143" s="95">
        <f>IFERROR(_xlfn.XLOOKUP(TEXT(H143,"0000000000"),'📞 Call Tracker'!A$2:A$2000,'📞 Call Tracker'!E$2:E$2000,""),"")</f>
        <v>0</v>
      </c>
      <c r="AA143" s="145">
        <f>IFERROR(_xlfn.XLOOKUP(TEXT(H143,"0000000000"),'📞 Call Tracker'!A$2:A$2000,'📞 Call Tracker'!F$2:F$2000,""),"")</f>
        <v>0</v>
      </c>
      <c r="AB143" s="132">
        <f t="shared" si="5"/>
        <v>99</v>
      </c>
      <c r="AC143" s="79"/>
    </row>
    <row r="144" spans="1:29" ht="20.100000000000001" customHeight="1">
      <c r="A144" s="91">
        <v>45903</v>
      </c>
      <c r="B144" s="92" t="str">
        <v>Embrey</v>
      </c>
      <c r="C144" s="92" t="str">
        <v>Robert</v>
      </c>
      <c r="D144" s="92" t="str">
        <v>Goodyear</v>
      </c>
      <c r="E144" s="92">
        <v>85338</v>
      </c>
      <c r="F144" s="137" t="str">
        <v xml:space="preserve">Fixed income </v>
      </c>
      <c r="G144" s="93" t="str">
        <v>https://images.edocket.azcc.gov/docketpdf/E000046190.pdf</v>
      </c>
      <c r="H144" s="150" t="s">
        <v>736</v>
      </c>
      <c r="I144" s="114" t="str">
        <v>R-2</v>
      </c>
      <c r="J144" s="94" t="str">
        <v>No</v>
      </c>
      <c r="K144" s="94" t="str">
        <v>No</v>
      </c>
      <c r="L144" s="137" t="str">
        <v>Frozen Rate</v>
      </c>
      <c r="M144" s="94" t="str">
        <v>No</v>
      </c>
      <c r="N144" s="134" t="str">
        <v>No</v>
      </c>
      <c r="O144" s="119" t="str">
        <v>Yes</v>
      </c>
      <c r="P144" s="92" t="str">
        <v>N</v>
      </c>
      <c r="Q144" s="91">
        <v>45968</v>
      </c>
      <c r="R144" s="140">
        <v>0</v>
      </c>
      <c r="S144" s="92">
        <v>0</v>
      </c>
      <c r="T144" s="92">
        <v>0</v>
      </c>
      <c r="U144" s="137">
        <v>0</v>
      </c>
      <c r="V144" s="126" t="str">
        <f t="shared" si="4"/>
        <v>❄ Frozen Rate</v>
      </c>
      <c r="W144" s="130" t="str">
        <f>IFERROR(_xlfn.XLOOKUP(TEXT(H144,"0000000000"),'📞 Call Tracker'!A$2:A$2000,'📞 Call Tracker'!B$2:B$2000,""),"")</f>
        <v>Michelle</v>
      </c>
      <c r="X144" s="96">
        <f>IFERROR(_xlfn.XLOOKUP(TEXT(H144,"0000000000"),'📞 Call Tracker'!A$2:A$2000,'📞 Call Tracker'!C$2:C$2000,""),"")</f>
        <v>46074</v>
      </c>
      <c r="Y144" s="95" t="str">
        <f>IFERROR(_xlfn.XLOOKUP(TEXT(H144,"0000000000"),'📞 Call Tracker'!A$2:A$2000,'📞 Call Tracker'!D$2:D$2000,""),"")</f>
        <v>YES</v>
      </c>
      <c r="Z144" s="95">
        <f>IFERROR(_xlfn.XLOOKUP(TEXT(H144,"0000000000"),'📞 Call Tracker'!A$2:A$2000,'📞 Call Tracker'!E$2:E$2000,""),"")</f>
        <v>0</v>
      </c>
      <c r="AA144" s="145">
        <f>IFERROR(_xlfn.XLOOKUP(TEXT(H144,"0000000000"),'📞 Call Tracker'!A$2:A$2000,'📞 Call Tracker'!F$2:F$2000,""),"")</f>
        <v>0</v>
      </c>
      <c r="AB144" s="132">
        <f t="shared" si="5"/>
        <v>99</v>
      </c>
      <c r="AC144" s="79"/>
    </row>
    <row r="145" spans="1:29" ht="20.100000000000001" customHeight="1">
      <c r="A145" s="91">
        <v>45903</v>
      </c>
      <c r="B145" s="92" t="str">
        <v>Oakley</v>
      </c>
      <c r="C145" s="92" t="str">
        <v>Abraham</v>
      </c>
      <c r="D145" s="92" t="str">
        <v>Phoenix</v>
      </c>
      <c r="E145" s="92">
        <v>85023</v>
      </c>
      <c r="F145" s="137" t="str">
        <v>Form letter</v>
      </c>
      <c r="G145" s="93" t="str">
        <v>https://images.edocket.azcc.gov/docketpdf/E000046190.pdf</v>
      </c>
      <c r="H145" s="150" t="s">
        <v>739</v>
      </c>
      <c r="I145" s="114" t="str">
        <v>R3-47</v>
      </c>
      <c r="J145" s="94" t="str">
        <v>No</v>
      </c>
      <c r="K145" s="94" t="str">
        <v>No</v>
      </c>
      <c r="L145" s="137" t="str">
        <v>Yes</v>
      </c>
      <c r="M145" s="94" t="str">
        <v>No</v>
      </c>
      <c r="N145" s="134" t="str">
        <v>No</v>
      </c>
      <c r="O145" s="119" t="str">
        <v>Yes</v>
      </c>
      <c r="P145" s="92" t="str">
        <v>N</v>
      </c>
      <c r="Q145" s="91">
        <v>45968</v>
      </c>
      <c r="R145" s="140">
        <v>0</v>
      </c>
      <c r="S145" s="92">
        <v>0</v>
      </c>
      <c r="T145" s="92">
        <v>0</v>
      </c>
      <c r="U145" s="137">
        <v>0</v>
      </c>
      <c r="V145" s="126" t="str">
        <f t="shared" si="4"/>
        <v>✅ On Best Plan</v>
      </c>
      <c r="W145" s="130">
        <f>IFERROR(_xlfn.XLOOKUP(TEXT(H145,"0000000000"),'📞 Call Tracker'!A$2:A$2000,'📞 Call Tracker'!B$2:B$2000,""),"")</f>
        <v>0</v>
      </c>
      <c r="X145" s="96">
        <f>IFERROR(_xlfn.XLOOKUP(TEXT(H145,"0000000000"),'📞 Call Tracker'!A$2:A$2000,'📞 Call Tracker'!C$2:C$2000,""),"")</f>
        <v>0</v>
      </c>
      <c r="Y145" s="95">
        <f>IFERROR(_xlfn.XLOOKUP(TEXT(H145,"0000000000"),'📞 Call Tracker'!A$2:A$2000,'📞 Call Tracker'!D$2:D$2000,""),"")</f>
        <v>0</v>
      </c>
      <c r="Z145" s="95">
        <f>IFERROR(_xlfn.XLOOKUP(TEXT(H145,"0000000000"),'📞 Call Tracker'!A$2:A$2000,'📞 Call Tracker'!E$2:E$2000,""),"")</f>
        <v>0</v>
      </c>
      <c r="AA145" s="145">
        <f>IFERROR(_xlfn.XLOOKUP(TEXT(H145,"0000000000"),'📞 Call Tracker'!A$2:A$2000,'📞 Call Tracker'!F$2:F$2000,""),"")</f>
        <v>0</v>
      </c>
      <c r="AB145" s="132">
        <f t="shared" si="5"/>
        <v>99</v>
      </c>
      <c r="AC145" s="79"/>
    </row>
    <row r="146" spans="1:29" ht="20.100000000000001" customHeight="1">
      <c r="A146" s="91">
        <v>45903</v>
      </c>
      <c r="B146" s="92" t="str">
        <v>Grow</v>
      </c>
      <c r="C146" s="92" t="str">
        <v>Scott</v>
      </c>
      <c r="D146" s="92" t="str">
        <v>Peoria</v>
      </c>
      <c r="E146" s="92">
        <v>85383</v>
      </c>
      <c r="F146" s="137" t="str">
        <v>Bill has gone up every year</v>
      </c>
      <c r="G146" s="93" t="str">
        <v>https://images.edocket.azcc.gov/docketpdf/E000046190.pdf</v>
      </c>
      <c r="H146" s="150" t="s">
        <v>742</v>
      </c>
      <c r="I146" s="114" t="str">
        <v>R-BASIC</v>
      </c>
      <c r="J146" s="94" t="str">
        <v>No</v>
      </c>
      <c r="K146" s="94" t="str">
        <v>No</v>
      </c>
      <c r="L146" s="137" t="str">
        <v>Yes</v>
      </c>
      <c r="M146" s="94" t="str">
        <v>No</v>
      </c>
      <c r="N146" s="134" t="str">
        <v>No</v>
      </c>
      <c r="O146" s="119" t="str">
        <v>Yes</v>
      </c>
      <c r="P146" s="92" t="str">
        <v>N</v>
      </c>
      <c r="Q146" s="91">
        <v>45968</v>
      </c>
      <c r="R146" s="140">
        <v>0</v>
      </c>
      <c r="S146" s="92">
        <v>0</v>
      </c>
      <c r="T146" s="92">
        <v>0</v>
      </c>
      <c r="U146" s="137">
        <v>0</v>
      </c>
      <c r="V146" s="126" t="str">
        <f t="shared" si="4"/>
        <v>✅ On Best Plan</v>
      </c>
      <c r="W146" s="130" t="str">
        <f>IFERROR(_xlfn.XLOOKUP(TEXT(H146,"0000000000"),'📞 Call Tracker'!A$2:A$2000,'📞 Call Tracker'!B$2:B$2000,""),"")</f>
        <v>Michelle</v>
      </c>
      <c r="X146" s="96">
        <f>IFERROR(_xlfn.XLOOKUP(TEXT(H146,"0000000000"),'📞 Call Tracker'!A$2:A$2000,'📞 Call Tracker'!C$2:C$2000,""),"")</f>
        <v>46074</v>
      </c>
      <c r="Y146" s="95" t="str">
        <f>IFERROR(_xlfn.XLOOKUP(TEXT(H146,"0000000000"),'📞 Call Tracker'!A$2:A$2000,'📞 Call Tracker'!D$2:D$2000,""),"")</f>
        <v>YES</v>
      </c>
      <c r="Z146" s="95">
        <f>IFERROR(_xlfn.XLOOKUP(TEXT(H146,"0000000000"),'📞 Call Tracker'!A$2:A$2000,'📞 Call Tracker'!E$2:E$2000,""),"")</f>
        <v>0</v>
      </c>
      <c r="AA146" s="145">
        <f>IFERROR(_xlfn.XLOOKUP(TEXT(H146,"0000000000"),'📞 Call Tracker'!A$2:A$2000,'📞 Call Tracker'!F$2:F$2000,""),"")</f>
        <v>0</v>
      </c>
      <c r="AB146" s="132">
        <f t="shared" si="5"/>
        <v>99</v>
      </c>
      <c r="AC146" s="79"/>
    </row>
    <row r="147" spans="1:29" ht="20.100000000000001" customHeight="1">
      <c r="A147" s="91">
        <v>45903</v>
      </c>
      <c r="B147" s="92" t="str">
        <v>Satawa</v>
      </c>
      <c r="C147" s="92" t="str">
        <v>Austin</v>
      </c>
      <c r="D147" s="92" t="str">
        <v>Phoenix</v>
      </c>
      <c r="E147" s="92">
        <v>85085</v>
      </c>
      <c r="F147" s="137" t="str">
        <v>Form letter</v>
      </c>
      <c r="G147" s="93" t="str">
        <v>https://images.edocket.azcc.gov/docketpdf/E000046190.pdf</v>
      </c>
      <c r="H147" s="150" t="s">
        <v>746</v>
      </c>
      <c r="I147" s="114" t="str">
        <v>R-XS</v>
      </c>
      <c r="J147" s="94" t="str">
        <v>No</v>
      </c>
      <c r="K147" s="94" t="str">
        <v>No</v>
      </c>
      <c r="L147" s="137" t="str">
        <v>Yes</v>
      </c>
      <c r="M147" s="94" t="str">
        <v>No</v>
      </c>
      <c r="N147" s="134" t="str">
        <v>No</v>
      </c>
      <c r="O147" s="119" t="str">
        <v>Yes</v>
      </c>
      <c r="P147" s="92" t="str">
        <v>N</v>
      </c>
      <c r="Q147" s="91">
        <v>45968</v>
      </c>
      <c r="R147" s="140">
        <v>0</v>
      </c>
      <c r="S147" s="92">
        <v>0</v>
      </c>
      <c r="T147" s="92">
        <v>0</v>
      </c>
      <c r="U147" s="137">
        <v>0</v>
      </c>
      <c r="V147" s="126" t="str">
        <f t="shared" si="4"/>
        <v>✅ On Best Plan</v>
      </c>
      <c r="W147" s="130">
        <f>IFERROR(_xlfn.XLOOKUP(TEXT(H147,"0000000000"),'📞 Call Tracker'!A$2:A$2000,'📞 Call Tracker'!B$2:B$2000,""),"")</f>
        <v>0</v>
      </c>
      <c r="X147" s="96">
        <f>IFERROR(_xlfn.XLOOKUP(TEXT(H147,"0000000000"),'📞 Call Tracker'!A$2:A$2000,'📞 Call Tracker'!C$2:C$2000,""),"")</f>
        <v>0</v>
      </c>
      <c r="Y147" s="95">
        <f>IFERROR(_xlfn.XLOOKUP(TEXT(H147,"0000000000"),'📞 Call Tracker'!A$2:A$2000,'📞 Call Tracker'!D$2:D$2000,""),"")</f>
        <v>0</v>
      </c>
      <c r="Z147" s="95">
        <f>IFERROR(_xlfn.XLOOKUP(TEXT(H147,"0000000000"),'📞 Call Tracker'!A$2:A$2000,'📞 Call Tracker'!E$2:E$2000,""),"")</f>
        <v>0</v>
      </c>
      <c r="AA147" s="145">
        <f>IFERROR(_xlfn.XLOOKUP(TEXT(H147,"0000000000"),'📞 Call Tracker'!A$2:A$2000,'📞 Call Tracker'!F$2:F$2000,""),"")</f>
        <v>0</v>
      </c>
      <c r="AB147" s="132">
        <f t="shared" si="5"/>
        <v>99</v>
      </c>
      <c r="AC147" s="79"/>
    </row>
    <row r="148" spans="1:29" ht="20.100000000000001" customHeight="1">
      <c r="A148" s="91">
        <v>45903</v>
      </c>
      <c r="B148" s="92" t="str">
        <v>Messner</v>
      </c>
      <c r="C148" s="92" t="str">
        <v>Matthew</v>
      </c>
      <c r="D148" s="92" t="str">
        <v>Glendale</v>
      </c>
      <c r="E148" s="92">
        <v>85310</v>
      </c>
      <c r="F148" s="137" t="str">
        <v>Data centers shouldn't be residents cross to bear</v>
      </c>
      <c r="G148" s="93" t="str">
        <v>https://images.edocket.azcc.gov/docketpdf/E000046190.pdf</v>
      </c>
      <c r="H148" s="150" t="s">
        <v>750</v>
      </c>
      <c r="I148" s="114" t="str">
        <v>R3-47</v>
      </c>
      <c r="J148" s="94" t="str">
        <v>No</v>
      </c>
      <c r="K148" s="94" t="str">
        <v>No</v>
      </c>
      <c r="L148" s="137" t="str">
        <v>Yes</v>
      </c>
      <c r="M148" s="94" t="str">
        <v>No</v>
      </c>
      <c r="N148" s="134" t="str">
        <v>No</v>
      </c>
      <c r="O148" s="119" t="str">
        <v>Yes</v>
      </c>
      <c r="P148" s="92" t="str">
        <v>N</v>
      </c>
      <c r="Q148" s="91">
        <v>45968</v>
      </c>
      <c r="R148" s="140">
        <v>0</v>
      </c>
      <c r="S148" s="92">
        <v>0</v>
      </c>
      <c r="T148" s="92">
        <v>0</v>
      </c>
      <c r="U148" s="137">
        <v>0</v>
      </c>
      <c r="V148" s="126" t="str">
        <f t="shared" si="4"/>
        <v>✅ On Best Plan</v>
      </c>
      <c r="W148" s="130" t="str">
        <f>IFERROR(_xlfn.XLOOKUP(TEXT(H148,"0000000000"),'📞 Call Tracker'!A$2:A$2000,'📞 Call Tracker'!B$2:B$2000,""),"")</f>
        <v>Michelle</v>
      </c>
      <c r="X148" s="96">
        <f>IFERROR(_xlfn.XLOOKUP(TEXT(H148,"0000000000"),'📞 Call Tracker'!A$2:A$2000,'📞 Call Tracker'!C$2:C$2000,""),"")</f>
        <v>46074</v>
      </c>
      <c r="Y148" s="95" t="str">
        <f>IFERROR(_xlfn.XLOOKUP(TEXT(H148,"0000000000"),'📞 Call Tracker'!A$2:A$2000,'📞 Call Tracker'!D$2:D$2000,""),"")</f>
        <v>YES</v>
      </c>
      <c r="Z148" s="95">
        <f>IFERROR(_xlfn.XLOOKUP(TEXT(H148,"0000000000"),'📞 Call Tracker'!A$2:A$2000,'📞 Call Tracker'!E$2:E$2000,""),"")</f>
        <v>0</v>
      </c>
      <c r="AA148" s="145">
        <f>IFERROR(_xlfn.XLOOKUP(TEXT(H148,"0000000000"),'📞 Call Tracker'!A$2:A$2000,'📞 Call Tracker'!F$2:F$2000,""),"")</f>
        <v>0</v>
      </c>
      <c r="AB148" s="132">
        <f t="shared" si="5"/>
        <v>99</v>
      </c>
      <c r="AC148" s="79"/>
    </row>
    <row r="149" spans="1:29" ht="20.100000000000001" customHeight="1">
      <c r="A149" s="91">
        <v>45903</v>
      </c>
      <c r="B149" s="92" t="str">
        <v>Crowley</v>
      </c>
      <c r="C149" s="92" t="str">
        <v>Kendell</v>
      </c>
      <c r="D149" s="92" t="str">
        <v>Phoenix</v>
      </c>
      <c r="E149" s="92">
        <v>85006</v>
      </c>
      <c r="F149" s="137" t="str">
        <v>Form letter</v>
      </c>
      <c r="G149" s="93" t="str">
        <v>https://images.edocket.azcc.gov/docketpdf/E000046190.pdf</v>
      </c>
      <c r="H149" s="150" t="s">
        <v>756</v>
      </c>
      <c r="I149" s="114" t="str">
        <v>RTOUE47</v>
      </c>
      <c r="J149" s="94" t="str">
        <v>No</v>
      </c>
      <c r="K149" s="94" t="str">
        <v>No</v>
      </c>
      <c r="L149" s="137" t="str">
        <v>N o MEP R-XS(136.68)</v>
      </c>
      <c r="M149" s="94" t="str">
        <v>No</v>
      </c>
      <c r="N149" s="134" t="str">
        <v>No</v>
      </c>
      <c r="O149" s="119" t="str">
        <v>Yes</v>
      </c>
      <c r="P149" s="92">
        <v>45933</v>
      </c>
      <c r="Q149" s="91">
        <v>45968</v>
      </c>
      <c r="R149" s="140" t="str">
        <v>Left VM 10/03/2025 - Initiated rate change on 10/19</v>
      </c>
      <c r="S149" s="92">
        <v>0</v>
      </c>
      <c r="T149" s="92">
        <v>0</v>
      </c>
      <c r="U149" s="137">
        <v>0</v>
      </c>
      <c r="V149" s="126" t="str">
        <f t="shared" si="4"/>
        <v>❌ Not on Best Plan</v>
      </c>
      <c r="W149" s="130">
        <f>IFERROR(_xlfn.XLOOKUP(TEXT(H149,"0000000000"),'📞 Call Tracker'!A$2:A$2000,'📞 Call Tracker'!B$2:B$2000,""),"")</f>
        <v>0</v>
      </c>
      <c r="X149" s="96">
        <f>IFERROR(_xlfn.XLOOKUP(TEXT(H149,"0000000000"),'📞 Call Tracker'!A$2:A$2000,'📞 Call Tracker'!C$2:C$2000,""),"")</f>
        <v>0</v>
      </c>
      <c r="Y149" s="95">
        <f>IFERROR(_xlfn.XLOOKUP(TEXT(H149,"0000000000"),'📞 Call Tracker'!A$2:A$2000,'📞 Call Tracker'!D$2:D$2000,""),"")</f>
        <v>0</v>
      </c>
      <c r="Z149" s="95">
        <f>IFERROR(_xlfn.XLOOKUP(TEXT(H149,"0000000000"),'📞 Call Tracker'!A$2:A$2000,'📞 Call Tracker'!E$2:E$2000,""),"")</f>
        <v>0</v>
      </c>
      <c r="AA149" s="145">
        <f>IFERROR(_xlfn.XLOOKUP(TEXT(H149,"0000000000"),'📞 Call Tracker'!A$2:A$2000,'📞 Call Tracker'!F$2:F$2000,""),"")</f>
        <v>0</v>
      </c>
      <c r="AB149" s="132">
        <f t="shared" si="5"/>
        <v>99</v>
      </c>
      <c r="AC149" s="79"/>
    </row>
    <row r="150" spans="1:29" ht="20.100000000000001" customHeight="1">
      <c r="A150" s="91">
        <v>45903</v>
      </c>
      <c r="B150" s="92" t="str">
        <v>Wasylenko</v>
      </c>
      <c r="C150" s="92" t="str">
        <v>Emily</v>
      </c>
      <c r="D150" s="92" t="str">
        <v>Scottsdale</v>
      </c>
      <c r="E150" s="92">
        <v>85254</v>
      </c>
      <c r="F150" s="137" t="str">
        <v>Form letter</v>
      </c>
      <c r="G150" s="93" t="str">
        <v>https://images.edocket.azcc.gov/docketpdf/E000046190.pdf</v>
      </c>
      <c r="H150" s="150" t="s">
        <v>761</v>
      </c>
      <c r="I150" s="114" t="str">
        <v>RTOUE47</v>
      </c>
      <c r="J150" s="94" t="str">
        <v>No</v>
      </c>
      <c r="K150" s="94" t="str">
        <v>No</v>
      </c>
      <c r="L150" s="137" t="str">
        <v>Yes</v>
      </c>
      <c r="M150" s="94" t="str">
        <v>No</v>
      </c>
      <c r="N150" s="134" t="str">
        <v>No</v>
      </c>
      <c r="O150" s="119" t="str">
        <v>Yes</v>
      </c>
      <c r="P150" s="92" t="str">
        <v>N</v>
      </c>
      <c r="Q150" s="91">
        <v>45968</v>
      </c>
      <c r="R150" s="140">
        <v>0</v>
      </c>
      <c r="S150" s="92">
        <v>0</v>
      </c>
      <c r="T150" s="92">
        <v>0</v>
      </c>
      <c r="U150" s="137">
        <v>0</v>
      </c>
      <c r="V150" s="126" t="str">
        <f t="shared" si="4"/>
        <v>✅ On Best Plan</v>
      </c>
      <c r="W150" s="130" t="str">
        <f>IFERROR(_xlfn.XLOOKUP(TEXT(H150,"0000000000"),'📞 Call Tracker'!A$2:A$2000,'📞 Call Tracker'!B$2:B$2000,""),"")</f>
        <v>Michelle</v>
      </c>
      <c r="X150" s="96">
        <f>IFERROR(_xlfn.XLOOKUP(TEXT(H150,"0000000000"),'📞 Call Tracker'!A$2:A$2000,'📞 Call Tracker'!C$2:C$2000,""),"")</f>
        <v>46074</v>
      </c>
      <c r="Y150" s="95" t="str">
        <f>IFERROR(_xlfn.XLOOKUP(TEXT(H150,"0000000000"),'📞 Call Tracker'!A$2:A$2000,'📞 Call Tracker'!D$2:D$2000,""),"")</f>
        <v>NO</v>
      </c>
      <c r="Z150" s="95" t="str">
        <f>IFERROR(_xlfn.XLOOKUP(TEXT(H150,"0000000000"),'📞 Call Tracker'!A$2:A$2000,'📞 Call Tracker'!E$2:E$2000,""),"")</f>
        <v>General Education</v>
      </c>
      <c r="AA150" s="145">
        <f>IFERROR(_xlfn.XLOOKUP(TEXT(H150,"0000000000"),'📞 Call Tracker'!A$2:A$2000,'📞 Call Tracker'!F$2:F$2000,""),"")</f>
        <v>0</v>
      </c>
      <c r="AB150" s="132">
        <f t="shared" si="5"/>
        <v>99</v>
      </c>
      <c r="AC150" s="79"/>
    </row>
    <row r="151" spans="1:29" ht="20.100000000000001" customHeight="1">
      <c r="A151" s="91">
        <v>45903</v>
      </c>
      <c r="B151" s="92" t="str">
        <v>Pernatozzi</v>
      </c>
      <c r="C151" s="92" t="str">
        <v>Lauren</v>
      </c>
      <c r="D151" s="92" t="str">
        <v>Peoria</v>
      </c>
      <c r="E151" s="92">
        <v>85383</v>
      </c>
      <c r="F151" s="137" t="str">
        <v xml:space="preserve">Data centers </v>
      </c>
      <c r="G151" s="93" t="str">
        <v>https://images.edocket.azcc.gov/docketpdf/E000046190.pdf</v>
      </c>
      <c r="H151" s="150" t="s">
        <v>766</v>
      </c>
      <c r="I151" s="114" t="str">
        <v>RTOUE47</v>
      </c>
      <c r="J151" s="94" t="str">
        <v>Yes</v>
      </c>
      <c r="K151" s="94" t="str">
        <v>No</v>
      </c>
      <c r="L151" s="137" t="str">
        <v>Yes</v>
      </c>
      <c r="M151" s="94" t="str">
        <v>No</v>
      </c>
      <c r="N151" s="134" t="str">
        <v>No</v>
      </c>
      <c r="O151" s="119" t="str">
        <v>Yes</v>
      </c>
      <c r="P151" s="92" t="str">
        <v>N</v>
      </c>
      <c r="Q151" s="91">
        <v>45968</v>
      </c>
      <c r="R151" s="140">
        <v>0</v>
      </c>
      <c r="S151" s="92">
        <v>0</v>
      </c>
      <c r="T151" s="92">
        <v>0</v>
      </c>
      <c r="U151" s="137">
        <v>0</v>
      </c>
      <c r="V151" s="126" t="str">
        <f t="shared" si="4"/>
        <v>✅ On Best Plan</v>
      </c>
      <c r="W151" s="130">
        <f>IFERROR(_xlfn.XLOOKUP(TEXT(H151,"0000000000"),'📞 Call Tracker'!A$2:A$2000,'📞 Call Tracker'!B$2:B$2000,""),"")</f>
        <v>0</v>
      </c>
      <c r="X151" s="96">
        <f>IFERROR(_xlfn.XLOOKUP(TEXT(H151,"0000000000"),'📞 Call Tracker'!A$2:A$2000,'📞 Call Tracker'!C$2:C$2000,""),"")</f>
        <v>0</v>
      </c>
      <c r="Y151" s="95">
        <f>IFERROR(_xlfn.XLOOKUP(TEXT(H151,"0000000000"),'📞 Call Tracker'!A$2:A$2000,'📞 Call Tracker'!D$2:D$2000,""),"")</f>
        <v>0</v>
      </c>
      <c r="Z151" s="95">
        <f>IFERROR(_xlfn.XLOOKUP(TEXT(H151,"0000000000"),'📞 Call Tracker'!A$2:A$2000,'📞 Call Tracker'!E$2:E$2000,""),"")</f>
        <v>0</v>
      </c>
      <c r="AA151" s="145">
        <f>IFERROR(_xlfn.XLOOKUP(TEXT(H151,"0000000000"),'📞 Call Tracker'!A$2:A$2000,'📞 Call Tracker'!F$2:F$2000,""),"")</f>
        <v>0</v>
      </c>
      <c r="AB151" s="132">
        <f t="shared" si="5"/>
        <v>99</v>
      </c>
      <c r="AC151" s="79"/>
    </row>
    <row r="152" spans="1:29" ht="20.100000000000001" customHeight="1">
      <c r="A152" s="91">
        <v>45903</v>
      </c>
      <c r="B152" s="92" t="str">
        <v>Hansen</v>
      </c>
      <c r="C152" s="92" t="str">
        <v>Jennifer</v>
      </c>
      <c r="D152" s="92" t="str">
        <v>El Mirage</v>
      </c>
      <c r="E152" s="92">
        <v>85335</v>
      </c>
      <c r="F152" s="137" t="str">
        <v>Form letter</v>
      </c>
      <c r="G152" s="93" t="str">
        <v>https://images.edocket.azcc.gov/docketpdf/E000046190.pdf</v>
      </c>
      <c r="H152" s="150" t="s">
        <v>770</v>
      </c>
      <c r="I152" s="114" t="str">
        <v>R3-47</v>
      </c>
      <c r="J152" s="94" t="str">
        <v>No</v>
      </c>
      <c r="K152" s="94" t="str">
        <v>No</v>
      </c>
      <c r="L152" s="137" t="str">
        <v>Yes</v>
      </c>
      <c r="M152" s="94" t="str">
        <v>No</v>
      </c>
      <c r="N152" s="134" t="str">
        <v>No</v>
      </c>
      <c r="O152" s="119" t="str">
        <v>Yes</v>
      </c>
      <c r="P152" s="92" t="str">
        <v>N</v>
      </c>
      <c r="Q152" s="91">
        <v>45968</v>
      </c>
      <c r="R152" s="140">
        <v>0</v>
      </c>
      <c r="S152" s="92">
        <v>0</v>
      </c>
      <c r="T152" s="92">
        <v>0</v>
      </c>
      <c r="U152" s="137">
        <v>0</v>
      </c>
      <c r="V152" s="126" t="str">
        <f t="shared" si="4"/>
        <v>✅ On Best Plan</v>
      </c>
      <c r="W152" s="130" t="str">
        <f>IFERROR(_xlfn.XLOOKUP(TEXT(H152,"0000000000"),'📞 Call Tracker'!A$2:A$2000,'📞 Call Tracker'!B$2:B$2000,""),"")</f>
        <v>Michelle</v>
      </c>
      <c r="X152" s="96">
        <f>IFERROR(_xlfn.XLOOKUP(TEXT(H152,"0000000000"),'📞 Call Tracker'!A$2:A$2000,'📞 Call Tracker'!C$2:C$2000,""),"")</f>
        <v>46074</v>
      </c>
      <c r="Y152" s="95" t="str">
        <f>IFERROR(_xlfn.XLOOKUP(TEXT(H152,"0000000000"),'📞 Call Tracker'!A$2:A$2000,'📞 Call Tracker'!D$2:D$2000,""),"")</f>
        <v>YES</v>
      </c>
      <c r="Z152" s="95">
        <f>IFERROR(_xlfn.XLOOKUP(TEXT(H152,"0000000000"),'📞 Call Tracker'!A$2:A$2000,'📞 Call Tracker'!E$2:E$2000,""),"")</f>
        <v>0</v>
      </c>
      <c r="AA152" s="145" t="str">
        <f>IFERROR(_xlfn.XLOOKUP(TEXT(H152,"0000000000"),'📞 Call Tracker'!A$2:A$2000,'📞 Call Tracker'!F$2:F$2000,""),"")</f>
        <v>SOLAR ACCT</v>
      </c>
      <c r="AB152" s="132">
        <f t="shared" si="5"/>
        <v>99</v>
      </c>
      <c r="AC152" s="79"/>
    </row>
    <row r="153" spans="1:29" ht="20.100000000000001" customHeight="1">
      <c r="A153" s="91">
        <v>45903</v>
      </c>
      <c r="B153" s="92" t="str">
        <v>Millwee</v>
      </c>
      <c r="C153" s="92" t="str">
        <v>Elizabeth</v>
      </c>
      <c r="D153" s="92" t="str">
        <v>Buckeye</v>
      </c>
      <c r="E153" s="92">
        <v>85326</v>
      </c>
      <c r="F153" s="137" t="str">
        <v>Form letter</v>
      </c>
      <c r="G153" s="93" t="str">
        <v>https://images.edocket.azcc.gov/docketpdf/E000046190.pdf</v>
      </c>
      <c r="H153" s="150" t="s">
        <v>772</v>
      </c>
      <c r="I153" s="114" t="str">
        <v>R3-47</v>
      </c>
      <c r="J153" s="94" t="str">
        <v>No</v>
      </c>
      <c r="K153" s="94" t="str">
        <v>No</v>
      </c>
      <c r="L153" s="137" t="str">
        <v>Yes</v>
      </c>
      <c r="M153" s="94" t="str">
        <v>No</v>
      </c>
      <c r="N153" s="134" t="str">
        <v>No</v>
      </c>
      <c r="O153" s="119" t="str">
        <v>Yes</v>
      </c>
      <c r="P153" s="92" t="str">
        <v>N</v>
      </c>
      <c r="Q153" s="91">
        <v>45968</v>
      </c>
      <c r="R153" s="140">
        <v>0</v>
      </c>
      <c r="S153" s="92">
        <v>0</v>
      </c>
      <c r="T153" s="92">
        <v>0</v>
      </c>
      <c r="U153" s="137">
        <v>0</v>
      </c>
      <c r="V153" s="126" t="str">
        <f t="shared" si="4"/>
        <v>✅ On Best Plan</v>
      </c>
      <c r="W153" s="130">
        <f>IFERROR(_xlfn.XLOOKUP(TEXT(H153,"0000000000"),'📞 Call Tracker'!A$2:A$2000,'📞 Call Tracker'!B$2:B$2000,""),"")</f>
        <v>0</v>
      </c>
      <c r="X153" s="96">
        <f>IFERROR(_xlfn.XLOOKUP(TEXT(H153,"0000000000"),'📞 Call Tracker'!A$2:A$2000,'📞 Call Tracker'!C$2:C$2000,""),"")</f>
        <v>0</v>
      </c>
      <c r="Y153" s="95">
        <f>IFERROR(_xlfn.XLOOKUP(TEXT(H153,"0000000000"),'📞 Call Tracker'!A$2:A$2000,'📞 Call Tracker'!D$2:D$2000,""),"")</f>
        <v>0</v>
      </c>
      <c r="Z153" s="95">
        <f>IFERROR(_xlfn.XLOOKUP(TEXT(H153,"0000000000"),'📞 Call Tracker'!A$2:A$2000,'📞 Call Tracker'!E$2:E$2000,""),"")</f>
        <v>0</v>
      </c>
      <c r="AA153" s="145">
        <f>IFERROR(_xlfn.XLOOKUP(TEXT(H153,"0000000000"),'📞 Call Tracker'!A$2:A$2000,'📞 Call Tracker'!F$2:F$2000,""),"")</f>
        <v>0</v>
      </c>
      <c r="AB153" s="132">
        <f t="shared" si="5"/>
        <v>99</v>
      </c>
      <c r="AC153" s="79"/>
    </row>
    <row r="154" spans="1:29" ht="20.100000000000001" customHeight="1">
      <c r="A154" s="91">
        <v>45903</v>
      </c>
      <c r="B154" s="92" t="str">
        <v>Salameh</v>
      </c>
      <c r="C154" s="92" t="str">
        <v>Samira</v>
      </c>
      <c r="D154" s="92" t="str">
        <v xml:space="preserve">Peoria </v>
      </c>
      <c r="E154" s="92">
        <v>85383</v>
      </c>
      <c r="F154" s="137" t="str">
        <v>Form letter</v>
      </c>
      <c r="G154" s="93" t="str">
        <v>https://images.edocket.azcc.gov/docketpdf/E000046190.pdf</v>
      </c>
      <c r="H154" s="150" t="s">
        <v>6544</v>
      </c>
      <c r="I154" s="114" t="str">
        <v>R3-47</v>
      </c>
      <c r="J154" s="94" t="str">
        <v>No</v>
      </c>
      <c r="K154" s="94" t="str">
        <v>No</v>
      </c>
      <c r="L154" s="137" t="str">
        <v>Yes</v>
      </c>
      <c r="M154" s="94" t="str">
        <v>No</v>
      </c>
      <c r="N154" s="134" t="str">
        <v>No</v>
      </c>
      <c r="O154" s="119" t="str">
        <v>Yes</v>
      </c>
      <c r="P154" s="92" t="str">
        <v>N</v>
      </c>
      <c r="Q154" s="91">
        <v>45968</v>
      </c>
      <c r="R154" s="140">
        <v>0</v>
      </c>
      <c r="S154" s="92">
        <v>0</v>
      </c>
      <c r="T154" s="92">
        <v>0</v>
      </c>
      <c r="U154" s="137">
        <v>0</v>
      </c>
      <c r="V154" s="126" t="str">
        <f t="shared" si="4"/>
        <v>✅ On Best Plan</v>
      </c>
      <c r="W154" s="130" t="str">
        <f>IFERROR(_xlfn.XLOOKUP(TEXT(H154,"0000000000"),'📞 Call Tracker'!A$2:A$2000,'📞 Call Tracker'!B$2:B$2000,""),"")</f>
        <v/>
      </c>
      <c r="X154" s="96" t="str">
        <f>IFERROR(_xlfn.XLOOKUP(TEXT(H154,"0000000000"),'📞 Call Tracker'!A$2:A$2000,'📞 Call Tracker'!C$2:C$2000,""),"")</f>
        <v/>
      </c>
      <c r="Y154" s="95" t="str">
        <f>IFERROR(_xlfn.XLOOKUP(TEXT(H154,"0000000000"),'📞 Call Tracker'!A$2:A$2000,'📞 Call Tracker'!D$2:D$2000,""),"")</f>
        <v/>
      </c>
      <c r="Z154" s="95" t="str">
        <f>IFERROR(_xlfn.XLOOKUP(TEXT(H154,"0000000000"),'📞 Call Tracker'!A$2:A$2000,'📞 Call Tracker'!E$2:E$2000,""),"")</f>
        <v/>
      </c>
      <c r="AA154" s="145" t="str">
        <f>IFERROR(_xlfn.XLOOKUP(TEXT(H154,"0000000000"),'📞 Call Tracker'!A$2:A$2000,'📞 Call Tracker'!F$2:F$2000,""),"")</f>
        <v/>
      </c>
      <c r="AB154" s="132">
        <f t="shared" si="5"/>
        <v>4</v>
      </c>
      <c r="AC154" s="79"/>
    </row>
    <row r="155" spans="1:29" ht="20.100000000000001" customHeight="1">
      <c r="A155" s="91">
        <v>45903</v>
      </c>
      <c r="B155" s="92" t="str">
        <v>Kotagiri</v>
      </c>
      <c r="C155" s="92" t="str">
        <v>Sanjay</v>
      </c>
      <c r="D155" s="92" t="str">
        <v>Phoenix</v>
      </c>
      <c r="E155" s="92">
        <v>85028</v>
      </c>
      <c r="F155" s="137" t="str">
        <v>Form letter</v>
      </c>
      <c r="G155" s="93" t="str">
        <v>https://images.edocket.azcc.gov/docketpdf/E000046190.pdf</v>
      </c>
      <c r="H155" s="150" t="s">
        <v>784</v>
      </c>
      <c r="I155" s="114" t="str">
        <v>R3-47</v>
      </c>
      <c r="J155" s="94" t="str">
        <v>No</v>
      </c>
      <c r="K155" s="94" t="str">
        <v>No</v>
      </c>
      <c r="L155" s="137" t="str">
        <v>Yes</v>
      </c>
      <c r="M155" s="94" t="str">
        <v>No</v>
      </c>
      <c r="N155" s="134" t="str">
        <v>No</v>
      </c>
      <c r="O155" s="119" t="str">
        <v>Yes</v>
      </c>
      <c r="P155" s="92" t="str">
        <v>N</v>
      </c>
      <c r="Q155" s="91">
        <v>45968</v>
      </c>
      <c r="R155" s="140">
        <v>0</v>
      </c>
      <c r="S155" s="92">
        <v>0</v>
      </c>
      <c r="T155" s="92">
        <v>0</v>
      </c>
      <c r="U155" s="137">
        <v>0</v>
      </c>
      <c r="V155" s="126" t="str">
        <f t="shared" si="4"/>
        <v>✅ On Best Plan</v>
      </c>
      <c r="W155" s="130">
        <f>IFERROR(_xlfn.XLOOKUP(TEXT(H155,"0000000000"),'📞 Call Tracker'!A$2:A$2000,'📞 Call Tracker'!B$2:B$2000,""),"")</f>
        <v>0</v>
      </c>
      <c r="X155" s="96">
        <f>IFERROR(_xlfn.XLOOKUP(TEXT(H155,"0000000000"),'📞 Call Tracker'!A$2:A$2000,'📞 Call Tracker'!C$2:C$2000,""),"")</f>
        <v>0</v>
      </c>
      <c r="Y155" s="95">
        <f>IFERROR(_xlfn.XLOOKUP(TEXT(H155,"0000000000"),'📞 Call Tracker'!A$2:A$2000,'📞 Call Tracker'!D$2:D$2000,""),"")</f>
        <v>0</v>
      </c>
      <c r="Z155" s="95">
        <f>IFERROR(_xlfn.XLOOKUP(TEXT(H155,"0000000000"),'📞 Call Tracker'!A$2:A$2000,'📞 Call Tracker'!E$2:E$2000,""),"")</f>
        <v>0</v>
      </c>
      <c r="AA155" s="145">
        <f>IFERROR(_xlfn.XLOOKUP(TEXT(H155,"0000000000"),'📞 Call Tracker'!A$2:A$2000,'📞 Call Tracker'!F$2:F$2000,""),"")</f>
        <v>0</v>
      </c>
      <c r="AB155" s="132">
        <f t="shared" si="5"/>
        <v>99</v>
      </c>
      <c r="AC155" s="79"/>
    </row>
    <row r="156" spans="1:29" ht="20.100000000000001" customHeight="1">
      <c r="A156" s="91">
        <v>45903</v>
      </c>
      <c r="B156" s="92" t="str">
        <v>Benchwick</v>
      </c>
      <c r="C156" s="92" t="str">
        <v>Paul</v>
      </c>
      <c r="D156" s="92" t="str">
        <v>Scottsdale</v>
      </c>
      <c r="E156" s="92">
        <v>85258</v>
      </c>
      <c r="F156" s="137" t="str">
        <v>Outrageous</v>
      </c>
      <c r="G156" s="93" t="str">
        <v>https://images.edocket.azcc.gov/docketpdf/E000046190.pdf</v>
      </c>
      <c r="H156" s="150" t="s">
        <v>6545</v>
      </c>
      <c r="I156" s="114" t="str">
        <v>R3-47</v>
      </c>
      <c r="J156" s="94" t="str">
        <v>No</v>
      </c>
      <c r="K156" s="94" t="str">
        <v>No</v>
      </c>
      <c r="L156" s="137" t="str">
        <v>Yes</v>
      </c>
      <c r="M156" s="94" t="str">
        <v>No</v>
      </c>
      <c r="N156" s="134" t="str">
        <v>No</v>
      </c>
      <c r="O156" s="119" t="str">
        <v>Yes</v>
      </c>
      <c r="P156" s="92" t="str">
        <v>N</v>
      </c>
      <c r="Q156" s="91">
        <v>45968</v>
      </c>
      <c r="R156" s="140">
        <v>0</v>
      </c>
      <c r="S156" s="92">
        <v>0</v>
      </c>
      <c r="T156" s="92">
        <v>0</v>
      </c>
      <c r="U156" s="137">
        <v>0</v>
      </c>
      <c r="V156" s="126" t="str">
        <f t="shared" si="4"/>
        <v>✅ On Best Plan</v>
      </c>
      <c r="W156" s="130" t="str">
        <f>IFERROR(_xlfn.XLOOKUP(TEXT(H156,"0000000000"),'📞 Call Tracker'!A$2:A$2000,'📞 Call Tracker'!B$2:B$2000,""),"")</f>
        <v/>
      </c>
      <c r="X156" s="96" t="str">
        <f>IFERROR(_xlfn.XLOOKUP(TEXT(H156,"0000000000"),'📞 Call Tracker'!A$2:A$2000,'📞 Call Tracker'!C$2:C$2000,""),"")</f>
        <v/>
      </c>
      <c r="Y156" s="95" t="str">
        <f>IFERROR(_xlfn.XLOOKUP(TEXT(H156,"0000000000"),'📞 Call Tracker'!A$2:A$2000,'📞 Call Tracker'!D$2:D$2000,""),"")</f>
        <v/>
      </c>
      <c r="Z156" s="95" t="str">
        <f>IFERROR(_xlfn.XLOOKUP(TEXT(H156,"0000000000"),'📞 Call Tracker'!A$2:A$2000,'📞 Call Tracker'!E$2:E$2000,""),"")</f>
        <v/>
      </c>
      <c r="AA156" s="145" t="str">
        <f>IFERROR(_xlfn.XLOOKUP(TEXT(H156,"0000000000"),'📞 Call Tracker'!A$2:A$2000,'📞 Call Tracker'!F$2:F$2000,""),"")</f>
        <v/>
      </c>
      <c r="AB156" s="132">
        <f t="shared" si="5"/>
        <v>4</v>
      </c>
      <c r="AC156" s="79"/>
    </row>
    <row r="157" spans="1:29" ht="20.100000000000001" customHeight="1">
      <c r="A157" s="91">
        <v>45903</v>
      </c>
      <c r="B157" s="92" t="str">
        <v>Amoroso</v>
      </c>
      <c r="C157" s="92" t="str">
        <v>Terri</v>
      </c>
      <c r="D157" s="92" t="str">
        <v>Phoenix</v>
      </c>
      <c r="E157" s="92">
        <v>85028</v>
      </c>
      <c r="F157" s="137" t="str">
        <v>Form letter</v>
      </c>
      <c r="G157" s="93" t="str">
        <v>https://images.edocket.azcc.gov/docketpdf/E000046190.pdf</v>
      </c>
      <c r="H157" s="150" t="s">
        <v>6180</v>
      </c>
      <c r="I157" s="114" t="str">
        <v>R-XS</v>
      </c>
      <c r="J157" s="94" t="str">
        <v>No</v>
      </c>
      <c r="K157" s="94" t="str">
        <v>No</v>
      </c>
      <c r="L157" s="137" t="str">
        <v>Yes</v>
      </c>
      <c r="M157" s="94" t="str">
        <v>No</v>
      </c>
      <c r="N157" s="134" t="str">
        <v>No</v>
      </c>
      <c r="O157" s="119" t="str">
        <v>Yes</v>
      </c>
      <c r="P157" s="92" t="str">
        <v>N</v>
      </c>
      <c r="Q157" s="91">
        <v>45968</v>
      </c>
      <c r="R157" s="140">
        <v>0</v>
      </c>
      <c r="S157" s="92">
        <v>0</v>
      </c>
      <c r="T157" s="92">
        <v>0</v>
      </c>
      <c r="U157" s="137">
        <v>0</v>
      </c>
      <c r="V157" s="126" t="str">
        <f t="shared" si="4"/>
        <v>✅ On Best Plan</v>
      </c>
      <c r="W157" s="130">
        <f>IFERROR(_xlfn.XLOOKUP(TEXT(H157,"0000000000"),'📞 Call Tracker'!A$2:A$2000,'📞 Call Tracker'!B$2:B$2000,""),"")</f>
        <v>0</v>
      </c>
      <c r="X157" s="96">
        <f>IFERROR(_xlfn.XLOOKUP(TEXT(H157,"0000000000"),'📞 Call Tracker'!A$2:A$2000,'📞 Call Tracker'!C$2:C$2000,""),"")</f>
        <v>0</v>
      </c>
      <c r="Y157" s="95">
        <f>IFERROR(_xlfn.XLOOKUP(TEXT(H157,"0000000000"),'📞 Call Tracker'!A$2:A$2000,'📞 Call Tracker'!D$2:D$2000,""),"")</f>
        <v>0</v>
      </c>
      <c r="Z157" s="95">
        <f>IFERROR(_xlfn.XLOOKUP(TEXT(H157,"0000000000"),'📞 Call Tracker'!A$2:A$2000,'📞 Call Tracker'!E$2:E$2000,""),"")</f>
        <v>0</v>
      </c>
      <c r="AA157" s="145">
        <f>IFERROR(_xlfn.XLOOKUP(TEXT(H157,"0000000000"),'📞 Call Tracker'!A$2:A$2000,'📞 Call Tracker'!F$2:F$2000,""),"")</f>
        <v>0</v>
      </c>
      <c r="AB157" s="132">
        <f t="shared" si="5"/>
        <v>99</v>
      </c>
      <c r="AC157" s="79"/>
    </row>
    <row r="158" spans="1:29" ht="20.100000000000001" customHeight="1">
      <c r="A158" s="91">
        <v>45903</v>
      </c>
      <c r="B158" s="92" t="str">
        <v>Berumen</v>
      </c>
      <c r="C158" s="92" t="str">
        <v>Justice</v>
      </c>
      <c r="D158" s="92" t="str">
        <v>Phoenix</v>
      </c>
      <c r="E158" s="92">
        <v>85085</v>
      </c>
      <c r="F158" s="137" t="str">
        <v xml:space="preserve">Outraged </v>
      </c>
      <c r="G158" s="93" t="str">
        <v>https://images.edocket.azcc.gov/docketpdf/E000046190.pdf</v>
      </c>
      <c r="H158" s="150" t="s">
        <v>6395</v>
      </c>
      <c r="I158" s="114" t="str">
        <v>RTOUE47</v>
      </c>
      <c r="J158" s="94" t="str">
        <v>No</v>
      </c>
      <c r="K158" s="94" t="str">
        <v>No</v>
      </c>
      <c r="L158" s="137" t="str">
        <v>Yes</v>
      </c>
      <c r="M158" s="94" t="str">
        <v>No</v>
      </c>
      <c r="N158" s="134" t="str">
        <v>No</v>
      </c>
      <c r="O158" s="119" t="str">
        <v>Yes</v>
      </c>
      <c r="P158" s="92" t="str">
        <v>N</v>
      </c>
      <c r="Q158" s="91">
        <v>45968</v>
      </c>
      <c r="R158" s="140">
        <v>0</v>
      </c>
      <c r="S158" s="92">
        <v>0</v>
      </c>
      <c r="T158" s="92">
        <v>0</v>
      </c>
      <c r="U158" s="137">
        <v>0</v>
      </c>
      <c r="V158" s="126" t="str">
        <f t="shared" si="4"/>
        <v>✅ On Best Plan</v>
      </c>
      <c r="W158" s="130" t="str">
        <f>IFERROR(_xlfn.XLOOKUP(TEXT(H158,"0000000000"),'📞 Call Tracker'!A$2:A$2000,'📞 Call Tracker'!B$2:B$2000,""),"")</f>
        <v>Michelle</v>
      </c>
      <c r="X158" s="96">
        <f>IFERROR(_xlfn.XLOOKUP(TEXT(H158,"0000000000"),'📞 Call Tracker'!A$2:A$2000,'📞 Call Tracker'!C$2:C$2000,""),"")</f>
        <v>46074</v>
      </c>
      <c r="Y158" s="95" t="str">
        <f>IFERROR(_xlfn.XLOOKUP(TEXT(H158,"0000000000"),'📞 Call Tracker'!A$2:A$2000,'📞 Call Tracker'!D$2:D$2000,""),"")</f>
        <v>YES</v>
      </c>
      <c r="Z158" s="95">
        <f>IFERROR(_xlfn.XLOOKUP(TEXT(H158,"0000000000"),'📞 Call Tracker'!A$2:A$2000,'📞 Call Tracker'!E$2:E$2000,""),"")</f>
        <v>0</v>
      </c>
      <c r="AA158" s="145">
        <f>IFERROR(_xlfn.XLOOKUP(TEXT(H158,"0000000000"),'📞 Call Tracker'!A$2:A$2000,'📞 Call Tracker'!F$2:F$2000,""),"")</f>
        <v>0</v>
      </c>
      <c r="AB158" s="132">
        <f t="shared" si="5"/>
        <v>99</v>
      </c>
      <c r="AC158" s="79"/>
    </row>
    <row r="159" spans="1:29" ht="20.100000000000001" customHeight="1">
      <c r="A159" s="91">
        <v>45903</v>
      </c>
      <c r="B159" s="92" t="str">
        <v>Wellen</v>
      </c>
      <c r="C159" s="92" t="str">
        <v>Bev</v>
      </c>
      <c r="D159" s="92" t="str">
        <v>Goodyear</v>
      </c>
      <c r="E159" s="92">
        <v>85338</v>
      </c>
      <c r="F159" s="137" t="str">
        <v>No more rate hikes</v>
      </c>
      <c r="G159" s="93" t="str">
        <v>https://images.edocket.azcc.gov/docketpdf/E000046190.pdf</v>
      </c>
      <c r="H159" s="150" t="s">
        <v>6546</v>
      </c>
      <c r="I159" s="114" t="str">
        <v>R-2</v>
      </c>
      <c r="J159" s="94" t="str">
        <v>No</v>
      </c>
      <c r="K159" s="94" t="str">
        <v>No</v>
      </c>
      <c r="L159" s="137" t="str">
        <v>Frozen Rate</v>
      </c>
      <c r="M159" s="94" t="str">
        <v>No</v>
      </c>
      <c r="N159" s="134" t="str">
        <v>No</v>
      </c>
      <c r="O159" s="119" t="str">
        <v>Yes</v>
      </c>
      <c r="P159" s="92" t="str">
        <v>N</v>
      </c>
      <c r="Q159" s="91">
        <v>45968</v>
      </c>
      <c r="R159" s="140">
        <v>0</v>
      </c>
      <c r="S159" s="92">
        <v>0</v>
      </c>
      <c r="T159" s="92">
        <v>0</v>
      </c>
      <c r="U159" s="137">
        <v>0</v>
      </c>
      <c r="V159" s="126" t="str">
        <f t="shared" si="4"/>
        <v>❄ Frozen Rate</v>
      </c>
      <c r="W159" s="130" t="str">
        <f>IFERROR(_xlfn.XLOOKUP(TEXT(H159,"0000000000"),'📞 Call Tracker'!A$2:A$2000,'📞 Call Tracker'!B$2:B$2000,""),"")</f>
        <v/>
      </c>
      <c r="X159" s="96" t="str">
        <f>IFERROR(_xlfn.XLOOKUP(TEXT(H159,"0000000000"),'📞 Call Tracker'!A$2:A$2000,'📞 Call Tracker'!C$2:C$2000,""),"")</f>
        <v/>
      </c>
      <c r="Y159" s="95" t="str">
        <f>IFERROR(_xlfn.XLOOKUP(TEXT(H159,"0000000000"),'📞 Call Tracker'!A$2:A$2000,'📞 Call Tracker'!D$2:D$2000,""),"")</f>
        <v/>
      </c>
      <c r="Z159" s="95" t="str">
        <f>IFERROR(_xlfn.XLOOKUP(TEXT(H159,"0000000000"),'📞 Call Tracker'!A$2:A$2000,'📞 Call Tracker'!E$2:E$2000,""),"")</f>
        <v/>
      </c>
      <c r="AA159" s="145" t="str">
        <f>IFERROR(_xlfn.XLOOKUP(TEXT(H159,"0000000000"),'📞 Call Tracker'!A$2:A$2000,'📞 Call Tracker'!F$2:F$2000,""),"")</f>
        <v/>
      </c>
      <c r="AB159" s="132">
        <f t="shared" si="5"/>
        <v>4</v>
      </c>
      <c r="AC159" s="79"/>
    </row>
    <row r="160" spans="1:29" ht="20.100000000000001" customHeight="1">
      <c r="A160" s="91">
        <v>45903</v>
      </c>
      <c r="B160" s="92" t="str">
        <v>Brutinel</v>
      </c>
      <c r="C160" s="92" t="str">
        <v>Shea</v>
      </c>
      <c r="D160" s="92" t="str">
        <v>Prescott</v>
      </c>
      <c r="E160" s="92">
        <v>86303</v>
      </c>
      <c r="F160" s="137" t="str">
        <v>Form letter</v>
      </c>
      <c r="G160" s="93" t="str">
        <v>https://images.edocket.azcc.gov/docketpdf/E000046190.pdf</v>
      </c>
      <c r="H160" s="150" t="s">
        <v>6547</v>
      </c>
      <c r="I160" s="114" t="str">
        <v>R-XS</v>
      </c>
      <c r="J160" s="94" t="str">
        <v>No</v>
      </c>
      <c r="K160" s="94" t="str">
        <v>No</v>
      </c>
      <c r="L160" s="137" t="str">
        <v>Yes</v>
      </c>
      <c r="M160" s="94" t="str">
        <v>No</v>
      </c>
      <c r="N160" s="134" t="str">
        <v>No</v>
      </c>
      <c r="O160" s="119" t="str">
        <v>Yes</v>
      </c>
      <c r="P160" s="92" t="str">
        <v>N</v>
      </c>
      <c r="Q160" s="91">
        <v>45968</v>
      </c>
      <c r="R160" s="140">
        <v>0</v>
      </c>
      <c r="S160" s="92">
        <v>0</v>
      </c>
      <c r="T160" s="92">
        <v>0</v>
      </c>
      <c r="U160" s="137">
        <v>0</v>
      </c>
      <c r="V160" s="126" t="str">
        <f t="shared" si="4"/>
        <v>✅ On Best Plan</v>
      </c>
      <c r="W160" s="130" t="str">
        <f>IFERROR(_xlfn.XLOOKUP(TEXT(H160,"0000000000"),'📞 Call Tracker'!A$2:A$2000,'📞 Call Tracker'!B$2:B$2000,""),"")</f>
        <v/>
      </c>
      <c r="X160" s="96" t="str">
        <f>IFERROR(_xlfn.XLOOKUP(TEXT(H160,"0000000000"),'📞 Call Tracker'!A$2:A$2000,'📞 Call Tracker'!C$2:C$2000,""),"")</f>
        <v/>
      </c>
      <c r="Y160" s="95" t="str">
        <f>IFERROR(_xlfn.XLOOKUP(TEXT(H160,"0000000000"),'📞 Call Tracker'!A$2:A$2000,'📞 Call Tracker'!D$2:D$2000,""),"")</f>
        <v/>
      </c>
      <c r="Z160" s="95" t="str">
        <f>IFERROR(_xlfn.XLOOKUP(TEXT(H160,"0000000000"),'📞 Call Tracker'!A$2:A$2000,'📞 Call Tracker'!E$2:E$2000,""),"")</f>
        <v/>
      </c>
      <c r="AA160" s="145" t="str">
        <f>IFERROR(_xlfn.XLOOKUP(TEXT(H160,"0000000000"),'📞 Call Tracker'!A$2:A$2000,'📞 Call Tracker'!F$2:F$2000,""),"")</f>
        <v/>
      </c>
      <c r="AB160" s="132">
        <f t="shared" si="5"/>
        <v>4</v>
      </c>
      <c r="AC160" s="79"/>
    </row>
    <row r="161" spans="1:29" ht="20.100000000000001" customHeight="1">
      <c r="A161" s="91">
        <v>45903</v>
      </c>
      <c r="B161" s="92" t="str">
        <v>Lipfert</v>
      </c>
      <c r="C161" s="92" t="str">
        <v>Christine</v>
      </c>
      <c r="D161" s="92" t="str">
        <v>Phoenix</v>
      </c>
      <c r="E161" s="92">
        <v>85028</v>
      </c>
      <c r="F161" s="137" t="str">
        <v>Form letter</v>
      </c>
      <c r="G161" s="93" t="str">
        <v>https://images.edocket.azcc.gov/docketpdf/E000046190.pdf</v>
      </c>
      <c r="H161" s="150" t="s">
        <v>6548</v>
      </c>
      <c r="I161" s="114" t="str">
        <v>R3-47</v>
      </c>
      <c r="J161" s="94" t="str">
        <v>No</v>
      </c>
      <c r="K161" s="94" t="str">
        <v>No</v>
      </c>
      <c r="L161" s="137" t="str">
        <v>Yes</v>
      </c>
      <c r="M161" s="94" t="str">
        <v>No</v>
      </c>
      <c r="N161" s="134" t="str">
        <v>No</v>
      </c>
      <c r="O161" s="119" t="str">
        <v>Yes</v>
      </c>
      <c r="P161" s="92" t="str">
        <v>N</v>
      </c>
      <c r="Q161" s="91">
        <v>45968</v>
      </c>
      <c r="R161" s="140">
        <v>0</v>
      </c>
      <c r="S161" s="92">
        <v>0</v>
      </c>
      <c r="T161" s="92">
        <v>0</v>
      </c>
      <c r="U161" s="137">
        <v>0</v>
      </c>
      <c r="V161" s="126" t="str">
        <f t="shared" si="4"/>
        <v>✅ On Best Plan</v>
      </c>
      <c r="W161" s="130" t="str">
        <f>IFERROR(_xlfn.XLOOKUP(TEXT(H161,"0000000000"),'📞 Call Tracker'!A$2:A$2000,'📞 Call Tracker'!B$2:B$2000,""),"")</f>
        <v/>
      </c>
      <c r="X161" s="96" t="str">
        <f>IFERROR(_xlfn.XLOOKUP(TEXT(H161,"0000000000"),'📞 Call Tracker'!A$2:A$2000,'📞 Call Tracker'!C$2:C$2000,""),"")</f>
        <v/>
      </c>
      <c r="Y161" s="95" t="str">
        <f>IFERROR(_xlfn.XLOOKUP(TEXT(H161,"0000000000"),'📞 Call Tracker'!A$2:A$2000,'📞 Call Tracker'!D$2:D$2000,""),"")</f>
        <v/>
      </c>
      <c r="Z161" s="95" t="str">
        <f>IFERROR(_xlfn.XLOOKUP(TEXT(H161,"0000000000"),'📞 Call Tracker'!A$2:A$2000,'📞 Call Tracker'!E$2:E$2000,""),"")</f>
        <v/>
      </c>
      <c r="AA161" s="145" t="str">
        <f>IFERROR(_xlfn.XLOOKUP(TEXT(H161,"0000000000"),'📞 Call Tracker'!A$2:A$2000,'📞 Call Tracker'!F$2:F$2000,""),"")</f>
        <v/>
      </c>
      <c r="AB161" s="132">
        <f t="shared" si="5"/>
        <v>4</v>
      </c>
      <c r="AC161" s="79"/>
    </row>
    <row r="162" spans="1:29" ht="20.100000000000001" customHeight="1">
      <c r="A162" s="91">
        <v>45903</v>
      </c>
      <c r="B162" s="92" t="str">
        <v>Hozian</v>
      </c>
      <c r="C162" s="92" t="str">
        <v>Cathy</v>
      </c>
      <c r="D162" s="92" t="str">
        <v>Goodyear</v>
      </c>
      <c r="E162" s="92">
        <v>85338</v>
      </c>
      <c r="F162" s="137" t="str">
        <v>APS is greedy and evil</v>
      </c>
      <c r="G162" s="93" t="str">
        <v>https://images.edocket.azcc.gov/docketpdf/E000046190.pdf</v>
      </c>
      <c r="H162" s="150" t="s">
        <v>6549</v>
      </c>
      <c r="I162" s="114" t="str">
        <v>R3-47</v>
      </c>
      <c r="J162" s="94" t="str">
        <v>No</v>
      </c>
      <c r="K162" s="94" t="str">
        <v>No</v>
      </c>
      <c r="L162" s="137" t="str">
        <v>Yes</v>
      </c>
      <c r="M162" s="94" t="str">
        <v>No</v>
      </c>
      <c r="N162" s="134" t="str">
        <v>No</v>
      </c>
      <c r="O162" s="119" t="str">
        <v>Yes</v>
      </c>
      <c r="P162" s="92" t="str">
        <v>N</v>
      </c>
      <c r="Q162" s="91">
        <v>45968</v>
      </c>
      <c r="R162" s="140">
        <v>0</v>
      </c>
      <c r="S162" s="92">
        <v>0</v>
      </c>
      <c r="T162" s="92">
        <v>0</v>
      </c>
      <c r="U162" s="137">
        <v>0</v>
      </c>
      <c r="V162" s="126" t="str">
        <f t="shared" si="4"/>
        <v>✅ On Best Plan</v>
      </c>
      <c r="W162" s="130" t="str">
        <f>IFERROR(_xlfn.XLOOKUP(TEXT(H162,"0000000000"),'📞 Call Tracker'!A$2:A$2000,'📞 Call Tracker'!B$2:B$2000,""),"")</f>
        <v/>
      </c>
      <c r="X162" s="96" t="str">
        <f>IFERROR(_xlfn.XLOOKUP(TEXT(H162,"0000000000"),'📞 Call Tracker'!A$2:A$2000,'📞 Call Tracker'!C$2:C$2000,""),"")</f>
        <v/>
      </c>
      <c r="Y162" s="95" t="str">
        <f>IFERROR(_xlfn.XLOOKUP(TEXT(H162,"0000000000"),'📞 Call Tracker'!A$2:A$2000,'📞 Call Tracker'!D$2:D$2000,""),"")</f>
        <v/>
      </c>
      <c r="Z162" s="95" t="str">
        <f>IFERROR(_xlfn.XLOOKUP(TEXT(H162,"0000000000"),'📞 Call Tracker'!A$2:A$2000,'📞 Call Tracker'!E$2:E$2000,""),"")</f>
        <v/>
      </c>
      <c r="AA162" s="145" t="str">
        <f>IFERROR(_xlfn.XLOOKUP(TEXT(H162,"0000000000"),'📞 Call Tracker'!A$2:A$2000,'📞 Call Tracker'!F$2:F$2000,""),"")</f>
        <v/>
      </c>
      <c r="AB162" s="132">
        <f t="shared" si="5"/>
        <v>4</v>
      </c>
      <c r="AC162" s="79"/>
    </row>
    <row r="163" spans="1:29" ht="20.100000000000001" customHeight="1">
      <c r="A163" s="91">
        <v>45903</v>
      </c>
      <c r="B163" s="92" t="str">
        <v>Hendrickson</v>
      </c>
      <c r="C163" s="92" t="str">
        <v>Ria</v>
      </c>
      <c r="D163" s="92" t="str">
        <v>Phoenix</v>
      </c>
      <c r="E163" s="92">
        <v>85013</v>
      </c>
      <c r="F163" s="137" t="str">
        <v>Form letter</v>
      </c>
      <c r="G163" s="93" t="str">
        <v>https://images.edocket.azcc.gov/docketpdf/E000046190.pdf</v>
      </c>
      <c r="H163" s="150" t="s">
        <v>6181</v>
      </c>
      <c r="I163" s="114" t="str">
        <v>R-XS</v>
      </c>
      <c r="J163" s="94" t="str">
        <v>No</v>
      </c>
      <c r="K163" s="94" t="str">
        <v>No</v>
      </c>
      <c r="L163" s="137" t="str">
        <v>Yes</v>
      </c>
      <c r="M163" s="94" t="str">
        <v>No</v>
      </c>
      <c r="N163" s="134" t="str">
        <v>No</v>
      </c>
      <c r="O163" s="119" t="str">
        <v>Yes</v>
      </c>
      <c r="P163" s="92" t="str">
        <v>N</v>
      </c>
      <c r="Q163" s="91">
        <v>45968</v>
      </c>
      <c r="R163" s="140">
        <v>0</v>
      </c>
      <c r="S163" s="92">
        <v>0</v>
      </c>
      <c r="T163" s="92">
        <v>0</v>
      </c>
      <c r="U163" s="137">
        <v>0</v>
      </c>
      <c r="V163" s="126" t="str">
        <f t="shared" si="4"/>
        <v>✅ On Best Plan</v>
      </c>
      <c r="W163" s="130">
        <f>IFERROR(_xlfn.XLOOKUP(TEXT(H163,"0000000000"),'📞 Call Tracker'!A$2:A$2000,'📞 Call Tracker'!B$2:B$2000,""),"")</f>
        <v>0</v>
      </c>
      <c r="X163" s="96">
        <f>IFERROR(_xlfn.XLOOKUP(TEXT(H163,"0000000000"),'📞 Call Tracker'!A$2:A$2000,'📞 Call Tracker'!C$2:C$2000,""),"")</f>
        <v>0</v>
      </c>
      <c r="Y163" s="95">
        <f>IFERROR(_xlfn.XLOOKUP(TEXT(H163,"0000000000"),'📞 Call Tracker'!A$2:A$2000,'📞 Call Tracker'!D$2:D$2000,""),"")</f>
        <v>0</v>
      </c>
      <c r="Z163" s="95">
        <f>IFERROR(_xlfn.XLOOKUP(TEXT(H163,"0000000000"),'📞 Call Tracker'!A$2:A$2000,'📞 Call Tracker'!E$2:E$2000,""),"")</f>
        <v>0</v>
      </c>
      <c r="AA163" s="145">
        <f>IFERROR(_xlfn.XLOOKUP(TEXT(H163,"0000000000"),'📞 Call Tracker'!A$2:A$2000,'📞 Call Tracker'!F$2:F$2000,""),"")</f>
        <v>0</v>
      </c>
      <c r="AB163" s="132">
        <f t="shared" si="5"/>
        <v>99</v>
      </c>
      <c r="AC163" s="79"/>
    </row>
    <row r="164" spans="1:29" ht="20.100000000000001" customHeight="1">
      <c r="A164" s="91">
        <v>45903</v>
      </c>
      <c r="B164" s="92" t="str">
        <v>Romanek</v>
      </c>
      <c r="C164" s="92" t="str">
        <v>Sarah</v>
      </c>
      <c r="D164" s="92" t="str">
        <v>Phoenix</v>
      </c>
      <c r="E164" s="92">
        <v>85083</v>
      </c>
      <c r="F164" s="137" t="str">
        <v>Form letter</v>
      </c>
      <c r="G164" s="93" t="str">
        <v>https://images.edocket.azcc.gov/docketpdf/E000046190.pdf</v>
      </c>
      <c r="H164" s="150" t="s">
        <v>6182</v>
      </c>
      <c r="I164" s="114" t="str">
        <v>R3-47</v>
      </c>
      <c r="J164" s="94" t="str">
        <v>No</v>
      </c>
      <c r="K164" s="94" t="str">
        <v>No</v>
      </c>
      <c r="L164" s="137" t="str">
        <v>No MEP RTOUE ($45.35)</v>
      </c>
      <c r="M164" s="94" t="str">
        <v>No</v>
      </c>
      <c r="N164" s="134" t="str">
        <v>No</v>
      </c>
      <c r="O164" s="119" t="str">
        <v>Yes</v>
      </c>
      <c r="P164" s="92" t="str">
        <v>N</v>
      </c>
      <c r="Q164" s="91">
        <v>45968</v>
      </c>
      <c r="R164" s="140">
        <v>0</v>
      </c>
      <c r="S164" s="92">
        <v>0</v>
      </c>
      <c r="T164" s="92">
        <v>0</v>
      </c>
      <c r="U164" s="137">
        <v>0</v>
      </c>
      <c r="V164" s="126" t="str">
        <f t="shared" si="4"/>
        <v>❌ Not on Best Plan</v>
      </c>
      <c r="W164" s="130" t="str">
        <f>IFERROR(_xlfn.XLOOKUP(TEXT(H164,"0000000000"),'📞 Call Tracker'!A$2:A$2000,'📞 Call Tracker'!B$2:B$2000,""),"")</f>
        <v>Michelle</v>
      </c>
      <c r="X164" s="96">
        <f>IFERROR(_xlfn.XLOOKUP(TEXT(H164,"0000000000"),'📞 Call Tracker'!A$2:A$2000,'📞 Call Tracker'!C$2:C$2000,""),"")</f>
        <v>46074</v>
      </c>
      <c r="Y164" s="95" t="str">
        <f>IFERROR(_xlfn.XLOOKUP(TEXT(H164,"0000000000"),'📞 Call Tracker'!A$2:A$2000,'📞 Call Tracker'!D$2:D$2000,""),"")</f>
        <v>YES</v>
      </c>
      <c r="Z164" s="95">
        <f>IFERROR(_xlfn.XLOOKUP(TEXT(H164,"0000000000"),'📞 Call Tracker'!A$2:A$2000,'📞 Call Tracker'!E$2:E$2000,""),"")</f>
        <v>0</v>
      </c>
      <c r="AA164" s="145">
        <f>IFERROR(_xlfn.XLOOKUP(TEXT(H164,"0000000000"),'📞 Call Tracker'!A$2:A$2000,'📞 Call Tracker'!F$2:F$2000,""),"")</f>
        <v>0</v>
      </c>
      <c r="AB164" s="132">
        <f t="shared" si="5"/>
        <v>99</v>
      </c>
      <c r="AC164" s="79"/>
    </row>
    <row r="165" spans="1:29" ht="20.100000000000001" customHeight="1">
      <c r="A165" s="91">
        <v>45903</v>
      </c>
      <c r="B165" s="92" t="str">
        <v>Selvaraj</v>
      </c>
      <c r="C165" s="92" t="str">
        <v xml:space="preserve">Sara </v>
      </c>
      <c r="D165" s="92" t="str">
        <v>Phoenix</v>
      </c>
      <c r="E165" s="92">
        <v>85013</v>
      </c>
      <c r="F165" s="137" t="str">
        <v>Form letter</v>
      </c>
      <c r="G165" s="93" t="str">
        <v>https://images.edocket.azcc.gov/docketpdf/E000046190.pdf</v>
      </c>
      <c r="H165" s="150" t="s">
        <v>6550</v>
      </c>
      <c r="I165" s="114" t="str">
        <v>R-XS</v>
      </c>
      <c r="J165" s="94" t="str">
        <v>No</v>
      </c>
      <c r="K165" s="94" t="str">
        <v>No</v>
      </c>
      <c r="L165" s="137" t="str">
        <v>Yes</v>
      </c>
      <c r="M165" s="94" t="str">
        <v>No</v>
      </c>
      <c r="N165" s="134" t="str">
        <v>No</v>
      </c>
      <c r="O165" s="119" t="str">
        <v>Yes</v>
      </c>
      <c r="P165" s="92" t="str">
        <v>N</v>
      </c>
      <c r="Q165" s="91">
        <v>45968</v>
      </c>
      <c r="R165" s="140">
        <v>0</v>
      </c>
      <c r="S165" s="92">
        <v>0</v>
      </c>
      <c r="T165" s="92">
        <v>0</v>
      </c>
      <c r="U165" s="137">
        <v>0</v>
      </c>
      <c r="V165" s="126" t="str">
        <f t="shared" si="4"/>
        <v>✅ On Best Plan</v>
      </c>
      <c r="W165" s="130" t="str">
        <f>IFERROR(_xlfn.XLOOKUP(TEXT(H165,"0000000000"),'📞 Call Tracker'!A$2:A$2000,'📞 Call Tracker'!B$2:B$2000,""),"")</f>
        <v/>
      </c>
      <c r="X165" s="96" t="str">
        <f>IFERROR(_xlfn.XLOOKUP(TEXT(H165,"0000000000"),'📞 Call Tracker'!A$2:A$2000,'📞 Call Tracker'!C$2:C$2000,""),"")</f>
        <v/>
      </c>
      <c r="Y165" s="95" t="str">
        <f>IFERROR(_xlfn.XLOOKUP(TEXT(H165,"0000000000"),'📞 Call Tracker'!A$2:A$2000,'📞 Call Tracker'!D$2:D$2000,""),"")</f>
        <v/>
      </c>
      <c r="Z165" s="95" t="str">
        <f>IFERROR(_xlfn.XLOOKUP(TEXT(H165,"0000000000"),'📞 Call Tracker'!A$2:A$2000,'📞 Call Tracker'!E$2:E$2000,""),"")</f>
        <v/>
      </c>
      <c r="AA165" s="145" t="str">
        <f>IFERROR(_xlfn.XLOOKUP(TEXT(H165,"0000000000"),'📞 Call Tracker'!A$2:A$2000,'📞 Call Tracker'!F$2:F$2000,""),"")</f>
        <v/>
      </c>
      <c r="AB165" s="132">
        <f t="shared" si="5"/>
        <v>4</v>
      </c>
      <c r="AC165" s="79"/>
    </row>
    <row r="166" spans="1:29" ht="20.100000000000001" customHeight="1">
      <c r="A166" s="91">
        <v>45903</v>
      </c>
      <c r="B166" s="92" t="str">
        <v>LaFevre</v>
      </c>
      <c r="C166" s="92" t="str">
        <v>Ryan</v>
      </c>
      <c r="D166" s="92" t="str">
        <v>Phoenix</v>
      </c>
      <c r="E166" s="92">
        <v>85024</v>
      </c>
      <c r="F166" s="137" t="str">
        <v>Form letter</v>
      </c>
      <c r="G166" s="93" t="str">
        <v>https://images.edocket.azcc.gov/docketpdf/E000046190.pdf</v>
      </c>
      <c r="H166" s="150" t="s">
        <v>6551</v>
      </c>
      <c r="I166" s="114" t="str">
        <v>EPR-6w/ET-2</v>
      </c>
      <c r="J166" s="94" t="str">
        <v>No</v>
      </c>
      <c r="K166" s="94" t="str">
        <v>No</v>
      </c>
      <c r="L166" s="137" t="str">
        <v>Frozen Rate</v>
      </c>
      <c r="M166" s="94" t="str">
        <v>No</v>
      </c>
      <c r="N166" s="134" t="str">
        <v>No</v>
      </c>
      <c r="O166" s="119" t="str">
        <v>Yes</v>
      </c>
      <c r="P166" s="92" t="str">
        <v>N</v>
      </c>
      <c r="Q166" s="91">
        <v>45968</v>
      </c>
      <c r="R166" s="140">
        <v>0</v>
      </c>
      <c r="S166" s="92">
        <v>0</v>
      </c>
      <c r="T166" s="92">
        <v>0</v>
      </c>
      <c r="U166" s="137">
        <v>0</v>
      </c>
      <c r="V166" s="126" t="str">
        <f t="shared" si="4"/>
        <v>❄ Frozen Rate</v>
      </c>
      <c r="W166" s="130" t="str">
        <f>IFERROR(_xlfn.XLOOKUP(TEXT(H166,"0000000000"),'📞 Call Tracker'!A$2:A$2000,'📞 Call Tracker'!B$2:B$2000,""),"")</f>
        <v/>
      </c>
      <c r="X166" s="96" t="str">
        <f>IFERROR(_xlfn.XLOOKUP(TEXT(H166,"0000000000"),'📞 Call Tracker'!A$2:A$2000,'📞 Call Tracker'!C$2:C$2000,""),"")</f>
        <v/>
      </c>
      <c r="Y166" s="95" t="str">
        <f>IFERROR(_xlfn.XLOOKUP(TEXT(H166,"0000000000"),'📞 Call Tracker'!A$2:A$2000,'📞 Call Tracker'!D$2:D$2000,""),"")</f>
        <v/>
      </c>
      <c r="Z166" s="95" t="str">
        <f>IFERROR(_xlfn.XLOOKUP(TEXT(H166,"0000000000"),'📞 Call Tracker'!A$2:A$2000,'📞 Call Tracker'!E$2:E$2000,""),"")</f>
        <v/>
      </c>
      <c r="AA166" s="145" t="str">
        <f>IFERROR(_xlfn.XLOOKUP(TEXT(H166,"0000000000"),'📞 Call Tracker'!A$2:A$2000,'📞 Call Tracker'!F$2:F$2000,""),"")</f>
        <v/>
      </c>
      <c r="AB166" s="132">
        <f t="shared" si="5"/>
        <v>4</v>
      </c>
      <c r="AC166" s="79"/>
    </row>
    <row r="167" spans="1:29" ht="20.100000000000001" customHeight="1">
      <c r="A167" s="91">
        <v>45903</v>
      </c>
      <c r="B167" s="92" t="str">
        <v>Patel</v>
      </c>
      <c r="C167" s="92" t="str">
        <v>Kevin</v>
      </c>
      <c r="D167" s="92" t="str">
        <v>Glendale</v>
      </c>
      <c r="E167" s="92">
        <v>85308</v>
      </c>
      <c r="F167" s="137" t="str">
        <v>Form letter</v>
      </c>
      <c r="G167" s="93" t="str">
        <v>https://images.edocket.azcc.gov/docketpdf/E000046190.pdf</v>
      </c>
      <c r="H167" s="150" t="s">
        <v>6552</v>
      </c>
      <c r="I167" s="114" t="str">
        <v>RTOUE47</v>
      </c>
      <c r="J167" s="94" t="str">
        <v>No</v>
      </c>
      <c r="K167" s="94" t="str">
        <v>No</v>
      </c>
      <c r="L167" s="137" t="str">
        <v>No MEP R3-47($402.81)</v>
      </c>
      <c r="M167" s="94" t="str">
        <v>No</v>
      </c>
      <c r="N167" s="134" t="str">
        <v>No</v>
      </c>
      <c r="O167" s="119" t="str">
        <v>Yes</v>
      </c>
      <c r="P167" s="92">
        <v>45933</v>
      </c>
      <c r="Q167" s="91">
        <v>45968</v>
      </c>
      <c r="R167" s="140" t="str">
        <v>Left VM 10/03/2025</v>
      </c>
      <c r="S167" s="92">
        <v>0</v>
      </c>
      <c r="T167" s="92">
        <v>0</v>
      </c>
      <c r="U167" s="137">
        <v>0</v>
      </c>
      <c r="V167" s="126" t="str">
        <f t="shared" si="4"/>
        <v>❌ Not on Best Plan</v>
      </c>
      <c r="W167" s="130" t="str">
        <f>IFERROR(_xlfn.XLOOKUP(TEXT(H167,"0000000000"),'📞 Call Tracker'!A$2:A$2000,'📞 Call Tracker'!B$2:B$2000,""),"")</f>
        <v/>
      </c>
      <c r="X167" s="96" t="str">
        <f>IFERROR(_xlfn.XLOOKUP(TEXT(H167,"0000000000"),'📞 Call Tracker'!A$2:A$2000,'📞 Call Tracker'!C$2:C$2000,""),"")</f>
        <v/>
      </c>
      <c r="Y167" s="95" t="str">
        <f>IFERROR(_xlfn.XLOOKUP(TEXT(H167,"0000000000"),'📞 Call Tracker'!A$2:A$2000,'📞 Call Tracker'!D$2:D$2000,""),"")</f>
        <v/>
      </c>
      <c r="Z167" s="95" t="str">
        <f>IFERROR(_xlfn.XLOOKUP(TEXT(H167,"0000000000"),'📞 Call Tracker'!A$2:A$2000,'📞 Call Tracker'!E$2:E$2000,""),"")</f>
        <v/>
      </c>
      <c r="AA167" s="145" t="str">
        <f>IFERROR(_xlfn.XLOOKUP(TEXT(H167,"0000000000"),'📞 Call Tracker'!A$2:A$2000,'📞 Call Tracker'!F$2:F$2000,""),"")</f>
        <v/>
      </c>
      <c r="AB167" s="132">
        <f t="shared" si="5"/>
        <v>2</v>
      </c>
      <c r="AC167" s="79"/>
    </row>
    <row r="168" spans="1:29" ht="20.100000000000001" customHeight="1">
      <c r="A168" s="91">
        <v>45903</v>
      </c>
      <c r="B168" s="92" t="str">
        <v>Johnston</v>
      </c>
      <c r="C168" s="92" t="str">
        <v>Kendra</v>
      </c>
      <c r="D168" s="92" t="str">
        <v>Phoenix</v>
      </c>
      <c r="E168" s="92">
        <v>85050</v>
      </c>
      <c r="F168" s="137" t="str">
        <v>Opposed</v>
      </c>
      <c r="G168" s="93" t="str">
        <v>https://images.edocket.azcc.gov/docketpdf/E000046190.pdf</v>
      </c>
      <c r="H168" s="150" t="s">
        <v>6553</v>
      </c>
      <c r="I168" s="114" t="str">
        <v>R-XS</v>
      </c>
      <c r="J168" s="94" t="str">
        <v>No</v>
      </c>
      <c r="K168" s="94" t="str">
        <v>No</v>
      </c>
      <c r="L168" s="137" t="str">
        <v>Yes</v>
      </c>
      <c r="M168" s="94" t="str">
        <v>No</v>
      </c>
      <c r="N168" s="134" t="str">
        <v>No</v>
      </c>
      <c r="O168" s="119" t="str">
        <v>Yes</v>
      </c>
      <c r="P168" s="92" t="str">
        <v>N</v>
      </c>
      <c r="Q168" s="91">
        <v>45968</v>
      </c>
      <c r="R168" s="140">
        <v>0</v>
      </c>
      <c r="S168" s="92">
        <v>0</v>
      </c>
      <c r="T168" s="92">
        <v>0</v>
      </c>
      <c r="U168" s="137">
        <v>0</v>
      </c>
      <c r="V168" s="126" t="str">
        <f t="shared" si="4"/>
        <v>✅ On Best Plan</v>
      </c>
      <c r="W168" s="130" t="str">
        <f>IFERROR(_xlfn.XLOOKUP(TEXT(H168,"0000000000"),'📞 Call Tracker'!A$2:A$2000,'📞 Call Tracker'!B$2:B$2000,""),"")</f>
        <v/>
      </c>
      <c r="X168" s="96" t="str">
        <f>IFERROR(_xlfn.XLOOKUP(TEXT(H168,"0000000000"),'📞 Call Tracker'!A$2:A$2000,'📞 Call Tracker'!C$2:C$2000,""),"")</f>
        <v/>
      </c>
      <c r="Y168" s="95" t="str">
        <f>IFERROR(_xlfn.XLOOKUP(TEXT(H168,"0000000000"),'📞 Call Tracker'!A$2:A$2000,'📞 Call Tracker'!D$2:D$2000,""),"")</f>
        <v/>
      </c>
      <c r="Z168" s="95" t="str">
        <f>IFERROR(_xlfn.XLOOKUP(TEXT(H168,"0000000000"),'📞 Call Tracker'!A$2:A$2000,'📞 Call Tracker'!E$2:E$2000,""),"")</f>
        <v/>
      </c>
      <c r="AA168" s="145" t="str">
        <f>IFERROR(_xlfn.XLOOKUP(TEXT(H168,"0000000000"),'📞 Call Tracker'!A$2:A$2000,'📞 Call Tracker'!F$2:F$2000,""),"")</f>
        <v/>
      </c>
      <c r="AB168" s="132">
        <f t="shared" si="5"/>
        <v>4</v>
      </c>
      <c r="AC168" s="79"/>
    </row>
    <row r="169" spans="1:29" ht="20.100000000000001" customHeight="1">
      <c r="A169" s="91">
        <v>45903</v>
      </c>
      <c r="B169" s="92" t="str">
        <v>Lee</v>
      </c>
      <c r="C169" s="92" t="str">
        <v>Antonio</v>
      </c>
      <c r="D169" s="92" t="str">
        <v>Phoenix</v>
      </c>
      <c r="E169" s="92">
        <v>85029</v>
      </c>
      <c r="F169" s="137" t="str">
        <v>Opposed</v>
      </c>
      <c r="G169" s="93" t="str">
        <v>https://images.edocket.azcc.gov/docketpdf/E000046190.pdf</v>
      </c>
      <c r="H169" s="150" t="s">
        <v>6554</v>
      </c>
      <c r="I169" s="114" t="str">
        <v>R3-47</v>
      </c>
      <c r="J169" s="94" t="str">
        <v>No</v>
      </c>
      <c r="K169" s="94" t="str">
        <v>No</v>
      </c>
      <c r="L169" s="137" t="str">
        <v>Yes</v>
      </c>
      <c r="M169" s="94" t="str">
        <v>No</v>
      </c>
      <c r="N169" s="134" t="str">
        <v>No</v>
      </c>
      <c r="O169" s="119" t="str">
        <v>Yes</v>
      </c>
      <c r="P169" s="92" t="str">
        <v>N</v>
      </c>
      <c r="Q169" s="91">
        <v>45968</v>
      </c>
      <c r="R169" s="140">
        <v>0</v>
      </c>
      <c r="S169" s="92">
        <v>0</v>
      </c>
      <c r="T169" s="92">
        <v>0</v>
      </c>
      <c r="U169" s="137">
        <v>0</v>
      </c>
      <c r="V169" s="126" t="str">
        <f t="shared" si="4"/>
        <v>✅ On Best Plan</v>
      </c>
      <c r="W169" s="130" t="str">
        <f>IFERROR(_xlfn.XLOOKUP(TEXT(H169,"0000000000"),'📞 Call Tracker'!A$2:A$2000,'📞 Call Tracker'!B$2:B$2000,""),"")</f>
        <v/>
      </c>
      <c r="X169" s="96" t="str">
        <f>IFERROR(_xlfn.XLOOKUP(TEXT(H169,"0000000000"),'📞 Call Tracker'!A$2:A$2000,'📞 Call Tracker'!C$2:C$2000,""),"")</f>
        <v/>
      </c>
      <c r="Y169" s="95" t="str">
        <f>IFERROR(_xlfn.XLOOKUP(TEXT(H169,"0000000000"),'📞 Call Tracker'!A$2:A$2000,'📞 Call Tracker'!D$2:D$2000,""),"")</f>
        <v/>
      </c>
      <c r="Z169" s="95" t="str">
        <f>IFERROR(_xlfn.XLOOKUP(TEXT(H169,"0000000000"),'📞 Call Tracker'!A$2:A$2000,'📞 Call Tracker'!E$2:E$2000,""),"")</f>
        <v/>
      </c>
      <c r="AA169" s="145" t="str">
        <f>IFERROR(_xlfn.XLOOKUP(TEXT(H169,"0000000000"),'📞 Call Tracker'!A$2:A$2000,'📞 Call Tracker'!F$2:F$2000,""),"")</f>
        <v/>
      </c>
      <c r="AB169" s="132">
        <f t="shared" si="5"/>
        <v>4</v>
      </c>
      <c r="AC169" s="79"/>
    </row>
    <row r="170" spans="1:29" ht="20.100000000000001" customHeight="1">
      <c r="A170" s="91">
        <v>45903</v>
      </c>
      <c r="B170" s="92" t="str">
        <v>Gross</v>
      </c>
      <c r="C170" s="92" t="str">
        <v>Cindy</v>
      </c>
      <c r="D170" s="92" t="str">
        <v>Phoenix</v>
      </c>
      <c r="E170" s="92">
        <v>85028</v>
      </c>
      <c r="F170" s="137" t="str">
        <v>Opposed</v>
      </c>
      <c r="G170" s="93" t="str">
        <v>https://images.edocket.azcc.gov/docketpdf/E000046190.pdf</v>
      </c>
      <c r="H170" s="150" t="s">
        <v>6555</v>
      </c>
      <c r="I170" s="114" t="str">
        <v>R3-47</v>
      </c>
      <c r="J170" s="94" t="str">
        <v>Yes</v>
      </c>
      <c r="K170" s="94" t="str">
        <v>No</v>
      </c>
      <c r="L170" s="137" t="str">
        <v>Yes</v>
      </c>
      <c r="M170" s="94" t="str">
        <v>No</v>
      </c>
      <c r="N170" s="134" t="str">
        <v>No</v>
      </c>
      <c r="O170" s="119" t="str">
        <v>Yes</v>
      </c>
      <c r="P170" s="92" t="str">
        <v>N</v>
      </c>
      <c r="Q170" s="91">
        <v>45968</v>
      </c>
      <c r="R170" s="140">
        <v>0</v>
      </c>
      <c r="S170" s="92">
        <v>0</v>
      </c>
      <c r="T170" s="92">
        <v>0</v>
      </c>
      <c r="U170" s="137">
        <v>0</v>
      </c>
      <c r="V170" s="126" t="str">
        <f t="shared" si="4"/>
        <v>✅ On Best Plan</v>
      </c>
      <c r="W170" s="130" t="str">
        <f>IFERROR(_xlfn.XLOOKUP(TEXT(H170,"0000000000"),'📞 Call Tracker'!A$2:A$2000,'📞 Call Tracker'!B$2:B$2000,""),"")</f>
        <v/>
      </c>
      <c r="X170" s="96" t="str">
        <f>IFERROR(_xlfn.XLOOKUP(TEXT(H170,"0000000000"),'📞 Call Tracker'!A$2:A$2000,'📞 Call Tracker'!C$2:C$2000,""),"")</f>
        <v/>
      </c>
      <c r="Y170" s="95" t="str">
        <f>IFERROR(_xlfn.XLOOKUP(TEXT(H170,"0000000000"),'📞 Call Tracker'!A$2:A$2000,'📞 Call Tracker'!D$2:D$2000,""),"")</f>
        <v/>
      </c>
      <c r="Z170" s="95" t="str">
        <f>IFERROR(_xlfn.XLOOKUP(TEXT(H170,"0000000000"),'📞 Call Tracker'!A$2:A$2000,'📞 Call Tracker'!E$2:E$2000,""),"")</f>
        <v/>
      </c>
      <c r="AA170" s="145" t="str">
        <f>IFERROR(_xlfn.XLOOKUP(TEXT(H170,"0000000000"),'📞 Call Tracker'!A$2:A$2000,'📞 Call Tracker'!F$2:F$2000,""),"")</f>
        <v/>
      </c>
      <c r="AB170" s="132">
        <f t="shared" si="5"/>
        <v>4</v>
      </c>
      <c r="AC170" s="79"/>
    </row>
    <row r="171" spans="1:29" ht="20.100000000000001" customHeight="1">
      <c r="A171" s="91">
        <v>45903</v>
      </c>
      <c r="B171" s="92" t="str">
        <v>Dubner</v>
      </c>
      <c r="C171" s="92" t="str">
        <v>Daren</v>
      </c>
      <c r="D171" s="92" t="str">
        <v>Tempe</v>
      </c>
      <c r="E171" s="92">
        <v>85281</v>
      </c>
      <c r="F171" s="137" t="str">
        <v>Struggling to pay bills &amp; to find renters willing to pay rates</v>
      </c>
      <c r="G171" s="93" t="str">
        <v>https://images.edocket.azcc.gov/docketpdf/E000046190.pdf</v>
      </c>
      <c r="H171" s="150" t="s">
        <v>6556</v>
      </c>
      <c r="I171" s="114" t="str">
        <v>R-2</v>
      </c>
      <c r="J171" s="94" t="str">
        <v>No</v>
      </c>
      <c r="K171" s="94" t="str">
        <v>No</v>
      </c>
      <c r="L171" s="137" t="str">
        <v>Frozen Rate</v>
      </c>
      <c r="M171" s="94" t="str">
        <v>No</v>
      </c>
      <c r="N171" s="134" t="str">
        <v>No</v>
      </c>
      <c r="O171" s="119" t="str">
        <v>Yes</v>
      </c>
      <c r="P171" s="92" t="str">
        <v>N</v>
      </c>
      <c r="Q171" s="91">
        <v>45968</v>
      </c>
      <c r="R171" s="140">
        <v>0</v>
      </c>
      <c r="S171" s="92">
        <v>0</v>
      </c>
      <c r="T171" s="92">
        <v>0</v>
      </c>
      <c r="U171" s="137">
        <v>0</v>
      </c>
      <c r="V171" s="126" t="str">
        <f t="shared" si="4"/>
        <v>❄ Frozen Rate</v>
      </c>
      <c r="W171" s="130" t="str">
        <f>IFERROR(_xlfn.XLOOKUP(TEXT(H171,"0000000000"),'📞 Call Tracker'!A$2:A$2000,'📞 Call Tracker'!B$2:B$2000,""),"")</f>
        <v/>
      </c>
      <c r="X171" s="96" t="str">
        <f>IFERROR(_xlfn.XLOOKUP(TEXT(H171,"0000000000"),'📞 Call Tracker'!A$2:A$2000,'📞 Call Tracker'!C$2:C$2000,""),"")</f>
        <v/>
      </c>
      <c r="Y171" s="95" t="str">
        <f>IFERROR(_xlfn.XLOOKUP(TEXT(H171,"0000000000"),'📞 Call Tracker'!A$2:A$2000,'📞 Call Tracker'!D$2:D$2000,""),"")</f>
        <v/>
      </c>
      <c r="Z171" s="95" t="str">
        <f>IFERROR(_xlfn.XLOOKUP(TEXT(H171,"0000000000"),'📞 Call Tracker'!A$2:A$2000,'📞 Call Tracker'!E$2:E$2000,""),"")</f>
        <v/>
      </c>
      <c r="AA171" s="145" t="str">
        <f>IFERROR(_xlfn.XLOOKUP(TEXT(H171,"0000000000"),'📞 Call Tracker'!A$2:A$2000,'📞 Call Tracker'!F$2:F$2000,""),"")</f>
        <v/>
      </c>
      <c r="AB171" s="132">
        <f t="shared" si="5"/>
        <v>4</v>
      </c>
      <c r="AC171" s="79"/>
    </row>
    <row r="172" spans="1:29" ht="20.100000000000001" customHeight="1">
      <c r="A172" s="91">
        <v>45903</v>
      </c>
      <c r="B172" s="92" t="str">
        <v>Schroeder</v>
      </c>
      <c r="C172" s="92" t="str">
        <v>John</v>
      </c>
      <c r="D172" s="92" t="str">
        <v>Goodyear</v>
      </c>
      <c r="E172" s="92">
        <v>85338</v>
      </c>
      <c r="F172" s="137" t="str">
        <v>People are suffering financially</v>
      </c>
      <c r="G172" s="93" t="str">
        <v>https://images.edocket.azcc.gov/docketpdf/E000046190.pdf</v>
      </c>
      <c r="H172" s="150" t="s">
        <v>6557</v>
      </c>
      <c r="I172" s="114" t="str">
        <v>RTOUE47</v>
      </c>
      <c r="J172" s="94" t="str">
        <v>No</v>
      </c>
      <c r="K172" s="94" t="str">
        <v>No</v>
      </c>
      <c r="L172" s="137" t="str">
        <v>No MEP R3-47 ($369.17)</v>
      </c>
      <c r="M172" s="94" t="str">
        <v>No</v>
      </c>
      <c r="N172" s="134" t="str">
        <v>No</v>
      </c>
      <c r="O172" s="119" t="str">
        <v>Yes</v>
      </c>
      <c r="P172" s="92" t="str">
        <v>N</v>
      </c>
      <c r="Q172" s="91">
        <v>45968</v>
      </c>
      <c r="R172" s="140" t="str">
        <v>COR made rate change on 9/18</v>
      </c>
      <c r="S172" s="92">
        <v>0</v>
      </c>
      <c r="T172" s="92">
        <v>0</v>
      </c>
      <c r="U172" s="137">
        <v>0</v>
      </c>
      <c r="V172" s="126" t="str">
        <f t="shared" si="4"/>
        <v>❌ Not on Best Plan</v>
      </c>
      <c r="W172" s="130" t="str">
        <f>IFERROR(_xlfn.XLOOKUP(TEXT(H172,"0000000000"),'📞 Call Tracker'!A$2:A$2000,'📞 Call Tracker'!B$2:B$2000,""),"")</f>
        <v/>
      </c>
      <c r="X172" s="96" t="str">
        <f>IFERROR(_xlfn.XLOOKUP(TEXT(H172,"0000000000"),'📞 Call Tracker'!A$2:A$2000,'📞 Call Tracker'!C$2:C$2000,""),"")</f>
        <v/>
      </c>
      <c r="Y172" s="95" t="str">
        <f>IFERROR(_xlfn.XLOOKUP(TEXT(H172,"0000000000"),'📞 Call Tracker'!A$2:A$2000,'📞 Call Tracker'!D$2:D$2000,""),"")</f>
        <v/>
      </c>
      <c r="Z172" s="95" t="str">
        <f>IFERROR(_xlfn.XLOOKUP(TEXT(H172,"0000000000"),'📞 Call Tracker'!A$2:A$2000,'📞 Call Tracker'!E$2:E$2000,""),"")</f>
        <v/>
      </c>
      <c r="AA172" s="145" t="str">
        <f>IFERROR(_xlfn.XLOOKUP(TEXT(H172,"0000000000"),'📞 Call Tracker'!A$2:A$2000,'📞 Call Tracker'!F$2:F$2000,""),"")</f>
        <v/>
      </c>
      <c r="AB172" s="132">
        <f t="shared" si="5"/>
        <v>2</v>
      </c>
      <c r="AC172" s="79"/>
    </row>
    <row r="173" spans="1:29" ht="20.100000000000001" customHeight="1">
      <c r="A173" s="91">
        <v>45903</v>
      </c>
      <c r="B173" s="92" t="str">
        <v>De Fina</v>
      </c>
      <c r="C173" s="92" t="str">
        <v>Ellana</v>
      </c>
      <c r="D173" s="92" t="str">
        <v>Phoenix</v>
      </c>
      <c r="E173" s="92">
        <v>85016</v>
      </c>
      <c r="F173" s="137" t="str">
        <v>Opposed</v>
      </c>
      <c r="G173" s="93" t="str">
        <v>https://images.edocket.azcc.gov/docketpdf/E000046190.pdf</v>
      </c>
      <c r="H173" s="150" t="s">
        <v>6012</v>
      </c>
      <c r="I173" s="114" t="str">
        <v>R-BASICL</v>
      </c>
      <c r="J173" s="94" t="str">
        <v>No</v>
      </c>
      <c r="K173" s="94" t="str">
        <v>No</v>
      </c>
      <c r="L173" s="137" t="str">
        <v>No MEP R3-47($43.55)</v>
      </c>
      <c r="M173" s="94" t="str">
        <v>No</v>
      </c>
      <c r="N173" s="134" t="str">
        <v>No</v>
      </c>
      <c r="O173" s="119" t="str">
        <v>Yes</v>
      </c>
      <c r="P173" s="92" t="str">
        <v>N</v>
      </c>
      <c r="Q173" s="91">
        <v>45968</v>
      </c>
      <c r="R173" s="140">
        <v>0</v>
      </c>
      <c r="S173" s="92">
        <v>0</v>
      </c>
      <c r="T173" s="92">
        <v>0</v>
      </c>
      <c r="U173" s="137">
        <v>0</v>
      </c>
      <c r="V173" s="126" t="str">
        <f t="shared" si="4"/>
        <v>❌ Not on Best Plan</v>
      </c>
      <c r="W173" s="130" t="str">
        <f>IFERROR(_xlfn.XLOOKUP(TEXT(H173,"0000000000"),'📞 Call Tracker'!A$2:A$2000,'📞 Call Tracker'!B$2:B$2000,""),"")</f>
        <v>Michelle</v>
      </c>
      <c r="X173" s="96">
        <f>IFERROR(_xlfn.XLOOKUP(TEXT(H173,"0000000000"),'📞 Call Tracker'!A$2:A$2000,'📞 Call Tracker'!C$2:C$2000,""),"")</f>
        <v>46032</v>
      </c>
      <c r="Y173" s="95" t="str">
        <f>IFERROR(_xlfn.XLOOKUP(TEXT(H173,"0000000000"),'📞 Call Tracker'!A$2:A$2000,'📞 Call Tracker'!D$2:D$2000,""),"")</f>
        <v>YES</v>
      </c>
      <c r="Z173" s="95">
        <f>IFERROR(_xlfn.XLOOKUP(TEXT(H173,"0000000000"),'📞 Call Tracker'!A$2:A$2000,'📞 Call Tracker'!E$2:E$2000,""),"")</f>
        <v>0</v>
      </c>
      <c r="AA173" s="145" t="str">
        <f>IFERROR(_xlfn.XLOOKUP(TEXT(H173,"0000000000"),'📞 Call Tracker'!A$2:A$2000,'📞 Call Tracker'!F$2:F$2000,""),"")</f>
        <v>SOLAR ACCT</v>
      </c>
      <c r="AB173" s="132">
        <f t="shared" si="5"/>
        <v>99</v>
      </c>
      <c r="AC173" s="79"/>
    </row>
    <row r="174" spans="1:29" ht="20.100000000000001" customHeight="1">
      <c r="A174" s="91">
        <v>45903</v>
      </c>
      <c r="B174" s="92" t="str">
        <v xml:space="preserve">Hays </v>
      </c>
      <c r="C174" s="92" t="str">
        <v>Timoth</v>
      </c>
      <c r="D174" s="92" t="str">
        <v>Phoenix</v>
      </c>
      <c r="E174" s="92">
        <v>85028</v>
      </c>
      <c r="F174" s="137" t="str">
        <v>Form letter</v>
      </c>
      <c r="G174" s="93" t="str">
        <v>https://images.edocket.azcc.gov/docketpdf/E000046190.pdf</v>
      </c>
      <c r="H174" s="150" t="s">
        <v>6558</v>
      </c>
      <c r="I174" s="114" t="str">
        <v>R3-47</v>
      </c>
      <c r="J174" s="94" t="str">
        <v>No</v>
      </c>
      <c r="K174" s="94" t="str">
        <v>No</v>
      </c>
      <c r="L174" s="137" t="str">
        <v>Yes</v>
      </c>
      <c r="M174" s="94" t="str">
        <v>No</v>
      </c>
      <c r="N174" s="134" t="str">
        <v>No</v>
      </c>
      <c r="O174" s="119" t="str">
        <v>Yes</v>
      </c>
      <c r="P174" s="92" t="str">
        <v>N</v>
      </c>
      <c r="Q174" s="91">
        <v>45968</v>
      </c>
      <c r="R174" s="140">
        <v>0</v>
      </c>
      <c r="S174" s="92">
        <v>0</v>
      </c>
      <c r="T174" s="92">
        <v>0</v>
      </c>
      <c r="U174" s="137">
        <v>0</v>
      </c>
      <c r="V174" s="126" t="str">
        <f t="shared" si="4"/>
        <v>✅ On Best Plan</v>
      </c>
      <c r="W174" s="130" t="str">
        <f>IFERROR(_xlfn.XLOOKUP(TEXT(H174,"0000000000"),'📞 Call Tracker'!A$2:A$2000,'📞 Call Tracker'!B$2:B$2000,""),"")</f>
        <v/>
      </c>
      <c r="X174" s="96" t="str">
        <f>IFERROR(_xlfn.XLOOKUP(TEXT(H174,"0000000000"),'📞 Call Tracker'!A$2:A$2000,'📞 Call Tracker'!C$2:C$2000,""),"")</f>
        <v/>
      </c>
      <c r="Y174" s="95" t="str">
        <f>IFERROR(_xlfn.XLOOKUP(TEXT(H174,"0000000000"),'📞 Call Tracker'!A$2:A$2000,'📞 Call Tracker'!D$2:D$2000,""),"")</f>
        <v/>
      </c>
      <c r="Z174" s="95" t="str">
        <f>IFERROR(_xlfn.XLOOKUP(TEXT(H174,"0000000000"),'📞 Call Tracker'!A$2:A$2000,'📞 Call Tracker'!E$2:E$2000,""),"")</f>
        <v/>
      </c>
      <c r="AA174" s="145" t="str">
        <f>IFERROR(_xlfn.XLOOKUP(TEXT(H174,"0000000000"),'📞 Call Tracker'!A$2:A$2000,'📞 Call Tracker'!F$2:F$2000,""),"")</f>
        <v/>
      </c>
      <c r="AB174" s="132">
        <f t="shared" si="5"/>
        <v>4</v>
      </c>
      <c r="AC174" s="79"/>
    </row>
    <row r="175" spans="1:29" ht="20.100000000000001" customHeight="1">
      <c r="A175" s="91">
        <v>45903</v>
      </c>
      <c r="B175" s="92" t="str">
        <v>Sanchez</v>
      </c>
      <c r="C175" s="92" t="str">
        <v>Ana</v>
      </c>
      <c r="D175" s="92" t="str">
        <v>Avondale</v>
      </c>
      <c r="E175" s="92">
        <v>85392</v>
      </c>
      <c r="F175" s="137" t="str">
        <v>Making it harder for middle class</v>
      </c>
      <c r="G175" s="93" t="str">
        <v>https://images.edocket.azcc.gov/docketpdf/E000046190.pdf</v>
      </c>
      <c r="H175" s="150" t="s">
        <v>6559</v>
      </c>
      <c r="I175" s="114" t="str">
        <v>RTOUE47</v>
      </c>
      <c r="J175" s="94" t="str">
        <v>Yes</v>
      </c>
      <c r="K175" s="94" t="str">
        <v>No</v>
      </c>
      <c r="L175" s="137" t="str">
        <v>Yes</v>
      </c>
      <c r="M175" s="94" t="str">
        <v>No</v>
      </c>
      <c r="N175" s="134" t="str">
        <v>No</v>
      </c>
      <c r="O175" s="119" t="str">
        <v>Yes</v>
      </c>
      <c r="P175" s="92" t="str">
        <v>N</v>
      </c>
      <c r="Q175" s="91">
        <v>45968</v>
      </c>
      <c r="R175" s="140">
        <v>0</v>
      </c>
      <c r="S175" s="92">
        <v>0</v>
      </c>
      <c r="T175" s="92">
        <v>0</v>
      </c>
      <c r="U175" s="137">
        <v>0</v>
      </c>
      <c r="V175" s="126" t="str">
        <f t="shared" si="4"/>
        <v>✅ On Best Plan</v>
      </c>
      <c r="W175" s="130" t="str">
        <f>IFERROR(_xlfn.XLOOKUP(TEXT(H175,"0000000000"),'📞 Call Tracker'!A$2:A$2000,'📞 Call Tracker'!B$2:B$2000,""),"")</f>
        <v/>
      </c>
      <c r="X175" s="96" t="str">
        <f>IFERROR(_xlfn.XLOOKUP(TEXT(H175,"0000000000"),'📞 Call Tracker'!A$2:A$2000,'📞 Call Tracker'!C$2:C$2000,""),"")</f>
        <v/>
      </c>
      <c r="Y175" s="95" t="str">
        <f>IFERROR(_xlfn.XLOOKUP(TEXT(H175,"0000000000"),'📞 Call Tracker'!A$2:A$2000,'📞 Call Tracker'!D$2:D$2000,""),"")</f>
        <v/>
      </c>
      <c r="Z175" s="95" t="str">
        <f>IFERROR(_xlfn.XLOOKUP(TEXT(H175,"0000000000"),'📞 Call Tracker'!A$2:A$2000,'📞 Call Tracker'!E$2:E$2000,""),"")</f>
        <v/>
      </c>
      <c r="AA175" s="145" t="str">
        <f>IFERROR(_xlfn.XLOOKUP(TEXT(H175,"0000000000"),'📞 Call Tracker'!A$2:A$2000,'📞 Call Tracker'!F$2:F$2000,""),"")</f>
        <v/>
      </c>
      <c r="AB175" s="132">
        <f t="shared" si="5"/>
        <v>4</v>
      </c>
      <c r="AC175" s="79"/>
    </row>
    <row r="176" spans="1:29" ht="20.100000000000001" customHeight="1">
      <c r="A176" s="91">
        <v>45903</v>
      </c>
      <c r="B176" s="92" t="str">
        <v>Messmer</v>
      </c>
      <c r="C176" s="92" t="str">
        <v>Catherine</v>
      </c>
      <c r="D176" s="92" t="str">
        <v>Goodyear</v>
      </c>
      <c r="E176" s="92">
        <v>85338</v>
      </c>
      <c r="F176" s="137" t="str">
        <v>Widow on limited income</v>
      </c>
      <c r="G176" s="93" t="str">
        <v>https://images.edocket.azcc.gov/docketpdf/E000046190.pdf</v>
      </c>
      <c r="H176" s="150" t="s">
        <v>6560</v>
      </c>
      <c r="I176" s="114" t="str">
        <v>RTOUE47</v>
      </c>
      <c r="J176" s="94" t="str">
        <v>No</v>
      </c>
      <c r="K176" s="94" t="str">
        <v>No</v>
      </c>
      <c r="L176" s="137" t="str">
        <v>No MEP R3-47($87.48)</v>
      </c>
      <c r="M176" s="94" t="str">
        <v>No</v>
      </c>
      <c r="N176" s="134" t="str">
        <v>No</v>
      </c>
      <c r="O176" s="119" t="str">
        <v>Yes</v>
      </c>
      <c r="P176" s="92" t="str">
        <v>N</v>
      </c>
      <c r="Q176" s="91">
        <v>45968</v>
      </c>
      <c r="R176" s="140">
        <v>0</v>
      </c>
      <c r="S176" s="92">
        <v>0</v>
      </c>
      <c r="T176" s="92">
        <v>0</v>
      </c>
      <c r="U176" s="137">
        <v>0</v>
      </c>
      <c r="V176" s="126" t="str">
        <f t="shared" si="4"/>
        <v>❌ Not on Best Plan</v>
      </c>
      <c r="W176" s="130" t="str">
        <f>IFERROR(_xlfn.XLOOKUP(TEXT(H176,"0000000000"),'📞 Call Tracker'!A$2:A$2000,'📞 Call Tracker'!B$2:B$2000,""),"")</f>
        <v/>
      </c>
      <c r="X176" s="96" t="str">
        <f>IFERROR(_xlfn.XLOOKUP(TEXT(H176,"0000000000"),'📞 Call Tracker'!A$2:A$2000,'📞 Call Tracker'!C$2:C$2000,""),"")</f>
        <v/>
      </c>
      <c r="Y176" s="95" t="str">
        <f>IFERROR(_xlfn.XLOOKUP(TEXT(H176,"0000000000"),'📞 Call Tracker'!A$2:A$2000,'📞 Call Tracker'!D$2:D$2000,""),"")</f>
        <v/>
      </c>
      <c r="Z176" s="95" t="str">
        <f>IFERROR(_xlfn.XLOOKUP(TEXT(H176,"0000000000"),'📞 Call Tracker'!A$2:A$2000,'📞 Call Tracker'!E$2:E$2000,""),"")</f>
        <v/>
      </c>
      <c r="AA176" s="145" t="str">
        <f>IFERROR(_xlfn.XLOOKUP(TEXT(H176,"0000000000"),'📞 Call Tracker'!A$2:A$2000,'📞 Call Tracker'!F$2:F$2000,""),"")</f>
        <v/>
      </c>
      <c r="AB176" s="132">
        <f t="shared" si="5"/>
        <v>2</v>
      </c>
      <c r="AC176" s="79"/>
    </row>
    <row r="177" spans="1:29" ht="20.100000000000001" customHeight="1">
      <c r="A177" s="91">
        <v>45903</v>
      </c>
      <c r="B177" s="92" t="str">
        <v>Harmes</v>
      </c>
      <c r="C177" s="92" t="str">
        <v>Kim</v>
      </c>
      <c r="D177" s="92" t="str">
        <v>Goodyear</v>
      </c>
      <c r="E177" s="92">
        <v>85395</v>
      </c>
      <c r="F177" s="137" t="str">
        <v>Fixed income and august bill was $588</v>
      </c>
      <c r="G177" s="93" t="str">
        <v>https://images.edocket.azcc.gov/docketpdf/E000046190.pdf</v>
      </c>
      <c r="H177" s="150" t="s">
        <v>6013</v>
      </c>
      <c r="I177" s="114" t="str">
        <v>R3-47</v>
      </c>
      <c r="J177" s="94" t="str">
        <v>No</v>
      </c>
      <c r="K177" s="94" t="str">
        <v>No</v>
      </c>
      <c r="L177" s="137" t="str">
        <v>Yes</v>
      </c>
      <c r="M177" s="94" t="str">
        <v>No</v>
      </c>
      <c r="N177" s="134" t="str">
        <v>No</v>
      </c>
      <c r="O177" s="119" t="str">
        <v>Yes</v>
      </c>
      <c r="P177" s="92" t="str">
        <v>N</v>
      </c>
      <c r="Q177" s="91">
        <v>45968</v>
      </c>
      <c r="R177" s="140">
        <v>0</v>
      </c>
      <c r="S177" s="92">
        <v>0</v>
      </c>
      <c r="T177" s="92">
        <v>0</v>
      </c>
      <c r="U177" s="137">
        <v>0</v>
      </c>
      <c r="V177" s="126" t="str">
        <f t="shared" si="4"/>
        <v>✅ On Best Plan</v>
      </c>
      <c r="W177" s="130" t="str">
        <f>IFERROR(_xlfn.XLOOKUP(TEXT(H177,"0000000000"),'📞 Call Tracker'!A$2:A$2000,'📞 Call Tracker'!B$2:B$2000,""),"")</f>
        <v>Michelle</v>
      </c>
      <c r="X177" s="96">
        <f>IFERROR(_xlfn.XLOOKUP(TEXT(H177,"0000000000"),'📞 Call Tracker'!A$2:A$2000,'📞 Call Tracker'!C$2:C$2000,""),"")</f>
        <v>46018</v>
      </c>
      <c r="Y177" s="95" t="str">
        <f>IFERROR(_xlfn.XLOOKUP(TEXT(H177,"0000000000"),'📞 Call Tracker'!A$2:A$2000,'📞 Call Tracker'!D$2:D$2000,""),"")</f>
        <v>NO</v>
      </c>
      <c r="Z177" s="95">
        <f>IFERROR(_xlfn.XLOOKUP(TEXT(H177,"0000000000"),'📞 Call Tracker'!A$2:A$2000,'📞 Call Tracker'!E$2:E$2000,""),"")</f>
        <v>0</v>
      </c>
      <c r="AA177" s="145">
        <f>IFERROR(_xlfn.XLOOKUP(TEXT(H177,"0000000000"),'📞 Call Tracker'!A$2:A$2000,'📞 Call Tracker'!F$2:F$2000,""),"")</f>
        <v>0</v>
      </c>
      <c r="AB177" s="132">
        <f t="shared" si="5"/>
        <v>99</v>
      </c>
      <c r="AC177" s="79"/>
    </row>
    <row r="178" spans="1:29" ht="20.100000000000001" customHeight="1">
      <c r="A178" s="91">
        <v>45903</v>
      </c>
      <c r="B178" s="92" t="str">
        <v>Crane</v>
      </c>
      <c r="C178" s="92" t="str">
        <v>Frank</v>
      </c>
      <c r="D178" s="92" t="str">
        <v>Anthem</v>
      </c>
      <c r="E178" s="92">
        <v>85086</v>
      </c>
      <c r="F178" s="137" t="str">
        <v>Outrageous</v>
      </c>
      <c r="G178" s="93" t="str">
        <v>https://images.edocket.azcc.gov/docketpdf/E000046190.pdf</v>
      </c>
      <c r="H178" s="150" t="s">
        <v>6561</v>
      </c>
      <c r="I178" s="114" t="str">
        <v>R3-47</v>
      </c>
      <c r="J178" s="94" t="str">
        <v>No</v>
      </c>
      <c r="K178" s="94" t="str">
        <v>No</v>
      </c>
      <c r="L178" s="137" t="str">
        <v>No MEP RTOUE47($28.13)</v>
      </c>
      <c r="M178" s="94" t="str">
        <v>No</v>
      </c>
      <c r="N178" s="134" t="str">
        <v>No</v>
      </c>
      <c r="O178" s="119" t="str">
        <v>Yes</v>
      </c>
      <c r="P178" s="92" t="str">
        <v>N</v>
      </c>
      <c r="Q178" s="91">
        <v>45968</v>
      </c>
      <c r="R178" s="140">
        <v>0</v>
      </c>
      <c r="S178" s="92">
        <v>0</v>
      </c>
      <c r="T178" s="92">
        <v>0</v>
      </c>
      <c r="U178" s="137">
        <v>0</v>
      </c>
      <c r="V178" s="126" t="str">
        <f t="shared" si="4"/>
        <v>❌ Not on Best Plan</v>
      </c>
      <c r="W178" s="130" t="str">
        <f>IFERROR(_xlfn.XLOOKUP(TEXT(H178,"0000000000"),'📞 Call Tracker'!A$2:A$2000,'📞 Call Tracker'!B$2:B$2000,""),"")</f>
        <v/>
      </c>
      <c r="X178" s="96" t="str">
        <f>IFERROR(_xlfn.XLOOKUP(TEXT(H178,"0000000000"),'📞 Call Tracker'!A$2:A$2000,'📞 Call Tracker'!C$2:C$2000,""),"")</f>
        <v/>
      </c>
      <c r="Y178" s="95" t="str">
        <f>IFERROR(_xlfn.XLOOKUP(TEXT(H178,"0000000000"),'📞 Call Tracker'!A$2:A$2000,'📞 Call Tracker'!D$2:D$2000,""),"")</f>
        <v/>
      </c>
      <c r="Z178" s="95" t="str">
        <f>IFERROR(_xlfn.XLOOKUP(TEXT(H178,"0000000000"),'📞 Call Tracker'!A$2:A$2000,'📞 Call Tracker'!E$2:E$2000,""),"")</f>
        <v/>
      </c>
      <c r="AA178" s="145" t="str">
        <f>IFERROR(_xlfn.XLOOKUP(TEXT(H178,"0000000000"),'📞 Call Tracker'!A$2:A$2000,'📞 Call Tracker'!F$2:F$2000,""),"")</f>
        <v/>
      </c>
      <c r="AB178" s="132">
        <f t="shared" si="5"/>
        <v>2</v>
      </c>
      <c r="AC178" s="79"/>
    </row>
    <row r="179" spans="1:29" ht="20.100000000000001" customHeight="1">
      <c r="A179" s="91">
        <v>45903</v>
      </c>
      <c r="B179" s="92" t="str">
        <v>McReynolds</v>
      </c>
      <c r="C179" s="92" t="str">
        <v>Owen</v>
      </c>
      <c r="D179" s="92" t="str">
        <v>Phoenix</v>
      </c>
      <c r="E179" s="92">
        <v>85024</v>
      </c>
      <c r="F179" s="137" t="str">
        <v>Form letter</v>
      </c>
      <c r="G179" s="93" t="str">
        <v>https://images.edocket.azcc.gov/docketpdf/E000046190.pdf</v>
      </c>
      <c r="H179" s="150" t="s">
        <v>6562</v>
      </c>
      <c r="I179" s="114" t="str">
        <v>RTOUE47</v>
      </c>
      <c r="J179" s="94" t="str">
        <v>No</v>
      </c>
      <c r="K179" s="94" t="str">
        <v>No</v>
      </c>
      <c r="L179" s="137" t="str">
        <v>No MEP R3-47($158.60)</v>
      </c>
      <c r="M179" s="94" t="str">
        <v>No</v>
      </c>
      <c r="N179" s="134" t="str">
        <v>No</v>
      </c>
      <c r="O179" s="119" t="str">
        <v>Yes</v>
      </c>
      <c r="P179" s="92">
        <v>45933</v>
      </c>
      <c r="Q179" s="91">
        <v>45968</v>
      </c>
      <c r="R179" s="140" t="str">
        <v>Left VM 10/03/2025</v>
      </c>
      <c r="S179" s="92">
        <v>0</v>
      </c>
      <c r="T179" s="92">
        <v>0</v>
      </c>
      <c r="U179" s="137">
        <v>0</v>
      </c>
      <c r="V179" s="126" t="str">
        <f t="shared" si="4"/>
        <v>❌ Not on Best Plan</v>
      </c>
      <c r="W179" s="130" t="str">
        <f>IFERROR(_xlfn.XLOOKUP(TEXT(H179,"0000000000"),'📞 Call Tracker'!A$2:A$2000,'📞 Call Tracker'!B$2:B$2000,""),"")</f>
        <v/>
      </c>
      <c r="X179" s="96" t="str">
        <f>IFERROR(_xlfn.XLOOKUP(TEXT(H179,"0000000000"),'📞 Call Tracker'!A$2:A$2000,'📞 Call Tracker'!C$2:C$2000,""),"")</f>
        <v/>
      </c>
      <c r="Y179" s="95" t="str">
        <f>IFERROR(_xlfn.XLOOKUP(TEXT(H179,"0000000000"),'📞 Call Tracker'!A$2:A$2000,'📞 Call Tracker'!D$2:D$2000,""),"")</f>
        <v/>
      </c>
      <c r="Z179" s="95" t="str">
        <f>IFERROR(_xlfn.XLOOKUP(TEXT(H179,"0000000000"),'📞 Call Tracker'!A$2:A$2000,'📞 Call Tracker'!E$2:E$2000,""),"")</f>
        <v/>
      </c>
      <c r="AA179" s="145" t="str">
        <f>IFERROR(_xlfn.XLOOKUP(TEXT(H179,"0000000000"),'📞 Call Tracker'!A$2:A$2000,'📞 Call Tracker'!F$2:F$2000,""),"")</f>
        <v/>
      </c>
      <c r="AB179" s="132">
        <f t="shared" si="5"/>
        <v>2</v>
      </c>
      <c r="AC179" s="79"/>
    </row>
    <row r="180" spans="1:29" ht="20.100000000000001" customHeight="1">
      <c r="A180" s="91">
        <v>45903</v>
      </c>
      <c r="B180" s="92" t="str">
        <v>Meraz</v>
      </c>
      <c r="C180" s="92" t="str">
        <v>Victor</v>
      </c>
      <c r="D180" s="92" t="str">
        <v>Goodyear</v>
      </c>
      <c r="E180" s="92">
        <v>85338</v>
      </c>
      <c r="F180" s="137" t="str">
        <v>Already expensive enough</v>
      </c>
      <c r="G180" s="93" t="str">
        <v>https://images.edocket.azcc.gov/docketpdf/E000046190.pdf</v>
      </c>
      <c r="H180" s="150" t="s">
        <v>6563</v>
      </c>
      <c r="I180" s="114" t="str">
        <v>R-XS</v>
      </c>
      <c r="J180" s="94" t="str">
        <v>No</v>
      </c>
      <c r="K180" s="94" t="str">
        <v>No</v>
      </c>
      <c r="L180" s="137" t="str">
        <v>Yes</v>
      </c>
      <c r="M180" s="94" t="str">
        <v>No</v>
      </c>
      <c r="N180" s="134" t="str">
        <v>No</v>
      </c>
      <c r="O180" s="119" t="str">
        <v>Yes</v>
      </c>
      <c r="P180" s="92" t="str">
        <v>N</v>
      </c>
      <c r="Q180" s="91">
        <v>45968</v>
      </c>
      <c r="R180" s="140">
        <v>0</v>
      </c>
      <c r="S180" s="92">
        <v>0</v>
      </c>
      <c r="T180" s="92">
        <v>0</v>
      </c>
      <c r="U180" s="137">
        <v>0</v>
      </c>
      <c r="V180" s="126" t="str">
        <f t="shared" si="4"/>
        <v>✅ On Best Plan</v>
      </c>
      <c r="W180" s="130" t="str">
        <f>IFERROR(_xlfn.XLOOKUP(TEXT(H180,"0000000000"),'📞 Call Tracker'!A$2:A$2000,'📞 Call Tracker'!B$2:B$2000,""),"")</f>
        <v/>
      </c>
      <c r="X180" s="96" t="str">
        <f>IFERROR(_xlfn.XLOOKUP(TEXT(H180,"0000000000"),'📞 Call Tracker'!A$2:A$2000,'📞 Call Tracker'!C$2:C$2000,""),"")</f>
        <v/>
      </c>
      <c r="Y180" s="95" t="str">
        <f>IFERROR(_xlfn.XLOOKUP(TEXT(H180,"0000000000"),'📞 Call Tracker'!A$2:A$2000,'📞 Call Tracker'!D$2:D$2000,""),"")</f>
        <v/>
      </c>
      <c r="Z180" s="95" t="str">
        <f>IFERROR(_xlfn.XLOOKUP(TEXT(H180,"0000000000"),'📞 Call Tracker'!A$2:A$2000,'📞 Call Tracker'!E$2:E$2000,""),"")</f>
        <v/>
      </c>
      <c r="AA180" s="145" t="str">
        <f>IFERROR(_xlfn.XLOOKUP(TEXT(H180,"0000000000"),'📞 Call Tracker'!A$2:A$2000,'📞 Call Tracker'!F$2:F$2000,""),"")</f>
        <v/>
      </c>
      <c r="AB180" s="132">
        <f t="shared" si="5"/>
        <v>4</v>
      </c>
      <c r="AC180" s="79"/>
    </row>
    <row r="181" spans="1:29" ht="20.100000000000001" customHeight="1">
      <c r="A181" s="91">
        <v>45903</v>
      </c>
      <c r="B181" s="92" t="str">
        <v>Repaka</v>
      </c>
      <c r="C181" s="92" t="str">
        <v>Veerraju</v>
      </c>
      <c r="D181" s="92" t="str">
        <v>Peoria</v>
      </c>
      <c r="E181" s="92">
        <v>85383</v>
      </c>
      <c r="F181" s="137" t="str">
        <v>Opposed</v>
      </c>
      <c r="G181" s="93" t="str">
        <v>https://images.edocket.azcc.gov/docketpdf/E000046190.pdf</v>
      </c>
      <c r="H181" s="150" t="s">
        <v>6183</v>
      </c>
      <c r="I181" s="114" t="str">
        <v>RTOUE47</v>
      </c>
      <c r="J181" s="94" t="str">
        <v>No</v>
      </c>
      <c r="K181" s="94" t="str">
        <v>No</v>
      </c>
      <c r="L181" s="137" t="str">
        <v>No MEP R3-47($18.51)</v>
      </c>
      <c r="M181" s="94" t="str">
        <v>No</v>
      </c>
      <c r="N181" s="134" t="str">
        <v>No</v>
      </c>
      <c r="O181" s="119" t="str">
        <v>Yes</v>
      </c>
      <c r="P181" s="92" t="str">
        <v>N</v>
      </c>
      <c r="Q181" s="91">
        <v>45968</v>
      </c>
      <c r="R181" s="140">
        <v>0</v>
      </c>
      <c r="S181" s="92">
        <v>0</v>
      </c>
      <c r="T181" s="92">
        <v>0</v>
      </c>
      <c r="U181" s="137">
        <v>0</v>
      </c>
      <c r="V181" s="126" t="str">
        <f t="shared" si="4"/>
        <v>❌ Not on Best Plan</v>
      </c>
      <c r="W181" s="130">
        <f>IFERROR(_xlfn.XLOOKUP(TEXT(H181,"0000000000"),'📞 Call Tracker'!A$2:A$2000,'📞 Call Tracker'!B$2:B$2000,""),"")</f>
        <v>0</v>
      </c>
      <c r="X181" s="96">
        <f>IFERROR(_xlfn.XLOOKUP(TEXT(H181,"0000000000"),'📞 Call Tracker'!A$2:A$2000,'📞 Call Tracker'!C$2:C$2000,""),"")</f>
        <v>0</v>
      </c>
      <c r="Y181" s="95">
        <f>IFERROR(_xlfn.XLOOKUP(TEXT(H181,"0000000000"),'📞 Call Tracker'!A$2:A$2000,'📞 Call Tracker'!D$2:D$2000,""),"")</f>
        <v>0</v>
      </c>
      <c r="Z181" s="95">
        <f>IFERROR(_xlfn.XLOOKUP(TEXT(H181,"0000000000"),'📞 Call Tracker'!A$2:A$2000,'📞 Call Tracker'!E$2:E$2000,""),"")</f>
        <v>0</v>
      </c>
      <c r="AA181" s="145">
        <f>IFERROR(_xlfn.XLOOKUP(TEXT(H181,"0000000000"),'📞 Call Tracker'!A$2:A$2000,'📞 Call Tracker'!F$2:F$2000,""),"")</f>
        <v>0</v>
      </c>
      <c r="AB181" s="132">
        <f t="shared" si="5"/>
        <v>99</v>
      </c>
      <c r="AC181" s="79"/>
    </row>
    <row r="182" spans="1:29" ht="20.100000000000001" customHeight="1">
      <c r="A182" s="91">
        <v>45903</v>
      </c>
      <c r="B182" s="92" t="str">
        <v>Rood</v>
      </c>
      <c r="C182" s="92" t="str">
        <v>Elizabeth</v>
      </c>
      <c r="D182" s="92" t="str">
        <v>Glendale</v>
      </c>
      <c r="E182" s="92">
        <v>85308</v>
      </c>
      <c r="F182" s="137" t="str">
        <v>Families struggling</v>
      </c>
      <c r="G182" s="93" t="str">
        <v>https://images.edocket.azcc.gov/docketpdf/E000046190.pdf</v>
      </c>
      <c r="H182" s="150" t="s">
        <v>6564</v>
      </c>
      <c r="I182" s="114" t="str">
        <v>R-XS</v>
      </c>
      <c r="J182" s="94" t="str">
        <v>No</v>
      </c>
      <c r="K182" s="94" t="str">
        <v>No</v>
      </c>
      <c r="L182" s="137" t="str">
        <v>Yes</v>
      </c>
      <c r="M182" s="94" t="str">
        <v>No</v>
      </c>
      <c r="N182" s="134" t="str">
        <v>No</v>
      </c>
      <c r="O182" s="119" t="str">
        <v>Yes</v>
      </c>
      <c r="P182" s="92" t="str">
        <v>N</v>
      </c>
      <c r="Q182" s="91">
        <v>45968</v>
      </c>
      <c r="R182" s="140">
        <v>0</v>
      </c>
      <c r="S182" s="92">
        <v>0</v>
      </c>
      <c r="T182" s="92">
        <v>0</v>
      </c>
      <c r="U182" s="137">
        <v>0</v>
      </c>
      <c r="V182" s="126" t="str">
        <f t="shared" si="4"/>
        <v>✅ On Best Plan</v>
      </c>
      <c r="W182" s="130" t="str">
        <f>IFERROR(_xlfn.XLOOKUP(TEXT(H182,"0000000000"),'📞 Call Tracker'!A$2:A$2000,'📞 Call Tracker'!B$2:B$2000,""),"")</f>
        <v/>
      </c>
      <c r="X182" s="96" t="str">
        <f>IFERROR(_xlfn.XLOOKUP(TEXT(H182,"0000000000"),'📞 Call Tracker'!A$2:A$2000,'📞 Call Tracker'!C$2:C$2000,""),"")</f>
        <v/>
      </c>
      <c r="Y182" s="95" t="str">
        <f>IFERROR(_xlfn.XLOOKUP(TEXT(H182,"0000000000"),'📞 Call Tracker'!A$2:A$2000,'📞 Call Tracker'!D$2:D$2000,""),"")</f>
        <v/>
      </c>
      <c r="Z182" s="95" t="str">
        <f>IFERROR(_xlfn.XLOOKUP(TEXT(H182,"0000000000"),'📞 Call Tracker'!A$2:A$2000,'📞 Call Tracker'!E$2:E$2000,""),"")</f>
        <v/>
      </c>
      <c r="AA182" s="145" t="str">
        <f>IFERROR(_xlfn.XLOOKUP(TEXT(H182,"0000000000"),'📞 Call Tracker'!A$2:A$2000,'📞 Call Tracker'!F$2:F$2000,""),"")</f>
        <v/>
      </c>
      <c r="AB182" s="132">
        <f t="shared" si="5"/>
        <v>4</v>
      </c>
      <c r="AC182" s="79"/>
    </row>
    <row r="183" spans="1:29" ht="20.100000000000001" customHeight="1">
      <c r="A183" s="91">
        <v>45903</v>
      </c>
      <c r="B183" s="92" t="str">
        <v>Garrick</v>
      </c>
      <c r="C183" s="92" t="str">
        <v>Jacqueline</v>
      </c>
      <c r="D183" s="92" t="str">
        <v>Litchfield Park</v>
      </c>
      <c r="E183" s="92">
        <v>85340</v>
      </c>
      <c r="F183" s="137" t="str">
        <v>Opposed</v>
      </c>
      <c r="G183" s="93" t="str">
        <v>https://images.edocket.azcc.gov/docketpdf/E000046190.pdf</v>
      </c>
      <c r="H183" s="150" t="s">
        <v>6565</v>
      </c>
      <c r="I183" s="114" t="str">
        <v>R-XS</v>
      </c>
      <c r="J183" s="94" t="str">
        <v>No</v>
      </c>
      <c r="K183" s="94" t="str">
        <v>No</v>
      </c>
      <c r="L183" s="137" t="str">
        <v>Yes</v>
      </c>
      <c r="M183" s="94" t="str">
        <v>No</v>
      </c>
      <c r="N183" s="134" t="str">
        <v>No</v>
      </c>
      <c r="O183" s="119" t="str">
        <v>Yes</v>
      </c>
      <c r="P183" s="92" t="str">
        <v>N</v>
      </c>
      <c r="Q183" s="91">
        <v>45968</v>
      </c>
      <c r="R183" s="140">
        <v>0</v>
      </c>
      <c r="S183" s="92">
        <v>0</v>
      </c>
      <c r="T183" s="92">
        <v>0</v>
      </c>
      <c r="U183" s="137">
        <v>0</v>
      </c>
      <c r="V183" s="126" t="str">
        <f t="shared" si="4"/>
        <v>✅ On Best Plan</v>
      </c>
      <c r="W183" s="130" t="str">
        <f>IFERROR(_xlfn.XLOOKUP(TEXT(H183,"0000000000"),'📞 Call Tracker'!A$2:A$2000,'📞 Call Tracker'!B$2:B$2000,""),"")</f>
        <v/>
      </c>
      <c r="X183" s="96" t="str">
        <f>IFERROR(_xlfn.XLOOKUP(TEXT(H183,"0000000000"),'📞 Call Tracker'!A$2:A$2000,'📞 Call Tracker'!C$2:C$2000,""),"")</f>
        <v/>
      </c>
      <c r="Y183" s="95" t="str">
        <f>IFERROR(_xlfn.XLOOKUP(TEXT(H183,"0000000000"),'📞 Call Tracker'!A$2:A$2000,'📞 Call Tracker'!D$2:D$2000,""),"")</f>
        <v/>
      </c>
      <c r="Z183" s="95" t="str">
        <f>IFERROR(_xlfn.XLOOKUP(TEXT(H183,"0000000000"),'📞 Call Tracker'!A$2:A$2000,'📞 Call Tracker'!E$2:E$2000,""),"")</f>
        <v/>
      </c>
      <c r="AA183" s="145" t="str">
        <f>IFERROR(_xlfn.XLOOKUP(TEXT(H183,"0000000000"),'📞 Call Tracker'!A$2:A$2000,'📞 Call Tracker'!F$2:F$2000,""),"")</f>
        <v/>
      </c>
      <c r="AB183" s="132">
        <f t="shared" si="5"/>
        <v>4</v>
      </c>
      <c r="AC183" s="79"/>
    </row>
    <row r="184" spans="1:29" ht="20.100000000000001" customHeight="1">
      <c r="A184" s="91">
        <v>45903</v>
      </c>
      <c r="B184" s="92" t="str">
        <v>Priess</v>
      </c>
      <c r="C184" s="92" t="str">
        <v>Felipe</v>
      </c>
      <c r="D184" s="92" t="str">
        <v>Scottsdale</v>
      </c>
      <c r="E184" s="92">
        <v>85255</v>
      </c>
      <c r="F184" s="137" t="str">
        <v>Form letter</v>
      </c>
      <c r="G184" s="93" t="str">
        <v>https://images.edocket.azcc.gov/docketpdf/E000046190.pdf</v>
      </c>
      <c r="H184" s="150" t="s">
        <v>6184</v>
      </c>
      <c r="I184" s="114" t="str">
        <v>R3-47</v>
      </c>
      <c r="J184" s="94" t="str">
        <v>No</v>
      </c>
      <c r="K184" s="94" t="str">
        <v>No</v>
      </c>
      <c r="L184" s="137" t="str">
        <v>Yes</v>
      </c>
      <c r="M184" s="94" t="str">
        <v>No</v>
      </c>
      <c r="N184" s="134" t="str">
        <v>No</v>
      </c>
      <c r="O184" s="119" t="str">
        <v>Yes</v>
      </c>
      <c r="P184" s="92" t="str">
        <v>N</v>
      </c>
      <c r="Q184" s="91">
        <v>45968</v>
      </c>
      <c r="R184" s="140">
        <v>0</v>
      </c>
      <c r="S184" s="92">
        <v>0</v>
      </c>
      <c r="T184" s="92">
        <v>0</v>
      </c>
      <c r="U184" s="137">
        <v>0</v>
      </c>
      <c r="V184" s="126" t="str">
        <f t="shared" si="4"/>
        <v>✅ On Best Plan</v>
      </c>
      <c r="W184" s="130" t="str">
        <f>IFERROR(_xlfn.XLOOKUP(TEXT(H184,"0000000000"),'📞 Call Tracker'!A$2:A$2000,'📞 Call Tracker'!B$2:B$2000,""),"")</f>
        <v>Michelle</v>
      </c>
      <c r="X184" s="96">
        <f>IFERROR(_xlfn.XLOOKUP(TEXT(H184,"0000000000"),'📞 Call Tracker'!A$2:A$2000,'📞 Call Tracker'!C$2:C$2000,""),"")</f>
        <v>46081</v>
      </c>
      <c r="Y184" s="95" t="str">
        <f>IFERROR(_xlfn.XLOOKUP(TEXT(H184,"0000000000"),'📞 Call Tracker'!A$2:A$2000,'📞 Call Tracker'!D$2:D$2000,""),"")</f>
        <v>NO</v>
      </c>
      <c r="Z184" s="95" t="str">
        <f>IFERROR(_xlfn.XLOOKUP(TEXT(H184,"0000000000"),'📞 Call Tracker'!A$2:A$2000,'📞 Call Tracker'!E$2:E$2000,""),"")</f>
        <v>General Education</v>
      </c>
      <c r="AA184" s="145">
        <f>IFERROR(_xlfn.XLOOKUP(TEXT(H184,"0000000000"),'📞 Call Tracker'!A$2:A$2000,'📞 Call Tracker'!F$2:F$2000,""),"")</f>
        <v>0</v>
      </c>
      <c r="AB184" s="132">
        <f t="shared" si="5"/>
        <v>99</v>
      </c>
      <c r="AC184" s="79"/>
    </row>
    <row r="185" spans="1:29" ht="20.100000000000001" customHeight="1">
      <c r="A185" s="91">
        <v>45903</v>
      </c>
      <c r="B185" s="92" t="str">
        <v>Meyer</v>
      </c>
      <c r="C185" s="92" t="str">
        <v>Randell</v>
      </c>
      <c r="D185" s="92" t="str">
        <v>Litchfield Park</v>
      </c>
      <c r="E185" s="92">
        <v>85340</v>
      </c>
      <c r="F185" s="137" t="str">
        <v>Opposed to FRM</v>
      </c>
      <c r="G185" s="93" t="str">
        <v>https://images.edocket.azcc.gov/docketpdf/E000046190.pdf</v>
      </c>
      <c r="H185" s="150" t="s">
        <v>6566</v>
      </c>
      <c r="I185" s="114" t="str">
        <v>R3-47</v>
      </c>
      <c r="J185" s="94" t="str">
        <v>No</v>
      </c>
      <c r="K185" s="94" t="str">
        <v>No</v>
      </c>
      <c r="L185" s="137" t="str">
        <v>Yes</v>
      </c>
      <c r="M185" s="94" t="str">
        <v>No</v>
      </c>
      <c r="N185" s="134" t="str">
        <v>No</v>
      </c>
      <c r="O185" s="119" t="str">
        <v>Yes</v>
      </c>
      <c r="P185" s="92" t="str">
        <v>N</v>
      </c>
      <c r="Q185" s="91">
        <v>45968</v>
      </c>
      <c r="R185" s="140">
        <v>0</v>
      </c>
      <c r="S185" s="92">
        <v>0</v>
      </c>
      <c r="T185" s="92">
        <v>0</v>
      </c>
      <c r="U185" s="137">
        <v>0</v>
      </c>
      <c r="V185" s="126" t="str">
        <f t="shared" si="4"/>
        <v>✅ On Best Plan</v>
      </c>
      <c r="W185" s="130" t="str">
        <f>IFERROR(_xlfn.XLOOKUP(TEXT(H185,"0000000000"),'📞 Call Tracker'!A$2:A$2000,'📞 Call Tracker'!B$2:B$2000,""),"")</f>
        <v/>
      </c>
      <c r="X185" s="96" t="str">
        <f>IFERROR(_xlfn.XLOOKUP(TEXT(H185,"0000000000"),'📞 Call Tracker'!A$2:A$2000,'📞 Call Tracker'!C$2:C$2000,""),"")</f>
        <v/>
      </c>
      <c r="Y185" s="95" t="str">
        <f>IFERROR(_xlfn.XLOOKUP(TEXT(H185,"0000000000"),'📞 Call Tracker'!A$2:A$2000,'📞 Call Tracker'!D$2:D$2000,""),"")</f>
        <v/>
      </c>
      <c r="Z185" s="95" t="str">
        <f>IFERROR(_xlfn.XLOOKUP(TEXT(H185,"0000000000"),'📞 Call Tracker'!A$2:A$2000,'📞 Call Tracker'!E$2:E$2000,""),"")</f>
        <v/>
      </c>
      <c r="AA185" s="145" t="str">
        <f>IFERROR(_xlfn.XLOOKUP(TEXT(H185,"0000000000"),'📞 Call Tracker'!A$2:A$2000,'📞 Call Tracker'!F$2:F$2000,""),"")</f>
        <v/>
      </c>
      <c r="AB185" s="132">
        <f t="shared" si="5"/>
        <v>4</v>
      </c>
      <c r="AC185" s="79"/>
    </row>
    <row r="186" spans="1:29" ht="20.100000000000001" customHeight="1">
      <c r="A186" s="91">
        <v>45903</v>
      </c>
      <c r="B186" s="92" t="str">
        <v>Farmer</v>
      </c>
      <c r="C186" s="92" t="str">
        <v>Eric</v>
      </c>
      <c r="D186" s="92" t="str">
        <v>Glendale</v>
      </c>
      <c r="E186" s="92">
        <v>85301</v>
      </c>
      <c r="F186" s="137" t="str">
        <v>Form letter</v>
      </c>
      <c r="G186" s="93" t="str">
        <v>https://images.edocket.azcc.gov/docketpdf/E000046190.pdf</v>
      </c>
      <c r="H186" s="150" t="s">
        <v>6567</v>
      </c>
      <c r="I186" s="114" t="str">
        <v>RTOUE47</v>
      </c>
      <c r="J186" s="94" t="str">
        <v>No</v>
      </c>
      <c r="K186" s="94" t="str">
        <v>No</v>
      </c>
      <c r="L186" s="137" t="str">
        <v>Yes</v>
      </c>
      <c r="M186" s="94" t="str">
        <v>No</v>
      </c>
      <c r="N186" s="134" t="str">
        <v>No</v>
      </c>
      <c r="O186" s="119" t="str">
        <v>Yes</v>
      </c>
      <c r="P186" s="92" t="str">
        <v>N</v>
      </c>
      <c r="Q186" s="91">
        <v>45968</v>
      </c>
      <c r="R186" s="140">
        <v>0</v>
      </c>
      <c r="S186" s="92">
        <v>0</v>
      </c>
      <c r="T186" s="92">
        <v>0</v>
      </c>
      <c r="U186" s="137">
        <v>0</v>
      </c>
      <c r="V186" s="126" t="str">
        <f t="shared" si="4"/>
        <v>✅ On Best Plan</v>
      </c>
      <c r="W186" s="130" t="str">
        <f>IFERROR(_xlfn.XLOOKUP(TEXT(H186,"0000000000"),'📞 Call Tracker'!A$2:A$2000,'📞 Call Tracker'!B$2:B$2000,""),"")</f>
        <v/>
      </c>
      <c r="X186" s="96" t="str">
        <f>IFERROR(_xlfn.XLOOKUP(TEXT(H186,"0000000000"),'📞 Call Tracker'!A$2:A$2000,'📞 Call Tracker'!C$2:C$2000,""),"")</f>
        <v/>
      </c>
      <c r="Y186" s="95" t="str">
        <f>IFERROR(_xlfn.XLOOKUP(TEXT(H186,"0000000000"),'📞 Call Tracker'!A$2:A$2000,'📞 Call Tracker'!D$2:D$2000,""),"")</f>
        <v/>
      </c>
      <c r="Z186" s="95" t="str">
        <f>IFERROR(_xlfn.XLOOKUP(TEXT(H186,"0000000000"),'📞 Call Tracker'!A$2:A$2000,'📞 Call Tracker'!E$2:E$2000,""),"")</f>
        <v/>
      </c>
      <c r="AA186" s="145" t="str">
        <f>IFERROR(_xlfn.XLOOKUP(TEXT(H186,"0000000000"),'📞 Call Tracker'!A$2:A$2000,'📞 Call Tracker'!F$2:F$2000,""),"")</f>
        <v/>
      </c>
      <c r="AB186" s="132">
        <f t="shared" si="5"/>
        <v>4</v>
      </c>
      <c r="AC186" s="79"/>
    </row>
    <row r="187" spans="1:29" ht="20.100000000000001" customHeight="1">
      <c r="A187" s="91">
        <v>45903</v>
      </c>
      <c r="B187" s="92" t="str">
        <v>Deleon</v>
      </c>
      <c r="C187" s="92" t="str">
        <v>Doneen</v>
      </c>
      <c r="D187" s="92" t="str">
        <v>Surprise</v>
      </c>
      <c r="E187" s="92">
        <v>85388</v>
      </c>
      <c r="F187" s="137" t="str">
        <v>Form letter</v>
      </c>
      <c r="G187" s="93" t="str">
        <v>https://images.edocket.azcc.gov/docketpdf/E000046190.pdf</v>
      </c>
      <c r="H187" s="150" t="s">
        <v>6568</v>
      </c>
      <c r="I187" s="114" t="str">
        <v>R3-47</v>
      </c>
      <c r="J187" s="94" t="str">
        <v>No</v>
      </c>
      <c r="K187" s="94" t="str">
        <v>No</v>
      </c>
      <c r="L187" s="137" t="str">
        <v>Yes</v>
      </c>
      <c r="M187" s="94" t="str">
        <v>No</v>
      </c>
      <c r="N187" s="134" t="str">
        <v>No</v>
      </c>
      <c r="O187" s="119" t="str">
        <v>Yes</v>
      </c>
      <c r="P187" s="92" t="str">
        <v>N</v>
      </c>
      <c r="Q187" s="91">
        <v>45968</v>
      </c>
      <c r="R187" s="140">
        <v>0</v>
      </c>
      <c r="S187" s="92">
        <v>0</v>
      </c>
      <c r="T187" s="92">
        <v>0</v>
      </c>
      <c r="U187" s="137">
        <v>0</v>
      </c>
      <c r="V187" s="126" t="str">
        <f t="shared" si="4"/>
        <v>✅ On Best Plan</v>
      </c>
      <c r="W187" s="130" t="str">
        <f>IFERROR(_xlfn.XLOOKUP(TEXT(H187,"0000000000"),'📞 Call Tracker'!A$2:A$2000,'📞 Call Tracker'!B$2:B$2000,""),"")</f>
        <v/>
      </c>
      <c r="X187" s="96" t="str">
        <f>IFERROR(_xlfn.XLOOKUP(TEXT(H187,"0000000000"),'📞 Call Tracker'!A$2:A$2000,'📞 Call Tracker'!C$2:C$2000,""),"")</f>
        <v/>
      </c>
      <c r="Y187" s="95" t="str">
        <f>IFERROR(_xlfn.XLOOKUP(TEXT(H187,"0000000000"),'📞 Call Tracker'!A$2:A$2000,'📞 Call Tracker'!D$2:D$2000,""),"")</f>
        <v/>
      </c>
      <c r="Z187" s="95" t="str">
        <f>IFERROR(_xlfn.XLOOKUP(TEXT(H187,"0000000000"),'📞 Call Tracker'!A$2:A$2000,'📞 Call Tracker'!E$2:E$2000,""),"")</f>
        <v/>
      </c>
      <c r="AA187" s="145" t="str">
        <f>IFERROR(_xlfn.XLOOKUP(TEXT(H187,"0000000000"),'📞 Call Tracker'!A$2:A$2000,'📞 Call Tracker'!F$2:F$2000,""),"")</f>
        <v/>
      </c>
      <c r="AB187" s="132">
        <f t="shared" si="5"/>
        <v>4</v>
      </c>
      <c r="AC187" s="79"/>
    </row>
    <row r="188" spans="1:29" ht="20.100000000000001" customHeight="1">
      <c r="A188" s="91">
        <v>45903</v>
      </c>
      <c r="B188" s="92" t="str">
        <v>Zuniga</v>
      </c>
      <c r="C188" s="92" t="str">
        <v>Dante</v>
      </c>
      <c r="D188" s="92" t="str">
        <v>Glendale</v>
      </c>
      <c r="E188" s="92">
        <v>85301</v>
      </c>
      <c r="F188" s="137" t="str">
        <v>Opposed</v>
      </c>
      <c r="G188" s="93" t="str">
        <v>https://images.edocket.azcc.gov/docketpdf/E000046190.pdf</v>
      </c>
      <c r="H188" s="150" t="s">
        <v>6569</v>
      </c>
      <c r="I188" s="114" t="str">
        <v>R-XS</v>
      </c>
      <c r="J188" s="94" t="str">
        <v>No</v>
      </c>
      <c r="K188" s="94" t="str">
        <v>No</v>
      </c>
      <c r="L188" s="137" t="str">
        <v>Yes</v>
      </c>
      <c r="M188" s="94" t="str">
        <v>No</v>
      </c>
      <c r="N188" s="134" t="str">
        <v>No</v>
      </c>
      <c r="O188" s="119" t="str">
        <v>Yes</v>
      </c>
      <c r="P188" s="92" t="str">
        <v>N</v>
      </c>
      <c r="Q188" s="91">
        <v>45968</v>
      </c>
      <c r="R188" s="140">
        <v>0</v>
      </c>
      <c r="S188" s="92">
        <v>0</v>
      </c>
      <c r="T188" s="92">
        <v>0</v>
      </c>
      <c r="U188" s="137">
        <v>0</v>
      </c>
      <c r="V188" s="126" t="str">
        <f t="shared" si="4"/>
        <v>✅ On Best Plan</v>
      </c>
      <c r="W188" s="130" t="str">
        <f>IFERROR(_xlfn.XLOOKUP(TEXT(H188,"0000000000"),'📞 Call Tracker'!A$2:A$2000,'📞 Call Tracker'!B$2:B$2000,""),"")</f>
        <v/>
      </c>
      <c r="X188" s="96" t="str">
        <f>IFERROR(_xlfn.XLOOKUP(TEXT(H188,"0000000000"),'📞 Call Tracker'!A$2:A$2000,'📞 Call Tracker'!C$2:C$2000,""),"")</f>
        <v/>
      </c>
      <c r="Y188" s="95" t="str">
        <f>IFERROR(_xlfn.XLOOKUP(TEXT(H188,"0000000000"),'📞 Call Tracker'!A$2:A$2000,'📞 Call Tracker'!D$2:D$2000,""),"")</f>
        <v/>
      </c>
      <c r="Z188" s="95" t="str">
        <f>IFERROR(_xlfn.XLOOKUP(TEXT(H188,"0000000000"),'📞 Call Tracker'!A$2:A$2000,'📞 Call Tracker'!E$2:E$2000,""),"")</f>
        <v/>
      </c>
      <c r="AA188" s="145" t="str">
        <f>IFERROR(_xlfn.XLOOKUP(TEXT(H188,"0000000000"),'📞 Call Tracker'!A$2:A$2000,'📞 Call Tracker'!F$2:F$2000,""),"")</f>
        <v/>
      </c>
      <c r="AB188" s="132">
        <f t="shared" si="5"/>
        <v>4</v>
      </c>
      <c r="AC188" s="79"/>
    </row>
    <row r="189" spans="1:29" ht="20.100000000000001" customHeight="1">
      <c r="A189" s="91">
        <v>45903</v>
      </c>
      <c r="B189" s="92" t="str">
        <v>Bambulum</v>
      </c>
      <c r="C189" s="92" t="str">
        <v>Grace</v>
      </c>
      <c r="D189" s="92" t="str">
        <v>Globe</v>
      </c>
      <c r="E189" s="92">
        <v>85501</v>
      </c>
      <c r="F189" s="137" t="str">
        <v>Opposed</v>
      </c>
      <c r="G189" s="93" t="str">
        <v>https://images.edocket.azcc.gov/docketpdf/E000046190.pdf</v>
      </c>
      <c r="H189" s="150" t="s">
        <v>6185</v>
      </c>
      <c r="I189" s="114" t="str">
        <v>RTOUE47</v>
      </c>
      <c r="J189" s="94" t="str">
        <v>No</v>
      </c>
      <c r="K189" s="94" t="str">
        <v>No</v>
      </c>
      <c r="L189" s="137" t="str">
        <v>No MEP R-BASIC ($102.86)</v>
      </c>
      <c r="M189" s="94" t="str">
        <v>No</v>
      </c>
      <c r="N189" s="134" t="str">
        <v>No</v>
      </c>
      <c r="O189" s="119" t="str">
        <v>Yes</v>
      </c>
      <c r="P189" s="92" t="str">
        <v>N</v>
      </c>
      <c r="Q189" s="91">
        <v>45968</v>
      </c>
      <c r="R189" s="140">
        <v>0</v>
      </c>
      <c r="S189" s="92">
        <v>0</v>
      </c>
      <c r="T189" s="92">
        <v>0</v>
      </c>
      <c r="U189" s="137">
        <v>0</v>
      </c>
      <c r="V189" s="126" t="str">
        <f t="shared" si="4"/>
        <v>❌ Not on Best Plan</v>
      </c>
      <c r="W189" s="130">
        <f>IFERROR(_xlfn.XLOOKUP(TEXT(H189,"0000000000"),'📞 Call Tracker'!A$2:A$2000,'📞 Call Tracker'!B$2:B$2000,""),"")</f>
        <v>0</v>
      </c>
      <c r="X189" s="96">
        <f>IFERROR(_xlfn.XLOOKUP(TEXT(H189,"0000000000"),'📞 Call Tracker'!A$2:A$2000,'📞 Call Tracker'!C$2:C$2000,""),"")</f>
        <v>0</v>
      </c>
      <c r="Y189" s="95">
        <f>IFERROR(_xlfn.XLOOKUP(TEXT(H189,"0000000000"),'📞 Call Tracker'!A$2:A$2000,'📞 Call Tracker'!D$2:D$2000,""),"")</f>
        <v>0</v>
      </c>
      <c r="Z189" s="95">
        <f>IFERROR(_xlfn.XLOOKUP(TEXT(H189,"0000000000"),'📞 Call Tracker'!A$2:A$2000,'📞 Call Tracker'!E$2:E$2000,""),"")</f>
        <v>0</v>
      </c>
      <c r="AA189" s="145">
        <f>IFERROR(_xlfn.XLOOKUP(TEXT(H189,"0000000000"),'📞 Call Tracker'!A$2:A$2000,'📞 Call Tracker'!F$2:F$2000,""),"")</f>
        <v>0</v>
      </c>
      <c r="AB189" s="132">
        <f t="shared" si="5"/>
        <v>99</v>
      </c>
      <c r="AC189" s="79"/>
    </row>
    <row r="190" spans="1:29" ht="20.100000000000001" customHeight="1">
      <c r="A190" s="91">
        <v>45903</v>
      </c>
      <c r="B190" s="92" t="str">
        <v>Gonzalez</v>
      </c>
      <c r="C190" s="92" t="str">
        <v>Kadence</v>
      </c>
      <c r="D190" s="92" t="str">
        <v>Phoenix</v>
      </c>
      <c r="E190" s="92">
        <v>85013</v>
      </c>
      <c r="F190" s="137" t="str">
        <v>Form letter</v>
      </c>
      <c r="G190" s="93" t="str">
        <v>https://images.edocket.azcc.gov/docketpdf/E000046190.pdf</v>
      </c>
      <c r="H190" s="150" t="s">
        <v>6570</v>
      </c>
      <c r="I190" s="114" t="str">
        <v>R-BASIC</v>
      </c>
      <c r="J190" s="94" t="str">
        <v>No</v>
      </c>
      <c r="K190" s="94" t="str">
        <v>No</v>
      </c>
      <c r="L190" s="137" t="str">
        <v>No MEP R3-47($36.09)</v>
      </c>
      <c r="M190" s="94" t="str">
        <v>No</v>
      </c>
      <c r="N190" s="134" t="str">
        <v>No</v>
      </c>
      <c r="O190" s="119" t="str">
        <v>Yes</v>
      </c>
      <c r="P190" s="92" t="str">
        <v>N</v>
      </c>
      <c r="Q190" s="91">
        <v>45968</v>
      </c>
      <c r="R190" s="140">
        <v>0</v>
      </c>
      <c r="S190" s="92">
        <v>0</v>
      </c>
      <c r="T190" s="92">
        <v>0</v>
      </c>
      <c r="U190" s="137">
        <v>0</v>
      </c>
      <c r="V190" s="126" t="str">
        <f t="shared" si="4"/>
        <v>❌ Not on Best Plan</v>
      </c>
      <c r="W190" s="130" t="str">
        <f>IFERROR(_xlfn.XLOOKUP(TEXT(H190,"0000000000"),'📞 Call Tracker'!A$2:A$2000,'📞 Call Tracker'!B$2:B$2000,""),"")</f>
        <v/>
      </c>
      <c r="X190" s="96" t="str">
        <f>IFERROR(_xlfn.XLOOKUP(TEXT(H190,"0000000000"),'📞 Call Tracker'!A$2:A$2000,'📞 Call Tracker'!C$2:C$2000,""),"")</f>
        <v/>
      </c>
      <c r="Y190" s="95" t="str">
        <f>IFERROR(_xlfn.XLOOKUP(TEXT(H190,"0000000000"),'📞 Call Tracker'!A$2:A$2000,'📞 Call Tracker'!D$2:D$2000,""),"")</f>
        <v/>
      </c>
      <c r="Z190" s="95" t="str">
        <f>IFERROR(_xlfn.XLOOKUP(TEXT(H190,"0000000000"),'📞 Call Tracker'!A$2:A$2000,'📞 Call Tracker'!E$2:E$2000,""),"")</f>
        <v/>
      </c>
      <c r="AA190" s="145" t="str">
        <f>IFERROR(_xlfn.XLOOKUP(TEXT(H190,"0000000000"),'📞 Call Tracker'!A$2:A$2000,'📞 Call Tracker'!F$2:F$2000,""),"")</f>
        <v/>
      </c>
      <c r="AB190" s="132">
        <f t="shared" si="5"/>
        <v>2</v>
      </c>
      <c r="AC190" s="79"/>
    </row>
    <row r="191" spans="1:29" ht="20.100000000000001" customHeight="1">
      <c r="A191" s="91">
        <v>45903</v>
      </c>
      <c r="B191" s="92" t="str">
        <v>Brown</v>
      </c>
      <c r="C191" s="92" t="str">
        <v>Theodore</v>
      </c>
      <c r="D191" s="92" t="str">
        <v>Goodyear</v>
      </c>
      <c r="E191" s="92">
        <v>85395</v>
      </c>
      <c r="F191" s="137" t="str">
        <v>Opposed</v>
      </c>
      <c r="G191" s="93" t="str">
        <v>https://images.edocket.azcc.gov/docketpdf/E000046190.pdf</v>
      </c>
      <c r="H191" s="150" t="s">
        <v>6571</v>
      </c>
      <c r="I191" s="114" t="str">
        <v>R3-47</v>
      </c>
      <c r="J191" s="94" t="str">
        <v>No</v>
      </c>
      <c r="K191" s="94" t="str">
        <v>No</v>
      </c>
      <c r="L191" s="137" t="str">
        <v>No MEP R-BASIC ($49.11)</v>
      </c>
      <c r="M191" s="94" t="str">
        <v>No</v>
      </c>
      <c r="N191" s="134" t="str">
        <v>No</v>
      </c>
      <c r="O191" s="119" t="str">
        <v>Yes</v>
      </c>
      <c r="P191" s="92" t="str">
        <v>N</v>
      </c>
      <c r="Q191" s="91">
        <v>45968</v>
      </c>
      <c r="R191" s="140">
        <v>0</v>
      </c>
      <c r="S191" s="92">
        <v>0</v>
      </c>
      <c r="T191" s="92">
        <v>0</v>
      </c>
      <c r="U191" s="137">
        <v>0</v>
      </c>
      <c r="V191" s="126" t="str">
        <f t="shared" si="4"/>
        <v>❌ Not on Best Plan</v>
      </c>
      <c r="W191" s="130" t="str">
        <f>IFERROR(_xlfn.XLOOKUP(TEXT(H191,"0000000000"),'📞 Call Tracker'!A$2:A$2000,'📞 Call Tracker'!B$2:B$2000,""),"")</f>
        <v/>
      </c>
      <c r="X191" s="96" t="str">
        <f>IFERROR(_xlfn.XLOOKUP(TEXT(H191,"0000000000"),'📞 Call Tracker'!A$2:A$2000,'📞 Call Tracker'!C$2:C$2000,""),"")</f>
        <v/>
      </c>
      <c r="Y191" s="95" t="str">
        <f>IFERROR(_xlfn.XLOOKUP(TEXT(H191,"0000000000"),'📞 Call Tracker'!A$2:A$2000,'📞 Call Tracker'!D$2:D$2000,""),"")</f>
        <v/>
      </c>
      <c r="Z191" s="95" t="str">
        <f>IFERROR(_xlfn.XLOOKUP(TEXT(H191,"0000000000"),'📞 Call Tracker'!A$2:A$2000,'📞 Call Tracker'!E$2:E$2000,""),"")</f>
        <v/>
      </c>
      <c r="AA191" s="145" t="str">
        <f>IFERROR(_xlfn.XLOOKUP(TEXT(H191,"0000000000"),'📞 Call Tracker'!A$2:A$2000,'📞 Call Tracker'!F$2:F$2000,""),"")</f>
        <v/>
      </c>
      <c r="AB191" s="132">
        <f t="shared" si="5"/>
        <v>2</v>
      </c>
      <c r="AC191" s="79"/>
    </row>
    <row r="192" spans="1:29" ht="20.100000000000001" customHeight="1">
      <c r="A192" s="91">
        <v>45903</v>
      </c>
      <c r="B192" s="92" t="str">
        <v>Cherukumilli</v>
      </c>
      <c r="C192" s="92" t="str">
        <v>Kameswar Naveen</v>
      </c>
      <c r="D192" s="92" t="str">
        <v>Peoria</v>
      </c>
      <c r="E192" s="92">
        <v>85383</v>
      </c>
      <c r="F192" s="137" t="str">
        <v>Form letter</v>
      </c>
      <c r="G192" s="93" t="str">
        <v>https://images.edocket.azcc.gov/docketpdf/E000046190.pdf</v>
      </c>
      <c r="H192" s="150" t="s">
        <v>6572</v>
      </c>
      <c r="I192" s="114" t="str">
        <v>R-2</v>
      </c>
      <c r="J192" s="94" t="str">
        <v>No</v>
      </c>
      <c r="K192" s="94" t="str">
        <v>No</v>
      </c>
      <c r="L192" s="137" t="str">
        <v>Frozen Rate</v>
      </c>
      <c r="M192" s="94" t="str">
        <v>No</v>
      </c>
      <c r="N192" s="134" t="str">
        <v>No</v>
      </c>
      <c r="O192" s="119" t="str">
        <v>Yes</v>
      </c>
      <c r="P192" s="92" t="str">
        <v>N</v>
      </c>
      <c r="Q192" s="91">
        <v>45968</v>
      </c>
      <c r="R192" s="140">
        <v>0</v>
      </c>
      <c r="S192" s="92">
        <v>0</v>
      </c>
      <c r="T192" s="92">
        <v>0</v>
      </c>
      <c r="U192" s="137">
        <v>0</v>
      </c>
      <c r="V192" s="126" t="str">
        <f t="shared" si="4"/>
        <v>❄ Frozen Rate</v>
      </c>
      <c r="W192" s="130" t="str">
        <f>IFERROR(_xlfn.XLOOKUP(TEXT(H192,"0000000000"),'📞 Call Tracker'!A$2:A$2000,'📞 Call Tracker'!B$2:B$2000,""),"")</f>
        <v/>
      </c>
      <c r="X192" s="96" t="str">
        <f>IFERROR(_xlfn.XLOOKUP(TEXT(H192,"0000000000"),'📞 Call Tracker'!A$2:A$2000,'📞 Call Tracker'!C$2:C$2000,""),"")</f>
        <v/>
      </c>
      <c r="Y192" s="95" t="str">
        <f>IFERROR(_xlfn.XLOOKUP(TEXT(H192,"0000000000"),'📞 Call Tracker'!A$2:A$2000,'📞 Call Tracker'!D$2:D$2000,""),"")</f>
        <v/>
      </c>
      <c r="Z192" s="95" t="str">
        <f>IFERROR(_xlfn.XLOOKUP(TEXT(H192,"0000000000"),'📞 Call Tracker'!A$2:A$2000,'📞 Call Tracker'!E$2:E$2000,""),"")</f>
        <v/>
      </c>
      <c r="AA192" s="145" t="str">
        <f>IFERROR(_xlfn.XLOOKUP(TEXT(H192,"0000000000"),'📞 Call Tracker'!A$2:A$2000,'📞 Call Tracker'!F$2:F$2000,""),"")</f>
        <v/>
      </c>
      <c r="AB192" s="132">
        <f t="shared" si="5"/>
        <v>4</v>
      </c>
      <c r="AC192" s="79"/>
    </row>
    <row r="193" spans="1:29" ht="20.100000000000001" customHeight="1">
      <c r="A193" s="91">
        <v>45903</v>
      </c>
      <c r="B193" s="92" t="str">
        <v>Clasby</v>
      </c>
      <c r="C193" s="92" t="str">
        <v>Brendan</v>
      </c>
      <c r="D193" s="92" t="str">
        <v>Phoenix</v>
      </c>
      <c r="E193" s="92">
        <v>85083</v>
      </c>
      <c r="F193" s="137" t="str">
        <v>Opposed</v>
      </c>
      <c r="G193" s="93" t="str">
        <v>https://images.edocket.azcc.gov/docketpdf/E000046190.pdf</v>
      </c>
      <c r="H193" s="150" t="s">
        <v>6573</v>
      </c>
      <c r="I193" s="114" t="str">
        <v>R-XS</v>
      </c>
      <c r="J193" s="94" t="str">
        <v>No</v>
      </c>
      <c r="K193" s="94" t="str">
        <v>No</v>
      </c>
      <c r="L193" s="137" t="str">
        <v>Not eligible yet (needs 3 months)</v>
      </c>
      <c r="M193" s="94" t="str">
        <v>No</v>
      </c>
      <c r="N193" s="134" t="str">
        <v>No</v>
      </c>
      <c r="O193" s="119" t="str">
        <v>Yes</v>
      </c>
      <c r="P193" s="92" t="str">
        <v>N</v>
      </c>
      <c r="Q193" s="91">
        <v>45968</v>
      </c>
      <c r="R193" s="140">
        <v>0</v>
      </c>
      <c r="S193" s="92">
        <v>0</v>
      </c>
      <c r="T193" s="92">
        <v>0</v>
      </c>
      <c r="U193" s="137">
        <v>0</v>
      </c>
      <c r="V193" s="126" t="str">
        <f t="shared" si="4"/>
        <v>❌ Not on Best Plan</v>
      </c>
      <c r="W193" s="130" t="str">
        <f>IFERROR(_xlfn.XLOOKUP(TEXT(H193,"0000000000"),'📞 Call Tracker'!A$2:A$2000,'📞 Call Tracker'!B$2:B$2000,""),"")</f>
        <v/>
      </c>
      <c r="X193" s="96" t="str">
        <f>IFERROR(_xlfn.XLOOKUP(TEXT(H193,"0000000000"),'📞 Call Tracker'!A$2:A$2000,'📞 Call Tracker'!C$2:C$2000,""),"")</f>
        <v/>
      </c>
      <c r="Y193" s="95" t="str">
        <f>IFERROR(_xlfn.XLOOKUP(TEXT(H193,"0000000000"),'📞 Call Tracker'!A$2:A$2000,'📞 Call Tracker'!D$2:D$2000,""),"")</f>
        <v/>
      </c>
      <c r="Z193" s="95" t="str">
        <f>IFERROR(_xlfn.XLOOKUP(TEXT(H193,"0000000000"),'📞 Call Tracker'!A$2:A$2000,'📞 Call Tracker'!E$2:E$2000,""),"")</f>
        <v/>
      </c>
      <c r="AA193" s="145" t="str">
        <f>IFERROR(_xlfn.XLOOKUP(TEXT(H193,"0000000000"),'📞 Call Tracker'!A$2:A$2000,'📞 Call Tracker'!F$2:F$2000,""),"")</f>
        <v/>
      </c>
      <c r="AB193" s="132">
        <f t="shared" si="5"/>
        <v>2</v>
      </c>
      <c r="AC193" s="79"/>
    </row>
    <row r="194" spans="1:29" ht="20.100000000000001" customHeight="1">
      <c r="A194" s="91">
        <v>45903</v>
      </c>
      <c r="B194" s="92" t="str">
        <v>Roy</v>
      </c>
      <c r="C194" s="92" t="str">
        <v>Jackson</v>
      </c>
      <c r="D194" s="92" t="str">
        <v>Phoenix</v>
      </c>
      <c r="E194" s="92">
        <v>85014</v>
      </c>
      <c r="F194" s="137" t="str">
        <v>Form letter</v>
      </c>
      <c r="G194" s="93" t="str">
        <v>https://images.edocket.azcc.gov/docketpdf/E000046190.pdf</v>
      </c>
      <c r="H194" s="150" t="s">
        <v>6574</v>
      </c>
      <c r="I194" s="114" t="str">
        <v>R-XS</v>
      </c>
      <c r="J194" s="94" t="str">
        <v>No</v>
      </c>
      <c r="K194" s="94" t="str">
        <v>No</v>
      </c>
      <c r="L194" s="137" t="str">
        <v>Yes</v>
      </c>
      <c r="M194" s="94" t="str">
        <v>No</v>
      </c>
      <c r="N194" s="134" t="str">
        <v>No</v>
      </c>
      <c r="O194" s="119" t="str">
        <v>Yes</v>
      </c>
      <c r="P194" s="92" t="str">
        <v>N</v>
      </c>
      <c r="Q194" s="91">
        <v>45968</v>
      </c>
      <c r="R194" s="140">
        <v>0</v>
      </c>
      <c r="S194" s="92">
        <v>0</v>
      </c>
      <c r="T194" s="92">
        <v>0</v>
      </c>
      <c r="U194" s="137">
        <v>0</v>
      </c>
      <c r="V194" s="126" t="str">
        <f t="shared" si="4"/>
        <v>✅ On Best Plan</v>
      </c>
      <c r="W194" s="130" t="str">
        <f>IFERROR(_xlfn.XLOOKUP(TEXT(H194,"0000000000"),'📞 Call Tracker'!A$2:A$2000,'📞 Call Tracker'!B$2:B$2000,""),"")</f>
        <v/>
      </c>
      <c r="X194" s="96" t="str">
        <f>IFERROR(_xlfn.XLOOKUP(TEXT(H194,"0000000000"),'📞 Call Tracker'!A$2:A$2000,'📞 Call Tracker'!C$2:C$2000,""),"")</f>
        <v/>
      </c>
      <c r="Y194" s="95" t="str">
        <f>IFERROR(_xlfn.XLOOKUP(TEXT(H194,"0000000000"),'📞 Call Tracker'!A$2:A$2000,'📞 Call Tracker'!D$2:D$2000,""),"")</f>
        <v/>
      </c>
      <c r="Z194" s="95" t="str">
        <f>IFERROR(_xlfn.XLOOKUP(TEXT(H194,"0000000000"),'📞 Call Tracker'!A$2:A$2000,'📞 Call Tracker'!E$2:E$2000,""),"")</f>
        <v/>
      </c>
      <c r="AA194" s="145" t="str">
        <f>IFERROR(_xlfn.XLOOKUP(TEXT(H194,"0000000000"),'📞 Call Tracker'!A$2:A$2000,'📞 Call Tracker'!F$2:F$2000,""),"")</f>
        <v/>
      </c>
      <c r="AB194" s="132">
        <f t="shared" si="5"/>
        <v>4</v>
      </c>
      <c r="AC194" s="79"/>
    </row>
    <row r="195" spans="1:29" ht="20.100000000000001" customHeight="1">
      <c r="A195" s="91">
        <v>45903</v>
      </c>
      <c r="B195" s="92" t="str">
        <v>Pranesh</v>
      </c>
      <c r="C195" s="92" t="str">
        <v>Vinay</v>
      </c>
      <c r="D195" s="92" t="str">
        <v>Peoria</v>
      </c>
      <c r="E195" s="92">
        <v>85382</v>
      </c>
      <c r="F195" s="137" t="str">
        <v>Form letter</v>
      </c>
      <c r="G195" s="93" t="str">
        <v>https://images.edocket.azcc.gov/docketpdf/E000046190.pdf</v>
      </c>
      <c r="H195" s="150" t="s">
        <v>6575</v>
      </c>
      <c r="I195" s="114" t="str">
        <v>R3-47</v>
      </c>
      <c r="J195" s="94" t="str">
        <v>No</v>
      </c>
      <c r="K195" s="94" t="str">
        <v>No</v>
      </c>
      <c r="L195" s="137" t="str">
        <v>No MEP R-BASIC ($95.94)</v>
      </c>
      <c r="M195" s="94" t="str">
        <v>No</v>
      </c>
      <c r="N195" s="134" t="str">
        <v>No</v>
      </c>
      <c r="O195" s="119" t="str">
        <v>Yes</v>
      </c>
      <c r="P195" s="92" t="str">
        <v>N</v>
      </c>
      <c r="Q195" s="91">
        <v>45968</v>
      </c>
      <c r="R195" s="140">
        <v>0</v>
      </c>
      <c r="S195" s="92">
        <v>0</v>
      </c>
      <c r="T195" s="92">
        <v>0</v>
      </c>
      <c r="U195" s="137">
        <v>0</v>
      </c>
      <c r="V195" s="126" t="str">
        <f t="shared" ref="V195:V258" si="6">IF(OR(LEFT(TRIM(L195),3)="Yes",TRIM(L195)="Y"),"✅ On Best Plan",IF(OR(L195="Frozen Rate",L195="Frozen Plan"),"❄ Frozen Rate",IF(OR(L195="Not able to Compare",L195="Info Not Avail",L195="NA",L195=""),"⚠ Unknown","❌ Not on Best Plan")))</f>
        <v>❌ Not on Best Plan</v>
      </c>
      <c r="W195" s="130" t="str">
        <f>IFERROR(_xlfn.XLOOKUP(TEXT(H195,"0000000000"),'📞 Call Tracker'!A$2:A$2000,'📞 Call Tracker'!B$2:B$2000,""),"")</f>
        <v/>
      </c>
      <c r="X195" s="96" t="str">
        <f>IFERROR(_xlfn.XLOOKUP(TEXT(H195,"0000000000"),'📞 Call Tracker'!A$2:A$2000,'📞 Call Tracker'!C$2:C$2000,""),"")</f>
        <v/>
      </c>
      <c r="Y195" s="95" t="str">
        <f>IFERROR(_xlfn.XLOOKUP(TEXT(H195,"0000000000"),'📞 Call Tracker'!A$2:A$2000,'📞 Call Tracker'!D$2:D$2000,""),"")</f>
        <v/>
      </c>
      <c r="Z195" s="95" t="str">
        <f>IFERROR(_xlfn.XLOOKUP(TEXT(H195,"0000000000"),'📞 Call Tracker'!A$2:A$2000,'📞 Call Tracker'!E$2:E$2000,""),"")</f>
        <v/>
      </c>
      <c r="AA195" s="145" t="str">
        <f>IFERROR(_xlfn.XLOOKUP(TEXT(H195,"0000000000"),'📞 Call Tracker'!A$2:A$2000,'📞 Call Tracker'!F$2:F$2000,""),"")</f>
        <v/>
      </c>
      <c r="AB195" s="132">
        <f t="shared" ref="AB195:AB258" si="7">IF(OR(H195="",X195&lt;&gt;""),99,IF(AND(NOT(OR(LEFT(TRIM(L195),3)="Yes",TRIM(L195)="Y",L195="Frozen Rate",L195="Frozen Plan",L195="Not able to Compare",L195="Info Not Avail",L195="NA",L195="")),AND(N195&lt;&gt;"No",N195&lt;&gt;"")),1,IF(NOT(OR(LEFT(TRIM(L195),3)="Yes",TRIM(L195)="Y",L195="Frozen Rate",L195="Frozen Plan",L195="Not able to Compare",L195="Info Not Avail",L195="NA",L195="")),2,IF(AND(N195&lt;&gt;"No",N195&lt;&gt;""),3,4))))</f>
        <v>2</v>
      </c>
      <c r="AC195" s="79"/>
    </row>
    <row r="196" spans="1:29" ht="20.100000000000001" customHeight="1">
      <c r="A196" s="91">
        <v>45903</v>
      </c>
      <c r="B196" s="92" t="str">
        <v>Cunico</v>
      </c>
      <c r="C196" s="92" t="str">
        <v>Shayla</v>
      </c>
      <c r="D196" s="92" t="str">
        <v>Scottsdale</v>
      </c>
      <c r="E196" s="92">
        <v>85251</v>
      </c>
      <c r="F196" s="137" t="str">
        <v>Form letter</v>
      </c>
      <c r="G196" s="93" t="str">
        <v>https://images.edocket.azcc.gov/docketpdf/E000046190.pdf</v>
      </c>
      <c r="H196" s="150" t="s">
        <v>6014</v>
      </c>
      <c r="I196" s="114" t="str">
        <v>R-XS</v>
      </c>
      <c r="J196" s="94" t="str">
        <v>No</v>
      </c>
      <c r="K196" s="94" t="str">
        <v>No</v>
      </c>
      <c r="L196" s="137" t="str">
        <v>Yes</v>
      </c>
      <c r="M196" s="94" t="str">
        <v>No</v>
      </c>
      <c r="N196" s="134" t="str">
        <v>No</v>
      </c>
      <c r="O196" s="119" t="str">
        <v>Yes</v>
      </c>
      <c r="P196" s="92" t="str">
        <v>N</v>
      </c>
      <c r="Q196" s="91">
        <v>45968</v>
      </c>
      <c r="R196" s="140">
        <v>0</v>
      </c>
      <c r="S196" s="92">
        <v>0</v>
      </c>
      <c r="T196" s="92">
        <v>0</v>
      </c>
      <c r="U196" s="137">
        <v>0</v>
      </c>
      <c r="V196" s="126" t="str">
        <f t="shared" si="6"/>
        <v>✅ On Best Plan</v>
      </c>
      <c r="W196" s="130" t="str">
        <f>IFERROR(_xlfn.XLOOKUP(TEXT(H196,"0000000000"),'📞 Call Tracker'!A$2:A$2000,'📞 Call Tracker'!B$2:B$2000,""),"")</f>
        <v>Michelle</v>
      </c>
      <c r="X196" s="96">
        <f>IFERROR(_xlfn.XLOOKUP(TEXT(H196,"0000000000"),'📞 Call Tracker'!A$2:A$2000,'📞 Call Tracker'!C$2:C$2000,""),"")</f>
        <v>46025</v>
      </c>
      <c r="Y196" s="95" t="str">
        <f>IFERROR(_xlfn.XLOOKUP(TEXT(H196,"0000000000"),'📞 Call Tracker'!A$2:A$2000,'📞 Call Tracker'!D$2:D$2000,""),"")</f>
        <v>YES</v>
      </c>
      <c r="Z196" s="95">
        <f>IFERROR(_xlfn.XLOOKUP(TEXT(H196,"0000000000"),'📞 Call Tracker'!A$2:A$2000,'📞 Call Tracker'!E$2:E$2000,""),"")</f>
        <v>0</v>
      </c>
      <c r="AA196" s="145">
        <f>IFERROR(_xlfn.XLOOKUP(TEXT(H196,"0000000000"),'📞 Call Tracker'!A$2:A$2000,'📞 Call Tracker'!F$2:F$2000,""),"")</f>
        <v>0</v>
      </c>
      <c r="AB196" s="132">
        <f t="shared" si="7"/>
        <v>99</v>
      </c>
      <c r="AC196" s="79"/>
    </row>
    <row r="197" spans="1:29" ht="20.100000000000001" customHeight="1">
      <c r="A197" s="91">
        <v>45903</v>
      </c>
      <c r="B197" s="92" t="str">
        <v>Castre</v>
      </c>
      <c r="C197" s="92" t="str">
        <v>Ryan</v>
      </c>
      <c r="D197" s="92" t="str">
        <v>Phoenix</v>
      </c>
      <c r="E197" s="92">
        <v>85016</v>
      </c>
      <c r="F197" s="137" t="str">
        <v>Form letter</v>
      </c>
      <c r="G197" s="93" t="str">
        <v>https://images.edocket.azcc.gov/docketpdf/E000046190.pdf</v>
      </c>
      <c r="H197" s="150" t="s">
        <v>6576</v>
      </c>
      <c r="I197" s="114" t="str">
        <v>R-BASIC</v>
      </c>
      <c r="J197" s="94" t="str">
        <v>No</v>
      </c>
      <c r="K197" s="94" t="str">
        <v>No</v>
      </c>
      <c r="L197" s="137" t="str">
        <v>No MEP R3-47($63.87)</v>
      </c>
      <c r="M197" s="94" t="str">
        <v>No</v>
      </c>
      <c r="N197" s="134" t="str">
        <v>No</v>
      </c>
      <c r="O197" s="119" t="str">
        <v>Yes</v>
      </c>
      <c r="P197" s="92" t="str">
        <v>N</v>
      </c>
      <c r="Q197" s="91">
        <v>45968</v>
      </c>
      <c r="R197" s="140">
        <v>0</v>
      </c>
      <c r="S197" s="92">
        <v>0</v>
      </c>
      <c r="T197" s="92">
        <v>0</v>
      </c>
      <c r="U197" s="137">
        <v>0</v>
      </c>
      <c r="V197" s="126" t="str">
        <f t="shared" si="6"/>
        <v>❌ Not on Best Plan</v>
      </c>
      <c r="W197" s="130" t="str">
        <f>IFERROR(_xlfn.XLOOKUP(TEXT(H197,"0000000000"),'📞 Call Tracker'!A$2:A$2000,'📞 Call Tracker'!B$2:B$2000,""),"")</f>
        <v/>
      </c>
      <c r="X197" s="96" t="str">
        <f>IFERROR(_xlfn.XLOOKUP(TEXT(H197,"0000000000"),'📞 Call Tracker'!A$2:A$2000,'📞 Call Tracker'!C$2:C$2000,""),"")</f>
        <v/>
      </c>
      <c r="Y197" s="95" t="str">
        <f>IFERROR(_xlfn.XLOOKUP(TEXT(H197,"0000000000"),'📞 Call Tracker'!A$2:A$2000,'📞 Call Tracker'!D$2:D$2000,""),"")</f>
        <v/>
      </c>
      <c r="Z197" s="95" t="str">
        <f>IFERROR(_xlfn.XLOOKUP(TEXT(H197,"0000000000"),'📞 Call Tracker'!A$2:A$2000,'📞 Call Tracker'!E$2:E$2000,""),"")</f>
        <v/>
      </c>
      <c r="AA197" s="145" t="str">
        <f>IFERROR(_xlfn.XLOOKUP(TEXT(H197,"0000000000"),'📞 Call Tracker'!A$2:A$2000,'📞 Call Tracker'!F$2:F$2000,""),"")</f>
        <v/>
      </c>
      <c r="AB197" s="132">
        <f t="shared" si="7"/>
        <v>2</v>
      </c>
      <c r="AC197" s="79"/>
    </row>
    <row r="198" spans="1:29" ht="20.100000000000001" customHeight="1">
      <c r="A198" s="91">
        <v>45903</v>
      </c>
      <c r="B198" s="92" t="str">
        <v>Waterman</v>
      </c>
      <c r="C198" s="92" t="str">
        <v>Jade</v>
      </c>
      <c r="D198" s="92" t="str">
        <v>Phoenix</v>
      </c>
      <c r="E198" s="92">
        <v>85013</v>
      </c>
      <c r="F198" s="137" t="str">
        <v>Form letter</v>
      </c>
      <c r="G198" s="93" t="str">
        <v>https://images.edocket.azcc.gov/docketpdf/E000046190.pdf</v>
      </c>
      <c r="H198" s="150" t="s">
        <v>6577</v>
      </c>
      <c r="I198" s="114" t="str">
        <v>R-XS</v>
      </c>
      <c r="J198" s="94" t="str">
        <v>No</v>
      </c>
      <c r="K198" s="94" t="str">
        <v>No</v>
      </c>
      <c r="L198" s="137" t="str">
        <v>Yes</v>
      </c>
      <c r="M198" s="94" t="str">
        <v>No</v>
      </c>
      <c r="N198" s="134" t="str">
        <v>No</v>
      </c>
      <c r="O198" s="119" t="str">
        <v>Yes</v>
      </c>
      <c r="P198" s="92" t="str">
        <v>N</v>
      </c>
      <c r="Q198" s="91">
        <v>45968</v>
      </c>
      <c r="R198" s="140">
        <v>0</v>
      </c>
      <c r="S198" s="92">
        <v>0</v>
      </c>
      <c r="T198" s="92">
        <v>0</v>
      </c>
      <c r="U198" s="137">
        <v>0</v>
      </c>
      <c r="V198" s="126" t="str">
        <f t="shared" si="6"/>
        <v>✅ On Best Plan</v>
      </c>
      <c r="W198" s="130" t="str">
        <f>IFERROR(_xlfn.XLOOKUP(TEXT(H198,"0000000000"),'📞 Call Tracker'!A$2:A$2000,'📞 Call Tracker'!B$2:B$2000,""),"")</f>
        <v/>
      </c>
      <c r="X198" s="96" t="str">
        <f>IFERROR(_xlfn.XLOOKUP(TEXT(H198,"0000000000"),'📞 Call Tracker'!A$2:A$2000,'📞 Call Tracker'!C$2:C$2000,""),"")</f>
        <v/>
      </c>
      <c r="Y198" s="95" t="str">
        <f>IFERROR(_xlfn.XLOOKUP(TEXT(H198,"0000000000"),'📞 Call Tracker'!A$2:A$2000,'📞 Call Tracker'!D$2:D$2000,""),"")</f>
        <v/>
      </c>
      <c r="Z198" s="95" t="str">
        <f>IFERROR(_xlfn.XLOOKUP(TEXT(H198,"0000000000"),'📞 Call Tracker'!A$2:A$2000,'📞 Call Tracker'!E$2:E$2000,""),"")</f>
        <v/>
      </c>
      <c r="AA198" s="145" t="str">
        <f>IFERROR(_xlfn.XLOOKUP(TEXT(H198,"0000000000"),'📞 Call Tracker'!A$2:A$2000,'📞 Call Tracker'!F$2:F$2000,""),"")</f>
        <v/>
      </c>
      <c r="AB198" s="132">
        <f t="shared" si="7"/>
        <v>4</v>
      </c>
      <c r="AC198" s="79"/>
    </row>
    <row r="199" spans="1:29" ht="20.100000000000001" customHeight="1">
      <c r="A199" s="91">
        <v>45903</v>
      </c>
      <c r="B199" s="92" t="str">
        <v>Rumery</v>
      </c>
      <c r="C199" s="92" t="str">
        <v>Ashlee</v>
      </c>
      <c r="D199" s="92" t="str">
        <v>Phoenix</v>
      </c>
      <c r="E199" s="92">
        <v>85028</v>
      </c>
      <c r="F199" s="137" t="str">
        <v>Form letter</v>
      </c>
      <c r="G199" s="93" t="str">
        <v>https://images.edocket.azcc.gov/docketpdf/E000046190.pdf</v>
      </c>
      <c r="H199" s="150" t="s">
        <v>6578</v>
      </c>
      <c r="I199" s="114" t="str">
        <v>RTOUE47</v>
      </c>
      <c r="J199" s="94" t="str">
        <v>No</v>
      </c>
      <c r="K199" s="94" t="str">
        <v>No</v>
      </c>
      <c r="L199" s="137" t="str">
        <v>No MEP R3-47($20.52)</v>
      </c>
      <c r="M199" s="94" t="str">
        <v>No</v>
      </c>
      <c r="N199" s="134" t="str">
        <v>No</v>
      </c>
      <c r="O199" s="119" t="str">
        <v>Yes</v>
      </c>
      <c r="P199" s="92" t="str">
        <v>N</v>
      </c>
      <c r="Q199" s="91">
        <v>45968</v>
      </c>
      <c r="R199" s="140">
        <v>0</v>
      </c>
      <c r="S199" s="92">
        <v>0</v>
      </c>
      <c r="T199" s="92">
        <v>0</v>
      </c>
      <c r="U199" s="137">
        <v>0</v>
      </c>
      <c r="V199" s="126" t="str">
        <f t="shared" si="6"/>
        <v>❌ Not on Best Plan</v>
      </c>
      <c r="W199" s="130" t="str">
        <f>IFERROR(_xlfn.XLOOKUP(TEXT(H199,"0000000000"),'📞 Call Tracker'!A$2:A$2000,'📞 Call Tracker'!B$2:B$2000,""),"")</f>
        <v/>
      </c>
      <c r="X199" s="96" t="str">
        <f>IFERROR(_xlfn.XLOOKUP(TEXT(H199,"0000000000"),'📞 Call Tracker'!A$2:A$2000,'📞 Call Tracker'!C$2:C$2000,""),"")</f>
        <v/>
      </c>
      <c r="Y199" s="95" t="str">
        <f>IFERROR(_xlfn.XLOOKUP(TEXT(H199,"0000000000"),'📞 Call Tracker'!A$2:A$2000,'📞 Call Tracker'!D$2:D$2000,""),"")</f>
        <v/>
      </c>
      <c r="Z199" s="95" t="str">
        <f>IFERROR(_xlfn.XLOOKUP(TEXT(H199,"0000000000"),'📞 Call Tracker'!A$2:A$2000,'📞 Call Tracker'!E$2:E$2000,""),"")</f>
        <v/>
      </c>
      <c r="AA199" s="145" t="str">
        <f>IFERROR(_xlfn.XLOOKUP(TEXT(H199,"0000000000"),'📞 Call Tracker'!A$2:A$2000,'📞 Call Tracker'!F$2:F$2000,""),"")</f>
        <v/>
      </c>
      <c r="AB199" s="132">
        <f t="shared" si="7"/>
        <v>2</v>
      </c>
      <c r="AC199" s="79"/>
    </row>
    <row r="200" spans="1:29" ht="20.100000000000001" customHeight="1">
      <c r="A200" s="91">
        <v>45903</v>
      </c>
      <c r="B200" s="92" t="str">
        <v>Tobey</v>
      </c>
      <c r="C200" s="92" t="str">
        <v>Jeff</v>
      </c>
      <c r="D200" s="92" t="str">
        <v>Peoria</v>
      </c>
      <c r="E200" s="92">
        <v>85381</v>
      </c>
      <c r="F200" s="137" t="str">
        <v>Opposed</v>
      </c>
      <c r="G200" s="93" t="str">
        <v>https://images.edocket.azcc.gov/docketpdf/E000046190.pdf</v>
      </c>
      <c r="H200" s="150" t="s">
        <v>6579</v>
      </c>
      <c r="I200" s="114" t="str">
        <v>R3-47</v>
      </c>
      <c r="J200" s="94" t="str">
        <v>No</v>
      </c>
      <c r="K200" s="94" t="str">
        <v>No</v>
      </c>
      <c r="L200" s="137" t="str">
        <v>Yes</v>
      </c>
      <c r="M200" s="94" t="str">
        <v>No</v>
      </c>
      <c r="N200" s="134" t="str">
        <v>No</v>
      </c>
      <c r="O200" s="119" t="str">
        <v>Yes</v>
      </c>
      <c r="P200" s="92" t="str">
        <v>N</v>
      </c>
      <c r="Q200" s="91">
        <v>45968</v>
      </c>
      <c r="R200" s="140">
        <v>0</v>
      </c>
      <c r="S200" s="92">
        <v>0</v>
      </c>
      <c r="T200" s="92">
        <v>0</v>
      </c>
      <c r="U200" s="137">
        <v>0</v>
      </c>
      <c r="V200" s="126" t="str">
        <f t="shared" si="6"/>
        <v>✅ On Best Plan</v>
      </c>
      <c r="W200" s="130" t="str">
        <f>IFERROR(_xlfn.XLOOKUP(TEXT(H200,"0000000000"),'📞 Call Tracker'!A$2:A$2000,'📞 Call Tracker'!B$2:B$2000,""),"")</f>
        <v/>
      </c>
      <c r="X200" s="96" t="str">
        <f>IFERROR(_xlfn.XLOOKUP(TEXT(H200,"0000000000"),'📞 Call Tracker'!A$2:A$2000,'📞 Call Tracker'!C$2:C$2000,""),"")</f>
        <v/>
      </c>
      <c r="Y200" s="95" t="str">
        <f>IFERROR(_xlfn.XLOOKUP(TEXT(H200,"0000000000"),'📞 Call Tracker'!A$2:A$2000,'📞 Call Tracker'!D$2:D$2000,""),"")</f>
        <v/>
      </c>
      <c r="Z200" s="95" t="str">
        <f>IFERROR(_xlfn.XLOOKUP(TEXT(H200,"0000000000"),'📞 Call Tracker'!A$2:A$2000,'📞 Call Tracker'!E$2:E$2000,""),"")</f>
        <v/>
      </c>
      <c r="AA200" s="145" t="str">
        <f>IFERROR(_xlfn.XLOOKUP(TEXT(H200,"0000000000"),'📞 Call Tracker'!A$2:A$2000,'📞 Call Tracker'!F$2:F$2000,""),"")</f>
        <v/>
      </c>
      <c r="AB200" s="132">
        <f t="shared" si="7"/>
        <v>4</v>
      </c>
      <c r="AC200" s="79"/>
    </row>
    <row r="201" spans="1:29" ht="20.100000000000001" customHeight="1">
      <c r="A201" s="91">
        <v>45903</v>
      </c>
      <c r="B201" s="92" t="str">
        <v>Patino</v>
      </c>
      <c r="C201" s="92" t="str">
        <v>Sean</v>
      </c>
      <c r="D201" s="92" t="str">
        <v>Surprise</v>
      </c>
      <c r="E201" s="92">
        <v>85388</v>
      </c>
      <c r="F201" s="137" t="str">
        <v>Form letter</v>
      </c>
      <c r="G201" s="93" t="str">
        <v>https://images.edocket.azcc.gov/docketpdf/E000046190.pdf</v>
      </c>
      <c r="H201" s="150" t="s">
        <v>6580</v>
      </c>
      <c r="I201" s="114" t="str">
        <v>EPR-6w/ET-2</v>
      </c>
      <c r="J201" s="94" t="str">
        <v>No</v>
      </c>
      <c r="K201" s="94" t="str">
        <v>No</v>
      </c>
      <c r="L201" s="137" t="str">
        <v>Frozen Rate</v>
      </c>
      <c r="M201" s="94" t="str">
        <v>No</v>
      </c>
      <c r="N201" s="134" t="str">
        <v>No</v>
      </c>
      <c r="O201" s="119" t="str">
        <v>Yes</v>
      </c>
      <c r="P201" s="92" t="str">
        <v>N</v>
      </c>
      <c r="Q201" s="91">
        <v>45968</v>
      </c>
      <c r="R201" s="140">
        <v>0</v>
      </c>
      <c r="S201" s="92">
        <v>0</v>
      </c>
      <c r="T201" s="92">
        <v>0</v>
      </c>
      <c r="U201" s="137">
        <v>0</v>
      </c>
      <c r="V201" s="126" t="str">
        <f t="shared" si="6"/>
        <v>❄ Frozen Rate</v>
      </c>
      <c r="W201" s="130" t="str">
        <f>IFERROR(_xlfn.XLOOKUP(TEXT(H201,"0000000000"),'📞 Call Tracker'!A$2:A$2000,'📞 Call Tracker'!B$2:B$2000,""),"")</f>
        <v/>
      </c>
      <c r="X201" s="96" t="str">
        <f>IFERROR(_xlfn.XLOOKUP(TEXT(H201,"0000000000"),'📞 Call Tracker'!A$2:A$2000,'📞 Call Tracker'!C$2:C$2000,""),"")</f>
        <v/>
      </c>
      <c r="Y201" s="95" t="str">
        <f>IFERROR(_xlfn.XLOOKUP(TEXT(H201,"0000000000"),'📞 Call Tracker'!A$2:A$2000,'📞 Call Tracker'!D$2:D$2000,""),"")</f>
        <v/>
      </c>
      <c r="Z201" s="95" t="str">
        <f>IFERROR(_xlfn.XLOOKUP(TEXT(H201,"0000000000"),'📞 Call Tracker'!A$2:A$2000,'📞 Call Tracker'!E$2:E$2000,""),"")</f>
        <v/>
      </c>
      <c r="AA201" s="145" t="str">
        <f>IFERROR(_xlfn.XLOOKUP(TEXT(H201,"0000000000"),'📞 Call Tracker'!A$2:A$2000,'📞 Call Tracker'!F$2:F$2000,""),"")</f>
        <v/>
      </c>
      <c r="AB201" s="132">
        <f t="shared" si="7"/>
        <v>4</v>
      </c>
      <c r="AC201" s="79"/>
    </row>
    <row r="202" spans="1:29" ht="20.100000000000001" customHeight="1">
      <c r="A202" s="91">
        <v>45903</v>
      </c>
      <c r="B202" s="92" t="str">
        <v>Pugliese</v>
      </c>
      <c r="C202" s="92" t="str">
        <v>Jeffrey</v>
      </c>
      <c r="D202" s="92" t="str">
        <v>Scottsdale</v>
      </c>
      <c r="E202" s="92">
        <v>85254</v>
      </c>
      <c r="F202" s="137" t="str">
        <v>Opposed</v>
      </c>
      <c r="G202" s="93" t="str">
        <v>https://images.edocket.azcc.gov/docketpdf/E000046190.pdf</v>
      </c>
      <c r="H202" s="150" t="s">
        <v>6581</v>
      </c>
      <c r="I202" s="114" t="str">
        <v>RTOUE47</v>
      </c>
      <c r="J202" s="94" t="str">
        <v>No</v>
      </c>
      <c r="K202" s="94" t="str">
        <v>No</v>
      </c>
      <c r="L202" s="137" t="str">
        <v>Yes</v>
      </c>
      <c r="M202" s="94" t="str">
        <v>No</v>
      </c>
      <c r="N202" s="134" t="str">
        <v>No</v>
      </c>
      <c r="O202" s="119" t="str">
        <v>Yes</v>
      </c>
      <c r="P202" s="92" t="str">
        <v>N</v>
      </c>
      <c r="Q202" s="91">
        <v>45968</v>
      </c>
      <c r="R202" s="140">
        <v>0</v>
      </c>
      <c r="S202" s="92">
        <v>0</v>
      </c>
      <c r="T202" s="92">
        <v>0</v>
      </c>
      <c r="U202" s="137">
        <v>0</v>
      </c>
      <c r="V202" s="126" t="str">
        <f t="shared" si="6"/>
        <v>✅ On Best Plan</v>
      </c>
      <c r="W202" s="130" t="str">
        <f>IFERROR(_xlfn.XLOOKUP(TEXT(H202,"0000000000"),'📞 Call Tracker'!A$2:A$2000,'📞 Call Tracker'!B$2:B$2000,""),"")</f>
        <v/>
      </c>
      <c r="X202" s="96" t="str">
        <f>IFERROR(_xlfn.XLOOKUP(TEXT(H202,"0000000000"),'📞 Call Tracker'!A$2:A$2000,'📞 Call Tracker'!C$2:C$2000,""),"")</f>
        <v/>
      </c>
      <c r="Y202" s="95" t="str">
        <f>IFERROR(_xlfn.XLOOKUP(TEXT(H202,"0000000000"),'📞 Call Tracker'!A$2:A$2000,'📞 Call Tracker'!D$2:D$2000,""),"")</f>
        <v/>
      </c>
      <c r="Z202" s="95" t="str">
        <f>IFERROR(_xlfn.XLOOKUP(TEXT(H202,"0000000000"),'📞 Call Tracker'!A$2:A$2000,'📞 Call Tracker'!E$2:E$2000,""),"")</f>
        <v/>
      </c>
      <c r="AA202" s="145" t="str">
        <f>IFERROR(_xlfn.XLOOKUP(TEXT(H202,"0000000000"),'📞 Call Tracker'!A$2:A$2000,'📞 Call Tracker'!F$2:F$2000,""),"")</f>
        <v/>
      </c>
      <c r="AB202" s="132">
        <f t="shared" si="7"/>
        <v>4</v>
      </c>
      <c r="AC202" s="79"/>
    </row>
    <row r="203" spans="1:29" ht="20.100000000000001" customHeight="1">
      <c r="A203" s="91">
        <v>45903</v>
      </c>
      <c r="B203" s="92" t="str">
        <v>McChesney</v>
      </c>
      <c r="C203" s="92" t="str">
        <v>Chris</v>
      </c>
      <c r="D203" s="92" t="str">
        <v>Peoria</v>
      </c>
      <c r="E203" s="92">
        <v>85382</v>
      </c>
      <c r="F203" s="137" t="str">
        <v>Unneeded money grab</v>
      </c>
      <c r="G203" s="93" t="str">
        <v>https://images.edocket.azcc.gov/docketpdf/E000046190.pdf</v>
      </c>
      <c r="H203" s="150" t="s">
        <v>6582</v>
      </c>
      <c r="I203" s="114" t="str">
        <v>R-2</v>
      </c>
      <c r="J203" s="94" t="str">
        <v>No</v>
      </c>
      <c r="K203" s="94" t="str">
        <v>No</v>
      </c>
      <c r="L203" s="137" t="str">
        <v>Frozen Rate</v>
      </c>
      <c r="M203" s="94" t="str">
        <v>No</v>
      </c>
      <c r="N203" s="134" t="str">
        <v>No</v>
      </c>
      <c r="O203" s="119" t="str">
        <v>Yes</v>
      </c>
      <c r="P203" s="92" t="str">
        <v>N</v>
      </c>
      <c r="Q203" s="91">
        <v>45968</v>
      </c>
      <c r="R203" s="140">
        <v>0</v>
      </c>
      <c r="S203" s="92">
        <v>0</v>
      </c>
      <c r="T203" s="92">
        <v>0</v>
      </c>
      <c r="U203" s="137">
        <v>0</v>
      </c>
      <c r="V203" s="126" t="str">
        <f t="shared" si="6"/>
        <v>❄ Frozen Rate</v>
      </c>
      <c r="W203" s="130" t="str">
        <f>IFERROR(_xlfn.XLOOKUP(TEXT(H203,"0000000000"),'📞 Call Tracker'!A$2:A$2000,'📞 Call Tracker'!B$2:B$2000,""),"")</f>
        <v/>
      </c>
      <c r="X203" s="96" t="str">
        <f>IFERROR(_xlfn.XLOOKUP(TEXT(H203,"0000000000"),'📞 Call Tracker'!A$2:A$2000,'📞 Call Tracker'!C$2:C$2000,""),"")</f>
        <v/>
      </c>
      <c r="Y203" s="95" t="str">
        <f>IFERROR(_xlfn.XLOOKUP(TEXT(H203,"0000000000"),'📞 Call Tracker'!A$2:A$2000,'📞 Call Tracker'!D$2:D$2000,""),"")</f>
        <v/>
      </c>
      <c r="Z203" s="95" t="str">
        <f>IFERROR(_xlfn.XLOOKUP(TEXT(H203,"0000000000"),'📞 Call Tracker'!A$2:A$2000,'📞 Call Tracker'!E$2:E$2000,""),"")</f>
        <v/>
      </c>
      <c r="AA203" s="145" t="str">
        <f>IFERROR(_xlfn.XLOOKUP(TEXT(H203,"0000000000"),'📞 Call Tracker'!A$2:A$2000,'📞 Call Tracker'!F$2:F$2000,""),"")</f>
        <v/>
      </c>
      <c r="AB203" s="132">
        <f t="shared" si="7"/>
        <v>4</v>
      </c>
      <c r="AC203" s="79"/>
    </row>
    <row r="204" spans="1:29" ht="20.100000000000001" customHeight="1">
      <c r="A204" s="91">
        <v>45903</v>
      </c>
      <c r="B204" s="92" t="str">
        <v>Wilson</v>
      </c>
      <c r="C204" s="92" t="str">
        <v>Carter</v>
      </c>
      <c r="D204" s="92" t="str">
        <v>Litchfield Park</v>
      </c>
      <c r="E204" s="92">
        <v>85340</v>
      </c>
      <c r="F204" s="137" t="str">
        <v>Opposed</v>
      </c>
      <c r="G204" s="93" t="str">
        <v>https://images.edocket.azcc.gov/docketpdf/E000046190.pdf</v>
      </c>
      <c r="H204" s="150" t="s">
        <v>6583</v>
      </c>
      <c r="I204" s="114" t="str">
        <v>EPR-6w/ET-2</v>
      </c>
      <c r="J204" s="94" t="str">
        <v>No</v>
      </c>
      <c r="K204" s="94" t="str">
        <v>No</v>
      </c>
      <c r="L204" s="137" t="str">
        <v>Frozen Rate</v>
      </c>
      <c r="M204" s="94" t="str">
        <v>No</v>
      </c>
      <c r="N204" s="134" t="str">
        <v>No</v>
      </c>
      <c r="O204" s="119" t="str">
        <v>Yes</v>
      </c>
      <c r="P204" s="92" t="str">
        <v>N</v>
      </c>
      <c r="Q204" s="91">
        <v>45968</v>
      </c>
      <c r="R204" s="140">
        <v>0</v>
      </c>
      <c r="S204" s="92">
        <v>0</v>
      </c>
      <c r="T204" s="92">
        <v>0</v>
      </c>
      <c r="U204" s="137">
        <v>0</v>
      </c>
      <c r="V204" s="126" t="str">
        <f t="shared" si="6"/>
        <v>❄ Frozen Rate</v>
      </c>
      <c r="W204" s="130" t="str">
        <f>IFERROR(_xlfn.XLOOKUP(TEXT(H204,"0000000000"),'📞 Call Tracker'!A$2:A$2000,'📞 Call Tracker'!B$2:B$2000,""),"")</f>
        <v/>
      </c>
      <c r="X204" s="96" t="str">
        <f>IFERROR(_xlfn.XLOOKUP(TEXT(H204,"0000000000"),'📞 Call Tracker'!A$2:A$2000,'📞 Call Tracker'!C$2:C$2000,""),"")</f>
        <v/>
      </c>
      <c r="Y204" s="95" t="str">
        <f>IFERROR(_xlfn.XLOOKUP(TEXT(H204,"0000000000"),'📞 Call Tracker'!A$2:A$2000,'📞 Call Tracker'!D$2:D$2000,""),"")</f>
        <v/>
      </c>
      <c r="Z204" s="95" t="str">
        <f>IFERROR(_xlfn.XLOOKUP(TEXT(H204,"0000000000"),'📞 Call Tracker'!A$2:A$2000,'📞 Call Tracker'!E$2:E$2000,""),"")</f>
        <v/>
      </c>
      <c r="AA204" s="145" t="str">
        <f>IFERROR(_xlfn.XLOOKUP(TEXT(H204,"0000000000"),'📞 Call Tracker'!A$2:A$2000,'📞 Call Tracker'!F$2:F$2000,""),"")</f>
        <v/>
      </c>
      <c r="AB204" s="132">
        <f t="shared" si="7"/>
        <v>4</v>
      </c>
      <c r="AC204" s="79"/>
    </row>
    <row r="205" spans="1:29" ht="20.100000000000001" customHeight="1">
      <c r="A205" s="91">
        <v>45903</v>
      </c>
      <c r="B205" s="92" t="str">
        <v>Rall</v>
      </c>
      <c r="C205" s="92" t="str">
        <v>Draeque</v>
      </c>
      <c r="D205" s="92" t="str">
        <v>Scottsdale</v>
      </c>
      <c r="E205" s="92">
        <v>85251</v>
      </c>
      <c r="F205" s="137" t="str">
        <v>Form letter</v>
      </c>
      <c r="G205" s="93" t="str">
        <v>https://images.edocket.azcc.gov/docketpdf/E000046190.pdf</v>
      </c>
      <c r="H205" s="150" t="s">
        <v>6584</v>
      </c>
      <c r="I205" s="114" t="str">
        <v>R-BASIC</v>
      </c>
      <c r="J205" s="94" t="str">
        <v>No</v>
      </c>
      <c r="K205" s="94" t="str">
        <v>No</v>
      </c>
      <c r="L205" s="137" t="str">
        <v>No MEP R-XS($104.50)</v>
      </c>
      <c r="M205" s="94" t="str">
        <v>No</v>
      </c>
      <c r="N205" s="134" t="str">
        <v>No</v>
      </c>
      <c r="O205" s="119" t="str">
        <v>Yes</v>
      </c>
      <c r="P205" s="92">
        <v>45933</v>
      </c>
      <c r="Q205" s="91">
        <v>45967</v>
      </c>
      <c r="R205" s="140" t="str">
        <v>Left VM 10/03/2025 - Will be automatically reassigned to Tier 1 soon</v>
      </c>
      <c r="S205" s="92">
        <v>0</v>
      </c>
      <c r="T205" s="92">
        <v>0</v>
      </c>
      <c r="U205" s="137">
        <v>0</v>
      </c>
      <c r="V205" s="126" t="str">
        <f t="shared" si="6"/>
        <v>❌ Not on Best Plan</v>
      </c>
      <c r="W205" s="130" t="str">
        <f>IFERROR(_xlfn.XLOOKUP(TEXT(H205,"0000000000"),'📞 Call Tracker'!A$2:A$2000,'📞 Call Tracker'!B$2:B$2000,""),"")</f>
        <v/>
      </c>
      <c r="X205" s="96" t="str">
        <f>IFERROR(_xlfn.XLOOKUP(TEXT(H205,"0000000000"),'📞 Call Tracker'!A$2:A$2000,'📞 Call Tracker'!C$2:C$2000,""),"")</f>
        <v/>
      </c>
      <c r="Y205" s="95" t="str">
        <f>IFERROR(_xlfn.XLOOKUP(TEXT(H205,"0000000000"),'📞 Call Tracker'!A$2:A$2000,'📞 Call Tracker'!D$2:D$2000,""),"")</f>
        <v/>
      </c>
      <c r="Z205" s="95" t="str">
        <f>IFERROR(_xlfn.XLOOKUP(TEXT(H205,"0000000000"),'📞 Call Tracker'!A$2:A$2000,'📞 Call Tracker'!E$2:E$2000,""),"")</f>
        <v/>
      </c>
      <c r="AA205" s="145" t="str">
        <f>IFERROR(_xlfn.XLOOKUP(TEXT(H205,"0000000000"),'📞 Call Tracker'!A$2:A$2000,'📞 Call Tracker'!F$2:F$2000,""),"")</f>
        <v/>
      </c>
      <c r="AB205" s="132">
        <f t="shared" si="7"/>
        <v>2</v>
      </c>
      <c r="AC205" s="79"/>
    </row>
    <row r="206" spans="1:29" ht="20.100000000000001" customHeight="1">
      <c r="A206" s="91">
        <v>45903</v>
      </c>
      <c r="B206" s="92" t="str">
        <v>Dandasi</v>
      </c>
      <c r="C206" s="92" t="str">
        <v>Varun</v>
      </c>
      <c r="D206" s="92" t="str">
        <v>Peoria</v>
      </c>
      <c r="E206" s="92">
        <v>85383</v>
      </c>
      <c r="F206" s="137" t="str">
        <v>Form letter</v>
      </c>
      <c r="G206" s="93" t="str">
        <v>https://images.edocket.azcc.gov/docketpdf/E000046190.pdf</v>
      </c>
      <c r="H206" s="150" t="s">
        <v>6585</v>
      </c>
      <c r="I206" s="114" t="str">
        <v>R3-47</v>
      </c>
      <c r="J206" s="94" t="str">
        <v>No</v>
      </c>
      <c r="K206" s="94" t="str">
        <v>No</v>
      </c>
      <c r="L206" s="137" t="str">
        <v>Yes</v>
      </c>
      <c r="M206" s="94" t="str">
        <v>No</v>
      </c>
      <c r="N206" s="134" t="str">
        <v>No</v>
      </c>
      <c r="O206" s="119" t="str">
        <v>Yes</v>
      </c>
      <c r="P206" s="92" t="str">
        <v>N</v>
      </c>
      <c r="Q206" s="91">
        <v>45967</v>
      </c>
      <c r="R206" s="140">
        <v>0</v>
      </c>
      <c r="S206" s="92">
        <v>0</v>
      </c>
      <c r="T206" s="92">
        <v>0</v>
      </c>
      <c r="U206" s="137">
        <v>0</v>
      </c>
      <c r="V206" s="126" t="str">
        <f t="shared" si="6"/>
        <v>✅ On Best Plan</v>
      </c>
      <c r="W206" s="130" t="str">
        <f>IFERROR(_xlfn.XLOOKUP(TEXT(H206,"0000000000"),'📞 Call Tracker'!A$2:A$2000,'📞 Call Tracker'!B$2:B$2000,""),"")</f>
        <v/>
      </c>
      <c r="X206" s="96" t="str">
        <f>IFERROR(_xlfn.XLOOKUP(TEXT(H206,"0000000000"),'📞 Call Tracker'!A$2:A$2000,'📞 Call Tracker'!C$2:C$2000,""),"")</f>
        <v/>
      </c>
      <c r="Y206" s="95" t="str">
        <f>IFERROR(_xlfn.XLOOKUP(TEXT(H206,"0000000000"),'📞 Call Tracker'!A$2:A$2000,'📞 Call Tracker'!D$2:D$2000,""),"")</f>
        <v/>
      </c>
      <c r="Z206" s="95" t="str">
        <f>IFERROR(_xlfn.XLOOKUP(TEXT(H206,"0000000000"),'📞 Call Tracker'!A$2:A$2000,'📞 Call Tracker'!E$2:E$2000,""),"")</f>
        <v/>
      </c>
      <c r="AA206" s="145" t="str">
        <f>IFERROR(_xlfn.XLOOKUP(TEXT(H206,"0000000000"),'📞 Call Tracker'!A$2:A$2000,'📞 Call Tracker'!F$2:F$2000,""),"")</f>
        <v/>
      </c>
      <c r="AB206" s="132">
        <f t="shared" si="7"/>
        <v>4</v>
      </c>
      <c r="AC206" s="79"/>
    </row>
    <row r="207" spans="1:29" ht="20.100000000000001" customHeight="1">
      <c r="A207" s="91">
        <v>45903</v>
      </c>
      <c r="B207" s="92" t="str">
        <v>Fargher</v>
      </c>
      <c r="C207" s="92" t="str">
        <v>Thomas</v>
      </c>
      <c r="D207" s="92" t="str">
        <v>Prescott Valley</v>
      </c>
      <c r="E207" s="92">
        <v>86314</v>
      </c>
      <c r="F207" s="137" t="str">
        <v>Opposed</v>
      </c>
      <c r="G207" s="93" t="str">
        <v>https://images.edocket.azcc.gov/docketpdf/E000046190.pdf</v>
      </c>
      <c r="H207" s="150" t="s">
        <v>6586</v>
      </c>
      <c r="I207" s="114" t="str">
        <v>R-BASIC</v>
      </c>
      <c r="J207" s="94" t="str">
        <v>No</v>
      </c>
      <c r="K207" s="94" t="str">
        <v>No</v>
      </c>
      <c r="L207" s="137" t="str">
        <v>No MEP R-XS ($126.43)</v>
      </c>
      <c r="M207" s="94" t="str">
        <v>No</v>
      </c>
      <c r="N207" s="134" t="str">
        <v>No</v>
      </c>
      <c r="O207" s="119" t="str">
        <v>Yes</v>
      </c>
      <c r="P207" s="92" t="str">
        <v>N</v>
      </c>
      <c r="Q207" s="91">
        <v>45967</v>
      </c>
      <c r="R207" s="140" t="str">
        <v>Will be automatically reassigned to Tier 1 soon</v>
      </c>
      <c r="S207" s="92">
        <v>0</v>
      </c>
      <c r="T207" s="92">
        <v>0</v>
      </c>
      <c r="U207" s="137">
        <v>0</v>
      </c>
      <c r="V207" s="126" t="str">
        <f t="shared" si="6"/>
        <v>❌ Not on Best Plan</v>
      </c>
      <c r="W207" s="130" t="str">
        <f>IFERROR(_xlfn.XLOOKUP(TEXT(H207,"0000000000"),'📞 Call Tracker'!A$2:A$2000,'📞 Call Tracker'!B$2:B$2000,""),"")</f>
        <v/>
      </c>
      <c r="X207" s="96" t="str">
        <f>IFERROR(_xlfn.XLOOKUP(TEXT(H207,"0000000000"),'📞 Call Tracker'!A$2:A$2000,'📞 Call Tracker'!C$2:C$2000,""),"")</f>
        <v/>
      </c>
      <c r="Y207" s="95" t="str">
        <f>IFERROR(_xlfn.XLOOKUP(TEXT(H207,"0000000000"),'📞 Call Tracker'!A$2:A$2000,'📞 Call Tracker'!D$2:D$2000,""),"")</f>
        <v/>
      </c>
      <c r="Z207" s="95" t="str">
        <f>IFERROR(_xlfn.XLOOKUP(TEXT(H207,"0000000000"),'📞 Call Tracker'!A$2:A$2000,'📞 Call Tracker'!E$2:E$2000,""),"")</f>
        <v/>
      </c>
      <c r="AA207" s="145" t="str">
        <f>IFERROR(_xlfn.XLOOKUP(TEXT(H207,"0000000000"),'📞 Call Tracker'!A$2:A$2000,'📞 Call Tracker'!F$2:F$2000,""),"")</f>
        <v/>
      </c>
      <c r="AB207" s="132">
        <f t="shared" si="7"/>
        <v>2</v>
      </c>
      <c r="AC207" s="79"/>
    </row>
    <row r="208" spans="1:29" ht="20.100000000000001" customHeight="1">
      <c r="A208" s="91">
        <v>45903</v>
      </c>
      <c r="B208" s="92" t="str">
        <v>Sutinen</v>
      </c>
      <c r="C208" s="92" t="str">
        <v>Valerie</v>
      </c>
      <c r="D208" s="92" t="str">
        <v>Goodyear</v>
      </c>
      <c r="E208" s="92">
        <v>85395</v>
      </c>
      <c r="F208" s="137" t="str">
        <v>Family struggling to make ends meet</v>
      </c>
      <c r="G208" s="93" t="str">
        <v>https://images.edocket.azcc.gov/docketpdf/E000046190.pdf</v>
      </c>
      <c r="H208" s="150" t="s">
        <v>6587</v>
      </c>
      <c r="I208" s="114" t="str">
        <v>RTOUE47</v>
      </c>
      <c r="J208" s="94" t="str">
        <v>No</v>
      </c>
      <c r="K208" s="94" t="str">
        <v>No</v>
      </c>
      <c r="L208" s="137" t="str">
        <v>Yes</v>
      </c>
      <c r="M208" s="94" t="str">
        <v>No</v>
      </c>
      <c r="N208" s="134" t="str">
        <v>No</v>
      </c>
      <c r="O208" s="119" t="str">
        <v>Yes</v>
      </c>
      <c r="P208" s="92" t="str">
        <v>N</v>
      </c>
      <c r="Q208" s="91">
        <v>45967</v>
      </c>
      <c r="R208" s="140">
        <v>0</v>
      </c>
      <c r="S208" s="92">
        <v>0</v>
      </c>
      <c r="T208" s="92">
        <v>0</v>
      </c>
      <c r="U208" s="137">
        <v>0</v>
      </c>
      <c r="V208" s="126" t="str">
        <f t="shared" si="6"/>
        <v>✅ On Best Plan</v>
      </c>
      <c r="W208" s="130" t="str">
        <f>IFERROR(_xlfn.XLOOKUP(TEXT(H208,"0000000000"),'📞 Call Tracker'!A$2:A$2000,'📞 Call Tracker'!B$2:B$2000,""),"")</f>
        <v/>
      </c>
      <c r="X208" s="96" t="str">
        <f>IFERROR(_xlfn.XLOOKUP(TEXT(H208,"0000000000"),'📞 Call Tracker'!A$2:A$2000,'📞 Call Tracker'!C$2:C$2000,""),"")</f>
        <v/>
      </c>
      <c r="Y208" s="95" t="str">
        <f>IFERROR(_xlfn.XLOOKUP(TEXT(H208,"0000000000"),'📞 Call Tracker'!A$2:A$2000,'📞 Call Tracker'!D$2:D$2000,""),"")</f>
        <v/>
      </c>
      <c r="Z208" s="95" t="str">
        <f>IFERROR(_xlfn.XLOOKUP(TEXT(H208,"0000000000"),'📞 Call Tracker'!A$2:A$2000,'📞 Call Tracker'!E$2:E$2000,""),"")</f>
        <v/>
      </c>
      <c r="AA208" s="145" t="str">
        <f>IFERROR(_xlfn.XLOOKUP(TEXT(H208,"0000000000"),'📞 Call Tracker'!A$2:A$2000,'📞 Call Tracker'!F$2:F$2000,""),"")</f>
        <v/>
      </c>
      <c r="AB208" s="132">
        <f t="shared" si="7"/>
        <v>4</v>
      </c>
      <c r="AC208" s="79"/>
    </row>
    <row r="209" spans="1:29" ht="20.100000000000001" customHeight="1">
      <c r="A209" s="91">
        <v>45903</v>
      </c>
      <c r="B209" s="92" t="str">
        <v>Wilson</v>
      </c>
      <c r="C209" s="92" t="str">
        <v>Elizabeth</v>
      </c>
      <c r="D209" s="92" t="str">
        <v>Litchfield Park</v>
      </c>
      <c r="E209" s="92">
        <v>85340</v>
      </c>
      <c r="F209" s="137" t="str">
        <v>Opposed</v>
      </c>
      <c r="G209" s="93" t="str">
        <v>https://images.edocket.azcc.gov/docketpdf/E000046190.pdf</v>
      </c>
      <c r="H209" s="150" t="s">
        <v>1194</v>
      </c>
      <c r="I209" s="114" t="str">
        <v>EPR-6w/E-12</v>
      </c>
      <c r="J209" s="94" t="str">
        <v>No</v>
      </c>
      <c r="K209" s="94" t="str">
        <v>No</v>
      </c>
      <c r="L209" s="137" t="str">
        <v>Frozen Rate</v>
      </c>
      <c r="M209" s="94" t="str">
        <v>No</v>
      </c>
      <c r="N209" s="134" t="str">
        <v>No</v>
      </c>
      <c r="O209" s="119" t="str">
        <v>Yes</v>
      </c>
      <c r="P209" s="92" t="str">
        <v>N</v>
      </c>
      <c r="Q209" s="91">
        <v>45967</v>
      </c>
      <c r="R209" s="140">
        <v>0</v>
      </c>
      <c r="S209" s="92">
        <v>0</v>
      </c>
      <c r="T209" s="92">
        <v>0</v>
      </c>
      <c r="U209" s="137">
        <v>0</v>
      </c>
      <c r="V209" s="126" t="str">
        <f t="shared" si="6"/>
        <v>❄ Frozen Rate</v>
      </c>
      <c r="W209" s="130">
        <f>IFERROR(_xlfn.XLOOKUP(TEXT(H209,"0000000000"),'📞 Call Tracker'!A$2:A$2000,'📞 Call Tracker'!B$2:B$2000,""),"")</f>
        <v>0</v>
      </c>
      <c r="X209" s="96">
        <f>IFERROR(_xlfn.XLOOKUP(TEXT(H209,"0000000000"),'📞 Call Tracker'!A$2:A$2000,'📞 Call Tracker'!C$2:C$2000,""),"")</f>
        <v>0</v>
      </c>
      <c r="Y209" s="95">
        <f>IFERROR(_xlfn.XLOOKUP(TEXT(H209,"0000000000"),'📞 Call Tracker'!A$2:A$2000,'📞 Call Tracker'!D$2:D$2000,""),"")</f>
        <v>0</v>
      </c>
      <c r="Z209" s="95">
        <f>IFERROR(_xlfn.XLOOKUP(TEXT(H209,"0000000000"),'📞 Call Tracker'!A$2:A$2000,'📞 Call Tracker'!E$2:E$2000,""),"")</f>
        <v>0</v>
      </c>
      <c r="AA209" s="145">
        <f>IFERROR(_xlfn.XLOOKUP(TEXT(H209,"0000000000"),'📞 Call Tracker'!A$2:A$2000,'📞 Call Tracker'!F$2:F$2000,""),"")</f>
        <v>0</v>
      </c>
      <c r="AB209" s="132">
        <f t="shared" si="7"/>
        <v>99</v>
      </c>
      <c r="AC209" s="79"/>
    </row>
    <row r="210" spans="1:29" ht="20.100000000000001" customHeight="1">
      <c r="A210" s="91">
        <v>45903</v>
      </c>
      <c r="B210" s="92" t="str">
        <v>Cunningham</v>
      </c>
      <c r="C210" s="92" t="str">
        <v>Barbara</v>
      </c>
      <c r="D210" s="92" t="str">
        <v>Goodyear</v>
      </c>
      <c r="E210" s="92">
        <v>85338</v>
      </c>
      <c r="F210" s="137" t="str">
        <v>Too much</v>
      </c>
      <c r="G210" s="93" t="str">
        <v>https://images.edocket.azcc.gov/docketpdf/E000046190.pdf</v>
      </c>
      <c r="H210" s="150" t="s">
        <v>6588</v>
      </c>
      <c r="I210" s="114" t="str">
        <v>EPR-6w/ET-2</v>
      </c>
      <c r="J210" s="94" t="str">
        <v>No</v>
      </c>
      <c r="K210" s="94" t="str">
        <v>No</v>
      </c>
      <c r="L210" s="137" t="str">
        <v>Frozen Rate</v>
      </c>
      <c r="M210" s="94" t="str">
        <v>No</v>
      </c>
      <c r="N210" s="134" t="str">
        <v>No</v>
      </c>
      <c r="O210" s="119" t="str">
        <v>Yes</v>
      </c>
      <c r="P210" s="92" t="str">
        <v>N</v>
      </c>
      <c r="Q210" s="91">
        <v>45967</v>
      </c>
      <c r="R210" s="140">
        <v>0</v>
      </c>
      <c r="S210" s="92">
        <v>0</v>
      </c>
      <c r="T210" s="92">
        <v>0</v>
      </c>
      <c r="U210" s="137">
        <v>0</v>
      </c>
      <c r="V210" s="126" t="str">
        <f t="shared" si="6"/>
        <v>❄ Frozen Rate</v>
      </c>
      <c r="W210" s="130" t="str">
        <f>IFERROR(_xlfn.XLOOKUP(TEXT(H210,"0000000000"),'📞 Call Tracker'!A$2:A$2000,'📞 Call Tracker'!B$2:B$2000,""),"")</f>
        <v/>
      </c>
      <c r="X210" s="96" t="str">
        <f>IFERROR(_xlfn.XLOOKUP(TEXT(H210,"0000000000"),'📞 Call Tracker'!A$2:A$2000,'📞 Call Tracker'!C$2:C$2000,""),"")</f>
        <v/>
      </c>
      <c r="Y210" s="95" t="str">
        <f>IFERROR(_xlfn.XLOOKUP(TEXT(H210,"0000000000"),'📞 Call Tracker'!A$2:A$2000,'📞 Call Tracker'!D$2:D$2000,""),"")</f>
        <v/>
      </c>
      <c r="Z210" s="95" t="str">
        <f>IFERROR(_xlfn.XLOOKUP(TEXT(H210,"0000000000"),'📞 Call Tracker'!A$2:A$2000,'📞 Call Tracker'!E$2:E$2000,""),"")</f>
        <v/>
      </c>
      <c r="AA210" s="145" t="str">
        <f>IFERROR(_xlfn.XLOOKUP(TEXT(H210,"0000000000"),'📞 Call Tracker'!A$2:A$2000,'📞 Call Tracker'!F$2:F$2000,""),"")</f>
        <v/>
      </c>
      <c r="AB210" s="132">
        <f t="shared" si="7"/>
        <v>4</v>
      </c>
      <c r="AC210" s="79"/>
    </row>
    <row r="211" spans="1:29" ht="20.100000000000001" customHeight="1">
      <c r="A211" s="91">
        <v>45903</v>
      </c>
      <c r="B211" s="92" t="str">
        <v>Lopez</v>
      </c>
      <c r="C211" s="92" t="str">
        <v>Patricia</v>
      </c>
      <c r="D211" s="92" t="str">
        <v>Goodyear</v>
      </c>
      <c r="E211" s="92">
        <v>85395</v>
      </c>
      <c r="F211" s="137" t="str">
        <v>Opposed</v>
      </c>
      <c r="G211" s="93" t="str">
        <v>https://images.edocket.azcc.gov/docketpdf/E000046190.pdf</v>
      </c>
      <c r="H211" s="150" t="s">
        <v>6589</v>
      </c>
      <c r="I211" s="114" t="str">
        <v>R-2</v>
      </c>
      <c r="J211" s="94" t="str">
        <v>No</v>
      </c>
      <c r="K211" s="94" t="str">
        <v>No</v>
      </c>
      <c r="L211" s="137" t="str">
        <v>Frozen Rate</v>
      </c>
      <c r="M211" s="94" t="str">
        <v>No</v>
      </c>
      <c r="N211" s="134" t="str">
        <v>No</v>
      </c>
      <c r="O211" s="119" t="str">
        <v>Yes</v>
      </c>
      <c r="P211" s="92" t="str">
        <v>N</v>
      </c>
      <c r="Q211" s="91">
        <v>45967</v>
      </c>
      <c r="R211" s="140">
        <v>0</v>
      </c>
      <c r="S211" s="92">
        <v>0</v>
      </c>
      <c r="T211" s="92">
        <v>0</v>
      </c>
      <c r="U211" s="137">
        <v>0</v>
      </c>
      <c r="V211" s="126" t="str">
        <f t="shared" si="6"/>
        <v>❄ Frozen Rate</v>
      </c>
      <c r="W211" s="130" t="str">
        <f>IFERROR(_xlfn.XLOOKUP(TEXT(H211,"0000000000"),'📞 Call Tracker'!A$2:A$2000,'📞 Call Tracker'!B$2:B$2000,""),"")</f>
        <v/>
      </c>
      <c r="X211" s="96" t="str">
        <f>IFERROR(_xlfn.XLOOKUP(TEXT(H211,"0000000000"),'📞 Call Tracker'!A$2:A$2000,'📞 Call Tracker'!C$2:C$2000,""),"")</f>
        <v/>
      </c>
      <c r="Y211" s="95" t="str">
        <f>IFERROR(_xlfn.XLOOKUP(TEXT(H211,"0000000000"),'📞 Call Tracker'!A$2:A$2000,'📞 Call Tracker'!D$2:D$2000,""),"")</f>
        <v/>
      </c>
      <c r="Z211" s="95" t="str">
        <f>IFERROR(_xlfn.XLOOKUP(TEXT(H211,"0000000000"),'📞 Call Tracker'!A$2:A$2000,'📞 Call Tracker'!E$2:E$2000,""),"")</f>
        <v/>
      </c>
      <c r="AA211" s="145" t="str">
        <f>IFERROR(_xlfn.XLOOKUP(TEXT(H211,"0000000000"),'📞 Call Tracker'!A$2:A$2000,'📞 Call Tracker'!F$2:F$2000,""),"")</f>
        <v/>
      </c>
      <c r="AB211" s="132">
        <f t="shared" si="7"/>
        <v>4</v>
      </c>
      <c r="AC211" s="79"/>
    </row>
    <row r="212" spans="1:29" ht="20.100000000000001" customHeight="1">
      <c r="A212" s="91">
        <v>45903</v>
      </c>
      <c r="B212" s="92" t="str">
        <v>Renberg</v>
      </c>
      <c r="C212" s="92" t="str">
        <v>Rebecca</v>
      </c>
      <c r="D212" s="92" t="str">
        <v>Phoenix</v>
      </c>
      <c r="E212" s="92">
        <v>85004</v>
      </c>
      <c r="F212" s="137" t="str">
        <v>Form letter</v>
      </c>
      <c r="G212" s="93" t="str">
        <v>https://images.edocket.azcc.gov/docketpdf/E000046190.pdf</v>
      </c>
      <c r="H212" s="150" t="s">
        <v>6590</v>
      </c>
      <c r="I212" s="114" t="str">
        <v>R-BASIC</v>
      </c>
      <c r="J212" s="94" t="str">
        <v>Yes</v>
      </c>
      <c r="K212" s="94" t="str">
        <v>No</v>
      </c>
      <c r="L212" s="137" t="str">
        <v>Yes</v>
      </c>
      <c r="M212" s="94" t="str">
        <v>No</v>
      </c>
      <c r="N212" s="134" t="str">
        <v>No</v>
      </c>
      <c r="O212" s="119" t="str">
        <v>Yes</v>
      </c>
      <c r="P212" s="92" t="str">
        <v>N</v>
      </c>
      <c r="Q212" s="91">
        <v>45967</v>
      </c>
      <c r="R212" s="140">
        <v>0</v>
      </c>
      <c r="S212" s="92">
        <v>0</v>
      </c>
      <c r="T212" s="92">
        <v>0</v>
      </c>
      <c r="U212" s="137">
        <v>0</v>
      </c>
      <c r="V212" s="126" t="str">
        <f t="shared" si="6"/>
        <v>✅ On Best Plan</v>
      </c>
      <c r="W212" s="130" t="str">
        <f>IFERROR(_xlfn.XLOOKUP(TEXT(H212,"0000000000"),'📞 Call Tracker'!A$2:A$2000,'📞 Call Tracker'!B$2:B$2000,""),"")</f>
        <v/>
      </c>
      <c r="X212" s="96" t="str">
        <f>IFERROR(_xlfn.XLOOKUP(TEXT(H212,"0000000000"),'📞 Call Tracker'!A$2:A$2000,'📞 Call Tracker'!C$2:C$2000,""),"")</f>
        <v/>
      </c>
      <c r="Y212" s="95" t="str">
        <f>IFERROR(_xlfn.XLOOKUP(TEXT(H212,"0000000000"),'📞 Call Tracker'!A$2:A$2000,'📞 Call Tracker'!D$2:D$2000,""),"")</f>
        <v/>
      </c>
      <c r="Z212" s="95" t="str">
        <f>IFERROR(_xlfn.XLOOKUP(TEXT(H212,"0000000000"),'📞 Call Tracker'!A$2:A$2000,'📞 Call Tracker'!E$2:E$2000,""),"")</f>
        <v/>
      </c>
      <c r="AA212" s="145" t="str">
        <f>IFERROR(_xlfn.XLOOKUP(TEXT(H212,"0000000000"),'📞 Call Tracker'!A$2:A$2000,'📞 Call Tracker'!F$2:F$2000,""),"")</f>
        <v/>
      </c>
      <c r="AB212" s="132">
        <f t="shared" si="7"/>
        <v>4</v>
      </c>
      <c r="AC212" s="79"/>
    </row>
    <row r="213" spans="1:29" ht="20.100000000000001" customHeight="1">
      <c r="A213" s="91">
        <v>45903</v>
      </c>
      <c r="B213" s="92" t="str">
        <v>Pannila</v>
      </c>
      <c r="C213" s="92" t="str">
        <v>Samudi</v>
      </c>
      <c r="D213" s="92" t="str">
        <v>Phoenix</v>
      </c>
      <c r="E213" s="92">
        <v>85012</v>
      </c>
      <c r="F213" s="137" t="str">
        <v>Stop being greedy</v>
      </c>
      <c r="G213" s="93" t="str">
        <v>https://images.edocket.azcc.gov/docketpdf/E000046190.pdf</v>
      </c>
      <c r="H213" s="150" t="s">
        <v>6591</v>
      </c>
      <c r="I213" s="114" t="str">
        <v>R3-47</v>
      </c>
      <c r="J213" s="94" t="str">
        <v>No</v>
      </c>
      <c r="K213" s="94" t="str">
        <v>No</v>
      </c>
      <c r="L213" s="137" t="str">
        <v>No MEP R-XS ($22.77)</v>
      </c>
      <c r="M213" s="94" t="str">
        <v>No</v>
      </c>
      <c r="N213" s="134" t="str">
        <v>No</v>
      </c>
      <c r="O213" s="119" t="str">
        <v>Yes</v>
      </c>
      <c r="P213" s="92" t="str">
        <v>N</v>
      </c>
      <c r="Q213" s="91">
        <v>45967</v>
      </c>
      <c r="R213" s="140">
        <v>0</v>
      </c>
      <c r="S213" s="92">
        <v>0</v>
      </c>
      <c r="T213" s="92">
        <v>0</v>
      </c>
      <c r="U213" s="137">
        <v>0</v>
      </c>
      <c r="V213" s="126" t="str">
        <f t="shared" si="6"/>
        <v>❌ Not on Best Plan</v>
      </c>
      <c r="W213" s="130" t="str">
        <f>IFERROR(_xlfn.XLOOKUP(TEXT(H213,"0000000000"),'📞 Call Tracker'!A$2:A$2000,'📞 Call Tracker'!B$2:B$2000,""),"")</f>
        <v/>
      </c>
      <c r="X213" s="96" t="str">
        <f>IFERROR(_xlfn.XLOOKUP(TEXT(H213,"0000000000"),'📞 Call Tracker'!A$2:A$2000,'📞 Call Tracker'!C$2:C$2000,""),"")</f>
        <v/>
      </c>
      <c r="Y213" s="95" t="str">
        <f>IFERROR(_xlfn.XLOOKUP(TEXT(H213,"0000000000"),'📞 Call Tracker'!A$2:A$2000,'📞 Call Tracker'!D$2:D$2000,""),"")</f>
        <v/>
      </c>
      <c r="Z213" s="95" t="str">
        <f>IFERROR(_xlfn.XLOOKUP(TEXT(H213,"0000000000"),'📞 Call Tracker'!A$2:A$2000,'📞 Call Tracker'!E$2:E$2000,""),"")</f>
        <v/>
      </c>
      <c r="AA213" s="145" t="str">
        <f>IFERROR(_xlfn.XLOOKUP(TEXT(H213,"0000000000"),'📞 Call Tracker'!A$2:A$2000,'📞 Call Tracker'!F$2:F$2000,""),"")</f>
        <v/>
      </c>
      <c r="AB213" s="132">
        <f t="shared" si="7"/>
        <v>2</v>
      </c>
      <c r="AC213" s="79"/>
    </row>
    <row r="214" spans="1:29" ht="20.100000000000001" customHeight="1">
      <c r="A214" s="91">
        <v>45903</v>
      </c>
      <c r="B214" s="92" t="str">
        <v>Didier</v>
      </c>
      <c r="C214" s="92" t="str">
        <v>Laurel</v>
      </c>
      <c r="D214" s="92" t="str">
        <v>Phoenix</v>
      </c>
      <c r="E214" s="92">
        <v>85085</v>
      </c>
      <c r="F214" s="137" t="str">
        <v>Opposed</v>
      </c>
      <c r="G214" s="93" t="str">
        <v>https://images.edocket.azcc.gov/docketpdf/E000046190.pdf</v>
      </c>
      <c r="H214" s="150" t="s">
        <v>6592</v>
      </c>
      <c r="I214" s="114" t="str">
        <v>R3-47</v>
      </c>
      <c r="J214" s="94" t="str">
        <v>No</v>
      </c>
      <c r="K214" s="94" t="str">
        <v>No</v>
      </c>
      <c r="L214" s="137" t="str">
        <v>Yes</v>
      </c>
      <c r="M214" s="94" t="str">
        <v>No</v>
      </c>
      <c r="N214" s="134" t="str">
        <v>No</v>
      </c>
      <c r="O214" s="119" t="str">
        <v>Yes</v>
      </c>
      <c r="P214" s="92" t="str">
        <v>N</v>
      </c>
      <c r="Q214" s="91">
        <v>45967</v>
      </c>
      <c r="R214" s="140">
        <v>0</v>
      </c>
      <c r="S214" s="92">
        <v>0</v>
      </c>
      <c r="T214" s="92">
        <v>0</v>
      </c>
      <c r="U214" s="137" t="str">
        <v>Solar Partner Program</v>
      </c>
      <c r="V214" s="126" t="str">
        <f t="shared" si="6"/>
        <v>✅ On Best Plan</v>
      </c>
      <c r="W214" s="130" t="str">
        <f>IFERROR(_xlfn.XLOOKUP(TEXT(H214,"0000000000"),'📞 Call Tracker'!A$2:A$2000,'📞 Call Tracker'!B$2:B$2000,""),"")</f>
        <v/>
      </c>
      <c r="X214" s="96" t="str">
        <f>IFERROR(_xlfn.XLOOKUP(TEXT(H214,"0000000000"),'📞 Call Tracker'!A$2:A$2000,'📞 Call Tracker'!C$2:C$2000,""),"")</f>
        <v/>
      </c>
      <c r="Y214" s="95" t="str">
        <f>IFERROR(_xlfn.XLOOKUP(TEXT(H214,"0000000000"),'📞 Call Tracker'!A$2:A$2000,'📞 Call Tracker'!D$2:D$2000,""),"")</f>
        <v/>
      </c>
      <c r="Z214" s="95" t="str">
        <f>IFERROR(_xlfn.XLOOKUP(TEXT(H214,"0000000000"),'📞 Call Tracker'!A$2:A$2000,'📞 Call Tracker'!E$2:E$2000,""),"")</f>
        <v/>
      </c>
      <c r="AA214" s="145" t="str">
        <f>IFERROR(_xlfn.XLOOKUP(TEXT(H214,"0000000000"),'📞 Call Tracker'!A$2:A$2000,'📞 Call Tracker'!F$2:F$2000,""),"")</f>
        <v/>
      </c>
      <c r="AB214" s="132">
        <f t="shared" si="7"/>
        <v>4</v>
      </c>
      <c r="AC214" s="79"/>
    </row>
    <row r="215" spans="1:29" ht="20.100000000000001" customHeight="1">
      <c r="A215" s="91">
        <v>45903</v>
      </c>
      <c r="B215" s="92" t="str">
        <v>Ranganathan</v>
      </c>
      <c r="C215" s="92" t="str">
        <v>Vengadesh</v>
      </c>
      <c r="D215" s="92" t="str">
        <v>Phoenix</v>
      </c>
      <c r="E215" s="92">
        <v>85024</v>
      </c>
      <c r="F215" s="137" t="str">
        <v>Form letter</v>
      </c>
      <c r="G215" s="93" t="str">
        <v>https://images.edocket.azcc.gov/docketpdf/E000046190.pdf</v>
      </c>
      <c r="H215" s="150" t="s">
        <v>6593</v>
      </c>
      <c r="I215" s="114" t="str">
        <v>RTOUE47</v>
      </c>
      <c r="J215" s="94" t="str">
        <v>No</v>
      </c>
      <c r="K215" s="94" t="str">
        <v>No</v>
      </c>
      <c r="L215" s="137" t="str">
        <v>Yes</v>
      </c>
      <c r="M215" s="94" t="str">
        <v>No</v>
      </c>
      <c r="N215" s="134" t="str">
        <v>No</v>
      </c>
      <c r="O215" s="119" t="str">
        <v>Yes</v>
      </c>
      <c r="P215" s="92" t="str">
        <v>N</v>
      </c>
      <c r="Q215" s="91">
        <v>45967</v>
      </c>
      <c r="R215" s="140">
        <v>0</v>
      </c>
      <c r="S215" s="92">
        <v>0</v>
      </c>
      <c r="T215" s="92">
        <v>0</v>
      </c>
      <c r="U215" s="137">
        <v>0</v>
      </c>
      <c r="V215" s="126" t="str">
        <f t="shared" si="6"/>
        <v>✅ On Best Plan</v>
      </c>
      <c r="W215" s="130" t="str">
        <f>IFERROR(_xlfn.XLOOKUP(TEXT(H215,"0000000000"),'📞 Call Tracker'!A$2:A$2000,'📞 Call Tracker'!B$2:B$2000,""),"")</f>
        <v/>
      </c>
      <c r="X215" s="96" t="str">
        <f>IFERROR(_xlfn.XLOOKUP(TEXT(H215,"0000000000"),'📞 Call Tracker'!A$2:A$2000,'📞 Call Tracker'!C$2:C$2000,""),"")</f>
        <v/>
      </c>
      <c r="Y215" s="95" t="str">
        <f>IFERROR(_xlfn.XLOOKUP(TEXT(H215,"0000000000"),'📞 Call Tracker'!A$2:A$2000,'📞 Call Tracker'!D$2:D$2000,""),"")</f>
        <v/>
      </c>
      <c r="Z215" s="95" t="str">
        <f>IFERROR(_xlfn.XLOOKUP(TEXT(H215,"0000000000"),'📞 Call Tracker'!A$2:A$2000,'📞 Call Tracker'!E$2:E$2000,""),"")</f>
        <v/>
      </c>
      <c r="AA215" s="145" t="str">
        <f>IFERROR(_xlfn.XLOOKUP(TEXT(H215,"0000000000"),'📞 Call Tracker'!A$2:A$2000,'📞 Call Tracker'!F$2:F$2000,""),"")</f>
        <v/>
      </c>
      <c r="AB215" s="132">
        <f t="shared" si="7"/>
        <v>4</v>
      </c>
      <c r="AC215" s="79"/>
    </row>
    <row r="216" spans="1:29" ht="20.100000000000001" customHeight="1">
      <c r="A216" s="91">
        <v>45903</v>
      </c>
      <c r="B216" s="92" t="str">
        <v>Corona</v>
      </c>
      <c r="C216" s="92" t="str">
        <v>Anthony</v>
      </c>
      <c r="D216" s="92" t="str">
        <v>Phoenix</v>
      </c>
      <c r="E216" s="92">
        <v>85023</v>
      </c>
      <c r="F216" s="137" t="str">
        <v>Opposed</v>
      </c>
      <c r="G216" s="93" t="str">
        <v>https://images.edocket.azcc.gov/docketpdf/E000046190.pdf</v>
      </c>
      <c r="H216" s="150" t="s">
        <v>6594</v>
      </c>
      <c r="I216" s="114" t="str">
        <v>R-2</v>
      </c>
      <c r="J216" s="94" t="str">
        <v>Yes</v>
      </c>
      <c r="K216" s="94" t="str">
        <v>No</v>
      </c>
      <c r="L216" s="137" t="str">
        <v>Frozen Rate</v>
      </c>
      <c r="M216" s="94" t="str">
        <v>No</v>
      </c>
      <c r="N216" s="134" t="str">
        <v>No</v>
      </c>
      <c r="O216" s="119" t="str">
        <v>Yes</v>
      </c>
      <c r="P216" s="92" t="str">
        <v>N</v>
      </c>
      <c r="Q216" s="91">
        <v>45967</v>
      </c>
      <c r="R216" s="140">
        <v>0</v>
      </c>
      <c r="S216" s="92">
        <v>0</v>
      </c>
      <c r="T216" s="92">
        <v>0</v>
      </c>
      <c r="U216" s="137">
        <v>0</v>
      </c>
      <c r="V216" s="126" t="str">
        <f t="shared" si="6"/>
        <v>❄ Frozen Rate</v>
      </c>
      <c r="W216" s="130" t="str">
        <f>IFERROR(_xlfn.XLOOKUP(TEXT(H216,"0000000000"),'📞 Call Tracker'!A$2:A$2000,'📞 Call Tracker'!B$2:B$2000,""),"")</f>
        <v/>
      </c>
      <c r="X216" s="96" t="str">
        <f>IFERROR(_xlfn.XLOOKUP(TEXT(H216,"0000000000"),'📞 Call Tracker'!A$2:A$2000,'📞 Call Tracker'!C$2:C$2000,""),"")</f>
        <v/>
      </c>
      <c r="Y216" s="95" t="str">
        <f>IFERROR(_xlfn.XLOOKUP(TEXT(H216,"0000000000"),'📞 Call Tracker'!A$2:A$2000,'📞 Call Tracker'!D$2:D$2000,""),"")</f>
        <v/>
      </c>
      <c r="Z216" s="95" t="str">
        <f>IFERROR(_xlfn.XLOOKUP(TEXT(H216,"0000000000"),'📞 Call Tracker'!A$2:A$2000,'📞 Call Tracker'!E$2:E$2000,""),"")</f>
        <v/>
      </c>
      <c r="AA216" s="145" t="str">
        <f>IFERROR(_xlfn.XLOOKUP(TEXT(H216,"0000000000"),'📞 Call Tracker'!A$2:A$2000,'📞 Call Tracker'!F$2:F$2000,""),"")</f>
        <v/>
      </c>
      <c r="AB216" s="132">
        <f t="shared" si="7"/>
        <v>4</v>
      </c>
      <c r="AC216" s="79"/>
    </row>
    <row r="217" spans="1:29" ht="20.100000000000001" customHeight="1">
      <c r="A217" s="91">
        <v>45903</v>
      </c>
      <c r="B217" s="92" t="str">
        <v>Czyzewicz</v>
      </c>
      <c r="C217" s="92" t="str">
        <v>Savannah</v>
      </c>
      <c r="D217" s="92" t="str">
        <v>Surprise</v>
      </c>
      <c r="E217" s="92">
        <v>85387</v>
      </c>
      <c r="F217" s="137" t="str">
        <v>Form letter</v>
      </c>
      <c r="G217" s="93" t="str">
        <v>https://images.edocket.azcc.gov/docketpdf/E000046190.pdf</v>
      </c>
      <c r="H217" s="150" t="s">
        <v>6186</v>
      </c>
      <c r="I217" s="114" t="str">
        <v>R-BASIC</v>
      </c>
      <c r="J217" s="94" t="str">
        <v>No</v>
      </c>
      <c r="K217" s="94" t="str">
        <v>No</v>
      </c>
      <c r="L217" s="137" t="str">
        <v>Yes</v>
      </c>
      <c r="M217" s="94" t="str">
        <v>No</v>
      </c>
      <c r="N217" s="134" t="str">
        <v>No</v>
      </c>
      <c r="O217" s="119" t="str">
        <v>Yes</v>
      </c>
      <c r="P217" s="92" t="str">
        <v>N</v>
      </c>
      <c r="Q217" s="91">
        <v>45967</v>
      </c>
      <c r="R217" s="140">
        <v>0</v>
      </c>
      <c r="S217" s="92">
        <v>0</v>
      </c>
      <c r="T217" s="92">
        <v>0</v>
      </c>
      <c r="U217" s="137">
        <v>0</v>
      </c>
      <c r="V217" s="126" t="str">
        <f t="shared" si="6"/>
        <v>✅ On Best Plan</v>
      </c>
      <c r="W217" s="130">
        <f>IFERROR(_xlfn.XLOOKUP(TEXT(H217,"0000000000"),'📞 Call Tracker'!A$2:A$2000,'📞 Call Tracker'!B$2:B$2000,""),"")</f>
        <v>0</v>
      </c>
      <c r="X217" s="96">
        <f>IFERROR(_xlfn.XLOOKUP(TEXT(H217,"0000000000"),'📞 Call Tracker'!A$2:A$2000,'📞 Call Tracker'!C$2:C$2000,""),"")</f>
        <v>0</v>
      </c>
      <c r="Y217" s="95">
        <f>IFERROR(_xlfn.XLOOKUP(TEXT(H217,"0000000000"),'📞 Call Tracker'!A$2:A$2000,'📞 Call Tracker'!D$2:D$2000,""),"")</f>
        <v>0</v>
      </c>
      <c r="Z217" s="95">
        <f>IFERROR(_xlfn.XLOOKUP(TEXT(H217,"0000000000"),'📞 Call Tracker'!A$2:A$2000,'📞 Call Tracker'!E$2:E$2000,""),"")</f>
        <v>0</v>
      </c>
      <c r="AA217" s="145">
        <f>IFERROR(_xlfn.XLOOKUP(TEXT(H217,"0000000000"),'📞 Call Tracker'!A$2:A$2000,'📞 Call Tracker'!F$2:F$2000,""),"")</f>
        <v>0</v>
      </c>
      <c r="AB217" s="132">
        <f t="shared" si="7"/>
        <v>99</v>
      </c>
      <c r="AC217" s="79"/>
    </row>
    <row r="218" spans="1:29" ht="20.100000000000001" customHeight="1">
      <c r="A218" s="91">
        <v>45903</v>
      </c>
      <c r="B218" s="92" t="str">
        <v xml:space="preserve">Breining </v>
      </c>
      <c r="C218" s="92" t="str">
        <v>Lauren</v>
      </c>
      <c r="D218" s="92" t="str">
        <v>Scottsdale</v>
      </c>
      <c r="E218" s="92">
        <v>85258</v>
      </c>
      <c r="F218" s="137" t="str">
        <v>Form letter</v>
      </c>
      <c r="G218" s="93" t="str">
        <v>https://images.edocket.azcc.gov/docketpdf/E000046190.pdf</v>
      </c>
      <c r="H218" s="150" t="s">
        <v>6595</v>
      </c>
      <c r="I218" s="114" t="str">
        <v>R3-47</v>
      </c>
      <c r="J218" s="94" t="str">
        <v>No</v>
      </c>
      <c r="K218" s="94" t="str">
        <v>No</v>
      </c>
      <c r="L218" s="137" t="str">
        <v>No MEP R-BASIC($196.33)</v>
      </c>
      <c r="M218" s="94" t="str">
        <v>No</v>
      </c>
      <c r="N218" s="134" t="str">
        <v>No</v>
      </c>
      <c r="O218" s="119" t="str">
        <v>Yes</v>
      </c>
      <c r="P218" s="92" t="str">
        <v>N</v>
      </c>
      <c r="Q218" s="91">
        <v>45967</v>
      </c>
      <c r="R218" s="140" t="str">
        <v>Number not in service</v>
      </c>
      <c r="S218" s="92">
        <v>0</v>
      </c>
      <c r="T218" s="92">
        <v>0</v>
      </c>
      <c r="U218" s="137">
        <v>0</v>
      </c>
      <c r="V218" s="126" t="str">
        <f t="shared" si="6"/>
        <v>❌ Not on Best Plan</v>
      </c>
      <c r="W218" s="130" t="str">
        <f>IFERROR(_xlfn.XLOOKUP(TEXT(H218,"0000000000"),'📞 Call Tracker'!A$2:A$2000,'📞 Call Tracker'!B$2:B$2000,""),"")</f>
        <v/>
      </c>
      <c r="X218" s="96" t="str">
        <f>IFERROR(_xlfn.XLOOKUP(TEXT(H218,"0000000000"),'📞 Call Tracker'!A$2:A$2000,'📞 Call Tracker'!C$2:C$2000,""),"")</f>
        <v/>
      </c>
      <c r="Y218" s="95" t="str">
        <f>IFERROR(_xlfn.XLOOKUP(TEXT(H218,"0000000000"),'📞 Call Tracker'!A$2:A$2000,'📞 Call Tracker'!D$2:D$2000,""),"")</f>
        <v/>
      </c>
      <c r="Z218" s="95" t="str">
        <f>IFERROR(_xlfn.XLOOKUP(TEXT(H218,"0000000000"),'📞 Call Tracker'!A$2:A$2000,'📞 Call Tracker'!E$2:E$2000,""),"")</f>
        <v/>
      </c>
      <c r="AA218" s="145" t="str">
        <f>IFERROR(_xlfn.XLOOKUP(TEXT(H218,"0000000000"),'📞 Call Tracker'!A$2:A$2000,'📞 Call Tracker'!F$2:F$2000,""),"")</f>
        <v/>
      </c>
      <c r="AB218" s="132">
        <f t="shared" si="7"/>
        <v>2</v>
      </c>
      <c r="AC218" s="79"/>
    </row>
    <row r="219" spans="1:29" ht="20.100000000000001" customHeight="1">
      <c r="A219" s="91">
        <v>45903</v>
      </c>
      <c r="B219" s="92" t="str">
        <v>Rajkaran</v>
      </c>
      <c r="C219" s="92" t="str">
        <v>Rupesh</v>
      </c>
      <c r="D219" s="92" t="str">
        <v>Peoria</v>
      </c>
      <c r="E219" s="92">
        <v>85383</v>
      </c>
      <c r="F219" s="137" t="str">
        <v>Opposed</v>
      </c>
      <c r="G219" s="93" t="str">
        <v>https://images.edocket.azcc.gov/docketpdf/E000046190.pdf</v>
      </c>
      <c r="H219" s="150" t="s">
        <v>6596</v>
      </c>
      <c r="I219" s="114" t="str">
        <v>R-BASIC</v>
      </c>
      <c r="J219" s="94" t="str">
        <v>No</v>
      </c>
      <c r="K219" s="94" t="str">
        <v>No</v>
      </c>
      <c r="L219" s="137" t="str">
        <v>No MEP R-XS(19.31)</v>
      </c>
      <c r="M219" s="94" t="str">
        <v>No</v>
      </c>
      <c r="N219" s="134" t="str">
        <v>No</v>
      </c>
      <c r="O219" s="119" t="str">
        <v>Yes</v>
      </c>
      <c r="P219" s="92" t="str">
        <v>N</v>
      </c>
      <c r="Q219" s="91">
        <v>45967</v>
      </c>
      <c r="R219" s="140" t="str">
        <v>2 SAs on account should be automatically reassigned to Tier 1 soon</v>
      </c>
      <c r="S219" s="92">
        <v>0</v>
      </c>
      <c r="T219" s="92">
        <v>0</v>
      </c>
      <c r="U219" s="137">
        <v>0</v>
      </c>
      <c r="V219" s="126" t="str">
        <f t="shared" si="6"/>
        <v>❌ Not on Best Plan</v>
      </c>
      <c r="W219" s="130" t="str">
        <f>IFERROR(_xlfn.XLOOKUP(TEXT(H219,"0000000000"),'📞 Call Tracker'!A$2:A$2000,'📞 Call Tracker'!B$2:B$2000,""),"")</f>
        <v/>
      </c>
      <c r="X219" s="96" t="str">
        <f>IFERROR(_xlfn.XLOOKUP(TEXT(H219,"0000000000"),'📞 Call Tracker'!A$2:A$2000,'📞 Call Tracker'!C$2:C$2000,""),"")</f>
        <v/>
      </c>
      <c r="Y219" s="95" t="str">
        <f>IFERROR(_xlfn.XLOOKUP(TEXT(H219,"0000000000"),'📞 Call Tracker'!A$2:A$2000,'📞 Call Tracker'!D$2:D$2000,""),"")</f>
        <v/>
      </c>
      <c r="Z219" s="95" t="str">
        <f>IFERROR(_xlfn.XLOOKUP(TEXT(H219,"0000000000"),'📞 Call Tracker'!A$2:A$2000,'📞 Call Tracker'!E$2:E$2000,""),"")</f>
        <v/>
      </c>
      <c r="AA219" s="145" t="str">
        <f>IFERROR(_xlfn.XLOOKUP(TEXT(H219,"0000000000"),'📞 Call Tracker'!A$2:A$2000,'📞 Call Tracker'!F$2:F$2000,""),"")</f>
        <v/>
      </c>
      <c r="AB219" s="132">
        <f t="shared" si="7"/>
        <v>2</v>
      </c>
      <c r="AC219" s="79"/>
    </row>
    <row r="220" spans="1:29" ht="20.100000000000001" customHeight="1">
      <c r="A220" s="91">
        <v>45903</v>
      </c>
      <c r="B220" s="92" t="str">
        <v>Caldwell</v>
      </c>
      <c r="C220" s="92" t="str">
        <v>Davis</v>
      </c>
      <c r="D220" s="92" t="str">
        <v>Phoenix</v>
      </c>
      <c r="E220" s="92">
        <v>85016</v>
      </c>
      <c r="F220" s="137" t="str">
        <v>Form letter</v>
      </c>
      <c r="G220" s="93" t="str">
        <v>https://images.edocket.azcc.gov/docketpdf/E000046190.pdf</v>
      </c>
      <c r="H220" s="150" t="s">
        <v>6597</v>
      </c>
      <c r="I220" s="114" t="str">
        <v>R3-47</v>
      </c>
      <c r="J220" s="94" t="str">
        <v>No</v>
      </c>
      <c r="K220" s="94" t="str">
        <v>No</v>
      </c>
      <c r="L220" s="137" t="str">
        <v>Yes</v>
      </c>
      <c r="M220" s="94" t="str">
        <v>No</v>
      </c>
      <c r="N220" s="134" t="str">
        <v>No</v>
      </c>
      <c r="O220" s="119" t="str">
        <v>Yes</v>
      </c>
      <c r="P220" s="92" t="str">
        <v>N</v>
      </c>
      <c r="Q220" s="91">
        <v>45967</v>
      </c>
      <c r="R220" s="140">
        <v>0</v>
      </c>
      <c r="S220" s="92">
        <v>0</v>
      </c>
      <c r="T220" s="92">
        <v>0</v>
      </c>
      <c r="U220" s="137">
        <v>0</v>
      </c>
      <c r="V220" s="126" t="str">
        <f t="shared" si="6"/>
        <v>✅ On Best Plan</v>
      </c>
      <c r="W220" s="130" t="str">
        <f>IFERROR(_xlfn.XLOOKUP(TEXT(H220,"0000000000"),'📞 Call Tracker'!A$2:A$2000,'📞 Call Tracker'!B$2:B$2000,""),"")</f>
        <v/>
      </c>
      <c r="X220" s="96" t="str">
        <f>IFERROR(_xlfn.XLOOKUP(TEXT(H220,"0000000000"),'📞 Call Tracker'!A$2:A$2000,'📞 Call Tracker'!C$2:C$2000,""),"")</f>
        <v/>
      </c>
      <c r="Y220" s="95" t="str">
        <f>IFERROR(_xlfn.XLOOKUP(TEXT(H220,"0000000000"),'📞 Call Tracker'!A$2:A$2000,'📞 Call Tracker'!D$2:D$2000,""),"")</f>
        <v/>
      </c>
      <c r="Z220" s="95" t="str">
        <f>IFERROR(_xlfn.XLOOKUP(TEXT(H220,"0000000000"),'📞 Call Tracker'!A$2:A$2000,'📞 Call Tracker'!E$2:E$2000,""),"")</f>
        <v/>
      </c>
      <c r="AA220" s="145" t="str">
        <f>IFERROR(_xlfn.XLOOKUP(TEXT(H220,"0000000000"),'📞 Call Tracker'!A$2:A$2000,'📞 Call Tracker'!F$2:F$2000,""),"")</f>
        <v/>
      </c>
      <c r="AB220" s="132">
        <f t="shared" si="7"/>
        <v>4</v>
      </c>
      <c r="AC220" s="79"/>
    </row>
    <row r="221" spans="1:29" ht="20.100000000000001" customHeight="1">
      <c r="A221" s="91">
        <v>45903</v>
      </c>
      <c r="B221" s="92" t="str">
        <v>Ollerton</v>
      </c>
      <c r="C221" s="92" t="str">
        <v>Diana</v>
      </c>
      <c r="D221" s="92" t="str">
        <v>Goodyear</v>
      </c>
      <c r="E221" s="92">
        <v>85395</v>
      </c>
      <c r="F221" s="137" t="str">
        <v>Senior / Fixed Income</v>
      </c>
      <c r="G221" s="93" t="str">
        <v>https://images.edocket.azcc.gov/docketpdf/E000046190.pdf</v>
      </c>
      <c r="H221" s="150" t="s">
        <v>6549</v>
      </c>
      <c r="I221" s="114" t="str">
        <v>R3-47</v>
      </c>
      <c r="J221" s="94" t="str">
        <v>No</v>
      </c>
      <c r="K221" s="94" t="str">
        <v>No</v>
      </c>
      <c r="L221" s="137" t="str">
        <v>Yes</v>
      </c>
      <c r="M221" s="94" t="str">
        <v>No</v>
      </c>
      <c r="N221" s="134" t="str">
        <v>No</v>
      </c>
      <c r="O221" s="119" t="str">
        <v>Yes</v>
      </c>
      <c r="P221" s="92" t="str">
        <v>N</v>
      </c>
      <c r="Q221" s="91">
        <v>45967</v>
      </c>
      <c r="R221" s="140">
        <v>0</v>
      </c>
      <c r="S221" s="92">
        <v>0</v>
      </c>
      <c r="T221" s="92">
        <v>0</v>
      </c>
      <c r="U221" s="137">
        <v>0</v>
      </c>
      <c r="V221" s="126" t="str">
        <f t="shared" si="6"/>
        <v>✅ On Best Plan</v>
      </c>
      <c r="W221" s="130" t="str">
        <f>IFERROR(_xlfn.XLOOKUP(TEXT(H221,"0000000000"),'📞 Call Tracker'!A$2:A$2000,'📞 Call Tracker'!B$2:B$2000,""),"")</f>
        <v/>
      </c>
      <c r="X221" s="96" t="str">
        <f>IFERROR(_xlfn.XLOOKUP(TEXT(H221,"0000000000"),'📞 Call Tracker'!A$2:A$2000,'📞 Call Tracker'!C$2:C$2000,""),"")</f>
        <v/>
      </c>
      <c r="Y221" s="95" t="str">
        <f>IFERROR(_xlfn.XLOOKUP(TEXT(H221,"0000000000"),'📞 Call Tracker'!A$2:A$2000,'📞 Call Tracker'!D$2:D$2000,""),"")</f>
        <v/>
      </c>
      <c r="Z221" s="95" t="str">
        <f>IFERROR(_xlfn.XLOOKUP(TEXT(H221,"0000000000"),'📞 Call Tracker'!A$2:A$2000,'📞 Call Tracker'!E$2:E$2000,""),"")</f>
        <v/>
      </c>
      <c r="AA221" s="145" t="str">
        <f>IFERROR(_xlfn.XLOOKUP(TEXT(H221,"0000000000"),'📞 Call Tracker'!A$2:A$2000,'📞 Call Tracker'!F$2:F$2000,""),"")</f>
        <v/>
      </c>
      <c r="AB221" s="132">
        <f t="shared" si="7"/>
        <v>4</v>
      </c>
      <c r="AC221" s="79"/>
    </row>
    <row r="222" spans="1:29" ht="20.100000000000001" customHeight="1">
      <c r="A222" s="91">
        <v>45903</v>
      </c>
      <c r="B222" s="92" t="str">
        <v>Nukala</v>
      </c>
      <c r="C222" s="92" t="str">
        <v>Vijay</v>
      </c>
      <c r="D222" s="92" t="str">
        <v>Peoria</v>
      </c>
      <c r="E222" s="92">
        <v>85383</v>
      </c>
      <c r="F222" s="137" t="str">
        <v>Opposed</v>
      </c>
      <c r="G222" s="93" t="str">
        <v>https://images.edocket.azcc.gov/docketpdf/E000046190.pdf</v>
      </c>
      <c r="H222" s="150" t="s">
        <v>6598</v>
      </c>
      <c r="I222" s="114" t="str">
        <v>REV47</v>
      </c>
      <c r="J222" s="94" t="str">
        <v>No</v>
      </c>
      <c r="K222" s="94" t="str">
        <v>No</v>
      </c>
      <c r="L222" s="137" t="str">
        <v>Not eligible yet (needs 3 months)</v>
      </c>
      <c r="M222" s="94" t="str">
        <v>No</v>
      </c>
      <c r="N222" s="134" t="str">
        <v>No</v>
      </c>
      <c r="O222" s="119" t="str">
        <v>Yes</v>
      </c>
      <c r="P222" s="92" t="str">
        <v>N</v>
      </c>
      <c r="Q222" s="91">
        <v>45967</v>
      </c>
      <c r="R222" s="140">
        <v>0</v>
      </c>
      <c r="S222" s="92">
        <v>0</v>
      </c>
      <c r="T222" s="92">
        <v>0</v>
      </c>
      <c r="U222" s="137">
        <v>0</v>
      </c>
      <c r="V222" s="126" t="str">
        <f t="shared" si="6"/>
        <v>❌ Not on Best Plan</v>
      </c>
      <c r="W222" s="130" t="str">
        <f>IFERROR(_xlfn.XLOOKUP(TEXT(H222,"0000000000"),'📞 Call Tracker'!A$2:A$2000,'📞 Call Tracker'!B$2:B$2000,""),"")</f>
        <v/>
      </c>
      <c r="X222" s="96" t="str">
        <f>IFERROR(_xlfn.XLOOKUP(TEXT(H222,"0000000000"),'📞 Call Tracker'!A$2:A$2000,'📞 Call Tracker'!C$2:C$2000,""),"")</f>
        <v/>
      </c>
      <c r="Y222" s="95" t="str">
        <f>IFERROR(_xlfn.XLOOKUP(TEXT(H222,"0000000000"),'📞 Call Tracker'!A$2:A$2000,'📞 Call Tracker'!D$2:D$2000,""),"")</f>
        <v/>
      </c>
      <c r="Z222" s="95" t="str">
        <f>IFERROR(_xlfn.XLOOKUP(TEXT(H222,"0000000000"),'📞 Call Tracker'!A$2:A$2000,'📞 Call Tracker'!E$2:E$2000,""),"")</f>
        <v/>
      </c>
      <c r="AA222" s="145" t="str">
        <f>IFERROR(_xlfn.XLOOKUP(TEXT(H222,"0000000000"),'📞 Call Tracker'!A$2:A$2000,'📞 Call Tracker'!F$2:F$2000,""),"")</f>
        <v/>
      </c>
      <c r="AB222" s="132">
        <f t="shared" si="7"/>
        <v>2</v>
      </c>
      <c r="AC222" s="79"/>
    </row>
    <row r="223" spans="1:29" ht="20.100000000000001" customHeight="1">
      <c r="A223" s="91">
        <v>45903</v>
      </c>
      <c r="B223" s="92" t="str">
        <v>Virigineni</v>
      </c>
      <c r="C223" s="92" t="str">
        <v>Udayakumar</v>
      </c>
      <c r="D223" s="92" t="str">
        <v>Peoria</v>
      </c>
      <c r="E223" s="92">
        <v>85483</v>
      </c>
      <c r="F223" s="137" t="str">
        <v>Form letter</v>
      </c>
      <c r="G223" s="93" t="str">
        <v>https://images.edocket.azcc.gov/docketpdf/E000046190.pdf</v>
      </c>
      <c r="H223" s="150" t="s">
        <v>6599</v>
      </c>
      <c r="I223" s="114" t="str">
        <v>R3-47</v>
      </c>
      <c r="J223" s="94" t="str">
        <v>No</v>
      </c>
      <c r="K223" s="94" t="str">
        <v>No</v>
      </c>
      <c r="L223" s="137" t="str">
        <v>Yes</v>
      </c>
      <c r="M223" s="94" t="str">
        <v>No</v>
      </c>
      <c r="N223" s="134" t="str">
        <v>No</v>
      </c>
      <c r="O223" s="119" t="str">
        <v>Yes</v>
      </c>
      <c r="P223" s="92" t="str">
        <v>N</v>
      </c>
      <c r="Q223" s="91">
        <v>45967</v>
      </c>
      <c r="R223" s="140">
        <v>0</v>
      </c>
      <c r="S223" s="92">
        <v>0</v>
      </c>
      <c r="T223" s="92">
        <v>0</v>
      </c>
      <c r="U223" s="137">
        <v>0</v>
      </c>
      <c r="V223" s="126" t="str">
        <f t="shared" si="6"/>
        <v>✅ On Best Plan</v>
      </c>
      <c r="W223" s="130" t="str">
        <f>IFERROR(_xlfn.XLOOKUP(TEXT(H223,"0000000000"),'📞 Call Tracker'!A$2:A$2000,'📞 Call Tracker'!B$2:B$2000,""),"")</f>
        <v/>
      </c>
      <c r="X223" s="96" t="str">
        <f>IFERROR(_xlfn.XLOOKUP(TEXT(H223,"0000000000"),'📞 Call Tracker'!A$2:A$2000,'📞 Call Tracker'!C$2:C$2000,""),"")</f>
        <v/>
      </c>
      <c r="Y223" s="95" t="str">
        <f>IFERROR(_xlfn.XLOOKUP(TEXT(H223,"0000000000"),'📞 Call Tracker'!A$2:A$2000,'📞 Call Tracker'!D$2:D$2000,""),"")</f>
        <v/>
      </c>
      <c r="Z223" s="95" t="str">
        <f>IFERROR(_xlfn.XLOOKUP(TEXT(H223,"0000000000"),'📞 Call Tracker'!A$2:A$2000,'📞 Call Tracker'!E$2:E$2000,""),"")</f>
        <v/>
      </c>
      <c r="AA223" s="145" t="str">
        <f>IFERROR(_xlfn.XLOOKUP(TEXT(H223,"0000000000"),'📞 Call Tracker'!A$2:A$2000,'📞 Call Tracker'!F$2:F$2000,""),"")</f>
        <v/>
      </c>
      <c r="AB223" s="132">
        <f t="shared" si="7"/>
        <v>4</v>
      </c>
      <c r="AC223" s="79"/>
    </row>
    <row r="224" spans="1:29" ht="20.100000000000001" customHeight="1">
      <c r="A224" s="91">
        <v>45903</v>
      </c>
      <c r="B224" s="92" t="str">
        <v>Carrillo</v>
      </c>
      <c r="C224" s="92" t="str">
        <v>Robert</v>
      </c>
      <c r="D224" s="92" t="str">
        <v>Phoenix</v>
      </c>
      <c r="E224" s="92">
        <v>85015</v>
      </c>
      <c r="F224" s="137" t="str">
        <v>Form letter</v>
      </c>
      <c r="G224" s="93" t="str">
        <v>https://images.edocket.azcc.gov/docketpdf/E000046190.pdf</v>
      </c>
      <c r="H224" s="150" t="s">
        <v>6600</v>
      </c>
      <c r="I224" s="114" t="str">
        <v>RTOUE47</v>
      </c>
      <c r="J224" s="94" t="str">
        <v>No</v>
      </c>
      <c r="K224" s="94" t="str">
        <v>No</v>
      </c>
      <c r="L224" s="137" t="str">
        <v>Yes</v>
      </c>
      <c r="M224" s="94" t="str">
        <v>No</v>
      </c>
      <c r="N224" s="134" t="str">
        <v>No</v>
      </c>
      <c r="O224" s="119" t="str">
        <v>Yes</v>
      </c>
      <c r="P224" s="92" t="str">
        <v>N</v>
      </c>
      <c r="Q224" s="91">
        <v>45967</v>
      </c>
      <c r="R224" s="140">
        <v>0</v>
      </c>
      <c r="S224" s="92">
        <v>0</v>
      </c>
      <c r="T224" s="92">
        <v>0</v>
      </c>
      <c r="U224" s="137">
        <v>0</v>
      </c>
      <c r="V224" s="126" t="str">
        <f t="shared" si="6"/>
        <v>✅ On Best Plan</v>
      </c>
      <c r="W224" s="130" t="str">
        <f>IFERROR(_xlfn.XLOOKUP(TEXT(H224,"0000000000"),'📞 Call Tracker'!A$2:A$2000,'📞 Call Tracker'!B$2:B$2000,""),"")</f>
        <v/>
      </c>
      <c r="X224" s="96" t="str">
        <f>IFERROR(_xlfn.XLOOKUP(TEXT(H224,"0000000000"),'📞 Call Tracker'!A$2:A$2000,'📞 Call Tracker'!C$2:C$2000,""),"")</f>
        <v/>
      </c>
      <c r="Y224" s="95" t="str">
        <f>IFERROR(_xlfn.XLOOKUP(TEXT(H224,"0000000000"),'📞 Call Tracker'!A$2:A$2000,'📞 Call Tracker'!D$2:D$2000,""),"")</f>
        <v/>
      </c>
      <c r="Z224" s="95" t="str">
        <f>IFERROR(_xlfn.XLOOKUP(TEXT(H224,"0000000000"),'📞 Call Tracker'!A$2:A$2000,'📞 Call Tracker'!E$2:E$2000,""),"")</f>
        <v/>
      </c>
      <c r="AA224" s="145" t="str">
        <f>IFERROR(_xlfn.XLOOKUP(TEXT(H224,"0000000000"),'📞 Call Tracker'!A$2:A$2000,'📞 Call Tracker'!F$2:F$2000,""),"")</f>
        <v/>
      </c>
      <c r="AB224" s="132">
        <f t="shared" si="7"/>
        <v>4</v>
      </c>
      <c r="AC224" s="79"/>
    </row>
    <row r="225" spans="1:29" ht="20.100000000000001" customHeight="1">
      <c r="A225" s="91">
        <v>45903</v>
      </c>
      <c r="B225" s="92" t="str">
        <v>Schmoldt</v>
      </c>
      <c r="C225" s="92" t="str">
        <v>Lia</v>
      </c>
      <c r="D225" s="92" t="str">
        <v>Scottsdale</v>
      </c>
      <c r="E225" s="92">
        <v>85260</v>
      </c>
      <c r="F225" s="137" t="str">
        <v>Form letter</v>
      </c>
      <c r="G225" s="93" t="str">
        <v>https://images.edocket.azcc.gov/docketpdf/E000046190.pdf</v>
      </c>
      <c r="H225" s="150" t="s">
        <v>6601</v>
      </c>
      <c r="I225" s="114" t="str">
        <v>R3-47</v>
      </c>
      <c r="J225" s="94" t="str">
        <v>No</v>
      </c>
      <c r="K225" s="94" t="str">
        <v>No</v>
      </c>
      <c r="L225" s="137" t="str">
        <v>Yes</v>
      </c>
      <c r="M225" s="94" t="str">
        <v>No</v>
      </c>
      <c r="N225" s="134" t="str">
        <v>No</v>
      </c>
      <c r="O225" s="119" t="str">
        <v>Yes</v>
      </c>
      <c r="P225" s="92" t="str">
        <v>N</v>
      </c>
      <c r="Q225" s="91">
        <v>45967</v>
      </c>
      <c r="R225" s="140">
        <v>0</v>
      </c>
      <c r="S225" s="92">
        <v>0</v>
      </c>
      <c r="T225" s="92">
        <v>0</v>
      </c>
      <c r="U225" s="137">
        <v>0</v>
      </c>
      <c r="V225" s="126" t="str">
        <f t="shared" si="6"/>
        <v>✅ On Best Plan</v>
      </c>
      <c r="W225" s="130" t="str">
        <f>IFERROR(_xlfn.XLOOKUP(TEXT(H225,"0000000000"),'📞 Call Tracker'!A$2:A$2000,'📞 Call Tracker'!B$2:B$2000,""),"")</f>
        <v/>
      </c>
      <c r="X225" s="96" t="str">
        <f>IFERROR(_xlfn.XLOOKUP(TEXT(H225,"0000000000"),'📞 Call Tracker'!A$2:A$2000,'📞 Call Tracker'!C$2:C$2000,""),"")</f>
        <v/>
      </c>
      <c r="Y225" s="95" t="str">
        <f>IFERROR(_xlfn.XLOOKUP(TEXT(H225,"0000000000"),'📞 Call Tracker'!A$2:A$2000,'📞 Call Tracker'!D$2:D$2000,""),"")</f>
        <v/>
      </c>
      <c r="Z225" s="95" t="str">
        <f>IFERROR(_xlfn.XLOOKUP(TEXT(H225,"0000000000"),'📞 Call Tracker'!A$2:A$2000,'📞 Call Tracker'!E$2:E$2000,""),"")</f>
        <v/>
      </c>
      <c r="AA225" s="145" t="str">
        <f>IFERROR(_xlfn.XLOOKUP(TEXT(H225,"0000000000"),'📞 Call Tracker'!A$2:A$2000,'📞 Call Tracker'!F$2:F$2000,""),"")</f>
        <v/>
      </c>
      <c r="AB225" s="132">
        <f t="shared" si="7"/>
        <v>4</v>
      </c>
      <c r="AC225" s="79"/>
    </row>
    <row r="226" spans="1:29" ht="20.100000000000001" customHeight="1">
      <c r="A226" s="91">
        <v>45903</v>
      </c>
      <c r="B226" s="92" t="str">
        <v>Reber</v>
      </c>
      <c r="C226" s="92" t="str">
        <v>Brad</v>
      </c>
      <c r="D226" s="92" t="str">
        <v>Phoenix</v>
      </c>
      <c r="E226" s="92">
        <v>85085</v>
      </c>
      <c r="F226" s="137" t="str">
        <v>Form letter</v>
      </c>
      <c r="G226" s="93" t="str">
        <v>https://images.edocket.azcc.gov/docketpdf/E000046190.pdf</v>
      </c>
      <c r="H226" s="150" t="s">
        <v>6602</v>
      </c>
      <c r="I226" s="114" t="str">
        <v>R3-47</v>
      </c>
      <c r="J226" s="94" t="str">
        <v>No</v>
      </c>
      <c r="K226" s="94" t="str">
        <v>No</v>
      </c>
      <c r="L226" s="137" t="str">
        <v>Yes</v>
      </c>
      <c r="M226" s="94" t="str">
        <v>No</v>
      </c>
      <c r="N226" s="134" t="str">
        <v>No</v>
      </c>
      <c r="O226" s="119" t="str">
        <v>Yes</v>
      </c>
      <c r="P226" s="92" t="str">
        <v>N</v>
      </c>
      <c r="Q226" s="91">
        <v>45967</v>
      </c>
      <c r="R226" s="140">
        <v>0</v>
      </c>
      <c r="S226" s="92">
        <v>0</v>
      </c>
      <c r="T226" s="92">
        <v>0</v>
      </c>
      <c r="U226" s="137">
        <v>0</v>
      </c>
      <c r="V226" s="126" t="str">
        <f t="shared" si="6"/>
        <v>✅ On Best Plan</v>
      </c>
      <c r="W226" s="130" t="str">
        <f>IFERROR(_xlfn.XLOOKUP(TEXT(H226,"0000000000"),'📞 Call Tracker'!A$2:A$2000,'📞 Call Tracker'!B$2:B$2000,""),"")</f>
        <v/>
      </c>
      <c r="X226" s="96" t="str">
        <f>IFERROR(_xlfn.XLOOKUP(TEXT(H226,"0000000000"),'📞 Call Tracker'!A$2:A$2000,'📞 Call Tracker'!C$2:C$2000,""),"")</f>
        <v/>
      </c>
      <c r="Y226" s="95" t="str">
        <f>IFERROR(_xlfn.XLOOKUP(TEXT(H226,"0000000000"),'📞 Call Tracker'!A$2:A$2000,'📞 Call Tracker'!D$2:D$2000,""),"")</f>
        <v/>
      </c>
      <c r="Z226" s="95" t="str">
        <f>IFERROR(_xlfn.XLOOKUP(TEXT(H226,"0000000000"),'📞 Call Tracker'!A$2:A$2000,'📞 Call Tracker'!E$2:E$2000,""),"")</f>
        <v/>
      </c>
      <c r="AA226" s="145" t="str">
        <f>IFERROR(_xlfn.XLOOKUP(TEXT(H226,"0000000000"),'📞 Call Tracker'!A$2:A$2000,'📞 Call Tracker'!F$2:F$2000,""),"")</f>
        <v/>
      </c>
      <c r="AB226" s="132">
        <f t="shared" si="7"/>
        <v>4</v>
      </c>
      <c r="AC226" s="79"/>
    </row>
    <row r="227" spans="1:29" ht="20.100000000000001" customHeight="1">
      <c r="A227" s="91">
        <v>45903</v>
      </c>
      <c r="B227" s="92" t="str">
        <v>Osteen</v>
      </c>
      <c r="C227" s="92" t="str">
        <v>Matthew</v>
      </c>
      <c r="D227" s="92" t="str">
        <v>Phoenix</v>
      </c>
      <c r="E227" s="92">
        <v>85024</v>
      </c>
      <c r="F227" s="137" t="str">
        <v>Opposed</v>
      </c>
      <c r="G227" s="93" t="str">
        <v>https://images.edocket.azcc.gov/docketpdf/E000046190.pdf</v>
      </c>
      <c r="H227" s="150" t="s">
        <v>6603</v>
      </c>
      <c r="I227" s="114" t="str">
        <v>RTOUE47</v>
      </c>
      <c r="J227" s="94" t="str">
        <v>No</v>
      </c>
      <c r="K227" s="94" t="str">
        <v>No</v>
      </c>
      <c r="L227" s="137" t="str">
        <v>No MEP R3-47($174.04)</v>
      </c>
      <c r="M227" s="94" t="str">
        <v>No</v>
      </c>
      <c r="N227" s="134" t="str">
        <v>No</v>
      </c>
      <c r="O227" s="119" t="str">
        <v>Yes</v>
      </c>
      <c r="P227" s="92">
        <v>45936</v>
      </c>
      <c r="Q227" s="91">
        <v>45967</v>
      </c>
      <c r="R227" s="140" t="str">
        <v xml:space="preserve">OBC 10/06/2025 COR declined changing to MEP </v>
      </c>
      <c r="S227" s="92">
        <v>0</v>
      </c>
      <c r="T227" s="92">
        <v>0</v>
      </c>
      <c r="U227" s="137">
        <v>0</v>
      </c>
      <c r="V227" s="126" t="str">
        <f t="shared" si="6"/>
        <v>❌ Not on Best Plan</v>
      </c>
      <c r="W227" s="130" t="str">
        <f>IFERROR(_xlfn.XLOOKUP(TEXT(H227,"0000000000"),'📞 Call Tracker'!A$2:A$2000,'📞 Call Tracker'!B$2:B$2000,""),"")</f>
        <v/>
      </c>
      <c r="X227" s="96" t="str">
        <f>IFERROR(_xlfn.XLOOKUP(TEXT(H227,"0000000000"),'📞 Call Tracker'!A$2:A$2000,'📞 Call Tracker'!C$2:C$2000,""),"")</f>
        <v/>
      </c>
      <c r="Y227" s="95" t="str">
        <f>IFERROR(_xlfn.XLOOKUP(TEXT(H227,"0000000000"),'📞 Call Tracker'!A$2:A$2000,'📞 Call Tracker'!D$2:D$2000,""),"")</f>
        <v/>
      </c>
      <c r="Z227" s="95" t="str">
        <f>IFERROR(_xlfn.XLOOKUP(TEXT(H227,"0000000000"),'📞 Call Tracker'!A$2:A$2000,'📞 Call Tracker'!E$2:E$2000,""),"")</f>
        <v/>
      </c>
      <c r="AA227" s="145" t="str">
        <f>IFERROR(_xlfn.XLOOKUP(TEXT(H227,"0000000000"),'📞 Call Tracker'!A$2:A$2000,'📞 Call Tracker'!F$2:F$2000,""),"")</f>
        <v/>
      </c>
      <c r="AB227" s="132">
        <f t="shared" si="7"/>
        <v>2</v>
      </c>
      <c r="AC227" s="79"/>
    </row>
    <row r="228" spans="1:29" ht="20.100000000000001" customHeight="1">
      <c r="A228" s="91">
        <v>45903</v>
      </c>
      <c r="B228" s="92" t="str">
        <v xml:space="preserve">Small </v>
      </c>
      <c r="C228" s="92" t="str">
        <v>John</v>
      </c>
      <c r="D228" s="92" t="str">
        <v>Goodyear</v>
      </c>
      <c r="E228" s="92">
        <v>85338</v>
      </c>
      <c r="F228" s="137" t="str">
        <v>Senior / everything is too much money</v>
      </c>
      <c r="G228" s="93" t="str">
        <v>https://images.edocket.azcc.gov/docketpdf/E000046190.pdf</v>
      </c>
      <c r="H228" s="150" t="s">
        <v>6604</v>
      </c>
      <c r="I228" s="114" t="str">
        <v>R3-47</v>
      </c>
      <c r="J228" s="94" t="str">
        <v>No</v>
      </c>
      <c r="K228" s="94" t="str">
        <v>No</v>
      </c>
      <c r="L228" s="137" t="str">
        <v>Yes</v>
      </c>
      <c r="M228" s="94" t="str">
        <v>No</v>
      </c>
      <c r="N228" s="134" t="str">
        <v>No</v>
      </c>
      <c r="O228" s="119" t="str">
        <v>Yes</v>
      </c>
      <c r="P228" s="92" t="str">
        <v>N</v>
      </c>
      <c r="Q228" s="91">
        <v>45967</v>
      </c>
      <c r="R228" s="140">
        <v>0</v>
      </c>
      <c r="S228" s="92">
        <v>0</v>
      </c>
      <c r="T228" s="92">
        <v>0</v>
      </c>
      <c r="U228" s="137">
        <v>0</v>
      </c>
      <c r="V228" s="126" t="str">
        <f t="shared" si="6"/>
        <v>✅ On Best Plan</v>
      </c>
      <c r="W228" s="130" t="str">
        <f>IFERROR(_xlfn.XLOOKUP(TEXT(H228,"0000000000"),'📞 Call Tracker'!A$2:A$2000,'📞 Call Tracker'!B$2:B$2000,""),"")</f>
        <v/>
      </c>
      <c r="X228" s="96" t="str">
        <f>IFERROR(_xlfn.XLOOKUP(TEXT(H228,"0000000000"),'📞 Call Tracker'!A$2:A$2000,'📞 Call Tracker'!C$2:C$2000,""),"")</f>
        <v/>
      </c>
      <c r="Y228" s="95" t="str">
        <f>IFERROR(_xlfn.XLOOKUP(TEXT(H228,"0000000000"),'📞 Call Tracker'!A$2:A$2000,'📞 Call Tracker'!D$2:D$2000,""),"")</f>
        <v/>
      </c>
      <c r="Z228" s="95" t="str">
        <f>IFERROR(_xlfn.XLOOKUP(TEXT(H228,"0000000000"),'📞 Call Tracker'!A$2:A$2000,'📞 Call Tracker'!E$2:E$2000,""),"")</f>
        <v/>
      </c>
      <c r="AA228" s="145" t="str">
        <f>IFERROR(_xlfn.XLOOKUP(TEXT(H228,"0000000000"),'📞 Call Tracker'!A$2:A$2000,'📞 Call Tracker'!F$2:F$2000,""),"")</f>
        <v/>
      </c>
      <c r="AB228" s="132">
        <f t="shared" si="7"/>
        <v>4</v>
      </c>
      <c r="AC228" s="79"/>
    </row>
    <row r="229" spans="1:29" ht="20.100000000000001" customHeight="1">
      <c r="A229" s="91">
        <v>45903</v>
      </c>
      <c r="B229" s="92" t="str">
        <v>Swinson</v>
      </c>
      <c r="C229" s="92" t="str">
        <v>Tony</v>
      </c>
      <c r="D229" s="92" t="str">
        <v>Peoria</v>
      </c>
      <c r="E229" s="92">
        <v>85345</v>
      </c>
      <c r="F229" s="137" t="str">
        <v>Form letter</v>
      </c>
      <c r="G229" s="93" t="str">
        <v>https://images.edocket.azcc.gov/docketpdf/E000046190.pdf</v>
      </c>
      <c r="H229" s="150" t="s">
        <v>6605</v>
      </c>
      <c r="I229" s="114" t="str">
        <v>R3-47</v>
      </c>
      <c r="J229" s="94" t="str">
        <v>No</v>
      </c>
      <c r="K229" s="94" t="str">
        <v>No</v>
      </c>
      <c r="L229" s="137" t="str">
        <v>Yes</v>
      </c>
      <c r="M229" s="94" t="str">
        <v>No</v>
      </c>
      <c r="N229" s="134" t="str">
        <v>No</v>
      </c>
      <c r="O229" s="119" t="str">
        <v>Yes</v>
      </c>
      <c r="P229" s="92" t="str">
        <v>N</v>
      </c>
      <c r="Q229" s="91">
        <v>45967</v>
      </c>
      <c r="R229" s="140">
        <v>0</v>
      </c>
      <c r="S229" s="92">
        <v>0</v>
      </c>
      <c r="T229" s="92">
        <v>0</v>
      </c>
      <c r="U229" s="137">
        <v>0</v>
      </c>
      <c r="V229" s="126" t="str">
        <f t="shared" si="6"/>
        <v>✅ On Best Plan</v>
      </c>
      <c r="W229" s="130" t="str">
        <f>IFERROR(_xlfn.XLOOKUP(TEXT(H229,"0000000000"),'📞 Call Tracker'!A$2:A$2000,'📞 Call Tracker'!B$2:B$2000,""),"")</f>
        <v/>
      </c>
      <c r="X229" s="96" t="str">
        <f>IFERROR(_xlfn.XLOOKUP(TEXT(H229,"0000000000"),'📞 Call Tracker'!A$2:A$2000,'📞 Call Tracker'!C$2:C$2000,""),"")</f>
        <v/>
      </c>
      <c r="Y229" s="95" t="str">
        <f>IFERROR(_xlfn.XLOOKUP(TEXT(H229,"0000000000"),'📞 Call Tracker'!A$2:A$2000,'📞 Call Tracker'!D$2:D$2000,""),"")</f>
        <v/>
      </c>
      <c r="Z229" s="95" t="str">
        <f>IFERROR(_xlfn.XLOOKUP(TEXT(H229,"0000000000"),'📞 Call Tracker'!A$2:A$2000,'📞 Call Tracker'!E$2:E$2000,""),"")</f>
        <v/>
      </c>
      <c r="AA229" s="145" t="str">
        <f>IFERROR(_xlfn.XLOOKUP(TEXT(H229,"0000000000"),'📞 Call Tracker'!A$2:A$2000,'📞 Call Tracker'!F$2:F$2000,""),"")</f>
        <v/>
      </c>
      <c r="AB229" s="132">
        <f t="shared" si="7"/>
        <v>4</v>
      </c>
      <c r="AC229" s="79"/>
    </row>
    <row r="230" spans="1:29" ht="20.100000000000001" customHeight="1">
      <c r="A230" s="91">
        <v>45903</v>
      </c>
      <c r="B230" s="92" t="str">
        <v>Kote</v>
      </c>
      <c r="C230" s="92" t="str">
        <v>Raghavendra</v>
      </c>
      <c r="D230" s="92" t="str">
        <v>Peoria</v>
      </c>
      <c r="E230" s="92">
        <v>85383</v>
      </c>
      <c r="F230" s="137" t="str">
        <v>Form letter</v>
      </c>
      <c r="G230" s="93" t="str">
        <v>https://images.edocket.azcc.gov/docketpdf/E000046190.pdf</v>
      </c>
      <c r="H230" s="150" t="s">
        <v>6606</v>
      </c>
      <c r="I230" s="114" t="str">
        <v>RTOUE47</v>
      </c>
      <c r="J230" s="94" t="str">
        <v>No</v>
      </c>
      <c r="K230" s="94" t="str">
        <v>No</v>
      </c>
      <c r="L230" s="137" t="str">
        <v>Yes</v>
      </c>
      <c r="M230" s="94" t="str">
        <v>No</v>
      </c>
      <c r="N230" s="134" t="str">
        <v>No</v>
      </c>
      <c r="O230" s="119" t="str">
        <v>Yes</v>
      </c>
      <c r="P230" s="92" t="str">
        <v>N</v>
      </c>
      <c r="Q230" s="91">
        <v>45967</v>
      </c>
      <c r="R230" s="140">
        <v>0</v>
      </c>
      <c r="S230" s="92">
        <v>0</v>
      </c>
      <c r="T230" s="92">
        <v>0</v>
      </c>
      <c r="U230" s="137">
        <v>0</v>
      </c>
      <c r="V230" s="126" t="str">
        <f t="shared" si="6"/>
        <v>✅ On Best Plan</v>
      </c>
      <c r="W230" s="130" t="str">
        <f>IFERROR(_xlfn.XLOOKUP(TEXT(H230,"0000000000"),'📞 Call Tracker'!A$2:A$2000,'📞 Call Tracker'!B$2:B$2000,""),"")</f>
        <v/>
      </c>
      <c r="X230" s="96" t="str">
        <f>IFERROR(_xlfn.XLOOKUP(TEXT(H230,"0000000000"),'📞 Call Tracker'!A$2:A$2000,'📞 Call Tracker'!C$2:C$2000,""),"")</f>
        <v/>
      </c>
      <c r="Y230" s="95" t="str">
        <f>IFERROR(_xlfn.XLOOKUP(TEXT(H230,"0000000000"),'📞 Call Tracker'!A$2:A$2000,'📞 Call Tracker'!D$2:D$2000,""),"")</f>
        <v/>
      </c>
      <c r="Z230" s="95" t="str">
        <f>IFERROR(_xlfn.XLOOKUP(TEXT(H230,"0000000000"),'📞 Call Tracker'!A$2:A$2000,'📞 Call Tracker'!E$2:E$2000,""),"")</f>
        <v/>
      </c>
      <c r="AA230" s="145" t="str">
        <f>IFERROR(_xlfn.XLOOKUP(TEXT(H230,"0000000000"),'📞 Call Tracker'!A$2:A$2000,'📞 Call Tracker'!F$2:F$2000,""),"")</f>
        <v/>
      </c>
      <c r="AB230" s="132">
        <f t="shared" si="7"/>
        <v>4</v>
      </c>
      <c r="AC230" s="79"/>
    </row>
    <row r="231" spans="1:29" ht="20.100000000000001" customHeight="1">
      <c r="A231" s="91">
        <v>45903</v>
      </c>
      <c r="B231" s="92" t="str">
        <v>Chakka</v>
      </c>
      <c r="C231" s="92" t="str">
        <v>Sriramulu</v>
      </c>
      <c r="D231" s="92" t="str">
        <v>Peoria</v>
      </c>
      <c r="E231" s="92">
        <v>85383</v>
      </c>
      <c r="F231" s="137" t="str">
        <v>Form letter</v>
      </c>
      <c r="G231" s="93" t="str">
        <v>https://images.edocket.azcc.gov/docketpdf/E000046190.pdf</v>
      </c>
      <c r="H231" s="150" t="s">
        <v>6607</v>
      </c>
      <c r="I231" s="114" t="str">
        <v>RTOUE47</v>
      </c>
      <c r="J231" s="94" t="str">
        <v>No</v>
      </c>
      <c r="K231" s="94" t="str">
        <v>No</v>
      </c>
      <c r="L231" s="137" t="str">
        <v>No MEP R3-47(105.89)</v>
      </c>
      <c r="M231" s="94" t="str">
        <v>No</v>
      </c>
      <c r="N231" s="134" t="str">
        <v>No</v>
      </c>
      <c r="O231" s="119" t="str">
        <v>Yes</v>
      </c>
      <c r="P231" s="92">
        <v>45936</v>
      </c>
      <c r="Q231" s="91">
        <v>45967</v>
      </c>
      <c r="R231" s="140" t="str">
        <v>Left VM 10/06/2025// COR CB AND STATED HE WILL THINK ABOUT CHANGING PLANS</v>
      </c>
      <c r="S231" s="92">
        <v>0</v>
      </c>
      <c r="T231" s="92">
        <v>0</v>
      </c>
      <c r="U231" s="137">
        <v>0</v>
      </c>
      <c r="V231" s="126" t="str">
        <f t="shared" si="6"/>
        <v>❌ Not on Best Plan</v>
      </c>
      <c r="W231" s="130" t="str">
        <f>IFERROR(_xlfn.XLOOKUP(TEXT(H231,"0000000000"),'📞 Call Tracker'!A$2:A$2000,'📞 Call Tracker'!B$2:B$2000,""),"")</f>
        <v/>
      </c>
      <c r="X231" s="96" t="str">
        <f>IFERROR(_xlfn.XLOOKUP(TEXT(H231,"0000000000"),'📞 Call Tracker'!A$2:A$2000,'📞 Call Tracker'!C$2:C$2000,""),"")</f>
        <v/>
      </c>
      <c r="Y231" s="95" t="str">
        <f>IFERROR(_xlfn.XLOOKUP(TEXT(H231,"0000000000"),'📞 Call Tracker'!A$2:A$2000,'📞 Call Tracker'!D$2:D$2000,""),"")</f>
        <v/>
      </c>
      <c r="Z231" s="95" t="str">
        <f>IFERROR(_xlfn.XLOOKUP(TEXT(H231,"0000000000"),'📞 Call Tracker'!A$2:A$2000,'📞 Call Tracker'!E$2:E$2000,""),"")</f>
        <v/>
      </c>
      <c r="AA231" s="145" t="str">
        <f>IFERROR(_xlfn.XLOOKUP(TEXT(H231,"0000000000"),'📞 Call Tracker'!A$2:A$2000,'📞 Call Tracker'!F$2:F$2000,""),"")</f>
        <v/>
      </c>
      <c r="AB231" s="132">
        <f t="shared" si="7"/>
        <v>2</v>
      </c>
      <c r="AC231" s="79"/>
    </row>
    <row r="232" spans="1:29" ht="20.100000000000001" customHeight="1">
      <c r="A232" s="91">
        <v>45903</v>
      </c>
      <c r="B232" s="92" t="str">
        <v>Vasanthakumar</v>
      </c>
      <c r="C232" s="92" t="str">
        <v>Amar</v>
      </c>
      <c r="D232" s="92" t="str">
        <v>Peoria</v>
      </c>
      <c r="E232" s="92">
        <v>85383</v>
      </c>
      <c r="F232" s="137" t="str">
        <v>Form letter</v>
      </c>
      <c r="G232" s="93" t="str">
        <v>https://images.edocket.azcc.gov/docketpdf/E000046190.pdf</v>
      </c>
      <c r="H232" s="150" t="s">
        <v>6608</v>
      </c>
      <c r="I232" s="114" t="str">
        <v>R3-47</v>
      </c>
      <c r="J232" s="94" t="str">
        <v>No</v>
      </c>
      <c r="K232" s="94" t="str">
        <v>No</v>
      </c>
      <c r="L232" s="137" t="str">
        <v>Yes</v>
      </c>
      <c r="M232" s="94" t="str">
        <v>No</v>
      </c>
      <c r="N232" s="134" t="str">
        <v>No</v>
      </c>
      <c r="O232" s="119" t="str">
        <v>Yes</v>
      </c>
      <c r="P232" s="92" t="str">
        <v>N</v>
      </c>
      <c r="Q232" s="91">
        <v>45967</v>
      </c>
      <c r="R232" s="140" t="str">
        <v>Stopped services 10/27</v>
      </c>
      <c r="S232" s="92">
        <v>0</v>
      </c>
      <c r="T232" s="92">
        <v>0</v>
      </c>
      <c r="U232" s="137">
        <v>0</v>
      </c>
      <c r="V232" s="126" t="str">
        <f t="shared" si="6"/>
        <v>✅ On Best Plan</v>
      </c>
      <c r="W232" s="130" t="str">
        <f>IFERROR(_xlfn.XLOOKUP(TEXT(H232,"0000000000"),'📞 Call Tracker'!A$2:A$2000,'📞 Call Tracker'!B$2:B$2000,""),"")</f>
        <v/>
      </c>
      <c r="X232" s="96" t="str">
        <f>IFERROR(_xlfn.XLOOKUP(TEXT(H232,"0000000000"),'📞 Call Tracker'!A$2:A$2000,'📞 Call Tracker'!C$2:C$2000,""),"")</f>
        <v/>
      </c>
      <c r="Y232" s="95" t="str">
        <f>IFERROR(_xlfn.XLOOKUP(TEXT(H232,"0000000000"),'📞 Call Tracker'!A$2:A$2000,'📞 Call Tracker'!D$2:D$2000,""),"")</f>
        <v/>
      </c>
      <c r="Z232" s="95" t="str">
        <f>IFERROR(_xlfn.XLOOKUP(TEXT(H232,"0000000000"),'📞 Call Tracker'!A$2:A$2000,'📞 Call Tracker'!E$2:E$2000,""),"")</f>
        <v/>
      </c>
      <c r="AA232" s="145" t="str">
        <f>IFERROR(_xlfn.XLOOKUP(TEXT(H232,"0000000000"),'📞 Call Tracker'!A$2:A$2000,'📞 Call Tracker'!F$2:F$2000,""),"")</f>
        <v/>
      </c>
      <c r="AB232" s="132">
        <f t="shared" si="7"/>
        <v>4</v>
      </c>
      <c r="AC232" s="79"/>
    </row>
    <row r="233" spans="1:29" ht="20.100000000000001" customHeight="1">
      <c r="A233" s="91">
        <v>45903</v>
      </c>
      <c r="B233" s="92" t="str">
        <v>Nunez</v>
      </c>
      <c r="C233" s="92" t="str">
        <v>Maria</v>
      </c>
      <c r="D233" s="92" t="str">
        <v>Goodyear</v>
      </c>
      <c r="E233" s="92">
        <v>85338</v>
      </c>
      <c r="F233" s="137" t="str">
        <v>Opposed</v>
      </c>
      <c r="G233" s="93" t="str">
        <v>https://images.edocket.azcc.gov/docketpdf/E000046190.pdf</v>
      </c>
      <c r="H233" s="150" t="s">
        <v>6609</v>
      </c>
      <c r="I233" s="114" t="str">
        <v>EPR-6w/ET-2</v>
      </c>
      <c r="J233" s="94" t="str">
        <v>No</v>
      </c>
      <c r="K233" s="94" t="str">
        <v>No</v>
      </c>
      <c r="L233" s="137" t="str">
        <v>Frozen Rate</v>
      </c>
      <c r="M233" s="94" t="str">
        <v>No</v>
      </c>
      <c r="N233" s="134" t="str">
        <v>No</v>
      </c>
      <c r="O233" s="119" t="str">
        <v>Yes</v>
      </c>
      <c r="P233" s="92" t="str">
        <v>N</v>
      </c>
      <c r="Q233" s="91">
        <v>45967</v>
      </c>
      <c r="R233" s="140">
        <v>0</v>
      </c>
      <c r="S233" s="92">
        <v>0</v>
      </c>
      <c r="T233" s="92">
        <v>0</v>
      </c>
      <c r="U233" s="137">
        <v>0</v>
      </c>
      <c r="V233" s="126" t="str">
        <f t="shared" si="6"/>
        <v>❄ Frozen Rate</v>
      </c>
      <c r="W233" s="130" t="str">
        <f>IFERROR(_xlfn.XLOOKUP(TEXT(H233,"0000000000"),'📞 Call Tracker'!A$2:A$2000,'📞 Call Tracker'!B$2:B$2000,""),"")</f>
        <v/>
      </c>
      <c r="X233" s="96" t="str">
        <f>IFERROR(_xlfn.XLOOKUP(TEXT(H233,"0000000000"),'📞 Call Tracker'!A$2:A$2000,'📞 Call Tracker'!C$2:C$2000,""),"")</f>
        <v/>
      </c>
      <c r="Y233" s="95" t="str">
        <f>IFERROR(_xlfn.XLOOKUP(TEXT(H233,"0000000000"),'📞 Call Tracker'!A$2:A$2000,'📞 Call Tracker'!D$2:D$2000,""),"")</f>
        <v/>
      </c>
      <c r="Z233" s="95" t="str">
        <f>IFERROR(_xlfn.XLOOKUP(TEXT(H233,"0000000000"),'📞 Call Tracker'!A$2:A$2000,'📞 Call Tracker'!E$2:E$2000,""),"")</f>
        <v/>
      </c>
      <c r="AA233" s="145" t="str">
        <f>IFERROR(_xlfn.XLOOKUP(TEXT(H233,"0000000000"),'📞 Call Tracker'!A$2:A$2000,'📞 Call Tracker'!F$2:F$2000,""),"")</f>
        <v/>
      </c>
      <c r="AB233" s="132">
        <f t="shared" si="7"/>
        <v>4</v>
      </c>
      <c r="AC233" s="79"/>
    </row>
    <row r="234" spans="1:29" ht="20.100000000000001" customHeight="1">
      <c r="A234" s="91">
        <v>45903</v>
      </c>
      <c r="B234" s="92" t="str">
        <v>Calcaterra</v>
      </c>
      <c r="C234" s="92" t="str">
        <v>Drew</v>
      </c>
      <c r="D234" s="92" t="str">
        <v>Avondale</v>
      </c>
      <c r="E234" s="92">
        <v>85392</v>
      </c>
      <c r="F234" s="137" t="str">
        <v>Form letter</v>
      </c>
      <c r="G234" s="93" t="str">
        <v>https://images.edocket.azcc.gov/docketpdf/E000046190.pdf</v>
      </c>
      <c r="H234" s="150" t="s">
        <v>6610</v>
      </c>
      <c r="I234" s="114" t="str">
        <v>R3-47</v>
      </c>
      <c r="J234" s="94" t="str">
        <v>No</v>
      </c>
      <c r="K234" s="94" t="str">
        <v>No</v>
      </c>
      <c r="L234" s="137" t="str">
        <v>Yes</v>
      </c>
      <c r="M234" s="94" t="str">
        <v>No</v>
      </c>
      <c r="N234" s="134" t="str">
        <v>No</v>
      </c>
      <c r="O234" s="119" t="str">
        <v>Yes</v>
      </c>
      <c r="P234" s="92" t="str">
        <v>N</v>
      </c>
      <c r="Q234" s="91">
        <v>45967</v>
      </c>
      <c r="R234" s="140">
        <v>0</v>
      </c>
      <c r="S234" s="92">
        <v>0</v>
      </c>
      <c r="T234" s="92">
        <v>0</v>
      </c>
      <c r="U234" s="137">
        <v>0</v>
      </c>
      <c r="V234" s="126" t="str">
        <f t="shared" si="6"/>
        <v>✅ On Best Plan</v>
      </c>
      <c r="W234" s="130" t="str">
        <f>IFERROR(_xlfn.XLOOKUP(TEXT(H234,"0000000000"),'📞 Call Tracker'!A$2:A$2000,'📞 Call Tracker'!B$2:B$2000,""),"")</f>
        <v/>
      </c>
      <c r="X234" s="96" t="str">
        <f>IFERROR(_xlfn.XLOOKUP(TEXT(H234,"0000000000"),'📞 Call Tracker'!A$2:A$2000,'📞 Call Tracker'!C$2:C$2000,""),"")</f>
        <v/>
      </c>
      <c r="Y234" s="95" t="str">
        <f>IFERROR(_xlfn.XLOOKUP(TEXT(H234,"0000000000"),'📞 Call Tracker'!A$2:A$2000,'📞 Call Tracker'!D$2:D$2000,""),"")</f>
        <v/>
      </c>
      <c r="Z234" s="95" t="str">
        <f>IFERROR(_xlfn.XLOOKUP(TEXT(H234,"0000000000"),'📞 Call Tracker'!A$2:A$2000,'📞 Call Tracker'!E$2:E$2000,""),"")</f>
        <v/>
      </c>
      <c r="AA234" s="145" t="str">
        <f>IFERROR(_xlfn.XLOOKUP(TEXT(H234,"0000000000"),'📞 Call Tracker'!A$2:A$2000,'📞 Call Tracker'!F$2:F$2000,""),"")</f>
        <v/>
      </c>
      <c r="AB234" s="132">
        <f t="shared" si="7"/>
        <v>4</v>
      </c>
      <c r="AC234" s="79"/>
    </row>
    <row r="235" spans="1:29" ht="20.100000000000001" customHeight="1">
      <c r="A235" s="91">
        <v>45903</v>
      </c>
      <c r="B235" s="92" t="str">
        <v>Jenkins</v>
      </c>
      <c r="C235" s="92" t="str">
        <v>Camille</v>
      </c>
      <c r="D235" s="92" t="str">
        <v>Goodyear</v>
      </c>
      <c r="E235" s="92">
        <v>85395</v>
      </c>
      <c r="F235" s="137" t="str">
        <v>Spend more on electricity than food</v>
      </c>
      <c r="G235" s="93" t="str">
        <v>https://images.edocket.azcc.gov/docketpdf/E000046190.pdf</v>
      </c>
      <c r="H235" s="150" t="s">
        <v>6611</v>
      </c>
      <c r="I235" s="114" t="str">
        <v>R3-47</v>
      </c>
      <c r="J235" s="94" t="str">
        <v>No</v>
      </c>
      <c r="K235" s="94" t="str">
        <v>No</v>
      </c>
      <c r="L235" s="137" t="str">
        <v>Yes</v>
      </c>
      <c r="M235" s="94" t="str">
        <v>No</v>
      </c>
      <c r="N235" s="134" t="str">
        <v>No</v>
      </c>
      <c r="O235" s="119" t="str">
        <v>Yes</v>
      </c>
      <c r="P235" s="92" t="str">
        <v>N</v>
      </c>
      <c r="Q235" s="91">
        <v>45967</v>
      </c>
      <c r="R235" s="140">
        <v>0</v>
      </c>
      <c r="S235" s="92">
        <v>0</v>
      </c>
      <c r="T235" s="92">
        <v>0</v>
      </c>
      <c r="U235" s="137">
        <v>0</v>
      </c>
      <c r="V235" s="126" t="str">
        <f t="shared" si="6"/>
        <v>✅ On Best Plan</v>
      </c>
      <c r="W235" s="130" t="str">
        <f>IFERROR(_xlfn.XLOOKUP(TEXT(H235,"0000000000"),'📞 Call Tracker'!A$2:A$2000,'📞 Call Tracker'!B$2:B$2000,""),"")</f>
        <v/>
      </c>
      <c r="X235" s="96" t="str">
        <f>IFERROR(_xlfn.XLOOKUP(TEXT(H235,"0000000000"),'📞 Call Tracker'!A$2:A$2000,'📞 Call Tracker'!C$2:C$2000,""),"")</f>
        <v/>
      </c>
      <c r="Y235" s="95" t="str">
        <f>IFERROR(_xlfn.XLOOKUP(TEXT(H235,"0000000000"),'📞 Call Tracker'!A$2:A$2000,'📞 Call Tracker'!D$2:D$2000,""),"")</f>
        <v/>
      </c>
      <c r="Z235" s="95" t="str">
        <f>IFERROR(_xlfn.XLOOKUP(TEXT(H235,"0000000000"),'📞 Call Tracker'!A$2:A$2000,'📞 Call Tracker'!E$2:E$2000,""),"")</f>
        <v/>
      </c>
      <c r="AA235" s="145" t="str">
        <f>IFERROR(_xlfn.XLOOKUP(TEXT(H235,"0000000000"),'📞 Call Tracker'!A$2:A$2000,'📞 Call Tracker'!F$2:F$2000,""),"")</f>
        <v/>
      </c>
      <c r="AB235" s="132">
        <f t="shared" si="7"/>
        <v>4</v>
      </c>
      <c r="AC235" s="79"/>
    </row>
    <row r="236" spans="1:29" ht="20.100000000000001" customHeight="1">
      <c r="A236" s="91">
        <v>45903</v>
      </c>
      <c r="B236" s="92" t="str">
        <v>Lawler</v>
      </c>
      <c r="C236" s="92" t="str">
        <v>Donna</v>
      </c>
      <c r="D236" s="92" t="str">
        <v>Goodyear</v>
      </c>
      <c r="E236" s="92">
        <v>85338</v>
      </c>
      <c r="F236" s="137" t="str">
        <v>Barely afford it now</v>
      </c>
      <c r="G236" s="93" t="str">
        <v>https://images.edocket.azcc.gov/docketpdf/E000046190.pdf</v>
      </c>
      <c r="H236" s="150" t="s">
        <v>6612</v>
      </c>
      <c r="I236" s="114" t="str">
        <v>R3-47</v>
      </c>
      <c r="J236" s="94" t="str">
        <v>No</v>
      </c>
      <c r="K236" s="94" t="str">
        <v>No</v>
      </c>
      <c r="L236" s="137" t="str">
        <v>Yes</v>
      </c>
      <c r="M236" s="94" t="str">
        <v>Yes</v>
      </c>
      <c r="N236" s="134">
        <v>2144.27</v>
      </c>
      <c r="O236" s="119" t="str">
        <v>Yes</v>
      </c>
      <c r="P236" s="92">
        <v>0</v>
      </c>
      <c r="Q236" s="91">
        <v>45967</v>
      </c>
      <c r="R236" s="140" t="str">
        <v>Assistance?</v>
      </c>
      <c r="S236" s="92">
        <v>0</v>
      </c>
      <c r="T236" s="92">
        <v>0</v>
      </c>
      <c r="U236" s="137">
        <v>0</v>
      </c>
      <c r="V236" s="126" t="str">
        <f t="shared" si="6"/>
        <v>✅ On Best Plan</v>
      </c>
      <c r="W236" s="130" t="str">
        <f>IFERROR(_xlfn.XLOOKUP(TEXT(H236,"0000000000"),'📞 Call Tracker'!A$2:A$2000,'📞 Call Tracker'!B$2:B$2000,""),"")</f>
        <v/>
      </c>
      <c r="X236" s="96" t="str">
        <f>IFERROR(_xlfn.XLOOKUP(TEXT(H236,"0000000000"),'📞 Call Tracker'!A$2:A$2000,'📞 Call Tracker'!C$2:C$2000,""),"")</f>
        <v/>
      </c>
      <c r="Y236" s="95" t="str">
        <f>IFERROR(_xlfn.XLOOKUP(TEXT(H236,"0000000000"),'📞 Call Tracker'!A$2:A$2000,'📞 Call Tracker'!D$2:D$2000,""),"")</f>
        <v/>
      </c>
      <c r="Z236" s="95" t="str">
        <f>IFERROR(_xlfn.XLOOKUP(TEXT(H236,"0000000000"),'📞 Call Tracker'!A$2:A$2000,'📞 Call Tracker'!E$2:E$2000,""),"")</f>
        <v/>
      </c>
      <c r="AA236" s="145" t="str">
        <f>IFERROR(_xlfn.XLOOKUP(TEXT(H236,"0000000000"),'📞 Call Tracker'!A$2:A$2000,'📞 Call Tracker'!F$2:F$2000,""),"")</f>
        <v/>
      </c>
      <c r="AB236" s="132">
        <f t="shared" si="7"/>
        <v>3</v>
      </c>
      <c r="AC236" s="79"/>
    </row>
    <row r="237" spans="1:29" ht="20.100000000000001" customHeight="1">
      <c r="A237" s="91">
        <v>45903</v>
      </c>
      <c r="B237" s="92" t="str">
        <v>Raymond</v>
      </c>
      <c r="C237" s="92" t="str">
        <v>Peter</v>
      </c>
      <c r="D237" s="92" t="str">
        <v>Peoria</v>
      </c>
      <c r="E237" s="92">
        <v>85383</v>
      </c>
      <c r="F237" s="137" t="str">
        <v>Form letter</v>
      </c>
      <c r="G237" s="93" t="str">
        <v>https://images.edocket.azcc.gov/docketpdf/E000046190.pdf</v>
      </c>
      <c r="H237" s="150" t="s">
        <v>6613</v>
      </c>
      <c r="I237" s="114" t="str">
        <v>R3-47</v>
      </c>
      <c r="J237" s="94" t="str">
        <v>No</v>
      </c>
      <c r="K237" s="94" t="str">
        <v>No</v>
      </c>
      <c r="L237" s="137" t="str">
        <v>Yes</v>
      </c>
      <c r="M237" s="94" t="str">
        <v>No</v>
      </c>
      <c r="N237" s="134" t="str">
        <v>No</v>
      </c>
      <c r="O237" s="119" t="str">
        <v>Yes</v>
      </c>
      <c r="P237" s="92" t="str">
        <v>N</v>
      </c>
      <c r="Q237" s="91">
        <v>45967</v>
      </c>
      <c r="R237" s="140">
        <v>0</v>
      </c>
      <c r="S237" s="92">
        <v>0</v>
      </c>
      <c r="T237" s="92">
        <v>0</v>
      </c>
      <c r="U237" s="137">
        <v>0</v>
      </c>
      <c r="V237" s="126" t="str">
        <f t="shared" si="6"/>
        <v>✅ On Best Plan</v>
      </c>
      <c r="W237" s="130" t="str">
        <f>IFERROR(_xlfn.XLOOKUP(TEXT(H237,"0000000000"),'📞 Call Tracker'!A$2:A$2000,'📞 Call Tracker'!B$2:B$2000,""),"")</f>
        <v/>
      </c>
      <c r="X237" s="96" t="str">
        <f>IFERROR(_xlfn.XLOOKUP(TEXT(H237,"0000000000"),'📞 Call Tracker'!A$2:A$2000,'📞 Call Tracker'!C$2:C$2000,""),"")</f>
        <v/>
      </c>
      <c r="Y237" s="95" t="str">
        <f>IFERROR(_xlfn.XLOOKUP(TEXT(H237,"0000000000"),'📞 Call Tracker'!A$2:A$2000,'📞 Call Tracker'!D$2:D$2000,""),"")</f>
        <v/>
      </c>
      <c r="Z237" s="95" t="str">
        <f>IFERROR(_xlfn.XLOOKUP(TEXT(H237,"0000000000"),'📞 Call Tracker'!A$2:A$2000,'📞 Call Tracker'!E$2:E$2000,""),"")</f>
        <v/>
      </c>
      <c r="AA237" s="145" t="str">
        <f>IFERROR(_xlfn.XLOOKUP(TEXT(H237,"0000000000"),'📞 Call Tracker'!A$2:A$2000,'📞 Call Tracker'!F$2:F$2000,""),"")</f>
        <v/>
      </c>
      <c r="AB237" s="132">
        <f t="shared" si="7"/>
        <v>4</v>
      </c>
      <c r="AC237" s="79"/>
    </row>
    <row r="238" spans="1:29" ht="20.100000000000001" customHeight="1">
      <c r="A238" s="91">
        <v>45903</v>
      </c>
      <c r="B238" s="92" t="str">
        <v>Ikeler</v>
      </c>
      <c r="C238" s="92" t="str">
        <v>Amber</v>
      </c>
      <c r="D238" s="92" t="str">
        <v>Glendale</v>
      </c>
      <c r="E238" s="92">
        <v>85308</v>
      </c>
      <c r="F238" s="137" t="str">
        <v>Form letter</v>
      </c>
      <c r="G238" s="93" t="str">
        <v>https://images.edocket.azcc.gov/docketpdf/E000046190.pdf</v>
      </c>
      <c r="H238" s="150" t="s">
        <v>6614</v>
      </c>
      <c r="I238" s="114" t="str">
        <v>RTOUE47</v>
      </c>
      <c r="J238" s="94" t="str">
        <v>No</v>
      </c>
      <c r="K238" s="94" t="str">
        <v>No</v>
      </c>
      <c r="L238" s="137" t="str">
        <v>No MEP R-BASIC ($40.75)</v>
      </c>
      <c r="M238" s="94" t="str">
        <v>No</v>
      </c>
      <c r="N238" s="134" t="str">
        <v>No</v>
      </c>
      <c r="O238" s="119" t="str">
        <v>Yes</v>
      </c>
      <c r="P238" s="92" t="str">
        <v>N</v>
      </c>
      <c r="Q238" s="91">
        <v>45967</v>
      </c>
      <c r="R238" s="140">
        <v>0</v>
      </c>
      <c r="S238" s="92">
        <v>0</v>
      </c>
      <c r="T238" s="92">
        <v>0</v>
      </c>
      <c r="U238" s="137">
        <v>0</v>
      </c>
      <c r="V238" s="126" t="str">
        <f t="shared" si="6"/>
        <v>❌ Not on Best Plan</v>
      </c>
      <c r="W238" s="130" t="str">
        <f>IFERROR(_xlfn.XLOOKUP(TEXT(H238,"0000000000"),'📞 Call Tracker'!A$2:A$2000,'📞 Call Tracker'!B$2:B$2000,""),"")</f>
        <v/>
      </c>
      <c r="X238" s="96" t="str">
        <f>IFERROR(_xlfn.XLOOKUP(TEXT(H238,"0000000000"),'📞 Call Tracker'!A$2:A$2000,'📞 Call Tracker'!C$2:C$2000,""),"")</f>
        <v/>
      </c>
      <c r="Y238" s="95" t="str">
        <f>IFERROR(_xlfn.XLOOKUP(TEXT(H238,"0000000000"),'📞 Call Tracker'!A$2:A$2000,'📞 Call Tracker'!D$2:D$2000,""),"")</f>
        <v/>
      </c>
      <c r="Z238" s="95" t="str">
        <f>IFERROR(_xlfn.XLOOKUP(TEXT(H238,"0000000000"),'📞 Call Tracker'!A$2:A$2000,'📞 Call Tracker'!E$2:E$2000,""),"")</f>
        <v/>
      </c>
      <c r="AA238" s="145" t="str">
        <f>IFERROR(_xlfn.XLOOKUP(TEXT(H238,"0000000000"),'📞 Call Tracker'!A$2:A$2000,'📞 Call Tracker'!F$2:F$2000,""),"")</f>
        <v/>
      </c>
      <c r="AB238" s="132">
        <f t="shared" si="7"/>
        <v>2</v>
      </c>
      <c r="AC238" s="79"/>
    </row>
    <row r="239" spans="1:29" ht="20.100000000000001" customHeight="1">
      <c r="A239" s="91">
        <v>45903</v>
      </c>
      <c r="B239" s="92" t="str">
        <v>Samuels</v>
      </c>
      <c r="C239" s="92" t="str">
        <v>Shaun</v>
      </c>
      <c r="D239" s="92" t="str">
        <v>Scottsdale</v>
      </c>
      <c r="E239" s="92">
        <v>85251</v>
      </c>
      <c r="F239" s="137" t="str">
        <v>Form letter</v>
      </c>
      <c r="G239" s="93" t="str">
        <v>https://images.edocket.azcc.gov/docketpdf/E000046190.pdf</v>
      </c>
      <c r="H239" s="150" t="s">
        <v>6615</v>
      </c>
      <c r="I239" s="114" t="str">
        <v>R-BASIC</v>
      </c>
      <c r="J239" s="94" t="str">
        <v>No</v>
      </c>
      <c r="K239" s="94" t="str">
        <v>No</v>
      </c>
      <c r="L239" s="137" t="str">
        <v>No MEP RTOUE ($2.35)</v>
      </c>
      <c r="M239" s="94" t="str">
        <v>No</v>
      </c>
      <c r="N239" s="134" t="str">
        <v>No</v>
      </c>
      <c r="O239" s="119" t="str">
        <v>Yes</v>
      </c>
      <c r="P239" s="92" t="str">
        <v>N</v>
      </c>
      <c r="Q239" s="91">
        <v>45967</v>
      </c>
      <c r="R239" s="140">
        <v>0</v>
      </c>
      <c r="S239" s="92">
        <v>0</v>
      </c>
      <c r="T239" s="92">
        <v>0</v>
      </c>
      <c r="U239" s="137">
        <v>0</v>
      </c>
      <c r="V239" s="126" t="str">
        <f t="shared" si="6"/>
        <v>❌ Not on Best Plan</v>
      </c>
      <c r="W239" s="130" t="str">
        <f>IFERROR(_xlfn.XLOOKUP(TEXT(H239,"0000000000"),'📞 Call Tracker'!A$2:A$2000,'📞 Call Tracker'!B$2:B$2000,""),"")</f>
        <v/>
      </c>
      <c r="X239" s="96" t="str">
        <f>IFERROR(_xlfn.XLOOKUP(TEXT(H239,"0000000000"),'📞 Call Tracker'!A$2:A$2000,'📞 Call Tracker'!C$2:C$2000,""),"")</f>
        <v/>
      </c>
      <c r="Y239" s="95" t="str">
        <f>IFERROR(_xlfn.XLOOKUP(TEXT(H239,"0000000000"),'📞 Call Tracker'!A$2:A$2000,'📞 Call Tracker'!D$2:D$2000,""),"")</f>
        <v/>
      </c>
      <c r="Z239" s="95" t="str">
        <f>IFERROR(_xlfn.XLOOKUP(TEXT(H239,"0000000000"),'📞 Call Tracker'!A$2:A$2000,'📞 Call Tracker'!E$2:E$2000,""),"")</f>
        <v/>
      </c>
      <c r="AA239" s="145" t="str">
        <f>IFERROR(_xlfn.XLOOKUP(TEXT(H239,"0000000000"),'📞 Call Tracker'!A$2:A$2000,'📞 Call Tracker'!F$2:F$2000,""),"")</f>
        <v/>
      </c>
      <c r="AB239" s="132">
        <f t="shared" si="7"/>
        <v>2</v>
      </c>
      <c r="AC239" s="79"/>
    </row>
    <row r="240" spans="1:29" ht="20.100000000000001" customHeight="1">
      <c r="A240" s="91">
        <v>45903</v>
      </c>
      <c r="B240" s="92" t="str">
        <v>Bahoura</v>
      </c>
      <c r="C240" s="92" t="str">
        <v>Jayne</v>
      </c>
      <c r="D240" s="92" t="str">
        <v>Scottsdale</v>
      </c>
      <c r="E240" s="92">
        <v>85266</v>
      </c>
      <c r="F240" s="137" t="str">
        <v>Opposed</v>
      </c>
      <c r="G240" s="93" t="str">
        <v>https://images.edocket.azcc.gov/docketpdf/E000046190.pdf</v>
      </c>
      <c r="H240" s="150" t="s">
        <v>6616</v>
      </c>
      <c r="I240" s="114" t="str">
        <v>R3-47</v>
      </c>
      <c r="J240" s="94" t="str">
        <v>No</v>
      </c>
      <c r="K240" s="94" t="str">
        <v>No</v>
      </c>
      <c r="L240" s="137" t="str">
        <v>Yes</v>
      </c>
      <c r="M240" s="94" t="str">
        <v>No</v>
      </c>
      <c r="N240" s="134" t="str">
        <v>No</v>
      </c>
      <c r="O240" s="119" t="str">
        <v>Yes</v>
      </c>
      <c r="P240" s="92" t="str">
        <v>N</v>
      </c>
      <c r="Q240" s="91">
        <v>45967</v>
      </c>
      <c r="R240" s="140">
        <v>0</v>
      </c>
      <c r="S240" s="92">
        <v>0</v>
      </c>
      <c r="T240" s="92">
        <v>0</v>
      </c>
      <c r="U240" s="137">
        <v>0</v>
      </c>
      <c r="V240" s="126" t="str">
        <f t="shared" si="6"/>
        <v>✅ On Best Plan</v>
      </c>
      <c r="W240" s="130" t="str">
        <f>IFERROR(_xlfn.XLOOKUP(TEXT(H240,"0000000000"),'📞 Call Tracker'!A$2:A$2000,'📞 Call Tracker'!B$2:B$2000,""),"")</f>
        <v/>
      </c>
      <c r="X240" s="96" t="str">
        <f>IFERROR(_xlfn.XLOOKUP(TEXT(H240,"0000000000"),'📞 Call Tracker'!A$2:A$2000,'📞 Call Tracker'!C$2:C$2000,""),"")</f>
        <v/>
      </c>
      <c r="Y240" s="95" t="str">
        <f>IFERROR(_xlfn.XLOOKUP(TEXT(H240,"0000000000"),'📞 Call Tracker'!A$2:A$2000,'📞 Call Tracker'!D$2:D$2000,""),"")</f>
        <v/>
      </c>
      <c r="Z240" s="95" t="str">
        <f>IFERROR(_xlfn.XLOOKUP(TEXT(H240,"0000000000"),'📞 Call Tracker'!A$2:A$2000,'📞 Call Tracker'!E$2:E$2000,""),"")</f>
        <v/>
      </c>
      <c r="AA240" s="145" t="str">
        <f>IFERROR(_xlfn.XLOOKUP(TEXT(H240,"0000000000"),'📞 Call Tracker'!A$2:A$2000,'📞 Call Tracker'!F$2:F$2000,""),"")</f>
        <v/>
      </c>
      <c r="AB240" s="132">
        <f t="shared" si="7"/>
        <v>4</v>
      </c>
      <c r="AC240" s="79"/>
    </row>
    <row r="241" spans="1:29" ht="20.100000000000001" customHeight="1">
      <c r="A241" s="91">
        <v>45903</v>
      </c>
      <c r="B241" s="92" t="str">
        <v>Zagoryanu</v>
      </c>
      <c r="C241" s="92" t="str">
        <v>Marius</v>
      </c>
      <c r="D241" s="92" t="str">
        <v>Phoenix</v>
      </c>
      <c r="E241" s="92">
        <v>85085</v>
      </c>
      <c r="F241" s="137" t="str">
        <v>Form letter</v>
      </c>
      <c r="G241" s="93" t="str">
        <v>https://images.edocket.azcc.gov/docketpdf/E000046190.pdf</v>
      </c>
      <c r="H241" s="150" t="s">
        <v>6617</v>
      </c>
      <c r="I241" s="114" t="str">
        <v>R-XS</v>
      </c>
      <c r="J241" s="94" t="str">
        <v>No</v>
      </c>
      <c r="K241" s="94" t="str">
        <v>No</v>
      </c>
      <c r="L241" s="137" t="str">
        <v>Yes</v>
      </c>
      <c r="M241" s="94" t="str">
        <v>No</v>
      </c>
      <c r="N241" s="134" t="str">
        <v>No</v>
      </c>
      <c r="O241" s="119" t="str">
        <v>Yes</v>
      </c>
      <c r="P241" s="92" t="str">
        <v>N</v>
      </c>
      <c r="Q241" s="91">
        <v>45967</v>
      </c>
      <c r="R241" s="140">
        <v>0</v>
      </c>
      <c r="S241" s="92">
        <v>0</v>
      </c>
      <c r="T241" s="92">
        <v>0</v>
      </c>
      <c r="U241" s="137">
        <v>0</v>
      </c>
      <c r="V241" s="126" t="str">
        <f t="shared" si="6"/>
        <v>✅ On Best Plan</v>
      </c>
      <c r="W241" s="130" t="str">
        <f>IFERROR(_xlfn.XLOOKUP(TEXT(H241,"0000000000"),'📞 Call Tracker'!A$2:A$2000,'📞 Call Tracker'!B$2:B$2000,""),"")</f>
        <v/>
      </c>
      <c r="X241" s="96" t="str">
        <f>IFERROR(_xlfn.XLOOKUP(TEXT(H241,"0000000000"),'📞 Call Tracker'!A$2:A$2000,'📞 Call Tracker'!C$2:C$2000,""),"")</f>
        <v/>
      </c>
      <c r="Y241" s="95" t="str">
        <f>IFERROR(_xlfn.XLOOKUP(TEXT(H241,"0000000000"),'📞 Call Tracker'!A$2:A$2000,'📞 Call Tracker'!D$2:D$2000,""),"")</f>
        <v/>
      </c>
      <c r="Z241" s="95" t="str">
        <f>IFERROR(_xlfn.XLOOKUP(TEXT(H241,"0000000000"),'📞 Call Tracker'!A$2:A$2000,'📞 Call Tracker'!E$2:E$2000,""),"")</f>
        <v/>
      </c>
      <c r="AA241" s="145" t="str">
        <f>IFERROR(_xlfn.XLOOKUP(TEXT(H241,"0000000000"),'📞 Call Tracker'!A$2:A$2000,'📞 Call Tracker'!F$2:F$2000,""),"")</f>
        <v/>
      </c>
      <c r="AB241" s="132">
        <f t="shared" si="7"/>
        <v>4</v>
      </c>
      <c r="AC241" s="79"/>
    </row>
    <row r="242" spans="1:29" ht="20.100000000000001" customHeight="1">
      <c r="A242" s="91">
        <v>45903</v>
      </c>
      <c r="B242" s="92" t="str">
        <v>Porchia</v>
      </c>
      <c r="C242" s="92" t="str">
        <v>Dominic</v>
      </c>
      <c r="D242" s="92" t="str">
        <v>Avondale</v>
      </c>
      <c r="E242" s="92">
        <v>85392</v>
      </c>
      <c r="F242" s="137" t="str">
        <v>Opposed</v>
      </c>
      <c r="G242" s="93" t="str">
        <v>https://images.edocket.azcc.gov/docketpdf/E000046190.pdf</v>
      </c>
      <c r="H242" s="150" t="s">
        <v>6187</v>
      </c>
      <c r="I242" s="114" t="str">
        <v>RTOUE47</v>
      </c>
      <c r="J242" s="94" t="str">
        <v>No</v>
      </c>
      <c r="K242" s="94" t="str">
        <v>No</v>
      </c>
      <c r="L242" s="137" t="str">
        <v>Yes</v>
      </c>
      <c r="M242" s="94" t="str">
        <v>No</v>
      </c>
      <c r="N242" s="134" t="str">
        <v>No</v>
      </c>
      <c r="O242" s="119" t="str">
        <v>Yes</v>
      </c>
      <c r="P242" s="92" t="str">
        <v>N</v>
      </c>
      <c r="Q242" s="91">
        <v>45967</v>
      </c>
      <c r="R242" s="140">
        <v>0</v>
      </c>
      <c r="S242" s="92">
        <v>0</v>
      </c>
      <c r="T242" s="92">
        <v>0</v>
      </c>
      <c r="U242" s="137">
        <v>0</v>
      </c>
      <c r="V242" s="126" t="str">
        <f t="shared" si="6"/>
        <v>✅ On Best Plan</v>
      </c>
      <c r="W242" s="130">
        <f>IFERROR(_xlfn.XLOOKUP(TEXT(H242,"0000000000"),'📞 Call Tracker'!A$2:A$2000,'📞 Call Tracker'!B$2:B$2000,""),"")</f>
        <v>0</v>
      </c>
      <c r="X242" s="96">
        <f>IFERROR(_xlfn.XLOOKUP(TEXT(H242,"0000000000"),'📞 Call Tracker'!A$2:A$2000,'📞 Call Tracker'!C$2:C$2000,""),"")</f>
        <v>0</v>
      </c>
      <c r="Y242" s="95">
        <f>IFERROR(_xlfn.XLOOKUP(TEXT(H242,"0000000000"),'📞 Call Tracker'!A$2:A$2000,'📞 Call Tracker'!D$2:D$2000,""),"")</f>
        <v>0</v>
      </c>
      <c r="Z242" s="95">
        <f>IFERROR(_xlfn.XLOOKUP(TEXT(H242,"0000000000"),'📞 Call Tracker'!A$2:A$2000,'📞 Call Tracker'!E$2:E$2000,""),"")</f>
        <v>0</v>
      </c>
      <c r="AA242" s="145">
        <f>IFERROR(_xlfn.XLOOKUP(TEXT(H242,"0000000000"),'📞 Call Tracker'!A$2:A$2000,'📞 Call Tracker'!F$2:F$2000,""),"")</f>
        <v>0</v>
      </c>
      <c r="AB242" s="132">
        <f t="shared" si="7"/>
        <v>99</v>
      </c>
      <c r="AC242" s="79"/>
    </row>
    <row r="243" spans="1:29" ht="20.100000000000001" customHeight="1">
      <c r="A243" s="91">
        <v>45903</v>
      </c>
      <c r="B243" s="92" t="str">
        <v>Romero</v>
      </c>
      <c r="C243" s="92" t="str">
        <v>Cristobal</v>
      </c>
      <c r="D243" s="92" t="str">
        <v>Phoenix</v>
      </c>
      <c r="E243" s="92">
        <v>85020</v>
      </c>
      <c r="F243" s="137" t="str">
        <v>Form letter</v>
      </c>
      <c r="G243" s="93" t="str">
        <v>https://images.edocket.azcc.gov/docketpdf/E000046190.pdf</v>
      </c>
      <c r="H243" s="150" t="s">
        <v>6618</v>
      </c>
      <c r="I243" s="114" t="str">
        <v>R3-47</v>
      </c>
      <c r="J243" s="94" t="str">
        <v>No</v>
      </c>
      <c r="K243" s="94" t="str">
        <v>No</v>
      </c>
      <c r="L243" s="137" t="str">
        <v>Yes</v>
      </c>
      <c r="M243" s="94" t="str">
        <v>No</v>
      </c>
      <c r="N243" s="134" t="str">
        <v>No</v>
      </c>
      <c r="O243" s="119" t="str">
        <v>Yes</v>
      </c>
      <c r="P243" s="92" t="str">
        <v>N</v>
      </c>
      <c r="Q243" s="91">
        <v>45967</v>
      </c>
      <c r="R243" s="140">
        <v>0</v>
      </c>
      <c r="S243" s="92">
        <v>0</v>
      </c>
      <c r="T243" s="92">
        <v>0</v>
      </c>
      <c r="U243" s="137">
        <v>0</v>
      </c>
      <c r="V243" s="126" t="str">
        <f t="shared" si="6"/>
        <v>✅ On Best Plan</v>
      </c>
      <c r="W243" s="130" t="str">
        <f>IFERROR(_xlfn.XLOOKUP(TEXT(H243,"0000000000"),'📞 Call Tracker'!A$2:A$2000,'📞 Call Tracker'!B$2:B$2000,""),"")</f>
        <v/>
      </c>
      <c r="X243" s="96" t="str">
        <f>IFERROR(_xlfn.XLOOKUP(TEXT(H243,"0000000000"),'📞 Call Tracker'!A$2:A$2000,'📞 Call Tracker'!C$2:C$2000,""),"")</f>
        <v/>
      </c>
      <c r="Y243" s="95" t="str">
        <f>IFERROR(_xlfn.XLOOKUP(TEXT(H243,"0000000000"),'📞 Call Tracker'!A$2:A$2000,'📞 Call Tracker'!D$2:D$2000,""),"")</f>
        <v/>
      </c>
      <c r="Z243" s="95" t="str">
        <f>IFERROR(_xlfn.XLOOKUP(TEXT(H243,"0000000000"),'📞 Call Tracker'!A$2:A$2000,'📞 Call Tracker'!E$2:E$2000,""),"")</f>
        <v/>
      </c>
      <c r="AA243" s="145" t="str">
        <f>IFERROR(_xlfn.XLOOKUP(TEXT(H243,"0000000000"),'📞 Call Tracker'!A$2:A$2000,'📞 Call Tracker'!F$2:F$2000,""),"")</f>
        <v/>
      </c>
      <c r="AB243" s="132">
        <f t="shared" si="7"/>
        <v>4</v>
      </c>
      <c r="AC243" s="79"/>
    </row>
    <row r="244" spans="1:29" ht="20.100000000000001" customHeight="1">
      <c r="A244" s="91">
        <v>45903</v>
      </c>
      <c r="B244" s="92" t="str">
        <v>Chokkalingam</v>
      </c>
      <c r="C244" s="92" t="str">
        <v>Sankar</v>
      </c>
      <c r="D244" s="92" t="str">
        <v>Phoenix</v>
      </c>
      <c r="E244" s="92">
        <v>85050</v>
      </c>
      <c r="F244" s="137" t="str">
        <v>Already paying huge amount</v>
      </c>
      <c r="G244" s="93" t="str">
        <v>https://images.edocket.azcc.gov/docketpdf/E000046190.pdf</v>
      </c>
      <c r="H244" s="150" t="s">
        <v>6188</v>
      </c>
      <c r="I244" s="114" t="str">
        <v>R3-47</v>
      </c>
      <c r="J244" s="94" t="str">
        <v>No</v>
      </c>
      <c r="K244" s="94" t="str">
        <v>No</v>
      </c>
      <c r="L244" s="137" t="str">
        <v>Yes</v>
      </c>
      <c r="M244" s="94" t="str">
        <v>No</v>
      </c>
      <c r="N244" s="134" t="str">
        <v>No</v>
      </c>
      <c r="O244" s="119" t="str">
        <v>Yes</v>
      </c>
      <c r="P244" s="92" t="str">
        <v>N</v>
      </c>
      <c r="Q244" s="91">
        <v>45967</v>
      </c>
      <c r="R244" s="140">
        <v>0</v>
      </c>
      <c r="S244" s="92">
        <v>0</v>
      </c>
      <c r="T244" s="92">
        <v>0</v>
      </c>
      <c r="U244" s="137">
        <v>0</v>
      </c>
      <c r="V244" s="126" t="str">
        <f t="shared" si="6"/>
        <v>✅ On Best Plan</v>
      </c>
      <c r="W244" s="130">
        <f>IFERROR(_xlfn.XLOOKUP(TEXT(H244,"0000000000"),'📞 Call Tracker'!A$2:A$2000,'📞 Call Tracker'!B$2:B$2000,""),"")</f>
        <v>0</v>
      </c>
      <c r="X244" s="96">
        <f>IFERROR(_xlfn.XLOOKUP(TEXT(H244,"0000000000"),'📞 Call Tracker'!A$2:A$2000,'📞 Call Tracker'!C$2:C$2000,""),"")</f>
        <v>0</v>
      </c>
      <c r="Y244" s="95">
        <f>IFERROR(_xlfn.XLOOKUP(TEXT(H244,"0000000000"),'📞 Call Tracker'!A$2:A$2000,'📞 Call Tracker'!D$2:D$2000,""),"")</f>
        <v>0</v>
      </c>
      <c r="Z244" s="95">
        <f>IFERROR(_xlfn.XLOOKUP(TEXT(H244,"0000000000"),'📞 Call Tracker'!A$2:A$2000,'📞 Call Tracker'!E$2:E$2000,""),"")</f>
        <v>0</v>
      </c>
      <c r="AA244" s="145">
        <f>IFERROR(_xlfn.XLOOKUP(TEXT(H244,"0000000000"),'📞 Call Tracker'!A$2:A$2000,'📞 Call Tracker'!F$2:F$2000,""),"")</f>
        <v>0</v>
      </c>
      <c r="AB244" s="132">
        <f t="shared" si="7"/>
        <v>99</v>
      </c>
      <c r="AC244" s="79"/>
    </row>
    <row r="245" spans="1:29" ht="20.100000000000001" customHeight="1">
      <c r="A245" s="91">
        <v>45903</v>
      </c>
      <c r="B245" s="92" t="str">
        <v>Khandelwal</v>
      </c>
      <c r="C245" s="92" t="str">
        <v>Vivek</v>
      </c>
      <c r="D245" s="92" t="str">
        <v>Glendale</v>
      </c>
      <c r="E245" s="92">
        <v>85307</v>
      </c>
      <c r="F245" s="137" t="str">
        <v>Opposed</v>
      </c>
      <c r="G245" s="93" t="str">
        <v>https://images.edocket.azcc.gov/docketpdf/E000046190.pdf</v>
      </c>
      <c r="H245" s="150" t="s">
        <v>6619</v>
      </c>
      <c r="I245" s="114" t="str">
        <v>R3-47</v>
      </c>
      <c r="J245" s="94" t="str">
        <v>No</v>
      </c>
      <c r="K245" s="94" t="str">
        <v>No</v>
      </c>
      <c r="L245" s="137" t="str">
        <v>Yes</v>
      </c>
      <c r="M245" s="94" t="str">
        <v>No</v>
      </c>
      <c r="N245" s="134" t="str">
        <v>No</v>
      </c>
      <c r="O245" s="119" t="str">
        <v>Yes</v>
      </c>
      <c r="P245" s="92" t="str">
        <v>N</v>
      </c>
      <c r="Q245" s="91">
        <v>45967</v>
      </c>
      <c r="R245" s="140">
        <v>0</v>
      </c>
      <c r="S245" s="92">
        <v>0</v>
      </c>
      <c r="T245" s="92">
        <v>0</v>
      </c>
      <c r="U245" s="137">
        <v>0</v>
      </c>
      <c r="V245" s="126" t="str">
        <f t="shared" si="6"/>
        <v>✅ On Best Plan</v>
      </c>
      <c r="W245" s="130" t="str">
        <f>IFERROR(_xlfn.XLOOKUP(TEXT(H245,"0000000000"),'📞 Call Tracker'!A$2:A$2000,'📞 Call Tracker'!B$2:B$2000,""),"")</f>
        <v/>
      </c>
      <c r="X245" s="96" t="str">
        <f>IFERROR(_xlfn.XLOOKUP(TEXT(H245,"0000000000"),'📞 Call Tracker'!A$2:A$2000,'📞 Call Tracker'!C$2:C$2000,""),"")</f>
        <v/>
      </c>
      <c r="Y245" s="95" t="str">
        <f>IFERROR(_xlfn.XLOOKUP(TEXT(H245,"0000000000"),'📞 Call Tracker'!A$2:A$2000,'📞 Call Tracker'!D$2:D$2000,""),"")</f>
        <v/>
      </c>
      <c r="Z245" s="95" t="str">
        <f>IFERROR(_xlfn.XLOOKUP(TEXT(H245,"0000000000"),'📞 Call Tracker'!A$2:A$2000,'📞 Call Tracker'!E$2:E$2000,""),"")</f>
        <v/>
      </c>
      <c r="AA245" s="145" t="str">
        <f>IFERROR(_xlfn.XLOOKUP(TEXT(H245,"0000000000"),'📞 Call Tracker'!A$2:A$2000,'📞 Call Tracker'!F$2:F$2000,""),"")</f>
        <v/>
      </c>
      <c r="AB245" s="132">
        <f t="shared" si="7"/>
        <v>4</v>
      </c>
      <c r="AC245" s="79"/>
    </row>
    <row r="246" spans="1:29" ht="20.100000000000001" customHeight="1">
      <c r="A246" s="91">
        <v>45903</v>
      </c>
      <c r="B246" s="92" t="str">
        <v>Swanson</v>
      </c>
      <c r="C246" s="92" t="str">
        <v>Zachary</v>
      </c>
      <c r="D246" s="92" t="str">
        <v>Glendale</v>
      </c>
      <c r="E246" s="92">
        <v>85308</v>
      </c>
      <c r="F246" s="137" t="str">
        <v>Form letter</v>
      </c>
      <c r="G246" s="93" t="str">
        <v>https://images.edocket.azcc.gov/docketpdf/E000046190.pdf</v>
      </c>
      <c r="H246" s="150" t="s">
        <v>6620</v>
      </c>
      <c r="I246" s="114" t="str">
        <v>R3-47</v>
      </c>
      <c r="J246" s="94" t="str">
        <v>No</v>
      </c>
      <c r="K246" s="94" t="str">
        <v>No</v>
      </c>
      <c r="L246" s="137" t="str">
        <v>Yes</v>
      </c>
      <c r="M246" s="94" t="str">
        <v>No</v>
      </c>
      <c r="N246" s="134" t="str">
        <v>No</v>
      </c>
      <c r="O246" s="119" t="str">
        <v>Yes</v>
      </c>
      <c r="P246" s="92" t="str">
        <v>N</v>
      </c>
      <c r="Q246" s="91">
        <v>45967</v>
      </c>
      <c r="R246" s="140">
        <v>0</v>
      </c>
      <c r="S246" s="92">
        <v>0</v>
      </c>
      <c r="T246" s="92">
        <v>0</v>
      </c>
      <c r="U246" s="137">
        <v>0</v>
      </c>
      <c r="V246" s="126" t="str">
        <f t="shared" si="6"/>
        <v>✅ On Best Plan</v>
      </c>
      <c r="W246" s="130" t="str">
        <f>IFERROR(_xlfn.XLOOKUP(TEXT(H246,"0000000000"),'📞 Call Tracker'!A$2:A$2000,'📞 Call Tracker'!B$2:B$2000,""),"")</f>
        <v/>
      </c>
      <c r="X246" s="96" t="str">
        <f>IFERROR(_xlfn.XLOOKUP(TEXT(H246,"0000000000"),'📞 Call Tracker'!A$2:A$2000,'📞 Call Tracker'!C$2:C$2000,""),"")</f>
        <v/>
      </c>
      <c r="Y246" s="95" t="str">
        <f>IFERROR(_xlfn.XLOOKUP(TEXT(H246,"0000000000"),'📞 Call Tracker'!A$2:A$2000,'📞 Call Tracker'!D$2:D$2000,""),"")</f>
        <v/>
      </c>
      <c r="Z246" s="95" t="str">
        <f>IFERROR(_xlfn.XLOOKUP(TEXT(H246,"0000000000"),'📞 Call Tracker'!A$2:A$2000,'📞 Call Tracker'!E$2:E$2000,""),"")</f>
        <v/>
      </c>
      <c r="AA246" s="145" t="str">
        <f>IFERROR(_xlfn.XLOOKUP(TEXT(H246,"0000000000"),'📞 Call Tracker'!A$2:A$2000,'📞 Call Tracker'!F$2:F$2000,""),"")</f>
        <v/>
      </c>
      <c r="AB246" s="132">
        <f t="shared" si="7"/>
        <v>4</v>
      </c>
      <c r="AC246" s="79"/>
    </row>
    <row r="247" spans="1:29" ht="20.100000000000001" customHeight="1">
      <c r="A247" s="91">
        <v>45903</v>
      </c>
      <c r="B247" s="92" t="str">
        <v>Vallinayagam</v>
      </c>
      <c r="C247" s="92" t="str">
        <v>Subramanian</v>
      </c>
      <c r="D247" s="92" t="str">
        <v>Phoenix</v>
      </c>
      <c r="E247" s="92">
        <v>85050</v>
      </c>
      <c r="F247" s="137" t="str">
        <v>Opposed</v>
      </c>
      <c r="G247" s="93" t="str">
        <v>https://images.edocket.azcc.gov/docketpdf/E000046190.pdf</v>
      </c>
      <c r="H247" s="150" t="s">
        <v>6621</v>
      </c>
      <c r="I247" s="114" t="str">
        <v>RTOUE47</v>
      </c>
      <c r="J247" s="94" t="str">
        <v>No</v>
      </c>
      <c r="K247" s="94" t="str">
        <v>No</v>
      </c>
      <c r="L247" s="137" t="str">
        <v>Yes</v>
      </c>
      <c r="M247" s="94" t="str">
        <v>No</v>
      </c>
      <c r="N247" s="134" t="str">
        <v>No</v>
      </c>
      <c r="O247" s="119" t="str">
        <v>Yes</v>
      </c>
      <c r="P247" s="92" t="str">
        <v>N</v>
      </c>
      <c r="Q247" s="91">
        <v>45967</v>
      </c>
      <c r="R247" s="140">
        <v>0</v>
      </c>
      <c r="S247" s="92">
        <v>0</v>
      </c>
      <c r="T247" s="92">
        <v>0</v>
      </c>
      <c r="U247" s="137">
        <v>0</v>
      </c>
      <c r="V247" s="126" t="str">
        <f t="shared" si="6"/>
        <v>✅ On Best Plan</v>
      </c>
      <c r="W247" s="130" t="str">
        <f>IFERROR(_xlfn.XLOOKUP(TEXT(H247,"0000000000"),'📞 Call Tracker'!A$2:A$2000,'📞 Call Tracker'!B$2:B$2000,""),"")</f>
        <v/>
      </c>
      <c r="X247" s="96" t="str">
        <f>IFERROR(_xlfn.XLOOKUP(TEXT(H247,"0000000000"),'📞 Call Tracker'!A$2:A$2000,'📞 Call Tracker'!C$2:C$2000,""),"")</f>
        <v/>
      </c>
      <c r="Y247" s="95" t="str">
        <f>IFERROR(_xlfn.XLOOKUP(TEXT(H247,"0000000000"),'📞 Call Tracker'!A$2:A$2000,'📞 Call Tracker'!D$2:D$2000,""),"")</f>
        <v/>
      </c>
      <c r="Z247" s="95" t="str">
        <f>IFERROR(_xlfn.XLOOKUP(TEXT(H247,"0000000000"),'📞 Call Tracker'!A$2:A$2000,'📞 Call Tracker'!E$2:E$2000,""),"")</f>
        <v/>
      </c>
      <c r="AA247" s="145" t="str">
        <f>IFERROR(_xlfn.XLOOKUP(TEXT(H247,"0000000000"),'📞 Call Tracker'!A$2:A$2000,'📞 Call Tracker'!F$2:F$2000,""),"")</f>
        <v/>
      </c>
      <c r="AB247" s="132">
        <f t="shared" si="7"/>
        <v>4</v>
      </c>
      <c r="AC247" s="79"/>
    </row>
    <row r="248" spans="1:29" ht="20.100000000000001" customHeight="1">
      <c r="A248" s="91">
        <v>45903</v>
      </c>
      <c r="B248" s="92" t="str">
        <v>Vivekananthan</v>
      </c>
      <c r="C248" s="92" t="str">
        <v>Amarnath</v>
      </c>
      <c r="D248" s="92" t="str">
        <v>Phoenix</v>
      </c>
      <c r="E248" s="92">
        <v>85024</v>
      </c>
      <c r="F248" s="137" t="str">
        <v>Form letter</v>
      </c>
      <c r="G248" s="93" t="str">
        <v>https://images.edocket.azcc.gov/docketpdf/E000046190.pdf</v>
      </c>
      <c r="H248" s="150" t="s">
        <v>6622</v>
      </c>
      <c r="I248" s="114" t="str">
        <v>RTOUE47</v>
      </c>
      <c r="J248" s="94" t="str">
        <v>No</v>
      </c>
      <c r="K248" s="94" t="str">
        <v>No</v>
      </c>
      <c r="L248" s="137" t="str">
        <v>Yes</v>
      </c>
      <c r="M248" s="94" t="str">
        <v>No</v>
      </c>
      <c r="N248" s="134" t="str">
        <v>No</v>
      </c>
      <c r="O248" s="119" t="str">
        <v>Yes</v>
      </c>
      <c r="P248" s="92" t="str">
        <v>N</v>
      </c>
      <c r="Q248" s="91">
        <v>45967</v>
      </c>
      <c r="R248" s="140">
        <v>0</v>
      </c>
      <c r="S248" s="92">
        <v>0</v>
      </c>
      <c r="T248" s="92">
        <v>0</v>
      </c>
      <c r="U248" s="137">
        <v>0</v>
      </c>
      <c r="V248" s="126" t="str">
        <f t="shared" si="6"/>
        <v>✅ On Best Plan</v>
      </c>
      <c r="W248" s="130" t="str">
        <f>IFERROR(_xlfn.XLOOKUP(TEXT(H248,"0000000000"),'📞 Call Tracker'!A$2:A$2000,'📞 Call Tracker'!B$2:B$2000,""),"")</f>
        <v/>
      </c>
      <c r="X248" s="96" t="str">
        <f>IFERROR(_xlfn.XLOOKUP(TEXT(H248,"0000000000"),'📞 Call Tracker'!A$2:A$2000,'📞 Call Tracker'!C$2:C$2000,""),"")</f>
        <v/>
      </c>
      <c r="Y248" s="95" t="str">
        <f>IFERROR(_xlfn.XLOOKUP(TEXT(H248,"0000000000"),'📞 Call Tracker'!A$2:A$2000,'📞 Call Tracker'!D$2:D$2000,""),"")</f>
        <v/>
      </c>
      <c r="Z248" s="95" t="str">
        <f>IFERROR(_xlfn.XLOOKUP(TEXT(H248,"0000000000"),'📞 Call Tracker'!A$2:A$2000,'📞 Call Tracker'!E$2:E$2000,""),"")</f>
        <v/>
      </c>
      <c r="AA248" s="145" t="str">
        <f>IFERROR(_xlfn.XLOOKUP(TEXT(H248,"0000000000"),'📞 Call Tracker'!A$2:A$2000,'📞 Call Tracker'!F$2:F$2000,""),"")</f>
        <v/>
      </c>
      <c r="AB248" s="132">
        <f t="shared" si="7"/>
        <v>4</v>
      </c>
      <c r="AC248" s="79"/>
    </row>
    <row r="249" spans="1:29" ht="20.100000000000001" customHeight="1">
      <c r="A249" s="91">
        <v>45903</v>
      </c>
      <c r="B249" s="92" t="str">
        <v>Nelson</v>
      </c>
      <c r="C249" s="92" t="str">
        <v>Amy</v>
      </c>
      <c r="D249" s="92" t="str">
        <v>Goodyear</v>
      </c>
      <c r="E249" s="92">
        <v>85338</v>
      </c>
      <c r="F249" s="137" t="str">
        <v>Opposed, struggling</v>
      </c>
      <c r="G249" s="93" t="str">
        <v>https://images.edocket.azcc.gov/docketpdf/E000046190.pdf</v>
      </c>
      <c r="H249" s="150" t="s">
        <v>6623</v>
      </c>
      <c r="I249" s="114" t="str">
        <v>R3-47</v>
      </c>
      <c r="J249" s="94" t="str">
        <v>Yes</v>
      </c>
      <c r="K249" s="94" t="str">
        <v>No</v>
      </c>
      <c r="L249" s="137" t="str">
        <v>Yes</v>
      </c>
      <c r="M249" s="94" t="str">
        <v>No</v>
      </c>
      <c r="N249" s="134" t="str">
        <v>No</v>
      </c>
      <c r="O249" s="119" t="str">
        <v>Yes</v>
      </c>
      <c r="P249" s="92" t="str">
        <v>N</v>
      </c>
      <c r="Q249" s="91">
        <v>45967</v>
      </c>
      <c r="R249" s="140">
        <v>0</v>
      </c>
      <c r="S249" s="92">
        <v>0</v>
      </c>
      <c r="T249" s="92">
        <v>0</v>
      </c>
      <c r="U249" s="137">
        <v>0</v>
      </c>
      <c r="V249" s="126" t="str">
        <f t="shared" si="6"/>
        <v>✅ On Best Plan</v>
      </c>
      <c r="W249" s="130" t="str">
        <f>IFERROR(_xlfn.XLOOKUP(TEXT(H249,"0000000000"),'📞 Call Tracker'!A$2:A$2000,'📞 Call Tracker'!B$2:B$2000,""),"")</f>
        <v/>
      </c>
      <c r="X249" s="96" t="str">
        <f>IFERROR(_xlfn.XLOOKUP(TEXT(H249,"0000000000"),'📞 Call Tracker'!A$2:A$2000,'📞 Call Tracker'!C$2:C$2000,""),"")</f>
        <v/>
      </c>
      <c r="Y249" s="95" t="str">
        <f>IFERROR(_xlfn.XLOOKUP(TEXT(H249,"0000000000"),'📞 Call Tracker'!A$2:A$2000,'📞 Call Tracker'!D$2:D$2000,""),"")</f>
        <v/>
      </c>
      <c r="Z249" s="95" t="str">
        <f>IFERROR(_xlfn.XLOOKUP(TEXT(H249,"0000000000"),'📞 Call Tracker'!A$2:A$2000,'📞 Call Tracker'!E$2:E$2000,""),"")</f>
        <v/>
      </c>
      <c r="AA249" s="145" t="str">
        <f>IFERROR(_xlfn.XLOOKUP(TEXT(H249,"0000000000"),'📞 Call Tracker'!A$2:A$2000,'📞 Call Tracker'!F$2:F$2000,""),"")</f>
        <v/>
      </c>
      <c r="AB249" s="132">
        <f t="shared" si="7"/>
        <v>4</v>
      </c>
      <c r="AC249" s="79"/>
    </row>
    <row r="250" spans="1:29" ht="20.100000000000001" customHeight="1">
      <c r="A250" s="91">
        <v>45903</v>
      </c>
      <c r="B250" s="92" t="str">
        <v>Trudell</v>
      </c>
      <c r="C250" s="92" t="str">
        <v>Stephanie</v>
      </c>
      <c r="D250" s="92" t="str">
        <v>Goodyear</v>
      </c>
      <c r="E250" s="92">
        <v>85395</v>
      </c>
      <c r="F250" s="137" t="str">
        <v>No rate increase</v>
      </c>
      <c r="G250" s="93" t="str">
        <v>https://images.edocket.azcc.gov/docketpdf/E000046190.pdf</v>
      </c>
      <c r="H250" s="150" t="s">
        <v>6189</v>
      </c>
      <c r="I250" s="114" t="str">
        <v>R3-47</v>
      </c>
      <c r="J250" s="94" t="str">
        <v>No</v>
      </c>
      <c r="K250" s="94" t="str">
        <v>No</v>
      </c>
      <c r="L250" s="137" t="str">
        <v>Yes</v>
      </c>
      <c r="M250" s="94" t="str">
        <v>No</v>
      </c>
      <c r="N250" s="134" t="str">
        <v>No</v>
      </c>
      <c r="O250" s="119" t="str">
        <v>Yes</v>
      </c>
      <c r="P250" s="92" t="str">
        <v>N</v>
      </c>
      <c r="Q250" s="91">
        <v>45967</v>
      </c>
      <c r="R250" s="140">
        <v>0</v>
      </c>
      <c r="S250" s="92">
        <v>0</v>
      </c>
      <c r="T250" s="92">
        <v>0</v>
      </c>
      <c r="U250" s="137">
        <v>0</v>
      </c>
      <c r="V250" s="126" t="str">
        <f t="shared" si="6"/>
        <v>✅ On Best Plan</v>
      </c>
      <c r="W250" s="130">
        <f>IFERROR(_xlfn.XLOOKUP(TEXT(H250,"0000000000"),'📞 Call Tracker'!A$2:A$2000,'📞 Call Tracker'!B$2:B$2000,""),"")</f>
        <v>0</v>
      </c>
      <c r="X250" s="96">
        <f>IFERROR(_xlfn.XLOOKUP(TEXT(H250,"0000000000"),'📞 Call Tracker'!A$2:A$2000,'📞 Call Tracker'!C$2:C$2000,""),"")</f>
        <v>0</v>
      </c>
      <c r="Y250" s="95">
        <f>IFERROR(_xlfn.XLOOKUP(TEXT(H250,"0000000000"),'📞 Call Tracker'!A$2:A$2000,'📞 Call Tracker'!D$2:D$2000,""),"")</f>
        <v>0</v>
      </c>
      <c r="Z250" s="95">
        <f>IFERROR(_xlfn.XLOOKUP(TEXT(H250,"0000000000"),'📞 Call Tracker'!A$2:A$2000,'📞 Call Tracker'!E$2:E$2000,""),"")</f>
        <v>0</v>
      </c>
      <c r="AA250" s="145">
        <f>IFERROR(_xlfn.XLOOKUP(TEXT(H250,"0000000000"),'📞 Call Tracker'!A$2:A$2000,'📞 Call Tracker'!F$2:F$2000,""),"")</f>
        <v>0</v>
      </c>
      <c r="AB250" s="132">
        <f t="shared" si="7"/>
        <v>99</v>
      </c>
      <c r="AC250" s="79"/>
    </row>
    <row r="251" spans="1:29" ht="20.100000000000001" customHeight="1">
      <c r="A251" s="91">
        <v>45903</v>
      </c>
      <c r="B251" s="92" t="str">
        <v>Scarano</v>
      </c>
      <c r="C251" s="92" t="str">
        <v>Nick</v>
      </c>
      <c r="D251" s="92" t="str">
        <v>Scottsdale</v>
      </c>
      <c r="E251" s="92">
        <v>85266</v>
      </c>
      <c r="F251" s="137" t="str">
        <v>Form letter</v>
      </c>
      <c r="G251" s="93" t="str">
        <v>https://images.edocket.azcc.gov/docketpdf/E000046190.pdf</v>
      </c>
      <c r="H251" s="150" t="s">
        <v>1043</v>
      </c>
      <c r="I251" s="114" t="str">
        <v>R3-47</v>
      </c>
      <c r="J251" s="94" t="str">
        <v>No</v>
      </c>
      <c r="K251" s="94" t="str">
        <v>No</v>
      </c>
      <c r="L251" s="137" t="str">
        <v>Yes</v>
      </c>
      <c r="M251" s="94" t="str">
        <v>No</v>
      </c>
      <c r="N251" s="134" t="str">
        <v>No</v>
      </c>
      <c r="O251" s="119" t="str">
        <v>Yes</v>
      </c>
      <c r="P251" s="92" t="str">
        <v>N</v>
      </c>
      <c r="Q251" s="91">
        <v>45967</v>
      </c>
      <c r="R251" s="140">
        <v>0</v>
      </c>
      <c r="S251" s="92">
        <v>0</v>
      </c>
      <c r="T251" s="92">
        <v>0</v>
      </c>
      <c r="U251" s="137">
        <v>0</v>
      </c>
      <c r="V251" s="126" t="str">
        <f t="shared" si="6"/>
        <v>✅ On Best Plan</v>
      </c>
      <c r="W251" s="130">
        <f>IFERROR(_xlfn.XLOOKUP(TEXT(H251,"0000000000"),'📞 Call Tracker'!A$2:A$2000,'📞 Call Tracker'!B$2:B$2000,""),"")</f>
        <v>0</v>
      </c>
      <c r="X251" s="96">
        <f>IFERROR(_xlfn.XLOOKUP(TEXT(H251,"0000000000"),'📞 Call Tracker'!A$2:A$2000,'📞 Call Tracker'!C$2:C$2000,""),"")</f>
        <v>0</v>
      </c>
      <c r="Y251" s="95">
        <f>IFERROR(_xlfn.XLOOKUP(TEXT(H251,"0000000000"),'📞 Call Tracker'!A$2:A$2000,'📞 Call Tracker'!D$2:D$2000,""),"")</f>
        <v>0</v>
      </c>
      <c r="Z251" s="95">
        <f>IFERROR(_xlfn.XLOOKUP(TEXT(H251,"0000000000"),'📞 Call Tracker'!A$2:A$2000,'📞 Call Tracker'!E$2:E$2000,""),"")</f>
        <v>0</v>
      </c>
      <c r="AA251" s="145">
        <f>IFERROR(_xlfn.XLOOKUP(TEXT(H251,"0000000000"),'📞 Call Tracker'!A$2:A$2000,'📞 Call Tracker'!F$2:F$2000,""),"")</f>
        <v>0</v>
      </c>
      <c r="AB251" s="132">
        <f t="shared" si="7"/>
        <v>99</v>
      </c>
      <c r="AC251" s="79"/>
    </row>
    <row r="252" spans="1:29" ht="20.100000000000001" customHeight="1">
      <c r="A252" s="91">
        <v>45903</v>
      </c>
      <c r="B252" s="92" t="str">
        <v>Brahmecha</v>
      </c>
      <c r="C252" s="92" t="str">
        <v>Swapnil</v>
      </c>
      <c r="D252" s="92" t="str">
        <v>Peoria</v>
      </c>
      <c r="E252" s="92">
        <v>85383</v>
      </c>
      <c r="F252" s="137" t="str">
        <v>Form letter</v>
      </c>
      <c r="G252" s="93" t="str">
        <v>https://images.edocket.azcc.gov/docketpdf/E000046190.pdf</v>
      </c>
      <c r="H252" s="150" t="s">
        <v>6190</v>
      </c>
      <c r="I252" s="114" t="str">
        <v>R-2</v>
      </c>
      <c r="J252" s="94" t="str">
        <v>No</v>
      </c>
      <c r="K252" s="94" t="str">
        <v>No</v>
      </c>
      <c r="L252" s="137" t="str">
        <v>Frozen Rate</v>
      </c>
      <c r="M252" s="94" t="str">
        <v>No</v>
      </c>
      <c r="N252" s="134" t="str">
        <v>No</v>
      </c>
      <c r="O252" s="119" t="str">
        <v>Yes</v>
      </c>
      <c r="P252" s="92" t="str">
        <v>N</v>
      </c>
      <c r="Q252" s="91">
        <v>45967</v>
      </c>
      <c r="R252" s="140">
        <v>0</v>
      </c>
      <c r="S252" s="92">
        <v>0</v>
      </c>
      <c r="T252" s="92">
        <v>0</v>
      </c>
      <c r="U252" s="137">
        <v>0</v>
      </c>
      <c r="V252" s="126" t="str">
        <f t="shared" si="6"/>
        <v>❄ Frozen Rate</v>
      </c>
      <c r="W252" s="130">
        <f>IFERROR(_xlfn.XLOOKUP(TEXT(H252,"0000000000"),'📞 Call Tracker'!A$2:A$2000,'📞 Call Tracker'!B$2:B$2000,""),"")</f>
        <v>0</v>
      </c>
      <c r="X252" s="96">
        <f>IFERROR(_xlfn.XLOOKUP(TEXT(H252,"0000000000"),'📞 Call Tracker'!A$2:A$2000,'📞 Call Tracker'!C$2:C$2000,""),"")</f>
        <v>0</v>
      </c>
      <c r="Y252" s="95">
        <f>IFERROR(_xlfn.XLOOKUP(TEXT(H252,"0000000000"),'📞 Call Tracker'!A$2:A$2000,'📞 Call Tracker'!D$2:D$2000,""),"")</f>
        <v>0</v>
      </c>
      <c r="Z252" s="95">
        <f>IFERROR(_xlfn.XLOOKUP(TEXT(H252,"0000000000"),'📞 Call Tracker'!A$2:A$2000,'📞 Call Tracker'!E$2:E$2000,""),"")</f>
        <v>0</v>
      </c>
      <c r="AA252" s="145">
        <f>IFERROR(_xlfn.XLOOKUP(TEXT(H252,"0000000000"),'📞 Call Tracker'!A$2:A$2000,'📞 Call Tracker'!F$2:F$2000,""),"")</f>
        <v>0</v>
      </c>
      <c r="AB252" s="132">
        <f t="shared" si="7"/>
        <v>99</v>
      </c>
      <c r="AC252" s="79"/>
    </row>
    <row r="253" spans="1:29" ht="20.100000000000001" customHeight="1">
      <c r="A253" s="91">
        <v>45903</v>
      </c>
      <c r="B253" s="92" t="str">
        <v>Ponnoli</v>
      </c>
      <c r="C253" s="92" t="str">
        <v>Rukmini</v>
      </c>
      <c r="D253" s="92" t="str">
        <v>Phoenix</v>
      </c>
      <c r="E253" s="92">
        <v>85024</v>
      </c>
      <c r="F253" s="137" t="str">
        <v>Opposed to rate increase</v>
      </c>
      <c r="G253" s="93" t="str">
        <v>https://images.edocket.azcc.gov/docketpdf/E000046190.pdf</v>
      </c>
      <c r="H253" s="150" t="s">
        <v>6624</v>
      </c>
      <c r="I253" s="114" t="str">
        <v>RTOUE47</v>
      </c>
      <c r="J253" s="94" t="str">
        <v>No</v>
      </c>
      <c r="K253" s="94" t="str">
        <v>No</v>
      </c>
      <c r="L253" s="137" t="str">
        <v>No MEP R3-47(226.25)</v>
      </c>
      <c r="M253" s="94" t="str">
        <v>No</v>
      </c>
      <c r="N253" s="134" t="str">
        <v>No</v>
      </c>
      <c r="O253" s="119" t="str">
        <v>Yes</v>
      </c>
      <c r="P253" s="92">
        <v>45936</v>
      </c>
      <c r="Q253" s="91">
        <v>45967</v>
      </c>
      <c r="R253" s="140" t="str">
        <v>Decided to change to R3-47</v>
      </c>
      <c r="S253" s="92">
        <v>0</v>
      </c>
      <c r="T253" s="92">
        <v>0</v>
      </c>
      <c r="U253" s="137">
        <v>0</v>
      </c>
      <c r="V253" s="126" t="str">
        <f t="shared" si="6"/>
        <v>❌ Not on Best Plan</v>
      </c>
      <c r="W253" s="130" t="str">
        <f>IFERROR(_xlfn.XLOOKUP(TEXT(H253,"0000000000"),'📞 Call Tracker'!A$2:A$2000,'📞 Call Tracker'!B$2:B$2000,""),"")</f>
        <v/>
      </c>
      <c r="X253" s="96" t="str">
        <f>IFERROR(_xlfn.XLOOKUP(TEXT(H253,"0000000000"),'📞 Call Tracker'!A$2:A$2000,'📞 Call Tracker'!C$2:C$2000,""),"")</f>
        <v/>
      </c>
      <c r="Y253" s="95" t="str">
        <f>IFERROR(_xlfn.XLOOKUP(TEXT(H253,"0000000000"),'📞 Call Tracker'!A$2:A$2000,'📞 Call Tracker'!D$2:D$2000,""),"")</f>
        <v/>
      </c>
      <c r="Z253" s="95" t="str">
        <f>IFERROR(_xlfn.XLOOKUP(TEXT(H253,"0000000000"),'📞 Call Tracker'!A$2:A$2000,'📞 Call Tracker'!E$2:E$2000,""),"")</f>
        <v/>
      </c>
      <c r="AA253" s="145" t="str">
        <f>IFERROR(_xlfn.XLOOKUP(TEXT(H253,"0000000000"),'📞 Call Tracker'!A$2:A$2000,'📞 Call Tracker'!F$2:F$2000,""),"")</f>
        <v/>
      </c>
      <c r="AB253" s="132">
        <f t="shared" si="7"/>
        <v>2</v>
      </c>
      <c r="AC253" s="79"/>
    </row>
    <row r="254" spans="1:29" ht="20.100000000000001" customHeight="1">
      <c r="A254" s="91">
        <v>45903</v>
      </c>
      <c r="B254" s="92" t="str">
        <v>Terwadkar</v>
      </c>
      <c r="C254" s="92" t="str">
        <v>Aniket</v>
      </c>
      <c r="D254" s="92" t="str">
        <v>Peoria</v>
      </c>
      <c r="E254" s="92">
        <v>85383</v>
      </c>
      <c r="F254" s="137" t="str">
        <v>Form letter</v>
      </c>
      <c r="G254" s="93" t="str">
        <v>https://images.edocket.azcc.gov/docketpdf/E000046190.pdf</v>
      </c>
      <c r="H254" s="150" t="s">
        <v>6191</v>
      </c>
      <c r="I254" s="114" t="str">
        <v>R3-47</v>
      </c>
      <c r="J254" s="94" t="str">
        <v>No</v>
      </c>
      <c r="K254" s="94" t="str">
        <v>No</v>
      </c>
      <c r="L254" s="137" t="str">
        <v>Yes</v>
      </c>
      <c r="M254" s="94" t="str">
        <v>No</v>
      </c>
      <c r="N254" s="134" t="str">
        <v>No</v>
      </c>
      <c r="O254" s="119" t="str">
        <v>Yes</v>
      </c>
      <c r="P254" s="92" t="str">
        <v>N</v>
      </c>
      <c r="Q254" s="91">
        <v>45967</v>
      </c>
      <c r="R254" s="140">
        <v>0</v>
      </c>
      <c r="S254" s="92">
        <v>0</v>
      </c>
      <c r="T254" s="92">
        <v>0</v>
      </c>
      <c r="U254" s="137">
        <v>0</v>
      </c>
      <c r="V254" s="126" t="str">
        <f t="shared" si="6"/>
        <v>✅ On Best Plan</v>
      </c>
      <c r="W254" s="130">
        <f>IFERROR(_xlfn.XLOOKUP(TEXT(H254,"0000000000"),'📞 Call Tracker'!A$2:A$2000,'📞 Call Tracker'!B$2:B$2000,""),"")</f>
        <v>0</v>
      </c>
      <c r="X254" s="96">
        <f>IFERROR(_xlfn.XLOOKUP(TEXT(H254,"0000000000"),'📞 Call Tracker'!A$2:A$2000,'📞 Call Tracker'!C$2:C$2000,""),"")</f>
        <v>0</v>
      </c>
      <c r="Y254" s="95">
        <f>IFERROR(_xlfn.XLOOKUP(TEXT(H254,"0000000000"),'📞 Call Tracker'!A$2:A$2000,'📞 Call Tracker'!D$2:D$2000,""),"")</f>
        <v>0</v>
      </c>
      <c r="Z254" s="95">
        <f>IFERROR(_xlfn.XLOOKUP(TEXT(H254,"0000000000"),'📞 Call Tracker'!A$2:A$2000,'📞 Call Tracker'!E$2:E$2000,""),"")</f>
        <v>0</v>
      </c>
      <c r="AA254" s="145">
        <f>IFERROR(_xlfn.XLOOKUP(TEXT(H254,"0000000000"),'📞 Call Tracker'!A$2:A$2000,'📞 Call Tracker'!F$2:F$2000,""),"")</f>
        <v>0</v>
      </c>
      <c r="AB254" s="132">
        <f t="shared" si="7"/>
        <v>99</v>
      </c>
      <c r="AC254" s="79"/>
    </row>
    <row r="255" spans="1:29" ht="20.100000000000001" customHeight="1">
      <c r="A255" s="91">
        <v>45903</v>
      </c>
      <c r="B255" s="92" t="str">
        <v>Thangavelu</v>
      </c>
      <c r="C255" s="92" t="str">
        <v>Nandha</v>
      </c>
      <c r="D255" s="92" t="str">
        <v>Phoenix</v>
      </c>
      <c r="E255" s="92">
        <v>85085</v>
      </c>
      <c r="F255" s="137" t="str">
        <v>Form letter</v>
      </c>
      <c r="G255" s="93" t="str">
        <v>https://images.edocket.azcc.gov/docketpdf/E000046190.pdf</v>
      </c>
      <c r="H255" s="150" t="s">
        <v>6625</v>
      </c>
      <c r="I255" s="114" t="str">
        <v>R3-47</v>
      </c>
      <c r="J255" s="94" t="str">
        <v>No</v>
      </c>
      <c r="K255" s="94" t="str">
        <v>No</v>
      </c>
      <c r="L255" s="137" t="str">
        <v>Yes</v>
      </c>
      <c r="M255" s="94" t="str">
        <v>No</v>
      </c>
      <c r="N255" s="134" t="str">
        <v>No</v>
      </c>
      <c r="O255" s="119" t="str">
        <v>Yes</v>
      </c>
      <c r="P255" s="92" t="str">
        <v>N</v>
      </c>
      <c r="Q255" s="91">
        <v>45967</v>
      </c>
      <c r="R255" s="140">
        <v>0</v>
      </c>
      <c r="S255" s="92">
        <v>0</v>
      </c>
      <c r="T255" s="92">
        <v>0</v>
      </c>
      <c r="U255" s="137">
        <v>0</v>
      </c>
      <c r="V255" s="126" t="str">
        <f t="shared" si="6"/>
        <v>✅ On Best Plan</v>
      </c>
      <c r="W255" s="130" t="str">
        <f>IFERROR(_xlfn.XLOOKUP(TEXT(H255,"0000000000"),'📞 Call Tracker'!A$2:A$2000,'📞 Call Tracker'!B$2:B$2000,""),"")</f>
        <v/>
      </c>
      <c r="X255" s="96" t="str">
        <f>IFERROR(_xlfn.XLOOKUP(TEXT(H255,"0000000000"),'📞 Call Tracker'!A$2:A$2000,'📞 Call Tracker'!C$2:C$2000,""),"")</f>
        <v/>
      </c>
      <c r="Y255" s="95" t="str">
        <f>IFERROR(_xlfn.XLOOKUP(TEXT(H255,"0000000000"),'📞 Call Tracker'!A$2:A$2000,'📞 Call Tracker'!D$2:D$2000,""),"")</f>
        <v/>
      </c>
      <c r="Z255" s="95" t="str">
        <f>IFERROR(_xlfn.XLOOKUP(TEXT(H255,"0000000000"),'📞 Call Tracker'!A$2:A$2000,'📞 Call Tracker'!E$2:E$2000,""),"")</f>
        <v/>
      </c>
      <c r="AA255" s="145" t="str">
        <f>IFERROR(_xlfn.XLOOKUP(TEXT(H255,"0000000000"),'📞 Call Tracker'!A$2:A$2000,'📞 Call Tracker'!F$2:F$2000,""),"")</f>
        <v/>
      </c>
      <c r="AB255" s="132">
        <f t="shared" si="7"/>
        <v>4</v>
      </c>
      <c r="AC255" s="79"/>
    </row>
    <row r="256" spans="1:29" ht="20.100000000000001" customHeight="1">
      <c r="A256" s="91">
        <v>45903</v>
      </c>
      <c r="B256" s="92" t="str">
        <v>Ruiz</v>
      </c>
      <c r="C256" s="92" t="str">
        <v>Berenice</v>
      </c>
      <c r="D256" s="92" t="str">
        <v>Litchfield Park</v>
      </c>
      <c r="E256" s="92">
        <v>85340</v>
      </c>
      <c r="F256" s="137" t="str">
        <v>Negatively impact customers</v>
      </c>
      <c r="G256" s="93" t="str">
        <v>https://images.edocket.azcc.gov/docketpdf/E000046190.pdf</v>
      </c>
      <c r="H256" s="150" t="s">
        <v>6626</v>
      </c>
      <c r="I256" s="114" t="str">
        <v>R-BASIC</v>
      </c>
      <c r="J256" s="94" t="str">
        <v>Yes</v>
      </c>
      <c r="K256" s="94" t="str">
        <v>No</v>
      </c>
      <c r="L256" s="137" t="str">
        <v>No MEP R3-47 ($17.24)</v>
      </c>
      <c r="M256" s="94" t="str">
        <v>No</v>
      </c>
      <c r="N256" s="134" t="str">
        <v>No</v>
      </c>
      <c r="O256" s="119" t="str">
        <v>Yes</v>
      </c>
      <c r="P256" s="92" t="str">
        <v>N</v>
      </c>
      <c r="Q256" s="91">
        <v>45967</v>
      </c>
      <c r="R256" s="140">
        <v>0</v>
      </c>
      <c r="S256" s="92">
        <v>0</v>
      </c>
      <c r="T256" s="92">
        <v>0</v>
      </c>
      <c r="U256" s="137">
        <v>0</v>
      </c>
      <c r="V256" s="126" t="str">
        <f t="shared" si="6"/>
        <v>❌ Not on Best Plan</v>
      </c>
      <c r="W256" s="130" t="str">
        <f>IFERROR(_xlfn.XLOOKUP(TEXT(H256,"0000000000"),'📞 Call Tracker'!A$2:A$2000,'📞 Call Tracker'!B$2:B$2000,""),"")</f>
        <v/>
      </c>
      <c r="X256" s="96" t="str">
        <f>IFERROR(_xlfn.XLOOKUP(TEXT(H256,"0000000000"),'📞 Call Tracker'!A$2:A$2000,'📞 Call Tracker'!C$2:C$2000,""),"")</f>
        <v/>
      </c>
      <c r="Y256" s="95" t="str">
        <f>IFERROR(_xlfn.XLOOKUP(TEXT(H256,"0000000000"),'📞 Call Tracker'!A$2:A$2000,'📞 Call Tracker'!D$2:D$2000,""),"")</f>
        <v/>
      </c>
      <c r="Z256" s="95" t="str">
        <f>IFERROR(_xlfn.XLOOKUP(TEXT(H256,"0000000000"),'📞 Call Tracker'!A$2:A$2000,'📞 Call Tracker'!E$2:E$2000,""),"")</f>
        <v/>
      </c>
      <c r="AA256" s="145" t="str">
        <f>IFERROR(_xlfn.XLOOKUP(TEXT(H256,"0000000000"),'📞 Call Tracker'!A$2:A$2000,'📞 Call Tracker'!F$2:F$2000,""),"")</f>
        <v/>
      </c>
      <c r="AB256" s="132">
        <f t="shared" si="7"/>
        <v>2</v>
      </c>
      <c r="AC256" s="79"/>
    </row>
    <row r="257" spans="1:29" ht="20.100000000000001" customHeight="1">
      <c r="A257" s="91">
        <v>45903</v>
      </c>
      <c r="B257" s="92" t="str">
        <v>Ravikumar</v>
      </c>
      <c r="C257" s="92" t="str">
        <v>Vinoth Kumar</v>
      </c>
      <c r="D257" s="92" t="str">
        <v>Phoenix</v>
      </c>
      <c r="E257" s="92">
        <v>85050</v>
      </c>
      <c r="F257" s="137" t="str">
        <v>Already suffering from job loss and tariff impact</v>
      </c>
      <c r="G257" s="93" t="str">
        <v>https://images.edocket.azcc.gov/docketpdf/E000046190.pdf</v>
      </c>
      <c r="H257" s="150" t="s">
        <v>6627</v>
      </c>
      <c r="I257" s="114" t="str">
        <v>REV47</v>
      </c>
      <c r="J257" s="94" t="str">
        <v>No</v>
      </c>
      <c r="K257" s="94" t="str">
        <v>No</v>
      </c>
      <c r="L257" s="137" t="str">
        <v>No MEP R3-47(220.87)</v>
      </c>
      <c r="M257" s="94" t="str">
        <v>No</v>
      </c>
      <c r="N257" s="134" t="str">
        <v>No</v>
      </c>
      <c r="O257" s="119" t="str">
        <v>Yes</v>
      </c>
      <c r="P257" s="92">
        <v>45936</v>
      </c>
      <c r="Q257" s="91">
        <v>45967</v>
      </c>
      <c r="R257" s="140" t="str">
        <v>10/06/2025 Left VM, cor  conf he wants to change plans, reviewed other resources- e3,crisis,liheap,project share</v>
      </c>
      <c r="S257" s="92">
        <v>0</v>
      </c>
      <c r="T257" s="92">
        <v>0</v>
      </c>
      <c r="U257" s="137">
        <v>0</v>
      </c>
      <c r="V257" s="126" t="str">
        <f t="shared" si="6"/>
        <v>❌ Not on Best Plan</v>
      </c>
      <c r="W257" s="130" t="str">
        <f>IFERROR(_xlfn.XLOOKUP(TEXT(H257,"0000000000"),'📞 Call Tracker'!A$2:A$2000,'📞 Call Tracker'!B$2:B$2000,""),"")</f>
        <v/>
      </c>
      <c r="X257" s="96" t="str">
        <f>IFERROR(_xlfn.XLOOKUP(TEXT(H257,"0000000000"),'📞 Call Tracker'!A$2:A$2000,'📞 Call Tracker'!C$2:C$2000,""),"")</f>
        <v/>
      </c>
      <c r="Y257" s="95" t="str">
        <f>IFERROR(_xlfn.XLOOKUP(TEXT(H257,"0000000000"),'📞 Call Tracker'!A$2:A$2000,'📞 Call Tracker'!D$2:D$2000,""),"")</f>
        <v/>
      </c>
      <c r="Z257" s="95" t="str">
        <f>IFERROR(_xlfn.XLOOKUP(TEXT(H257,"0000000000"),'📞 Call Tracker'!A$2:A$2000,'📞 Call Tracker'!E$2:E$2000,""),"")</f>
        <v/>
      </c>
      <c r="AA257" s="145" t="str">
        <f>IFERROR(_xlfn.XLOOKUP(TEXT(H257,"0000000000"),'📞 Call Tracker'!A$2:A$2000,'📞 Call Tracker'!F$2:F$2000,""),"")</f>
        <v/>
      </c>
      <c r="AB257" s="132">
        <f t="shared" si="7"/>
        <v>2</v>
      </c>
      <c r="AC257" s="79"/>
    </row>
    <row r="258" spans="1:29" ht="20.100000000000001" customHeight="1">
      <c r="A258" s="91">
        <v>45903</v>
      </c>
      <c r="B258" s="92" t="str">
        <v>Ganesan</v>
      </c>
      <c r="C258" s="92" t="str">
        <v>Mithu</v>
      </c>
      <c r="D258" s="92" t="str">
        <v>Unknown</v>
      </c>
      <c r="E258" s="92">
        <v>85085</v>
      </c>
      <c r="F258" s="137" t="str">
        <v>Form letter</v>
      </c>
      <c r="G258" s="93" t="str">
        <v>https://images.edocket.azcc.gov/docketpdf/E000046190.pdf</v>
      </c>
      <c r="H258" s="150" t="s">
        <v>6628</v>
      </c>
      <c r="I258" s="114" t="str">
        <v>RTOUE47</v>
      </c>
      <c r="J258" s="94" t="str">
        <v>No</v>
      </c>
      <c r="K258" s="94" t="str">
        <v>No</v>
      </c>
      <c r="L258" s="137" t="str">
        <v>No MEP R3-47($10.65)</v>
      </c>
      <c r="M258" s="94" t="str">
        <v>No</v>
      </c>
      <c r="N258" s="134" t="str">
        <v>No</v>
      </c>
      <c r="O258" s="119" t="str">
        <v>Yes</v>
      </c>
      <c r="P258" s="92" t="str">
        <v>N</v>
      </c>
      <c r="Q258" s="91">
        <v>45967</v>
      </c>
      <c r="R258" s="140">
        <v>0</v>
      </c>
      <c r="S258" s="92">
        <v>0</v>
      </c>
      <c r="T258" s="92">
        <v>0</v>
      </c>
      <c r="U258" s="137">
        <v>0</v>
      </c>
      <c r="V258" s="126" t="str">
        <f t="shared" si="6"/>
        <v>❌ Not on Best Plan</v>
      </c>
      <c r="W258" s="130" t="str">
        <f>IFERROR(_xlfn.XLOOKUP(TEXT(H258,"0000000000"),'📞 Call Tracker'!A$2:A$2000,'📞 Call Tracker'!B$2:B$2000,""),"")</f>
        <v/>
      </c>
      <c r="X258" s="96" t="str">
        <f>IFERROR(_xlfn.XLOOKUP(TEXT(H258,"0000000000"),'📞 Call Tracker'!A$2:A$2000,'📞 Call Tracker'!C$2:C$2000,""),"")</f>
        <v/>
      </c>
      <c r="Y258" s="95" t="str">
        <f>IFERROR(_xlfn.XLOOKUP(TEXT(H258,"0000000000"),'📞 Call Tracker'!A$2:A$2000,'📞 Call Tracker'!D$2:D$2000,""),"")</f>
        <v/>
      </c>
      <c r="Z258" s="95" t="str">
        <f>IFERROR(_xlfn.XLOOKUP(TEXT(H258,"0000000000"),'📞 Call Tracker'!A$2:A$2000,'📞 Call Tracker'!E$2:E$2000,""),"")</f>
        <v/>
      </c>
      <c r="AA258" s="145" t="str">
        <f>IFERROR(_xlfn.XLOOKUP(TEXT(H258,"0000000000"),'📞 Call Tracker'!A$2:A$2000,'📞 Call Tracker'!F$2:F$2000,""),"")</f>
        <v/>
      </c>
      <c r="AB258" s="132">
        <f t="shared" si="7"/>
        <v>2</v>
      </c>
      <c r="AC258" s="79"/>
    </row>
    <row r="259" spans="1:29" ht="20.100000000000001" customHeight="1">
      <c r="A259" s="91">
        <v>45903</v>
      </c>
      <c r="B259" s="92" t="str">
        <v xml:space="preserve">Martinez  </v>
      </c>
      <c r="C259" s="92" t="str">
        <v>David</v>
      </c>
      <c r="D259" s="92" t="str">
        <v>Avondale</v>
      </c>
      <c r="E259" s="92">
        <v>85323</v>
      </c>
      <c r="F259" s="137" t="str">
        <v>Hardship</v>
      </c>
      <c r="G259" s="93" t="str">
        <v>https://images.edocket.azcc.gov/docketpdf/E000046190.pdf</v>
      </c>
      <c r="H259" s="150" t="s">
        <v>6629</v>
      </c>
      <c r="I259" s="114" t="str">
        <v>R-XS</v>
      </c>
      <c r="J259" s="94" t="str">
        <v>No</v>
      </c>
      <c r="K259" s="94" t="str">
        <v>No</v>
      </c>
      <c r="L259" s="137" t="str">
        <v>Yes</v>
      </c>
      <c r="M259" s="94" t="str">
        <v>No</v>
      </c>
      <c r="N259" s="134" t="str">
        <v>No</v>
      </c>
      <c r="O259" s="119" t="str">
        <v>Yes</v>
      </c>
      <c r="P259" s="92" t="str">
        <v>N</v>
      </c>
      <c r="Q259" s="91">
        <v>45967</v>
      </c>
      <c r="R259" s="140">
        <v>0</v>
      </c>
      <c r="S259" s="92">
        <v>0</v>
      </c>
      <c r="T259" s="92">
        <v>0</v>
      </c>
      <c r="U259" s="137">
        <v>0</v>
      </c>
      <c r="V259" s="126" t="str">
        <f t="shared" ref="V259:V322" si="8">IF(OR(LEFT(TRIM(L259),3)="Yes",TRIM(L259)="Y"),"✅ On Best Plan",IF(OR(L259="Frozen Rate",L259="Frozen Plan"),"❄ Frozen Rate",IF(OR(L259="Not able to Compare",L259="Info Not Avail",L259="NA",L259=""),"⚠ Unknown","❌ Not on Best Plan")))</f>
        <v>✅ On Best Plan</v>
      </c>
      <c r="W259" s="130" t="str">
        <f>IFERROR(_xlfn.XLOOKUP(TEXT(H259,"0000000000"),'📞 Call Tracker'!A$2:A$2000,'📞 Call Tracker'!B$2:B$2000,""),"")</f>
        <v/>
      </c>
      <c r="X259" s="96" t="str">
        <f>IFERROR(_xlfn.XLOOKUP(TEXT(H259,"0000000000"),'📞 Call Tracker'!A$2:A$2000,'📞 Call Tracker'!C$2:C$2000,""),"")</f>
        <v/>
      </c>
      <c r="Y259" s="95" t="str">
        <f>IFERROR(_xlfn.XLOOKUP(TEXT(H259,"0000000000"),'📞 Call Tracker'!A$2:A$2000,'📞 Call Tracker'!D$2:D$2000,""),"")</f>
        <v/>
      </c>
      <c r="Z259" s="95" t="str">
        <f>IFERROR(_xlfn.XLOOKUP(TEXT(H259,"0000000000"),'📞 Call Tracker'!A$2:A$2000,'📞 Call Tracker'!E$2:E$2000,""),"")</f>
        <v/>
      </c>
      <c r="AA259" s="145" t="str">
        <f>IFERROR(_xlfn.XLOOKUP(TEXT(H259,"0000000000"),'📞 Call Tracker'!A$2:A$2000,'📞 Call Tracker'!F$2:F$2000,""),"")</f>
        <v/>
      </c>
      <c r="AB259" s="132">
        <f t="shared" ref="AB259:AB322" si="9">IF(OR(H259="",X259&lt;&gt;""),99,IF(AND(NOT(OR(LEFT(TRIM(L259),3)="Yes",TRIM(L259)="Y",L259="Frozen Rate",L259="Frozen Plan",L259="Not able to Compare",L259="Info Not Avail",L259="NA",L259="")),AND(N259&lt;&gt;"No",N259&lt;&gt;"")),1,IF(NOT(OR(LEFT(TRIM(L259),3)="Yes",TRIM(L259)="Y",L259="Frozen Rate",L259="Frozen Plan",L259="Not able to Compare",L259="Info Not Avail",L259="NA",L259="")),2,IF(AND(N259&lt;&gt;"No",N259&lt;&gt;""),3,4))))</f>
        <v>4</v>
      </c>
      <c r="AC259" s="79"/>
    </row>
    <row r="260" spans="1:29" ht="20.100000000000001" customHeight="1">
      <c r="A260" s="91">
        <v>45903</v>
      </c>
      <c r="B260" s="92" t="str">
        <v>Jimenez</v>
      </c>
      <c r="C260" s="92" t="str">
        <v>Arilene</v>
      </c>
      <c r="D260" s="92" t="str">
        <v>Avondale</v>
      </c>
      <c r="E260" s="92">
        <v>85392</v>
      </c>
      <c r="F260" s="137" t="str">
        <v>Hardship</v>
      </c>
      <c r="G260" s="93" t="str">
        <v>https://images.edocket.azcc.gov/docketpdf/E000046190.pdf</v>
      </c>
      <c r="H260" s="150" t="s">
        <v>6630</v>
      </c>
      <c r="I260" s="114" t="str">
        <v>RTOUE47</v>
      </c>
      <c r="J260" s="94" t="str">
        <v>No</v>
      </c>
      <c r="K260" s="94" t="str">
        <v>No</v>
      </c>
      <c r="L260" s="137" t="str">
        <v>Yes</v>
      </c>
      <c r="M260" s="94" t="str">
        <v>No</v>
      </c>
      <c r="N260" s="134" t="str">
        <v>No</v>
      </c>
      <c r="O260" s="119" t="str">
        <v>Yes</v>
      </c>
      <c r="P260" s="92" t="str">
        <v>N</v>
      </c>
      <c r="Q260" s="91">
        <v>45967</v>
      </c>
      <c r="R260" s="140">
        <v>0</v>
      </c>
      <c r="S260" s="92">
        <v>0</v>
      </c>
      <c r="T260" s="92">
        <v>0</v>
      </c>
      <c r="U260" s="137">
        <v>0</v>
      </c>
      <c r="V260" s="126" t="str">
        <f t="shared" si="8"/>
        <v>✅ On Best Plan</v>
      </c>
      <c r="W260" s="130" t="str">
        <f>IFERROR(_xlfn.XLOOKUP(TEXT(H260,"0000000000"),'📞 Call Tracker'!A$2:A$2000,'📞 Call Tracker'!B$2:B$2000,""),"")</f>
        <v/>
      </c>
      <c r="X260" s="96" t="str">
        <f>IFERROR(_xlfn.XLOOKUP(TEXT(H260,"0000000000"),'📞 Call Tracker'!A$2:A$2000,'📞 Call Tracker'!C$2:C$2000,""),"")</f>
        <v/>
      </c>
      <c r="Y260" s="95" t="str">
        <f>IFERROR(_xlfn.XLOOKUP(TEXT(H260,"0000000000"),'📞 Call Tracker'!A$2:A$2000,'📞 Call Tracker'!D$2:D$2000,""),"")</f>
        <v/>
      </c>
      <c r="Z260" s="95" t="str">
        <f>IFERROR(_xlfn.XLOOKUP(TEXT(H260,"0000000000"),'📞 Call Tracker'!A$2:A$2000,'📞 Call Tracker'!E$2:E$2000,""),"")</f>
        <v/>
      </c>
      <c r="AA260" s="145" t="str">
        <f>IFERROR(_xlfn.XLOOKUP(TEXT(H260,"0000000000"),'📞 Call Tracker'!A$2:A$2000,'📞 Call Tracker'!F$2:F$2000,""),"")</f>
        <v/>
      </c>
      <c r="AB260" s="132">
        <f t="shared" si="9"/>
        <v>4</v>
      </c>
      <c r="AC260" s="79"/>
    </row>
    <row r="261" spans="1:29" ht="20.100000000000001" customHeight="1">
      <c r="A261" s="91">
        <v>45903</v>
      </c>
      <c r="B261" s="92" t="str">
        <v>Robinson</v>
      </c>
      <c r="C261" s="92" t="str">
        <v>Taylor</v>
      </c>
      <c r="D261" s="92" t="str">
        <v>Phoenix</v>
      </c>
      <c r="E261" s="92">
        <v>85050</v>
      </c>
      <c r="F261" s="137" t="str">
        <v>Form letter</v>
      </c>
      <c r="G261" s="93" t="str">
        <v>https://images.edocket.azcc.gov/docketpdf/E000046190.pdf</v>
      </c>
      <c r="H261" s="150" t="s">
        <v>6631</v>
      </c>
      <c r="I261" s="114" t="str">
        <v>R3-47</v>
      </c>
      <c r="J261" s="94" t="str">
        <v>No</v>
      </c>
      <c r="K261" s="94" t="str">
        <v>No</v>
      </c>
      <c r="L261" s="137" t="str">
        <v>Yes</v>
      </c>
      <c r="M261" s="94" t="str">
        <v>No</v>
      </c>
      <c r="N261" s="134" t="str">
        <v>No</v>
      </c>
      <c r="O261" s="119" t="str">
        <v>Yes</v>
      </c>
      <c r="P261" s="92" t="str">
        <v>N</v>
      </c>
      <c r="Q261" s="91">
        <v>45967</v>
      </c>
      <c r="R261" s="140">
        <v>0</v>
      </c>
      <c r="S261" s="92">
        <v>0</v>
      </c>
      <c r="T261" s="92">
        <v>0</v>
      </c>
      <c r="U261" s="137">
        <v>0</v>
      </c>
      <c r="V261" s="126" t="str">
        <f t="shared" si="8"/>
        <v>✅ On Best Plan</v>
      </c>
      <c r="W261" s="130" t="str">
        <f>IFERROR(_xlfn.XLOOKUP(TEXT(H261,"0000000000"),'📞 Call Tracker'!A$2:A$2000,'📞 Call Tracker'!B$2:B$2000,""),"")</f>
        <v/>
      </c>
      <c r="X261" s="96" t="str">
        <f>IFERROR(_xlfn.XLOOKUP(TEXT(H261,"0000000000"),'📞 Call Tracker'!A$2:A$2000,'📞 Call Tracker'!C$2:C$2000,""),"")</f>
        <v/>
      </c>
      <c r="Y261" s="95" t="str">
        <f>IFERROR(_xlfn.XLOOKUP(TEXT(H261,"0000000000"),'📞 Call Tracker'!A$2:A$2000,'📞 Call Tracker'!D$2:D$2000,""),"")</f>
        <v/>
      </c>
      <c r="Z261" s="95" t="str">
        <f>IFERROR(_xlfn.XLOOKUP(TEXT(H261,"0000000000"),'📞 Call Tracker'!A$2:A$2000,'📞 Call Tracker'!E$2:E$2000,""),"")</f>
        <v/>
      </c>
      <c r="AA261" s="145" t="str">
        <f>IFERROR(_xlfn.XLOOKUP(TEXT(H261,"0000000000"),'📞 Call Tracker'!A$2:A$2000,'📞 Call Tracker'!F$2:F$2000,""),"")</f>
        <v/>
      </c>
      <c r="AB261" s="132">
        <f t="shared" si="9"/>
        <v>4</v>
      </c>
      <c r="AC261" s="79"/>
    </row>
    <row r="262" spans="1:29" ht="20.100000000000001" customHeight="1">
      <c r="A262" s="91">
        <v>45903</v>
      </c>
      <c r="B262" s="92" t="str">
        <v>Arfa</v>
      </c>
      <c r="C262" s="92" t="str">
        <v>Douglas</v>
      </c>
      <c r="D262" s="92" t="str">
        <v>Phoenix</v>
      </c>
      <c r="E262" s="92">
        <v>85050</v>
      </c>
      <c r="F262" s="137" t="str">
        <v>Against any rate hike</v>
      </c>
      <c r="G262" s="93" t="str">
        <v>https://images.edocket.azcc.gov/docketpdf/E000046190.pdf</v>
      </c>
      <c r="H262" s="150" t="s">
        <v>6632</v>
      </c>
      <c r="I262" s="114" t="str">
        <v>RTOUE47</v>
      </c>
      <c r="J262" s="94" t="str">
        <v>No</v>
      </c>
      <c r="K262" s="94" t="str">
        <v>No</v>
      </c>
      <c r="L262" s="137" t="str">
        <v>Yes</v>
      </c>
      <c r="M262" s="94" t="str">
        <v>No</v>
      </c>
      <c r="N262" s="134" t="str">
        <v>No</v>
      </c>
      <c r="O262" s="119" t="str">
        <v>Yes</v>
      </c>
      <c r="P262" s="92" t="str">
        <v>N</v>
      </c>
      <c r="Q262" s="91">
        <v>45967</v>
      </c>
      <c r="R262" s="140">
        <v>0</v>
      </c>
      <c r="S262" s="92">
        <v>0</v>
      </c>
      <c r="T262" s="92">
        <v>0</v>
      </c>
      <c r="U262" s="137">
        <v>0</v>
      </c>
      <c r="V262" s="126" t="str">
        <f t="shared" si="8"/>
        <v>✅ On Best Plan</v>
      </c>
      <c r="W262" s="130" t="str">
        <f>IFERROR(_xlfn.XLOOKUP(TEXT(H262,"0000000000"),'📞 Call Tracker'!A$2:A$2000,'📞 Call Tracker'!B$2:B$2000,""),"")</f>
        <v/>
      </c>
      <c r="X262" s="96" t="str">
        <f>IFERROR(_xlfn.XLOOKUP(TEXT(H262,"0000000000"),'📞 Call Tracker'!A$2:A$2000,'📞 Call Tracker'!C$2:C$2000,""),"")</f>
        <v/>
      </c>
      <c r="Y262" s="95" t="str">
        <f>IFERROR(_xlfn.XLOOKUP(TEXT(H262,"0000000000"),'📞 Call Tracker'!A$2:A$2000,'📞 Call Tracker'!D$2:D$2000,""),"")</f>
        <v/>
      </c>
      <c r="Z262" s="95" t="str">
        <f>IFERROR(_xlfn.XLOOKUP(TEXT(H262,"0000000000"),'📞 Call Tracker'!A$2:A$2000,'📞 Call Tracker'!E$2:E$2000,""),"")</f>
        <v/>
      </c>
      <c r="AA262" s="145" t="str">
        <f>IFERROR(_xlfn.XLOOKUP(TEXT(H262,"0000000000"),'📞 Call Tracker'!A$2:A$2000,'📞 Call Tracker'!F$2:F$2000,""),"")</f>
        <v/>
      </c>
      <c r="AB262" s="132">
        <f t="shared" si="9"/>
        <v>4</v>
      </c>
      <c r="AC262" s="79"/>
    </row>
    <row r="263" spans="1:29" ht="20.100000000000001" customHeight="1">
      <c r="A263" s="91">
        <v>45903</v>
      </c>
      <c r="B263" s="92" t="str">
        <v>Chambers</v>
      </c>
      <c r="C263" s="92" t="str">
        <v>Dedra</v>
      </c>
      <c r="D263" s="92" t="str">
        <v>Waddell</v>
      </c>
      <c r="E263" s="92">
        <v>85355</v>
      </c>
      <c r="F263" s="137" t="str">
        <v>Greedy monopoly</v>
      </c>
      <c r="G263" s="93" t="str">
        <v>https://images.edocket.azcc.gov/docketpdf/E000046190.pdf</v>
      </c>
      <c r="H263" s="150" t="s">
        <v>6633</v>
      </c>
      <c r="I263" s="114" t="str">
        <v>R3-47</v>
      </c>
      <c r="J263" s="94" t="str">
        <v>No</v>
      </c>
      <c r="K263" s="94" t="str">
        <v>No</v>
      </c>
      <c r="L263" s="137" t="str">
        <v>Yes</v>
      </c>
      <c r="M263" s="94" t="str">
        <v>No</v>
      </c>
      <c r="N263" s="134" t="str">
        <v>No</v>
      </c>
      <c r="O263" s="119" t="str">
        <v>Yes</v>
      </c>
      <c r="P263" s="92" t="str">
        <v>N</v>
      </c>
      <c r="Q263" s="91">
        <v>45967</v>
      </c>
      <c r="R263" s="140">
        <v>0</v>
      </c>
      <c r="S263" s="92">
        <v>0</v>
      </c>
      <c r="T263" s="92">
        <v>0</v>
      </c>
      <c r="U263" s="137">
        <v>0</v>
      </c>
      <c r="V263" s="126" t="str">
        <f t="shared" si="8"/>
        <v>✅ On Best Plan</v>
      </c>
      <c r="W263" s="130" t="str">
        <f>IFERROR(_xlfn.XLOOKUP(TEXT(H263,"0000000000"),'📞 Call Tracker'!A$2:A$2000,'📞 Call Tracker'!B$2:B$2000,""),"")</f>
        <v/>
      </c>
      <c r="X263" s="96" t="str">
        <f>IFERROR(_xlfn.XLOOKUP(TEXT(H263,"0000000000"),'📞 Call Tracker'!A$2:A$2000,'📞 Call Tracker'!C$2:C$2000,""),"")</f>
        <v/>
      </c>
      <c r="Y263" s="95" t="str">
        <f>IFERROR(_xlfn.XLOOKUP(TEXT(H263,"0000000000"),'📞 Call Tracker'!A$2:A$2000,'📞 Call Tracker'!D$2:D$2000,""),"")</f>
        <v/>
      </c>
      <c r="Z263" s="95" t="str">
        <f>IFERROR(_xlfn.XLOOKUP(TEXT(H263,"0000000000"),'📞 Call Tracker'!A$2:A$2000,'📞 Call Tracker'!E$2:E$2000,""),"")</f>
        <v/>
      </c>
      <c r="AA263" s="145" t="str">
        <f>IFERROR(_xlfn.XLOOKUP(TEXT(H263,"0000000000"),'📞 Call Tracker'!A$2:A$2000,'📞 Call Tracker'!F$2:F$2000,""),"")</f>
        <v/>
      </c>
      <c r="AB263" s="132">
        <f t="shared" si="9"/>
        <v>4</v>
      </c>
      <c r="AC263" s="79"/>
    </row>
    <row r="264" spans="1:29" ht="20.100000000000001" customHeight="1">
      <c r="A264" s="91">
        <v>45903</v>
      </c>
      <c r="B264" s="92" t="str">
        <v>Hendrickson</v>
      </c>
      <c r="C264" s="92" t="str">
        <v>Shannon</v>
      </c>
      <c r="D264" s="92" t="str">
        <v>Surprise</v>
      </c>
      <c r="E264" s="92">
        <v>85379</v>
      </c>
      <c r="F264" s="137" t="str">
        <v>Form letter</v>
      </c>
      <c r="G264" s="93" t="str">
        <v>https://images.edocket.azcc.gov/docketpdf/E000046190.pdf</v>
      </c>
      <c r="H264" s="150" t="s">
        <v>6634</v>
      </c>
      <c r="I264" s="114" t="str">
        <v>R3-47</v>
      </c>
      <c r="J264" s="94" t="str">
        <v>No</v>
      </c>
      <c r="K264" s="94" t="str">
        <v>No</v>
      </c>
      <c r="L264" s="137" t="str">
        <v>Yes</v>
      </c>
      <c r="M264" s="94" t="str">
        <v>No</v>
      </c>
      <c r="N264" s="134" t="str">
        <v>No</v>
      </c>
      <c r="O264" s="119" t="str">
        <v>Yes</v>
      </c>
      <c r="P264" s="92" t="str">
        <v>N</v>
      </c>
      <c r="Q264" s="91">
        <v>45967</v>
      </c>
      <c r="R264" s="140">
        <v>0</v>
      </c>
      <c r="S264" s="92">
        <v>0</v>
      </c>
      <c r="T264" s="92">
        <v>0</v>
      </c>
      <c r="U264" s="137">
        <v>0</v>
      </c>
      <c r="V264" s="126" t="str">
        <f t="shared" si="8"/>
        <v>✅ On Best Plan</v>
      </c>
      <c r="W264" s="130" t="str">
        <f>IFERROR(_xlfn.XLOOKUP(TEXT(H264,"0000000000"),'📞 Call Tracker'!A$2:A$2000,'📞 Call Tracker'!B$2:B$2000,""),"")</f>
        <v/>
      </c>
      <c r="X264" s="96" t="str">
        <f>IFERROR(_xlfn.XLOOKUP(TEXT(H264,"0000000000"),'📞 Call Tracker'!A$2:A$2000,'📞 Call Tracker'!C$2:C$2000,""),"")</f>
        <v/>
      </c>
      <c r="Y264" s="95" t="str">
        <f>IFERROR(_xlfn.XLOOKUP(TEXT(H264,"0000000000"),'📞 Call Tracker'!A$2:A$2000,'📞 Call Tracker'!D$2:D$2000,""),"")</f>
        <v/>
      </c>
      <c r="Z264" s="95" t="str">
        <f>IFERROR(_xlfn.XLOOKUP(TEXT(H264,"0000000000"),'📞 Call Tracker'!A$2:A$2000,'📞 Call Tracker'!E$2:E$2000,""),"")</f>
        <v/>
      </c>
      <c r="AA264" s="145" t="str">
        <f>IFERROR(_xlfn.XLOOKUP(TEXT(H264,"0000000000"),'📞 Call Tracker'!A$2:A$2000,'📞 Call Tracker'!F$2:F$2000,""),"")</f>
        <v/>
      </c>
      <c r="AB264" s="132">
        <f t="shared" si="9"/>
        <v>4</v>
      </c>
      <c r="AC264" s="79"/>
    </row>
    <row r="265" spans="1:29" ht="20.100000000000001" customHeight="1">
      <c r="A265" s="91">
        <v>45903</v>
      </c>
      <c r="B265" s="92" t="str">
        <v>Faulkner</v>
      </c>
      <c r="C265" s="92" t="str">
        <v>Joe</v>
      </c>
      <c r="D265" s="92" t="str">
        <v>Goodyear</v>
      </c>
      <c r="E265" s="92">
        <v>85338</v>
      </c>
      <c r="F265" s="137" t="str">
        <v>Retired/Fixed income</v>
      </c>
      <c r="G265" s="93" t="str">
        <v>https://images.edocket.azcc.gov/docketpdf/E000046190.pdf</v>
      </c>
      <c r="H265" s="150" t="s">
        <v>6635</v>
      </c>
      <c r="I265" s="114" t="str">
        <v>R3-47</v>
      </c>
      <c r="J265" s="94" t="str">
        <v>No</v>
      </c>
      <c r="K265" s="94" t="str">
        <v>No</v>
      </c>
      <c r="L265" s="137" t="str">
        <v>Yes</v>
      </c>
      <c r="M265" s="94" t="str">
        <v>No</v>
      </c>
      <c r="N265" s="134" t="str">
        <v>No</v>
      </c>
      <c r="O265" s="119" t="str">
        <v>Yes</v>
      </c>
      <c r="P265" s="92" t="str">
        <v>N</v>
      </c>
      <c r="Q265" s="91">
        <v>45967</v>
      </c>
      <c r="R265" s="140">
        <v>0</v>
      </c>
      <c r="S265" s="92">
        <v>0</v>
      </c>
      <c r="T265" s="92">
        <v>0</v>
      </c>
      <c r="U265" s="137">
        <v>0</v>
      </c>
      <c r="V265" s="126" t="str">
        <f t="shared" si="8"/>
        <v>✅ On Best Plan</v>
      </c>
      <c r="W265" s="130" t="str">
        <f>IFERROR(_xlfn.XLOOKUP(TEXT(H265,"0000000000"),'📞 Call Tracker'!A$2:A$2000,'📞 Call Tracker'!B$2:B$2000,""),"")</f>
        <v/>
      </c>
      <c r="X265" s="96" t="str">
        <f>IFERROR(_xlfn.XLOOKUP(TEXT(H265,"0000000000"),'📞 Call Tracker'!A$2:A$2000,'📞 Call Tracker'!C$2:C$2000,""),"")</f>
        <v/>
      </c>
      <c r="Y265" s="95" t="str">
        <f>IFERROR(_xlfn.XLOOKUP(TEXT(H265,"0000000000"),'📞 Call Tracker'!A$2:A$2000,'📞 Call Tracker'!D$2:D$2000,""),"")</f>
        <v/>
      </c>
      <c r="Z265" s="95" t="str">
        <f>IFERROR(_xlfn.XLOOKUP(TEXT(H265,"0000000000"),'📞 Call Tracker'!A$2:A$2000,'📞 Call Tracker'!E$2:E$2000,""),"")</f>
        <v/>
      </c>
      <c r="AA265" s="145" t="str">
        <f>IFERROR(_xlfn.XLOOKUP(TEXT(H265,"0000000000"),'📞 Call Tracker'!A$2:A$2000,'📞 Call Tracker'!F$2:F$2000,""),"")</f>
        <v/>
      </c>
      <c r="AB265" s="132">
        <f t="shared" si="9"/>
        <v>4</v>
      </c>
      <c r="AC265" s="79"/>
    </row>
    <row r="266" spans="1:29" ht="20.100000000000001" customHeight="1">
      <c r="A266" s="91">
        <v>45903</v>
      </c>
      <c r="B266" s="92" t="str">
        <v>Stephenson Nunes</v>
      </c>
      <c r="C266" s="92" t="str">
        <v>Heidi</v>
      </c>
      <c r="D266" s="92" t="str">
        <v>Goodyear</v>
      </c>
      <c r="E266" s="92">
        <v>85338</v>
      </c>
      <c r="F266" s="137" t="str">
        <v>Households can't afford this</v>
      </c>
      <c r="G266" s="93" t="str">
        <v>https://images.edocket.azcc.gov/docketpdf/E000046190.pdf</v>
      </c>
      <c r="H266" s="150" t="s">
        <v>6636</v>
      </c>
      <c r="I266" s="114" t="str">
        <v>RCPw/RTOUE47</v>
      </c>
      <c r="J266" s="94" t="str">
        <v>No</v>
      </c>
      <c r="K266" s="94" t="str">
        <v>No</v>
      </c>
      <c r="L266" s="137" t="str">
        <v>No MEP R3-47($104.12)</v>
      </c>
      <c r="M266" s="94" t="str">
        <v>No</v>
      </c>
      <c r="N266" s="134" t="str">
        <v>No</v>
      </c>
      <c r="O266" s="119" t="str">
        <v>Yes</v>
      </c>
      <c r="P266" s="92">
        <v>46301</v>
      </c>
      <c r="Q266" s="91">
        <v>45967</v>
      </c>
      <c r="R266" s="140" t="str">
        <v>10/06/2025 Left Vm</v>
      </c>
      <c r="S266" s="92">
        <v>0</v>
      </c>
      <c r="T266" s="92">
        <v>0</v>
      </c>
      <c r="U266" s="137">
        <v>0</v>
      </c>
      <c r="V266" s="126" t="str">
        <f t="shared" si="8"/>
        <v>❌ Not on Best Plan</v>
      </c>
      <c r="W266" s="130" t="str">
        <f>IFERROR(_xlfn.XLOOKUP(TEXT(H266,"0000000000"),'📞 Call Tracker'!A$2:A$2000,'📞 Call Tracker'!B$2:B$2000,""),"")</f>
        <v/>
      </c>
      <c r="X266" s="96" t="str">
        <f>IFERROR(_xlfn.XLOOKUP(TEXT(H266,"0000000000"),'📞 Call Tracker'!A$2:A$2000,'📞 Call Tracker'!C$2:C$2000,""),"")</f>
        <v/>
      </c>
      <c r="Y266" s="95" t="str">
        <f>IFERROR(_xlfn.XLOOKUP(TEXT(H266,"0000000000"),'📞 Call Tracker'!A$2:A$2000,'📞 Call Tracker'!D$2:D$2000,""),"")</f>
        <v/>
      </c>
      <c r="Z266" s="95" t="str">
        <f>IFERROR(_xlfn.XLOOKUP(TEXT(H266,"0000000000"),'📞 Call Tracker'!A$2:A$2000,'📞 Call Tracker'!E$2:E$2000,""),"")</f>
        <v/>
      </c>
      <c r="AA266" s="145" t="str">
        <f>IFERROR(_xlfn.XLOOKUP(TEXT(H266,"0000000000"),'📞 Call Tracker'!A$2:A$2000,'📞 Call Tracker'!F$2:F$2000,""),"")</f>
        <v/>
      </c>
      <c r="AB266" s="132">
        <f t="shared" si="9"/>
        <v>2</v>
      </c>
      <c r="AC266" s="79"/>
    </row>
    <row r="267" spans="1:29" ht="20.100000000000001" customHeight="1">
      <c r="A267" s="91">
        <v>45903</v>
      </c>
      <c r="B267" s="92" t="str">
        <v>Babcock</v>
      </c>
      <c r="C267" s="92" t="str">
        <v>Kristen</v>
      </c>
      <c r="D267" s="92" t="str">
        <v>Litchfield Park</v>
      </c>
      <c r="E267" s="92">
        <v>85340</v>
      </c>
      <c r="F267" s="137" t="str">
        <v>Opposed</v>
      </c>
      <c r="G267" s="93" t="str">
        <v>https://images.edocket.azcc.gov/docketpdf/E000046190.pdf</v>
      </c>
      <c r="H267" s="150" t="s">
        <v>6637</v>
      </c>
      <c r="I267" s="114" t="str">
        <v>R3-47</v>
      </c>
      <c r="J267" s="94" t="str">
        <v>No</v>
      </c>
      <c r="K267" s="94" t="str">
        <v>No</v>
      </c>
      <c r="L267" s="137" t="str">
        <v>Yes</v>
      </c>
      <c r="M267" s="94" t="str">
        <v>No</v>
      </c>
      <c r="N267" s="134" t="str">
        <v>No</v>
      </c>
      <c r="O267" s="119" t="str">
        <v>Yes</v>
      </c>
      <c r="P267" s="92" t="str">
        <v>N</v>
      </c>
      <c r="Q267" s="91">
        <v>45967</v>
      </c>
      <c r="R267" s="140">
        <v>0</v>
      </c>
      <c r="S267" s="92">
        <v>0</v>
      </c>
      <c r="T267" s="92">
        <v>0</v>
      </c>
      <c r="U267" s="137">
        <v>0</v>
      </c>
      <c r="V267" s="126" t="str">
        <f t="shared" si="8"/>
        <v>✅ On Best Plan</v>
      </c>
      <c r="W267" s="130" t="str">
        <f>IFERROR(_xlfn.XLOOKUP(TEXT(H267,"0000000000"),'📞 Call Tracker'!A$2:A$2000,'📞 Call Tracker'!B$2:B$2000,""),"")</f>
        <v/>
      </c>
      <c r="X267" s="96" t="str">
        <f>IFERROR(_xlfn.XLOOKUP(TEXT(H267,"0000000000"),'📞 Call Tracker'!A$2:A$2000,'📞 Call Tracker'!C$2:C$2000,""),"")</f>
        <v/>
      </c>
      <c r="Y267" s="95" t="str">
        <f>IFERROR(_xlfn.XLOOKUP(TEXT(H267,"0000000000"),'📞 Call Tracker'!A$2:A$2000,'📞 Call Tracker'!D$2:D$2000,""),"")</f>
        <v/>
      </c>
      <c r="Z267" s="95" t="str">
        <f>IFERROR(_xlfn.XLOOKUP(TEXT(H267,"0000000000"),'📞 Call Tracker'!A$2:A$2000,'📞 Call Tracker'!E$2:E$2000,""),"")</f>
        <v/>
      </c>
      <c r="AA267" s="145" t="str">
        <f>IFERROR(_xlfn.XLOOKUP(TEXT(H267,"0000000000"),'📞 Call Tracker'!A$2:A$2000,'📞 Call Tracker'!F$2:F$2000,""),"")</f>
        <v/>
      </c>
      <c r="AB267" s="132">
        <f t="shared" si="9"/>
        <v>4</v>
      </c>
      <c r="AC267" s="79"/>
    </row>
    <row r="268" spans="1:29" ht="20.100000000000001" customHeight="1">
      <c r="A268" s="91">
        <v>45903</v>
      </c>
      <c r="B268" s="92" t="str">
        <v>Welch</v>
      </c>
      <c r="C268" s="92" t="str">
        <v>Arthur</v>
      </c>
      <c r="D268" s="92" t="str">
        <v>Goodyear</v>
      </c>
      <c r="E268" s="92">
        <v>85395</v>
      </c>
      <c r="F268" s="137" t="str">
        <v>Commercial users in data space should take on increase</v>
      </c>
      <c r="G268" s="93" t="str">
        <v>https://images.edocket.azcc.gov/docketpdf/E000046190.pdf</v>
      </c>
      <c r="H268" s="150" t="s">
        <v>6638</v>
      </c>
      <c r="I268" s="114" t="str">
        <v>RCPw/RTOUE47</v>
      </c>
      <c r="J268" s="94" t="str">
        <v>No</v>
      </c>
      <c r="K268" s="94" t="str">
        <v>No</v>
      </c>
      <c r="L268" s="137" t="str">
        <v>Yes</v>
      </c>
      <c r="M268" s="94" t="str">
        <v>No</v>
      </c>
      <c r="N268" s="134" t="str">
        <v>No</v>
      </c>
      <c r="O268" s="119" t="str">
        <v>Yes</v>
      </c>
      <c r="P268" s="92" t="str">
        <v>N</v>
      </c>
      <c r="Q268" s="91">
        <v>45967</v>
      </c>
      <c r="R268" s="140">
        <v>0</v>
      </c>
      <c r="S268" s="92">
        <v>0</v>
      </c>
      <c r="T268" s="92">
        <v>0</v>
      </c>
      <c r="U268" s="137">
        <v>0</v>
      </c>
      <c r="V268" s="126" t="str">
        <f t="shared" si="8"/>
        <v>✅ On Best Plan</v>
      </c>
      <c r="W268" s="130" t="str">
        <f>IFERROR(_xlfn.XLOOKUP(TEXT(H268,"0000000000"),'📞 Call Tracker'!A$2:A$2000,'📞 Call Tracker'!B$2:B$2000,""),"")</f>
        <v/>
      </c>
      <c r="X268" s="96" t="str">
        <f>IFERROR(_xlfn.XLOOKUP(TEXT(H268,"0000000000"),'📞 Call Tracker'!A$2:A$2000,'📞 Call Tracker'!C$2:C$2000,""),"")</f>
        <v/>
      </c>
      <c r="Y268" s="95" t="str">
        <f>IFERROR(_xlfn.XLOOKUP(TEXT(H268,"0000000000"),'📞 Call Tracker'!A$2:A$2000,'📞 Call Tracker'!D$2:D$2000,""),"")</f>
        <v/>
      </c>
      <c r="Z268" s="95" t="str">
        <f>IFERROR(_xlfn.XLOOKUP(TEXT(H268,"0000000000"),'📞 Call Tracker'!A$2:A$2000,'📞 Call Tracker'!E$2:E$2000,""),"")</f>
        <v/>
      </c>
      <c r="AA268" s="145" t="str">
        <f>IFERROR(_xlfn.XLOOKUP(TEXT(H268,"0000000000"),'📞 Call Tracker'!A$2:A$2000,'📞 Call Tracker'!F$2:F$2000,""),"")</f>
        <v/>
      </c>
      <c r="AB268" s="132">
        <f t="shared" si="9"/>
        <v>4</v>
      </c>
      <c r="AC268" s="79"/>
    </row>
    <row r="269" spans="1:29" ht="20.100000000000001" customHeight="1">
      <c r="A269" s="91">
        <v>45903</v>
      </c>
      <c r="B269" s="92" t="str">
        <v>Langdon</v>
      </c>
      <c r="C269" s="92" t="str">
        <v>Jamie</v>
      </c>
      <c r="D269" s="92" t="str">
        <v>Surprise</v>
      </c>
      <c r="E269" s="92">
        <v>85387</v>
      </c>
      <c r="F269" s="137" t="str">
        <v>Opposed</v>
      </c>
      <c r="G269" s="93" t="str">
        <v>https://images.edocket.azcc.gov/docketpdf/E000046190.pdf</v>
      </c>
      <c r="H269" s="150" t="s">
        <v>6639</v>
      </c>
      <c r="I269" s="114" t="str">
        <v>RTOUE47</v>
      </c>
      <c r="J269" s="94" t="str">
        <v>No</v>
      </c>
      <c r="K269" s="94" t="str">
        <v>No</v>
      </c>
      <c r="L269" s="137" t="str">
        <v>No MEP R3-47 (50.52</v>
      </c>
      <c r="M269" s="94" t="str">
        <v>No</v>
      </c>
      <c r="N269" s="134" t="str">
        <v>No</v>
      </c>
      <c r="O269" s="119" t="str">
        <v>Yes</v>
      </c>
      <c r="P269" s="92" t="str">
        <v>N</v>
      </c>
      <c r="Q269" s="91">
        <v>45967</v>
      </c>
      <c r="R269" s="140" t="str">
        <v>Requiested rate change online 11/1</v>
      </c>
      <c r="S269" s="92">
        <v>0</v>
      </c>
      <c r="T269" s="92">
        <v>0</v>
      </c>
      <c r="U269" s="137">
        <v>0</v>
      </c>
      <c r="V269" s="126" t="str">
        <f t="shared" si="8"/>
        <v>❌ Not on Best Plan</v>
      </c>
      <c r="W269" s="130" t="str">
        <f>IFERROR(_xlfn.XLOOKUP(TEXT(H269,"0000000000"),'📞 Call Tracker'!A$2:A$2000,'📞 Call Tracker'!B$2:B$2000,""),"")</f>
        <v/>
      </c>
      <c r="X269" s="96" t="str">
        <f>IFERROR(_xlfn.XLOOKUP(TEXT(H269,"0000000000"),'📞 Call Tracker'!A$2:A$2000,'📞 Call Tracker'!C$2:C$2000,""),"")</f>
        <v/>
      </c>
      <c r="Y269" s="95" t="str">
        <f>IFERROR(_xlfn.XLOOKUP(TEXT(H269,"0000000000"),'📞 Call Tracker'!A$2:A$2000,'📞 Call Tracker'!D$2:D$2000,""),"")</f>
        <v/>
      </c>
      <c r="Z269" s="95" t="str">
        <f>IFERROR(_xlfn.XLOOKUP(TEXT(H269,"0000000000"),'📞 Call Tracker'!A$2:A$2000,'📞 Call Tracker'!E$2:E$2000,""),"")</f>
        <v/>
      </c>
      <c r="AA269" s="145" t="str">
        <f>IFERROR(_xlfn.XLOOKUP(TEXT(H269,"0000000000"),'📞 Call Tracker'!A$2:A$2000,'📞 Call Tracker'!F$2:F$2000,""),"")</f>
        <v/>
      </c>
      <c r="AB269" s="132">
        <f t="shared" si="9"/>
        <v>2</v>
      </c>
      <c r="AC269" s="79"/>
    </row>
    <row r="270" spans="1:29" ht="20.100000000000001" customHeight="1">
      <c r="A270" s="91">
        <v>45903</v>
      </c>
      <c r="B270" s="92" t="str">
        <v>Cather</v>
      </c>
      <c r="C270" s="92" t="str">
        <v>Kyle</v>
      </c>
      <c r="D270" s="92" t="str">
        <v>Goodyear</v>
      </c>
      <c r="E270" s="92">
        <v>85338</v>
      </c>
      <c r="F270" s="137" t="str">
        <v>Form letter</v>
      </c>
      <c r="G270" s="93" t="str">
        <v>https://images.edocket.azcc.gov/docketpdf/E000046190.pdf</v>
      </c>
      <c r="H270" s="150" t="s">
        <v>6640</v>
      </c>
      <c r="I270" s="114" t="str">
        <v>RTOUE47</v>
      </c>
      <c r="J270" s="94" t="str">
        <v>No</v>
      </c>
      <c r="K270" s="94" t="str">
        <v>No</v>
      </c>
      <c r="L270" s="137" t="str">
        <v>No MEP R3-47($163.02)</v>
      </c>
      <c r="M270" s="94" t="str">
        <v>No</v>
      </c>
      <c r="N270" s="134" t="str">
        <v>No</v>
      </c>
      <c r="O270" s="119" t="str">
        <v>Yes</v>
      </c>
      <c r="P270" s="92">
        <v>45936</v>
      </c>
      <c r="Q270" s="91">
        <v>45967</v>
      </c>
      <c r="R270" s="140" t="str">
        <v>10/06/2025Left VM -COR initiated rate change online 10/6</v>
      </c>
      <c r="S270" s="92">
        <v>0</v>
      </c>
      <c r="T270" s="92">
        <v>0</v>
      </c>
      <c r="U270" s="137">
        <v>0</v>
      </c>
      <c r="V270" s="126" t="str">
        <f t="shared" si="8"/>
        <v>❌ Not on Best Plan</v>
      </c>
      <c r="W270" s="130" t="str">
        <f>IFERROR(_xlfn.XLOOKUP(TEXT(H270,"0000000000"),'📞 Call Tracker'!A$2:A$2000,'📞 Call Tracker'!B$2:B$2000,""),"")</f>
        <v/>
      </c>
      <c r="X270" s="96" t="str">
        <f>IFERROR(_xlfn.XLOOKUP(TEXT(H270,"0000000000"),'📞 Call Tracker'!A$2:A$2000,'📞 Call Tracker'!C$2:C$2000,""),"")</f>
        <v/>
      </c>
      <c r="Y270" s="95" t="str">
        <f>IFERROR(_xlfn.XLOOKUP(TEXT(H270,"0000000000"),'📞 Call Tracker'!A$2:A$2000,'📞 Call Tracker'!D$2:D$2000,""),"")</f>
        <v/>
      </c>
      <c r="Z270" s="95" t="str">
        <f>IFERROR(_xlfn.XLOOKUP(TEXT(H270,"0000000000"),'📞 Call Tracker'!A$2:A$2000,'📞 Call Tracker'!E$2:E$2000,""),"")</f>
        <v/>
      </c>
      <c r="AA270" s="145" t="str">
        <f>IFERROR(_xlfn.XLOOKUP(TEXT(H270,"0000000000"),'📞 Call Tracker'!A$2:A$2000,'📞 Call Tracker'!F$2:F$2000,""),"")</f>
        <v/>
      </c>
      <c r="AB270" s="132">
        <f t="shared" si="9"/>
        <v>2</v>
      </c>
      <c r="AC270" s="79"/>
    </row>
    <row r="271" spans="1:29" ht="20.100000000000001" customHeight="1">
      <c r="A271" s="91">
        <v>45903</v>
      </c>
      <c r="B271" s="92" t="str">
        <v>Pfeil</v>
      </c>
      <c r="C271" s="92" t="str">
        <v>Carole</v>
      </c>
      <c r="D271" s="92" t="str">
        <v>Goodyear</v>
      </c>
      <c r="E271" s="92">
        <v>85338</v>
      </c>
      <c r="F271" s="137" t="str">
        <v>Beyond what is affordable</v>
      </c>
      <c r="G271" s="93" t="str">
        <v>https://images.edocket.azcc.gov/docketpdf/E000046190.pdf</v>
      </c>
      <c r="H271" s="150" t="s">
        <v>6641</v>
      </c>
      <c r="I271" s="114" t="str">
        <v>EPR-6w/E-12</v>
      </c>
      <c r="J271" s="94" t="str">
        <v>Yes</v>
      </c>
      <c r="K271" s="94" t="str">
        <v>No</v>
      </c>
      <c r="L271" s="137" t="str">
        <v>Frozen Rate</v>
      </c>
      <c r="M271" s="94" t="str">
        <v>Yes</v>
      </c>
      <c r="N271" s="134">
        <v>520.65</v>
      </c>
      <c r="O271" s="119" t="str">
        <v>Yes</v>
      </c>
      <c r="P271" s="92">
        <v>0</v>
      </c>
      <c r="Q271" s="91">
        <v>45967</v>
      </c>
      <c r="R271" s="140" t="str">
        <v>Assistance?</v>
      </c>
      <c r="S271" s="92">
        <v>0</v>
      </c>
      <c r="T271" s="92">
        <v>0</v>
      </c>
      <c r="U271" s="137">
        <v>0</v>
      </c>
      <c r="V271" s="126" t="str">
        <f t="shared" si="8"/>
        <v>❄ Frozen Rate</v>
      </c>
      <c r="W271" s="130" t="str">
        <f>IFERROR(_xlfn.XLOOKUP(TEXT(H271,"0000000000"),'📞 Call Tracker'!A$2:A$2000,'📞 Call Tracker'!B$2:B$2000,""),"")</f>
        <v/>
      </c>
      <c r="X271" s="96" t="str">
        <f>IFERROR(_xlfn.XLOOKUP(TEXT(H271,"0000000000"),'📞 Call Tracker'!A$2:A$2000,'📞 Call Tracker'!C$2:C$2000,""),"")</f>
        <v/>
      </c>
      <c r="Y271" s="95" t="str">
        <f>IFERROR(_xlfn.XLOOKUP(TEXT(H271,"0000000000"),'📞 Call Tracker'!A$2:A$2000,'📞 Call Tracker'!D$2:D$2000,""),"")</f>
        <v/>
      </c>
      <c r="Z271" s="95" t="str">
        <f>IFERROR(_xlfn.XLOOKUP(TEXT(H271,"0000000000"),'📞 Call Tracker'!A$2:A$2000,'📞 Call Tracker'!E$2:E$2000,""),"")</f>
        <v/>
      </c>
      <c r="AA271" s="145" t="str">
        <f>IFERROR(_xlfn.XLOOKUP(TEXT(H271,"0000000000"),'📞 Call Tracker'!A$2:A$2000,'📞 Call Tracker'!F$2:F$2000,""),"")</f>
        <v/>
      </c>
      <c r="AB271" s="132">
        <f t="shared" si="9"/>
        <v>3</v>
      </c>
      <c r="AC271" s="79"/>
    </row>
    <row r="272" spans="1:29" ht="20.100000000000001" customHeight="1">
      <c r="A272" s="91">
        <v>45903</v>
      </c>
      <c r="B272" s="92" t="str">
        <v>Walsh</v>
      </c>
      <c r="C272" s="92" t="str">
        <v>Richell</v>
      </c>
      <c r="D272" s="92" t="str">
        <v>Goodyear</v>
      </c>
      <c r="E272" s="92">
        <v>85338</v>
      </c>
      <c r="F272" s="137" t="str">
        <v>Opposed</v>
      </c>
      <c r="G272" s="93" t="str">
        <v>https://images.edocket.azcc.gov/docketpdf/E000046190.pdf</v>
      </c>
      <c r="H272" s="150" t="s">
        <v>6642</v>
      </c>
      <c r="I272" s="114" t="str">
        <v>RTOUE47</v>
      </c>
      <c r="J272" s="94" t="str">
        <v>No</v>
      </c>
      <c r="K272" s="94" t="str">
        <v>No</v>
      </c>
      <c r="L272" s="137" t="str">
        <v>No MEP R3-47($98.19)</v>
      </c>
      <c r="M272" s="94" t="str">
        <v>No</v>
      </c>
      <c r="N272" s="134" t="str">
        <v>No</v>
      </c>
      <c r="O272" s="119" t="str">
        <v>Yes</v>
      </c>
      <c r="P272" s="92">
        <v>45936</v>
      </c>
      <c r="Q272" s="91">
        <v>45967</v>
      </c>
      <c r="R272" s="140" t="str">
        <v>10/06/2025 Left VM</v>
      </c>
      <c r="S272" s="92">
        <v>0</v>
      </c>
      <c r="T272" s="92">
        <v>0</v>
      </c>
      <c r="U272" s="137">
        <v>0</v>
      </c>
      <c r="V272" s="126" t="str">
        <f t="shared" si="8"/>
        <v>❌ Not on Best Plan</v>
      </c>
      <c r="W272" s="130" t="str">
        <f>IFERROR(_xlfn.XLOOKUP(TEXT(H272,"0000000000"),'📞 Call Tracker'!A$2:A$2000,'📞 Call Tracker'!B$2:B$2000,""),"")</f>
        <v/>
      </c>
      <c r="X272" s="96" t="str">
        <f>IFERROR(_xlfn.XLOOKUP(TEXT(H272,"0000000000"),'📞 Call Tracker'!A$2:A$2000,'📞 Call Tracker'!C$2:C$2000,""),"")</f>
        <v/>
      </c>
      <c r="Y272" s="95" t="str">
        <f>IFERROR(_xlfn.XLOOKUP(TEXT(H272,"0000000000"),'📞 Call Tracker'!A$2:A$2000,'📞 Call Tracker'!D$2:D$2000,""),"")</f>
        <v/>
      </c>
      <c r="Z272" s="95" t="str">
        <f>IFERROR(_xlfn.XLOOKUP(TEXT(H272,"0000000000"),'📞 Call Tracker'!A$2:A$2000,'📞 Call Tracker'!E$2:E$2000,""),"")</f>
        <v/>
      </c>
      <c r="AA272" s="145" t="str">
        <f>IFERROR(_xlfn.XLOOKUP(TEXT(H272,"0000000000"),'📞 Call Tracker'!A$2:A$2000,'📞 Call Tracker'!F$2:F$2000,""),"")</f>
        <v/>
      </c>
      <c r="AB272" s="132">
        <f t="shared" si="9"/>
        <v>2</v>
      </c>
      <c r="AC272" s="79"/>
    </row>
    <row r="273" spans="1:29" ht="20.100000000000001" customHeight="1">
      <c r="A273" s="91">
        <v>45903</v>
      </c>
      <c r="B273" s="92" t="str">
        <v>Nguyen</v>
      </c>
      <c r="C273" s="92" t="str">
        <v>Minh</v>
      </c>
      <c r="D273" s="92" t="str">
        <v>Chandler</v>
      </c>
      <c r="E273" s="92">
        <v>85225</v>
      </c>
      <c r="F273" s="137" t="str">
        <v>Form letter</v>
      </c>
      <c r="G273" s="93" t="str">
        <v>https://images.edocket.azcc.gov/docketpdf/E000046190.pdf</v>
      </c>
      <c r="H273" s="150" t="s">
        <v>6643</v>
      </c>
      <c r="I273" s="114" t="str">
        <v>R3-47</v>
      </c>
      <c r="J273" s="94" t="str">
        <v>No</v>
      </c>
      <c r="K273" s="94" t="str">
        <v>No</v>
      </c>
      <c r="L273" s="137" t="str">
        <v>Yes</v>
      </c>
      <c r="M273" s="94" t="str">
        <v>No</v>
      </c>
      <c r="N273" s="134" t="str">
        <v>No</v>
      </c>
      <c r="O273" s="119" t="str">
        <v>Yes</v>
      </c>
      <c r="P273" s="92" t="str">
        <v>N</v>
      </c>
      <c r="Q273" s="91">
        <v>45967</v>
      </c>
      <c r="R273" s="140">
        <v>0</v>
      </c>
      <c r="S273" s="92">
        <v>0</v>
      </c>
      <c r="T273" s="92">
        <v>0</v>
      </c>
      <c r="U273" s="137">
        <v>0</v>
      </c>
      <c r="V273" s="126" t="str">
        <f t="shared" si="8"/>
        <v>✅ On Best Plan</v>
      </c>
      <c r="W273" s="130" t="str">
        <f>IFERROR(_xlfn.XLOOKUP(TEXT(H273,"0000000000"),'📞 Call Tracker'!A$2:A$2000,'📞 Call Tracker'!B$2:B$2000,""),"")</f>
        <v/>
      </c>
      <c r="X273" s="96" t="str">
        <f>IFERROR(_xlfn.XLOOKUP(TEXT(H273,"0000000000"),'📞 Call Tracker'!A$2:A$2000,'📞 Call Tracker'!C$2:C$2000,""),"")</f>
        <v/>
      </c>
      <c r="Y273" s="95" t="str">
        <f>IFERROR(_xlfn.XLOOKUP(TEXT(H273,"0000000000"),'📞 Call Tracker'!A$2:A$2000,'📞 Call Tracker'!D$2:D$2000,""),"")</f>
        <v/>
      </c>
      <c r="Z273" s="95" t="str">
        <f>IFERROR(_xlfn.XLOOKUP(TEXT(H273,"0000000000"),'📞 Call Tracker'!A$2:A$2000,'📞 Call Tracker'!E$2:E$2000,""),"")</f>
        <v/>
      </c>
      <c r="AA273" s="145" t="str">
        <f>IFERROR(_xlfn.XLOOKUP(TEXT(H273,"0000000000"),'📞 Call Tracker'!A$2:A$2000,'📞 Call Tracker'!F$2:F$2000,""),"")</f>
        <v/>
      </c>
      <c r="AB273" s="132">
        <f t="shared" si="9"/>
        <v>4</v>
      </c>
      <c r="AC273" s="79"/>
    </row>
    <row r="274" spans="1:29" ht="20.100000000000001" customHeight="1">
      <c r="A274" s="91">
        <v>45903</v>
      </c>
      <c r="B274" s="92" t="str">
        <v>Nacim</v>
      </c>
      <c r="C274" s="92" t="str">
        <v>Amber</v>
      </c>
      <c r="D274" s="92" t="str">
        <v>Phoenix</v>
      </c>
      <c r="E274" s="92">
        <v>85032</v>
      </c>
      <c r="F274" s="137" t="str">
        <v>Form letter</v>
      </c>
      <c r="G274" s="93" t="str">
        <v>https://images.edocket.azcc.gov/docketpdf/E000046190.pdf</v>
      </c>
      <c r="H274" s="150" t="s">
        <v>6644</v>
      </c>
      <c r="I274" s="114" t="str">
        <v>RTOUE47</v>
      </c>
      <c r="J274" s="94" t="str">
        <v>No</v>
      </c>
      <c r="K274" s="94" t="str">
        <v>No</v>
      </c>
      <c r="L274" s="137" t="str">
        <v>No MEP R3-47($184.81)</v>
      </c>
      <c r="M274" s="94" t="str">
        <v>No</v>
      </c>
      <c r="N274" s="134" t="str">
        <v>No</v>
      </c>
      <c r="O274" s="119" t="str">
        <v>Yes</v>
      </c>
      <c r="P274" s="92">
        <v>45936</v>
      </c>
      <c r="Q274" s="91">
        <v>45967</v>
      </c>
      <c r="R274" s="140" t="str">
        <v>10/06/2025 Left VM</v>
      </c>
      <c r="S274" s="92">
        <v>0</v>
      </c>
      <c r="T274" s="92">
        <v>0</v>
      </c>
      <c r="U274" s="137">
        <v>0</v>
      </c>
      <c r="V274" s="126" t="str">
        <f t="shared" si="8"/>
        <v>❌ Not on Best Plan</v>
      </c>
      <c r="W274" s="130" t="str">
        <f>IFERROR(_xlfn.XLOOKUP(TEXT(H274,"0000000000"),'📞 Call Tracker'!A$2:A$2000,'📞 Call Tracker'!B$2:B$2000,""),"")</f>
        <v/>
      </c>
      <c r="X274" s="96" t="str">
        <f>IFERROR(_xlfn.XLOOKUP(TEXT(H274,"0000000000"),'📞 Call Tracker'!A$2:A$2000,'📞 Call Tracker'!C$2:C$2000,""),"")</f>
        <v/>
      </c>
      <c r="Y274" s="95" t="str">
        <f>IFERROR(_xlfn.XLOOKUP(TEXT(H274,"0000000000"),'📞 Call Tracker'!A$2:A$2000,'📞 Call Tracker'!D$2:D$2000,""),"")</f>
        <v/>
      </c>
      <c r="Z274" s="95" t="str">
        <f>IFERROR(_xlfn.XLOOKUP(TEXT(H274,"0000000000"),'📞 Call Tracker'!A$2:A$2000,'📞 Call Tracker'!E$2:E$2000,""),"")</f>
        <v/>
      </c>
      <c r="AA274" s="145" t="str">
        <f>IFERROR(_xlfn.XLOOKUP(TEXT(H274,"0000000000"),'📞 Call Tracker'!A$2:A$2000,'📞 Call Tracker'!F$2:F$2000,""),"")</f>
        <v/>
      </c>
      <c r="AB274" s="132">
        <f t="shared" si="9"/>
        <v>2</v>
      </c>
      <c r="AC274" s="79"/>
    </row>
    <row r="275" spans="1:29" ht="20.100000000000001" customHeight="1">
      <c r="A275" s="91">
        <v>45903</v>
      </c>
      <c r="B275" s="92" t="str">
        <v>Wilson</v>
      </c>
      <c r="C275" s="92" t="str">
        <v>Cody</v>
      </c>
      <c r="D275" s="92" t="str">
        <v>Glendale</v>
      </c>
      <c r="E275" s="92">
        <v>85306</v>
      </c>
      <c r="F275" s="137" t="str">
        <v>Form letter</v>
      </c>
      <c r="G275" s="93" t="str">
        <v>https://images.edocket.azcc.gov/docketpdf/E000046190.pdf</v>
      </c>
      <c r="H275" s="150" t="s">
        <v>6645</v>
      </c>
      <c r="I275" s="114" t="str">
        <v>RTOUE47</v>
      </c>
      <c r="J275" s="94" t="str">
        <v>No</v>
      </c>
      <c r="K275" s="94" t="str">
        <v>No</v>
      </c>
      <c r="L275" s="137" t="str">
        <v>No MEP R3-47($80.80)</v>
      </c>
      <c r="M275" s="94" t="str">
        <v>No</v>
      </c>
      <c r="N275" s="134" t="str">
        <v>No</v>
      </c>
      <c r="O275" s="119" t="str">
        <v>Yes</v>
      </c>
      <c r="P275" s="92" t="str">
        <v>N</v>
      </c>
      <c r="Q275" s="91">
        <v>45967</v>
      </c>
      <c r="R275" s="140">
        <v>0</v>
      </c>
      <c r="S275" s="92">
        <v>0</v>
      </c>
      <c r="T275" s="92">
        <v>0</v>
      </c>
      <c r="U275" s="137">
        <v>0</v>
      </c>
      <c r="V275" s="126" t="str">
        <f t="shared" si="8"/>
        <v>❌ Not on Best Plan</v>
      </c>
      <c r="W275" s="130" t="str">
        <f>IFERROR(_xlfn.XLOOKUP(TEXT(H275,"0000000000"),'📞 Call Tracker'!A$2:A$2000,'📞 Call Tracker'!B$2:B$2000,""),"")</f>
        <v/>
      </c>
      <c r="X275" s="96" t="str">
        <f>IFERROR(_xlfn.XLOOKUP(TEXT(H275,"0000000000"),'📞 Call Tracker'!A$2:A$2000,'📞 Call Tracker'!C$2:C$2000,""),"")</f>
        <v/>
      </c>
      <c r="Y275" s="95" t="str">
        <f>IFERROR(_xlfn.XLOOKUP(TEXT(H275,"0000000000"),'📞 Call Tracker'!A$2:A$2000,'📞 Call Tracker'!D$2:D$2000,""),"")</f>
        <v/>
      </c>
      <c r="Z275" s="95" t="str">
        <f>IFERROR(_xlfn.XLOOKUP(TEXT(H275,"0000000000"),'📞 Call Tracker'!A$2:A$2000,'📞 Call Tracker'!E$2:E$2000,""),"")</f>
        <v/>
      </c>
      <c r="AA275" s="145" t="str">
        <f>IFERROR(_xlfn.XLOOKUP(TEXT(H275,"0000000000"),'📞 Call Tracker'!A$2:A$2000,'📞 Call Tracker'!F$2:F$2000,""),"")</f>
        <v/>
      </c>
      <c r="AB275" s="132">
        <f t="shared" si="9"/>
        <v>2</v>
      </c>
      <c r="AC275" s="79"/>
    </row>
    <row r="276" spans="1:29" ht="20.100000000000001" customHeight="1">
      <c r="A276" s="91">
        <v>45903</v>
      </c>
      <c r="B276" s="92" t="str">
        <v>Valencia</v>
      </c>
      <c r="C276" s="92" t="str">
        <v>Raymond</v>
      </c>
      <c r="D276" s="92" t="str">
        <v>Goodyear</v>
      </c>
      <c r="E276" s="92">
        <v>85338</v>
      </c>
      <c r="F276" s="137" t="str">
        <v>Barely afford it now</v>
      </c>
      <c r="G276" s="93" t="str">
        <v>https://images.edocket.azcc.gov/docketpdf/E000046190.pdf</v>
      </c>
      <c r="H276" s="150" t="s">
        <v>6646</v>
      </c>
      <c r="I276" s="114" t="str">
        <v>RTOUE47</v>
      </c>
      <c r="J276" s="94" t="str">
        <v>No</v>
      </c>
      <c r="K276" s="94" t="str">
        <v>No</v>
      </c>
      <c r="L276" s="137" t="str">
        <v>No MEP R-BASIC ($11.26)</v>
      </c>
      <c r="M276" s="94" t="str">
        <v>No</v>
      </c>
      <c r="N276" s="134" t="str">
        <v>No</v>
      </c>
      <c r="O276" s="119" t="str">
        <v>Yes</v>
      </c>
      <c r="P276" s="92" t="str">
        <v>N</v>
      </c>
      <c r="Q276" s="91">
        <v>45967</v>
      </c>
      <c r="R276" s="140">
        <v>0</v>
      </c>
      <c r="S276" s="92">
        <v>0</v>
      </c>
      <c r="T276" s="92">
        <v>0</v>
      </c>
      <c r="U276" s="137">
        <v>0</v>
      </c>
      <c r="V276" s="126" t="str">
        <f t="shared" si="8"/>
        <v>❌ Not on Best Plan</v>
      </c>
      <c r="W276" s="130" t="str">
        <f>IFERROR(_xlfn.XLOOKUP(TEXT(H276,"0000000000"),'📞 Call Tracker'!A$2:A$2000,'📞 Call Tracker'!B$2:B$2000,""),"")</f>
        <v/>
      </c>
      <c r="X276" s="96" t="str">
        <f>IFERROR(_xlfn.XLOOKUP(TEXT(H276,"0000000000"),'📞 Call Tracker'!A$2:A$2000,'📞 Call Tracker'!C$2:C$2000,""),"")</f>
        <v/>
      </c>
      <c r="Y276" s="95" t="str">
        <f>IFERROR(_xlfn.XLOOKUP(TEXT(H276,"0000000000"),'📞 Call Tracker'!A$2:A$2000,'📞 Call Tracker'!D$2:D$2000,""),"")</f>
        <v/>
      </c>
      <c r="Z276" s="95" t="str">
        <f>IFERROR(_xlfn.XLOOKUP(TEXT(H276,"0000000000"),'📞 Call Tracker'!A$2:A$2000,'📞 Call Tracker'!E$2:E$2000,""),"")</f>
        <v/>
      </c>
      <c r="AA276" s="145" t="str">
        <f>IFERROR(_xlfn.XLOOKUP(TEXT(H276,"0000000000"),'📞 Call Tracker'!A$2:A$2000,'📞 Call Tracker'!F$2:F$2000,""),"")</f>
        <v/>
      </c>
      <c r="AB276" s="132">
        <f t="shared" si="9"/>
        <v>2</v>
      </c>
      <c r="AC276" s="79"/>
    </row>
    <row r="277" spans="1:29" ht="20.100000000000001" customHeight="1">
      <c r="A277" s="91">
        <v>45903</v>
      </c>
      <c r="B277" s="92" t="str">
        <v>Junior</v>
      </c>
      <c r="C277" s="92" t="str">
        <v>Barton</v>
      </c>
      <c r="D277" s="92" t="str">
        <v>Carefree</v>
      </c>
      <c r="E277" s="92">
        <v>85377</v>
      </c>
      <c r="F277" s="137" t="str">
        <v>Bill $700 a month with AC at 83 right now</v>
      </c>
      <c r="G277" s="93" t="str">
        <v>https://images.edocket.azcc.gov/docketpdf/E000046190.pdf</v>
      </c>
      <c r="H277" s="150" t="s">
        <v>6647</v>
      </c>
      <c r="I277" s="114" t="str">
        <v>R3-47</v>
      </c>
      <c r="J277" s="94" t="str">
        <v>No</v>
      </c>
      <c r="K277" s="94" t="str">
        <v>No</v>
      </c>
      <c r="L277" s="137" t="str">
        <v>Yes</v>
      </c>
      <c r="M277" s="94" t="str">
        <v>No</v>
      </c>
      <c r="N277" s="134" t="str">
        <v>No</v>
      </c>
      <c r="O277" s="119" t="str">
        <v>Yes</v>
      </c>
      <c r="P277" s="92" t="str">
        <v>N</v>
      </c>
      <c r="Q277" s="91">
        <v>45967</v>
      </c>
      <c r="R277" s="140" t="str">
        <v>Filed ACC complaint regarding unbundled charges in 2021</v>
      </c>
      <c r="S277" s="92">
        <v>0</v>
      </c>
      <c r="T277" s="92">
        <v>0</v>
      </c>
      <c r="U277" s="137">
        <v>0</v>
      </c>
      <c r="V277" s="126" t="str">
        <f t="shared" si="8"/>
        <v>✅ On Best Plan</v>
      </c>
      <c r="W277" s="130" t="str">
        <f>IFERROR(_xlfn.XLOOKUP(TEXT(H277,"0000000000"),'📞 Call Tracker'!A$2:A$2000,'📞 Call Tracker'!B$2:B$2000,""),"")</f>
        <v/>
      </c>
      <c r="X277" s="96" t="str">
        <f>IFERROR(_xlfn.XLOOKUP(TEXT(H277,"0000000000"),'📞 Call Tracker'!A$2:A$2000,'📞 Call Tracker'!C$2:C$2000,""),"")</f>
        <v/>
      </c>
      <c r="Y277" s="95" t="str">
        <f>IFERROR(_xlfn.XLOOKUP(TEXT(H277,"0000000000"),'📞 Call Tracker'!A$2:A$2000,'📞 Call Tracker'!D$2:D$2000,""),"")</f>
        <v/>
      </c>
      <c r="Z277" s="95" t="str">
        <f>IFERROR(_xlfn.XLOOKUP(TEXT(H277,"0000000000"),'📞 Call Tracker'!A$2:A$2000,'📞 Call Tracker'!E$2:E$2000,""),"")</f>
        <v/>
      </c>
      <c r="AA277" s="145" t="str">
        <f>IFERROR(_xlfn.XLOOKUP(TEXT(H277,"0000000000"),'📞 Call Tracker'!A$2:A$2000,'📞 Call Tracker'!F$2:F$2000,""),"")</f>
        <v/>
      </c>
      <c r="AB277" s="132">
        <f t="shared" si="9"/>
        <v>4</v>
      </c>
      <c r="AC277" s="79"/>
    </row>
    <row r="278" spans="1:29" ht="20.100000000000001" customHeight="1">
      <c r="A278" s="91">
        <v>45903</v>
      </c>
      <c r="B278" s="92" t="str">
        <v xml:space="preserve">Martinez  </v>
      </c>
      <c r="C278" s="92" t="str">
        <v>Katherine</v>
      </c>
      <c r="D278" s="92" t="str">
        <v>Goodyear</v>
      </c>
      <c r="E278" s="92">
        <v>85338</v>
      </c>
      <c r="F278" s="137" t="str">
        <v>It is hard enough right now</v>
      </c>
      <c r="G278" s="93" t="str">
        <v>https://images.edocket.azcc.gov/docketpdf/E000046190.pdf</v>
      </c>
      <c r="H278" s="150" t="s">
        <v>6648</v>
      </c>
      <c r="I278" s="114" t="str">
        <v>EPR-6w/ET-2</v>
      </c>
      <c r="J278" s="94" t="str">
        <v>No</v>
      </c>
      <c r="K278" s="94" t="str">
        <v>No</v>
      </c>
      <c r="L278" s="137" t="str">
        <v>Frozen Rate</v>
      </c>
      <c r="M278" s="94" t="str">
        <v>No</v>
      </c>
      <c r="N278" s="134" t="str">
        <v>No</v>
      </c>
      <c r="O278" s="119" t="str">
        <v>Yes</v>
      </c>
      <c r="P278" s="92" t="str">
        <v>N</v>
      </c>
      <c r="Q278" s="91">
        <v>45967</v>
      </c>
      <c r="R278" s="140">
        <v>0</v>
      </c>
      <c r="S278" s="92">
        <v>0</v>
      </c>
      <c r="T278" s="92">
        <v>0</v>
      </c>
      <c r="U278" s="137">
        <v>0</v>
      </c>
      <c r="V278" s="126" t="str">
        <f t="shared" si="8"/>
        <v>❄ Frozen Rate</v>
      </c>
      <c r="W278" s="130" t="str">
        <f>IFERROR(_xlfn.XLOOKUP(TEXT(H278,"0000000000"),'📞 Call Tracker'!A$2:A$2000,'📞 Call Tracker'!B$2:B$2000,""),"")</f>
        <v/>
      </c>
      <c r="X278" s="96" t="str">
        <f>IFERROR(_xlfn.XLOOKUP(TEXT(H278,"0000000000"),'📞 Call Tracker'!A$2:A$2000,'📞 Call Tracker'!C$2:C$2000,""),"")</f>
        <v/>
      </c>
      <c r="Y278" s="95" t="str">
        <f>IFERROR(_xlfn.XLOOKUP(TEXT(H278,"0000000000"),'📞 Call Tracker'!A$2:A$2000,'📞 Call Tracker'!D$2:D$2000,""),"")</f>
        <v/>
      </c>
      <c r="Z278" s="95" t="str">
        <f>IFERROR(_xlfn.XLOOKUP(TEXT(H278,"0000000000"),'📞 Call Tracker'!A$2:A$2000,'📞 Call Tracker'!E$2:E$2000,""),"")</f>
        <v/>
      </c>
      <c r="AA278" s="145" t="str">
        <f>IFERROR(_xlfn.XLOOKUP(TEXT(H278,"0000000000"),'📞 Call Tracker'!A$2:A$2000,'📞 Call Tracker'!F$2:F$2000,""),"")</f>
        <v/>
      </c>
      <c r="AB278" s="132">
        <f t="shared" si="9"/>
        <v>4</v>
      </c>
      <c r="AC278" s="79"/>
    </row>
    <row r="279" spans="1:29" ht="20.100000000000001" customHeight="1">
      <c r="A279" s="91">
        <v>45903</v>
      </c>
      <c r="B279" s="92" t="str">
        <v>Barnes</v>
      </c>
      <c r="C279" s="92" t="str">
        <v>William</v>
      </c>
      <c r="D279" s="92" t="str">
        <v>Goodyear</v>
      </c>
      <c r="E279" s="92">
        <v>85338</v>
      </c>
      <c r="F279" s="137" t="str">
        <v xml:space="preserve">Need to manage their costs </v>
      </c>
      <c r="G279" s="93" t="str">
        <v>https://images.edocket.azcc.gov/docketpdf/E000046190.pdf</v>
      </c>
      <c r="H279" s="150" t="s">
        <v>6649</v>
      </c>
      <c r="I279" s="114" t="str">
        <v>R3-47</v>
      </c>
      <c r="J279" s="94" t="str">
        <v>No</v>
      </c>
      <c r="K279" s="94" t="str">
        <v>No</v>
      </c>
      <c r="L279" s="137" t="str">
        <v>Yes</v>
      </c>
      <c r="M279" s="94" t="str">
        <v>No</v>
      </c>
      <c r="N279" s="134" t="str">
        <v>No</v>
      </c>
      <c r="O279" s="119" t="str">
        <v>Yes</v>
      </c>
      <c r="P279" s="92" t="str">
        <v>N</v>
      </c>
      <c r="Q279" s="91">
        <v>45967</v>
      </c>
      <c r="R279" s="140">
        <v>0</v>
      </c>
      <c r="S279" s="92">
        <v>0</v>
      </c>
      <c r="T279" s="92">
        <v>0</v>
      </c>
      <c r="U279" s="137">
        <v>0</v>
      </c>
      <c r="V279" s="126" t="str">
        <f t="shared" si="8"/>
        <v>✅ On Best Plan</v>
      </c>
      <c r="W279" s="130" t="str">
        <f>IFERROR(_xlfn.XLOOKUP(TEXT(H279,"0000000000"),'📞 Call Tracker'!A$2:A$2000,'📞 Call Tracker'!B$2:B$2000,""),"")</f>
        <v/>
      </c>
      <c r="X279" s="96" t="str">
        <f>IFERROR(_xlfn.XLOOKUP(TEXT(H279,"0000000000"),'📞 Call Tracker'!A$2:A$2000,'📞 Call Tracker'!C$2:C$2000,""),"")</f>
        <v/>
      </c>
      <c r="Y279" s="95" t="str">
        <f>IFERROR(_xlfn.XLOOKUP(TEXT(H279,"0000000000"),'📞 Call Tracker'!A$2:A$2000,'📞 Call Tracker'!D$2:D$2000,""),"")</f>
        <v/>
      </c>
      <c r="Z279" s="95" t="str">
        <f>IFERROR(_xlfn.XLOOKUP(TEXT(H279,"0000000000"),'📞 Call Tracker'!A$2:A$2000,'📞 Call Tracker'!E$2:E$2000,""),"")</f>
        <v/>
      </c>
      <c r="AA279" s="145" t="str">
        <f>IFERROR(_xlfn.XLOOKUP(TEXT(H279,"0000000000"),'📞 Call Tracker'!A$2:A$2000,'📞 Call Tracker'!F$2:F$2000,""),"")</f>
        <v/>
      </c>
      <c r="AB279" s="132">
        <f t="shared" si="9"/>
        <v>4</v>
      </c>
      <c r="AC279" s="79"/>
    </row>
    <row r="280" spans="1:29" ht="20.100000000000001" customHeight="1">
      <c r="A280" s="91">
        <v>45903</v>
      </c>
      <c r="B280" s="92" t="str">
        <v>Sawant</v>
      </c>
      <c r="C280" s="92" t="str">
        <v>Ajay</v>
      </c>
      <c r="D280" s="92" t="str">
        <v>Scottsdale</v>
      </c>
      <c r="E280" s="92">
        <v>85260</v>
      </c>
      <c r="F280" s="137" t="str">
        <v>Form letter</v>
      </c>
      <c r="G280" s="93" t="str">
        <v>https://images.edocket.azcc.gov/docketpdf/E000046190.pdf</v>
      </c>
      <c r="H280" s="150" t="s">
        <v>6650</v>
      </c>
      <c r="I280" s="114" t="str">
        <v>R3-47</v>
      </c>
      <c r="J280" s="94" t="str">
        <v>No</v>
      </c>
      <c r="K280" s="94" t="str">
        <v>No</v>
      </c>
      <c r="L280" s="137" t="str">
        <v>Yes</v>
      </c>
      <c r="M280" s="94" t="str">
        <v>No</v>
      </c>
      <c r="N280" s="134" t="str">
        <v>No</v>
      </c>
      <c r="O280" s="119" t="str">
        <v>Yes</v>
      </c>
      <c r="P280" s="92" t="str">
        <v>N</v>
      </c>
      <c r="Q280" s="91">
        <v>45967</v>
      </c>
      <c r="R280" s="140">
        <v>0</v>
      </c>
      <c r="S280" s="92">
        <v>0</v>
      </c>
      <c r="T280" s="92">
        <v>0</v>
      </c>
      <c r="U280" s="137">
        <v>0</v>
      </c>
      <c r="V280" s="126" t="str">
        <f t="shared" si="8"/>
        <v>✅ On Best Plan</v>
      </c>
      <c r="W280" s="130" t="str">
        <f>IFERROR(_xlfn.XLOOKUP(TEXT(H280,"0000000000"),'📞 Call Tracker'!A$2:A$2000,'📞 Call Tracker'!B$2:B$2000,""),"")</f>
        <v/>
      </c>
      <c r="X280" s="96" t="str">
        <f>IFERROR(_xlfn.XLOOKUP(TEXT(H280,"0000000000"),'📞 Call Tracker'!A$2:A$2000,'📞 Call Tracker'!C$2:C$2000,""),"")</f>
        <v/>
      </c>
      <c r="Y280" s="95" t="str">
        <f>IFERROR(_xlfn.XLOOKUP(TEXT(H280,"0000000000"),'📞 Call Tracker'!A$2:A$2000,'📞 Call Tracker'!D$2:D$2000,""),"")</f>
        <v/>
      </c>
      <c r="Z280" s="95" t="str">
        <f>IFERROR(_xlfn.XLOOKUP(TEXT(H280,"0000000000"),'📞 Call Tracker'!A$2:A$2000,'📞 Call Tracker'!E$2:E$2000,""),"")</f>
        <v/>
      </c>
      <c r="AA280" s="145" t="str">
        <f>IFERROR(_xlfn.XLOOKUP(TEXT(H280,"0000000000"),'📞 Call Tracker'!A$2:A$2000,'📞 Call Tracker'!F$2:F$2000,""),"")</f>
        <v/>
      </c>
      <c r="AB280" s="132">
        <f t="shared" si="9"/>
        <v>4</v>
      </c>
      <c r="AC280" s="79"/>
    </row>
    <row r="281" spans="1:29" ht="20.100000000000001" customHeight="1">
      <c r="A281" s="91">
        <v>45903</v>
      </c>
      <c r="B281" s="92" t="str">
        <v>Samora</v>
      </c>
      <c r="C281" s="92" t="str">
        <v>Eric</v>
      </c>
      <c r="D281" s="92" t="str">
        <v>Surprise</v>
      </c>
      <c r="E281" s="92">
        <v>85374</v>
      </c>
      <c r="F281" s="137" t="str">
        <v>Opposed</v>
      </c>
      <c r="G281" s="93" t="str">
        <v>https://images.edocket.azcc.gov/docketpdf/E000046190.pdf</v>
      </c>
      <c r="H281" s="150" t="s">
        <v>6651</v>
      </c>
      <c r="I281" s="114" t="str">
        <v>R3-47</v>
      </c>
      <c r="J281" s="94" t="str">
        <v>No</v>
      </c>
      <c r="K281" s="94" t="str">
        <v>No</v>
      </c>
      <c r="L281" s="137" t="str">
        <v>Yes</v>
      </c>
      <c r="M281" s="94" t="str">
        <v>No</v>
      </c>
      <c r="N281" s="134" t="str">
        <v>No</v>
      </c>
      <c r="O281" s="119" t="str">
        <v>Yes</v>
      </c>
      <c r="P281" s="92" t="str">
        <v>N</v>
      </c>
      <c r="Q281" s="91">
        <v>45967</v>
      </c>
      <c r="R281" s="140">
        <v>0</v>
      </c>
      <c r="S281" s="92">
        <v>0</v>
      </c>
      <c r="T281" s="92">
        <v>0</v>
      </c>
      <c r="U281" s="137">
        <v>0</v>
      </c>
      <c r="V281" s="126" t="str">
        <f t="shared" si="8"/>
        <v>✅ On Best Plan</v>
      </c>
      <c r="W281" s="130" t="str">
        <f>IFERROR(_xlfn.XLOOKUP(TEXT(H281,"0000000000"),'📞 Call Tracker'!A$2:A$2000,'📞 Call Tracker'!B$2:B$2000,""),"")</f>
        <v/>
      </c>
      <c r="X281" s="96" t="str">
        <f>IFERROR(_xlfn.XLOOKUP(TEXT(H281,"0000000000"),'📞 Call Tracker'!A$2:A$2000,'📞 Call Tracker'!C$2:C$2000,""),"")</f>
        <v/>
      </c>
      <c r="Y281" s="95" t="str">
        <f>IFERROR(_xlfn.XLOOKUP(TEXT(H281,"0000000000"),'📞 Call Tracker'!A$2:A$2000,'📞 Call Tracker'!D$2:D$2000,""),"")</f>
        <v/>
      </c>
      <c r="Z281" s="95" t="str">
        <f>IFERROR(_xlfn.XLOOKUP(TEXT(H281,"0000000000"),'📞 Call Tracker'!A$2:A$2000,'📞 Call Tracker'!E$2:E$2000,""),"")</f>
        <v/>
      </c>
      <c r="AA281" s="145" t="str">
        <f>IFERROR(_xlfn.XLOOKUP(TEXT(H281,"0000000000"),'📞 Call Tracker'!A$2:A$2000,'📞 Call Tracker'!F$2:F$2000,""),"")</f>
        <v/>
      </c>
      <c r="AB281" s="132">
        <f t="shared" si="9"/>
        <v>4</v>
      </c>
      <c r="AC281" s="79"/>
    </row>
    <row r="282" spans="1:29" ht="20.100000000000001" customHeight="1">
      <c r="A282" s="91">
        <v>45903</v>
      </c>
      <c r="B282" s="92" t="str">
        <v>Layne</v>
      </c>
      <c r="C282" s="92" t="str">
        <v>Andrew</v>
      </c>
      <c r="D282" s="92" t="str">
        <v>Yuma</v>
      </c>
      <c r="E282" s="92">
        <v>85365</v>
      </c>
      <c r="F282" s="137" t="str">
        <v>Monopoly, break up company</v>
      </c>
      <c r="G282" s="93" t="str">
        <v>https://images.edocket.azcc.gov/docketpdf/E000046190.pdf</v>
      </c>
      <c r="H282" s="150" t="s">
        <v>6652</v>
      </c>
      <c r="I282" s="114" t="str">
        <v>R3-47</v>
      </c>
      <c r="J282" s="94" t="str">
        <v>No</v>
      </c>
      <c r="K282" s="94" t="str">
        <v>No</v>
      </c>
      <c r="L282" s="137" t="str">
        <v>Yes</v>
      </c>
      <c r="M282" s="94" t="str">
        <v>No</v>
      </c>
      <c r="N282" s="134" t="str">
        <v>No</v>
      </c>
      <c r="O282" s="119" t="str">
        <v>Yes</v>
      </c>
      <c r="P282" s="92" t="str">
        <v>N</v>
      </c>
      <c r="Q282" s="91">
        <v>45967</v>
      </c>
      <c r="R282" s="140">
        <v>0</v>
      </c>
      <c r="S282" s="92">
        <v>0</v>
      </c>
      <c r="T282" s="92">
        <v>0</v>
      </c>
      <c r="U282" s="137">
        <v>0</v>
      </c>
      <c r="V282" s="126" t="str">
        <f t="shared" si="8"/>
        <v>✅ On Best Plan</v>
      </c>
      <c r="W282" s="130" t="str">
        <f>IFERROR(_xlfn.XLOOKUP(TEXT(H282,"0000000000"),'📞 Call Tracker'!A$2:A$2000,'📞 Call Tracker'!B$2:B$2000,""),"")</f>
        <v/>
      </c>
      <c r="X282" s="96" t="str">
        <f>IFERROR(_xlfn.XLOOKUP(TEXT(H282,"0000000000"),'📞 Call Tracker'!A$2:A$2000,'📞 Call Tracker'!C$2:C$2000,""),"")</f>
        <v/>
      </c>
      <c r="Y282" s="95" t="str">
        <f>IFERROR(_xlfn.XLOOKUP(TEXT(H282,"0000000000"),'📞 Call Tracker'!A$2:A$2000,'📞 Call Tracker'!D$2:D$2000,""),"")</f>
        <v/>
      </c>
      <c r="Z282" s="95" t="str">
        <f>IFERROR(_xlfn.XLOOKUP(TEXT(H282,"0000000000"),'📞 Call Tracker'!A$2:A$2000,'📞 Call Tracker'!E$2:E$2000,""),"")</f>
        <v/>
      </c>
      <c r="AA282" s="145" t="str">
        <f>IFERROR(_xlfn.XLOOKUP(TEXT(H282,"0000000000"),'📞 Call Tracker'!A$2:A$2000,'📞 Call Tracker'!F$2:F$2000,""),"")</f>
        <v/>
      </c>
      <c r="AB282" s="132">
        <f t="shared" si="9"/>
        <v>4</v>
      </c>
      <c r="AC282" s="79"/>
    </row>
    <row r="283" spans="1:29" ht="20.100000000000001" customHeight="1">
      <c r="A283" s="91">
        <v>45903</v>
      </c>
      <c r="B283" s="92" t="str">
        <v>Degado</v>
      </c>
      <c r="C283" s="92" t="str">
        <v>Robert</v>
      </c>
      <c r="D283" s="92" t="str">
        <v>Avondale</v>
      </c>
      <c r="E283" s="92">
        <v>85323</v>
      </c>
      <c r="F283" s="137" t="str">
        <v>Bill is already high enough</v>
      </c>
      <c r="G283" s="93" t="str">
        <v>https://images.edocket.azcc.gov/docketpdf/E000046190.pdf</v>
      </c>
      <c r="H283" s="150" t="s">
        <v>6653</v>
      </c>
      <c r="I283" s="114" t="str">
        <v>RTOUE47</v>
      </c>
      <c r="J283" s="94" t="str">
        <v>No</v>
      </c>
      <c r="K283" s="94" t="str">
        <v>No</v>
      </c>
      <c r="L283" s="137" t="str">
        <v>Yes</v>
      </c>
      <c r="M283" s="94" t="str">
        <v>No</v>
      </c>
      <c r="N283" s="134" t="str">
        <v>No</v>
      </c>
      <c r="O283" s="119" t="str">
        <v>Yes</v>
      </c>
      <c r="P283" s="92" t="str">
        <v>N</v>
      </c>
      <c r="Q283" s="91">
        <v>45967</v>
      </c>
      <c r="R283" s="140">
        <v>0</v>
      </c>
      <c r="S283" s="92">
        <v>0</v>
      </c>
      <c r="T283" s="92">
        <v>0</v>
      </c>
      <c r="U283" s="137">
        <v>0</v>
      </c>
      <c r="V283" s="126" t="str">
        <f t="shared" si="8"/>
        <v>✅ On Best Plan</v>
      </c>
      <c r="W283" s="130" t="str">
        <f>IFERROR(_xlfn.XLOOKUP(TEXT(H283,"0000000000"),'📞 Call Tracker'!A$2:A$2000,'📞 Call Tracker'!B$2:B$2000,""),"")</f>
        <v/>
      </c>
      <c r="X283" s="96" t="str">
        <f>IFERROR(_xlfn.XLOOKUP(TEXT(H283,"0000000000"),'📞 Call Tracker'!A$2:A$2000,'📞 Call Tracker'!C$2:C$2000,""),"")</f>
        <v/>
      </c>
      <c r="Y283" s="95" t="str">
        <f>IFERROR(_xlfn.XLOOKUP(TEXT(H283,"0000000000"),'📞 Call Tracker'!A$2:A$2000,'📞 Call Tracker'!D$2:D$2000,""),"")</f>
        <v/>
      </c>
      <c r="Z283" s="95" t="str">
        <f>IFERROR(_xlfn.XLOOKUP(TEXT(H283,"0000000000"),'📞 Call Tracker'!A$2:A$2000,'📞 Call Tracker'!E$2:E$2000,""),"")</f>
        <v/>
      </c>
      <c r="AA283" s="145" t="str">
        <f>IFERROR(_xlfn.XLOOKUP(TEXT(H283,"0000000000"),'📞 Call Tracker'!A$2:A$2000,'📞 Call Tracker'!F$2:F$2000,""),"")</f>
        <v/>
      </c>
      <c r="AB283" s="132">
        <f t="shared" si="9"/>
        <v>4</v>
      </c>
      <c r="AC283" s="79"/>
    </row>
    <row r="284" spans="1:29" ht="20.100000000000001" customHeight="1">
      <c r="A284" s="91">
        <v>45903</v>
      </c>
      <c r="B284" s="92" t="str">
        <v>Bonnett</v>
      </c>
      <c r="C284" s="92" t="str">
        <v>David</v>
      </c>
      <c r="D284" s="92" t="str">
        <v>Goodyear</v>
      </c>
      <c r="E284" s="92">
        <v>85338</v>
      </c>
      <c r="F284" s="137" t="str">
        <v>Opposed</v>
      </c>
      <c r="G284" s="93" t="str">
        <v>https://images.edocket.azcc.gov/docketpdf/E000046190.pdf</v>
      </c>
      <c r="H284" s="150" t="s">
        <v>6654</v>
      </c>
      <c r="I284" s="114" t="str">
        <v>RCPw/R3-47</v>
      </c>
      <c r="J284" s="94" t="str">
        <v>No</v>
      </c>
      <c r="K284" s="94" t="str">
        <v>No</v>
      </c>
      <c r="L284" s="137" t="str">
        <v>Yes</v>
      </c>
      <c r="M284" s="94" t="str">
        <v>No</v>
      </c>
      <c r="N284" s="134" t="str">
        <v>No</v>
      </c>
      <c r="O284" s="119" t="str">
        <v>Yes</v>
      </c>
      <c r="P284" s="92" t="str">
        <v>N</v>
      </c>
      <c r="Q284" s="91">
        <v>45967</v>
      </c>
      <c r="R284" s="140">
        <v>0</v>
      </c>
      <c r="S284" s="92">
        <v>0</v>
      </c>
      <c r="T284" s="92">
        <v>0</v>
      </c>
      <c r="U284" s="137">
        <v>0</v>
      </c>
      <c r="V284" s="126" t="str">
        <f t="shared" si="8"/>
        <v>✅ On Best Plan</v>
      </c>
      <c r="W284" s="130" t="str">
        <f>IFERROR(_xlfn.XLOOKUP(TEXT(H284,"0000000000"),'📞 Call Tracker'!A$2:A$2000,'📞 Call Tracker'!B$2:B$2000,""),"")</f>
        <v/>
      </c>
      <c r="X284" s="96" t="str">
        <f>IFERROR(_xlfn.XLOOKUP(TEXT(H284,"0000000000"),'📞 Call Tracker'!A$2:A$2000,'📞 Call Tracker'!C$2:C$2000,""),"")</f>
        <v/>
      </c>
      <c r="Y284" s="95" t="str">
        <f>IFERROR(_xlfn.XLOOKUP(TEXT(H284,"0000000000"),'📞 Call Tracker'!A$2:A$2000,'📞 Call Tracker'!D$2:D$2000,""),"")</f>
        <v/>
      </c>
      <c r="Z284" s="95" t="str">
        <f>IFERROR(_xlfn.XLOOKUP(TEXT(H284,"0000000000"),'📞 Call Tracker'!A$2:A$2000,'📞 Call Tracker'!E$2:E$2000,""),"")</f>
        <v/>
      </c>
      <c r="AA284" s="145" t="str">
        <f>IFERROR(_xlfn.XLOOKUP(TEXT(H284,"0000000000"),'📞 Call Tracker'!A$2:A$2000,'📞 Call Tracker'!F$2:F$2000,""),"")</f>
        <v/>
      </c>
      <c r="AB284" s="132">
        <f t="shared" si="9"/>
        <v>4</v>
      </c>
      <c r="AC284" s="79"/>
    </row>
    <row r="285" spans="1:29" ht="20.100000000000001" customHeight="1">
      <c r="A285" s="91">
        <v>45903</v>
      </c>
      <c r="B285" s="92" t="str">
        <v>Ebel</v>
      </c>
      <c r="C285" s="92" t="str">
        <v>Lawrence</v>
      </c>
      <c r="D285" s="92" t="str">
        <v>Phoenix</v>
      </c>
      <c r="E285" s="92">
        <v>85085</v>
      </c>
      <c r="F285" s="137" t="str">
        <v>Form letter</v>
      </c>
      <c r="G285" s="93" t="str">
        <v>https://images.edocket.azcc.gov/docketpdf/E000046190.pdf</v>
      </c>
      <c r="H285" s="150" t="s">
        <v>6655</v>
      </c>
      <c r="I285" s="114" t="str">
        <v>RTOUE47</v>
      </c>
      <c r="J285" s="94" t="str">
        <v>No</v>
      </c>
      <c r="K285" s="94" t="str">
        <v>No</v>
      </c>
      <c r="L285" s="137" t="str">
        <v>No MEP R3-47($216.68)</v>
      </c>
      <c r="M285" s="94" t="str">
        <v>No</v>
      </c>
      <c r="N285" s="134" t="str">
        <v>No</v>
      </c>
      <c r="O285" s="119" t="str">
        <v>Yes</v>
      </c>
      <c r="P285" s="92">
        <v>45936</v>
      </c>
      <c r="Q285" s="91">
        <v>45967</v>
      </c>
      <c r="R285" s="140" t="str">
        <v>Cor will review comp tool online and decide later</v>
      </c>
      <c r="S285" s="92">
        <v>0</v>
      </c>
      <c r="T285" s="92">
        <v>0</v>
      </c>
      <c r="U285" s="137">
        <v>0</v>
      </c>
      <c r="V285" s="126" t="str">
        <f t="shared" si="8"/>
        <v>❌ Not on Best Plan</v>
      </c>
      <c r="W285" s="130" t="str">
        <f>IFERROR(_xlfn.XLOOKUP(TEXT(H285,"0000000000"),'📞 Call Tracker'!A$2:A$2000,'📞 Call Tracker'!B$2:B$2000,""),"")</f>
        <v/>
      </c>
      <c r="X285" s="96" t="str">
        <f>IFERROR(_xlfn.XLOOKUP(TEXT(H285,"0000000000"),'📞 Call Tracker'!A$2:A$2000,'📞 Call Tracker'!C$2:C$2000,""),"")</f>
        <v/>
      </c>
      <c r="Y285" s="95" t="str">
        <f>IFERROR(_xlfn.XLOOKUP(TEXT(H285,"0000000000"),'📞 Call Tracker'!A$2:A$2000,'📞 Call Tracker'!D$2:D$2000,""),"")</f>
        <v/>
      </c>
      <c r="Z285" s="95" t="str">
        <f>IFERROR(_xlfn.XLOOKUP(TEXT(H285,"0000000000"),'📞 Call Tracker'!A$2:A$2000,'📞 Call Tracker'!E$2:E$2000,""),"")</f>
        <v/>
      </c>
      <c r="AA285" s="145" t="str">
        <f>IFERROR(_xlfn.XLOOKUP(TEXT(H285,"0000000000"),'📞 Call Tracker'!A$2:A$2000,'📞 Call Tracker'!F$2:F$2000,""),"")</f>
        <v/>
      </c>
      <c r="AB285" s="132">
        <f t="shared" si="9"/>
        <v>2</v>
      </c>
      <c r="AC285" s="79"/>
    </row>
    <row r="286" spans="1:29" ht="20.100000000000001" customHeight="1">
      <c r="A286" s="91">
        <v>45903</v>
      </c>
      <c r="B286" s="92" t="str">
        <v>Murphy</v>
      </c>
      <c r="C286" s="92" t="str">
        <v xml:space="preserve">Charles </v>
      </c>
      <c r="D286" s="92" t="str">
        <v>Wickenburg</v>
      </c>
      <c r="E286" s="92">
        <v>85390</v>
      </c>
      <c r="F286" s="137" t="str">
        <v>Opposed</v>
      </c>
      <c r="G286" s="93" t="str">
        <v>https://images.edocket.azcc.gov/docketpdf/E000046190.pdf</v>
      </c>
      <c r="H286" s="150" t="s">
        <v>6656</v>
      </c>
      <c r="I286" s="114" t="str">
        <v>RTOUE47</v>
      </c>
      <c r="J286" s="94" t="str">
        <v>No</v>
      </c>
      <c r="K286" s="94" t="str">
        <v>No</v>
      </c>
      <c r="L286" s="137" t="str">
        <v>Yes</v>
      </c>
      <c r="M286" s="94" t="str">
        <v>No</v>
      </c>
      <c r="N286" s="134" t="str">
        <v>No</v>
      </c>
      <c r="O286" s="119" t="str">
        <v>Yes</v>
      </c>
      <c r="P286" s="92" t="str">
        <v>N</v>
      </c>
      <c r="Q286" s="91">
        <v>45967</v>
      </c>
      <c r="R286" s="140" t="str">
        <v>Assistance?</v>
      </c>
      <c r="S286" s="92">
        <v>0</v>
      </c>
      <c r="T286" s="92">
        <v>0</v>
      </c>
      <c r="U286" s="137">
        <v>0</v>
      </c>
      <c r="V286" s="126" t="str">
        <f t="shared" si="8"/>
        <v>✅ On Best Plan</v>
      </c>
      <c r="W286" s="130" t="str">
        <f>IFERROR(_xlfn.XLOOKUP(TEXT(H286,"0000000000"),'📞 Call Tracker'!A$2:A$2000,'📞 Call Tracker'!B$2:B$2000,""),"")</f>
        <v/>
      </c>
      <c r="X286" s="96" t="str">
        <f>IFERROR(_xlfn.XLOOKUP(TEXT(H286,"0000000000"),'📞 Call Tracker'!A$2:A$2000,'📞 Call Tracker'!C$2:C$2000,""),"")</f>
        <v/>
      </c>
      <c r="Y286" s="95" t="str">
        <f>IFERROR(_xlfn.XLOOKUP(TEXT(H286,"0000000000"),'📞 Call Tracker'!A$2:A$2000,'📞 Call Tracker'!D$2:D$2000,""),"")</f>
        <v/>
      </c>
      <c r="Z286" s="95" t="str">
        <f>IFERROR(_xlfn.XLOOKUP(TEXT(H286,"0000000000"),'📞 Call Tracker'!A$2:A$2000,'📞 Call Tracker'!E$2:E$2000,""),"")</f>
        <v/>
      </c>
      <c r="AA286" s="145" t="str">
        <f>IFERROR(_xlfn.XLOOKUP(TEXT(H286,"0000000000"),'📞 Call Tracker'!A$2:A$2000,'📞 Call Tracker'!F$2:F$2000,""),"")</f>
        <v/>
      </c>
      <c r="AB286" s="132">
        <f t="shared" si="9"/>
        <v>4</v>
      </c>
      <c r="AC286" s="79"/>
    </row>
    <row r="287" spans="1:29" ht="20.100000000000001" customHeight="1">
      <c r="A287" s="91">
        <v>45903</v>
      </c>
      <c r="B287" s="92" t="str">
        <v>Fielder</v>
      </c>
      <c r="C287" s="92" t="str">
        <v>Veronica</v>
      </c>
      <c r="D287" s="92" t="str">
        <v>El Mirage</v>
      </c>
      <c r="E287" s="92">
        <v>85335</v>
      </c>
      <c r="F287" s="137" t="str">
        <v>Opposed</v>
      </c>
      <c r="G287" s="93" t="str">
        <v>https://images.edocket.azcc.gov/docketpdf/E000046190.pdf</v>
      </c>
      <c r="H287" s="150" t="s">
        <v>6657</v>
      </c>
      <c r="I287" s="114" t="str">
        <v>R3-47</v>
      </c>
      <c r="J287" s="94" t="str">
        <v>No</v>
      </c>
      <c r="K287" s="94" t="str">
        <v>No</v>
      </c>
      <c r="L287" s="137" t="str">
        <v>Yes</v>
      </c>
      <c r="M287" s="94" t="str">
        <v>Yes</v>
      </c>
      <c r="N287" s="134">
        <v>1191.03</v>
      </c>
      <c r="O287" s="119" t="str">
        <v>Yes</v>
      </c>
      <c r="P287" s="92">
        <v>0</v>
      </c>
      <c r="Q287" s="91">
        <v>45967</v>
      </c>
      <c r="R287" s="140" t="str">
        <v>Assistance?</v>
      </c>
      <c r="S287" s="92">
        <v>0</v>
      </c>
      <c r="T287" s="92">
        <v>0</v>
      </c>
      <c r="U287" s="137" t="str">
        <v>E3 questions?</v>
      </c>
      <c r="V287" s="126" t="str">
        <f t="shared" si="8"/>
        <v>✅ On Best Plan</v>
      </c>
      <c r="W287" s="130" t="str">
        <f>IFERROR(_xlfn.XLOOKUP(TEXT(H287,"0000000000"),'📞 Call Tracker'!A$2:A$2000,'📞 Call Tracker'!B$2:B$2000,""),"")</f>
        <v/>
      </c>
      <c r="X287" s="96" t="str">
        <f>IFERROR(_xlfn.XLOOKUP(TEXT(H287,"0000000000"),'📞 Call Tracker'!A$2:A$2000,'📞 Call Tracker'!C$2:C$2000,""),"")</f>
        <v/>
      </c>
      <c r="Y287" s="95" t="str">
        <f>IFERROR(_xlfn.XLOOKUP(TEXT(H287,"0000000000"),'📞 Call Tracker'!A$2:A$2000,'📞 Call Tracker'!D$2:D$2000,""),"")</f>
        <v/>
      </c>
      <c r="Z287" s="95" t="str">
        <f>IFERROR(_xlfn.XLOOKUP(TEXT(H287,"0000000000"),'📞 Call Tracker'!A$2:A$2000,'📞 Call Tracker'!E$2:E$2000,""),"")</f>
        <v/>
      </c>
      <c r="AA287" s="145" t="str">
        <f>IFERROR(_xlfn.XLOOKUP(TEXT(H287,"0000000000"),'📞 Call Tracker'!A$2:A$2000,'📞 Call Tracker'!F$2:F$2000,""),"")</f>
        <v/>
      </c>
      <c r="AB287" s="132">
        <f t="shared" si="9"/>
        <v>3</v>
      </c>
      <c r="AC287" s="79"/>
    </row>
    <row r="288" spans="1:29" ht="20.100000000000001" customHeight="1">
      <c r="A288" s="91">
        <v>45903</v>
      </c>
      <c r="B288" s="92" t="str">
        <v>Simpson</v>
      </c>
      <c r="C288" s="92" t="str">
        <v>Robyn</v>
      </c>
      <c r="D288" s="92" t="str">
        <v>Phoenix</v>
      </c>
      <c r="E288" s="92">
        <v>85014</v>
      </c>
      <c r="F288" s="137" t="str">
        <v>Form letter</v>
      </c>
      <c r="G288" s="93" t="str">
        <v>https://images.edocket.azcc.gov/docketpdf/E000046190.pdf</v>
      </c>
      <c r="H288" s="150" t="s">
        <v>6658</v>
      </c>
      <c r="I288" s="114" t="str">
        <v>R-BASICL</v>
      </c>
      <c r="J288" s="94" t="str">
        <v>No</v>
      </c>
      <c r="K288" s="94" t="str">
        <v>No</v>
      </c>
      <c r="L288" s="137" t="str">
        <v>No MEP R-BASIC ($33.40)</v>
      </c>
      <c r="M288" s="94" t="str">
        <v>No</v>
      </c>
      <c r="N288" s="134" t="str">
        <v>No</v>
      </c>
      <c r="O288" s="119" t="str">
        <v>Yes</v>
      </c>
      <c r="P288" s="92" t="str">
        <v>N</v>
      </c>
      <c r="Q288" s="91">
        <v>45967</v>
      </c>
      <c r="R288" s="140">
        <v>0</v>
      </c>
      <c r="S288" s="92">
        <v>0</v>
      </c>
      <c r="T288" s="92">
        <v>0</v>
      </c>
      <c r="U288" s="137">
        <v>0</v>
      </c>
      <c r="V288" s="126" t="str">
        <f t="shared" si="8"/>
        <v>❌ Not on Best Plan</v>
      </c>
      <c r="W288" s="130" t="str">
        <f>IFERROR(_xlfn.XLOOKUP(TEXT(H288,"0000000000"),'📞 Call Tracker'!A$2:A$2000,'📞 Call Tracker'!B$2:B$2000,""),"")</f>
        <v/>
      </c>
      <c r="X288" s="96" t="str">
        <f>IFERROR(_xlfn.XLOOKUP(TEXT(H288,"0000000000"),'📞 Call Tracker'!A$2:A$2000,'📞 Call Tracker'!C$2:C$2000,""),"")</f>
        <v/>
      </c>
      <c r="Y288" s="95" t="str">
        <f>IFERROR(_xlfn.XLOOKUP(TEXT(H288,"0000000000"),'📞 Call Tracker'!A$2:A$2000,'📞 Call Tracker'!D$2:D$2000,""),"")</f>
        <v/>
      </c>
      <c r="Z288" s="95" t="str">
        <f>IFERROR(_xlfn.XLOOKUP(TEXT(H288,"0000000000"),'📞 Call Tracker'!A$2:A$2000,'📞 Call Tracker'!E$2:E$2000,""),"")</f>
        <v/>
      </c>
      <c r="AA288" s="145" t="str">
        <f>IFERROR(_xlfn.XLOOKUP(TEXT(H288,"0000000000"),'📞 Call Tracker'!A$2:A$2000,'📞 Call Tracker'!F$2:F$2000,""),"")</f>
        <v/>
      </c>
      <c r="AB288" s="132">
        <f t="shared" si="9"/>
        <v>2</v>
      </c>
      <c r="AC288" s="79"/>
    </row>
    <row r="289" spans="1:29" ht="20.100000000000001" customHeight="1">
      <c r="A289" s="91">
        <v>45903</v>
      </c>
      <c r="B289" s="92" t="str">
        <v>Wells</v>
      </c>
      <c r="C289" s="92" t="str">
        <v>James</v>
      </c>
      <c r="D289" s="92" t="str">
        <v>Goodyear</v>
      </c>
      <c r="E289" s="92">
        <v>85395</v>
      </c>
      <c r="F289" s="137" t="str">
        <v>Bill already too high</v>
      </c>
      <c r="G289" s="93" t="str">
        <v>https://images.edocket.azcc.gov/docketpdf/E000046190.pdf</v>
      </c>
      <c r="H289" s="150" t="s">
        <v>6659</v>
      </c>
      <c r="I289" s="114" t="str">
        <v>R-XS</v>
      </c>
      <c r="J289" s="94" t="str">
        <v>No</v>
      </c>
      <c r="K289" s="94" t="str">
        <v>No</v>
      </c>
      <c r="L289" s="137" t="str">
        <v>Yes</v>
      </c>
      <c r="M289" s="94" t="str">
        <v>No</v>
      </c>
      <c r="N289" s="134" t="str">
        <v>No</v>
      </c>
      <c r="O289" s="119" t="str">
        <v>Yes</v>
      </c>
      <c r="P289" s="92" t="str">
        <v>N</v>
      </c>
      <c r="Q289" s="91">
        <v>45967</v>
      </c>
      <c r="R289" s="140">
        <v>0</v>
      </c>
      <c r="S289" s="92">
        <v>0</v>
      </c>
      <c r="T289" s="92">
        <v>0</v>
      </c>
      <c r="U289" s="137">
        <v>0</v>
      </c>
      <c r="V289" s="126" t="str">
        <f t="shared" si="8"/>
        <v>✅ On Best Plan</v>
      </c>
      <c r="W289" s="130" t="str">
        <f>IFERROR(_xlfn.XLOOKUP(TEXT(H289,"0000000000"),'📞 Call Tracker'!A$2:A$2000,'📞 Call Tracker'!B$2:B$2000,""),"")</f>
        <v/>
      </c>
      <c r="X289" s="96" t="str">
        <f>IFERROR(_xlfn.XLOOKUP(TEXT(H289,"0000000000"),'📞 Call Tracker'!A$2:A$2000,'📞 Call Tracker'!C$2:C$2000,""),"")</f>
        <v/>
      </c>
      <c r="Y289" s="95" t="str">
        <f>IFERROR(_xlfn.XLOOKUP(TEXT(H289,"0000000000"),'📞 Call Tracker'!A$2:A$2000,'📞 Call Tracker'!D$2:D$2000,""),"")</f>
        <v/>
      </c>
      <c r="Z289" s="95" t="str">
        <f>IFERROR(_xlfn.XLOOKUP(TEXT(H289,"0000000000"),'📞 Call Tracker'!A$2:A$2000,'📞 Call Tracker'!E$2:E$2000,""),"")</f>
        <v/>
      </c>
      <c r="AA289" s="145" t="str">
        <f>IFERROR(_xlfn.XLOOKUP(TEXT(H289,"0000000000"),'📞 Call Tracker'!A$2:A$2000,'📞 Call Tracker'!F$2:F$2000,""),"")</f>
        <v/>
      </c>
      <c r="AB289" s="132">
        <f t="shared" si="9"/>
        <v>4</v>
      </c>
      <c r="AC289" s="79"/>
    </row>
    <row r="290" spans="1:29" ht="20.100000000000001" customHeight="1">
      <c r="A290" s="91">
        <v>45903</v>
      </c>
      <c r="B290" s="92" t="str">
        <v>Huston</v>
      </c>
      <c r="C290" s="92" t="str">
        <v>Christopher</v>
      </c>
      <c r="D290" s="92" t="str">
        <v>Surprise</v>
      </c>
      <c r="E290" s="92">
        <v>85388</v>
      </c>
      <c r="F290" s="137" t="str">
        <v>Form letter</v>
      </c>
      <c r="G290" s="93" t="str">
        <v>https://images.edocket.azcc.gov/docketpdf/E000046190.pdf</v>
      </c>
      <c r="H290" s="150" t="s">
        <v>6660</v>
      </c>
      <c r="I290" s="114" t="str">
        <v>RCPw/RTOUE47</v>
      </c>
      <c r="J290" s="94" t="str">
        <v>No</v>
      </c>
      <c r="K290" s="94" t="str">
        <v>No</v>
      </c>
      <c r="L290" s="137" t="str">
        <v>Yes</v>
      </c>
      <c r="M290" s="94" t="str">
        <v>No</v>
      </c>
      <c r="N290" s="134" t="str">
        <v>No</v>
      </c>
      <c r="O290" s="119" t="str">
        <v>Yes</v>
      </c>
      <c r="P290" s="92" t="str">
        <v>N</v>
      </c>
      <c r="Q290" s="91">
        <v>45967</v>
      </c>
      <c r="R290" s="140" t="str">
        <v>10/3 requested rate change to REV</v>
      </c>
      <c r="S290" s="92">
        <v>0</v>
      </c>
      <c r="T290" s="92">
        <v>0</v>
      </c>
      <c r="U290" s="137">
        <v>0</v>
      </c>
      <c r="V290" s="126" t="str">
        <f t="shared" si="8"/>
        <v>✅ On Best Plan</v>
      </c>
      <c r="W290" s="130" t="str">
        <f>IFERROR(_xlfn.XLOOKUP(TEXT(H290,"0000000000"),'📞 Call Tracker'!A$2:A$2000,'📞 Call Tracker'!B$2:B$2000,""),"")</f>
        <v/>
      </c>
      <c r="X290" s="96" t="str">
        <f>IFERROR(_xlfn.XLOOKUP(TEXT(H290,"0000000000"),'📞 Call Tracker'!A$2:A$2000,'📞 Call Tracker'!C$2:C$2000,""),"")</f>
        <v/>
      </c>
      <c r="Y290" s="95" t="str">
        <f>IFERROR(_xlfn.XLOOKUP(TEXT(H290,"0000000000"),'📞 Call Tracker'!A$2:A$2000,'📞 Call Tracker'!D$2:D$2000,""),"")</f>
        <v/>
      </c>
      <c r="Z290" s="95" t="str">
        <f>IFERROR(_xlfn.XLOOKUP(TEXT(H290,"0000000000"),'📞 Call Tracker'!A$2:A$2000,'📞 Call Tracker'!E$2:E$2000,""),"")</f>
        <v/>
      </c>
      <c r="AA290" s="145" t="str">
        <f>IFERROR(_xlfn.XLOOKUP(TEXT(H290,"0000000000"),'📞 Call Tracker'!A$2:A$2000,'📞 Call Tracker'!F$2:F$2000,""),"")</f>
        <v/>
      </c>
      <c r="AB290" s="132">
        <f t="shared" si="9"/>
        <v>4</v>
      </c>
      <c r="AC290" s="79"/>
    </row>
    <row r="291" spans="1:29" ht="20.100000000000001" customHeight="1">
      <c r="A291" s="91">
        <v>45903</v>
      </c>
      <c r="B291" s="92" t="str">
        <v>Moinet</v>
      </c>
      <c r="C291" s="92" t="str">
        <v>Alyssa</v>
      </c>
      <c r="D291" s="92" t="str">
        <v>Phoenix</v>
      </c>
      <c r="E291" s="92">
        <v>85013</v>
      </c>
      <c r="F291" s="137" t="str">
        <v>Opposed (page 288)</v>
      </c>
      <c r="G291" s="93" t="str">
        <v>https://images.edocket.azcc.gov/docketpdf/E000046190.pdf</v>
      </c>
      <c r="H291" s="150" t="s">
        <v>6661</v>
      </c>
      <c r="I291" s="114" t="str">
        <v>R-2</v>
      </c>
      <c r="J291" s="94" t="str">
        <v>Yes</v>
      </c>
      <c r="K291" s="94" t="str">
        <v>No</v>
      </c>
      <c r="L291" s="137" t="str">
        <v>Frozen Rate</v>
      </c>
      <c r="M291" s="94" t="str">
        <v>No</v>
      </c>
      <c r="N291" s="134" t="str">
        <v>No</v>
      </c>
      <c r="O291" s="119" t="str">
        <v>Yes</v>
      </c>
      <c r="P291" s="92" t="str">
        <v>N</v>
      </c>
      <c r="Q291" s="91">
        <v>45967</v>
      </c>
      <c r="R291" s="140">
        <v>0</v>
      </c>
      <c r="S291" s="92">
        <v>0</v>
      </c>
      <c r="T291" s="92">
        <v>0</v>
      </c>
      <c r="U291" s="137">
        <v>0</v>
      </c>
      <c r="V291" s="126" t="str">
        <f t="shared" si="8"/>
        <v>❄ Frozen Rate</v>
      </c>
      <c r="W291" s="130" t="str">
        <f>IFERROR(_xlfn.XLOOKUP(TEXT(H291,"0000000000"),'📞 Call Tracker'!A$2:A$2000,'📞 Call Tracker'!B$2:B$2000,""),"")</f>
        <v/>
      </c>
      <c r="X291" s="96" t="str">
        <f>IFERROR(_xlfn.XLOOKUP(TEXT(H291,"0000000000"),'📞 Call Tracker'!A$2:A$2000,'📞 Call Tracker'!C$2:C$2000,""),"")</f>
        <v/>
      </c>
      <c r="Y291" s="95" t="str">
        <f>IFERROR(_xlfn.XLOOKUP(TEXT(H291,"0000000000"),'📞 Call Tracker'!A$2:A$2000,'📞 Call Tracker'!D$2:D$2000,""),"")</f>
        <v/>
      </c>
      <c r="Z291" s="95" t="str">
        <f>IFERROR(_xlfn.XLOOKUP(TEXT(H291,"0000000000"),'📞 Call Tracker'!A$2:A$2000,'📞 Call Tracker'!E$2:E$2000,""),"")</f>
        <v/>
      </c>
      <c r="AA291" s="145" t="str">
        <f>IFERROR(_xlfn.XLOOKUP(TEXT(H291,"0000000000"),'📞 Call Tracker'!A$2:A$2000,'📞 Call Tracker'!F$2:F$2000,""),"")</f>
        <v/>
      </c>
      <c r="AB291" s="132">
        <f t="shared" si="9"/>
        <v>4</v>
      </c>
      <c r="AC291" s="79"/>
    </row>
    <row r="292" spans="1:29" ht="20.100000000000001" customHeight="1">
      <c r="A292" s="91">
        <v>45903</v>
      </c>
      <c r="B292" s="92" t="str">
        <v>MacPherson</v>
      </c>
      <c r="C292" s="92" t="str">
        <v>Denis</v>
      </c>
      <c r="D292" s="92" t="str">
        <v>Anthem</v>
      </c>
      <c r="E292" s="92">
        <v>85086</v>
      </c>
      <c r="F292" s="137" t="str">
        <v>Opposed</v>
      </c>
      <c r="G292" s="93" t="str">
        <v>https://images.edocket.azcc.gov/docketpdf/E000046190.pdf</v>
      </c>
      <c r="H292" s="150" t="s">
        <v>6662</v>
      </c>
      <c r="I292" s="114" t="str">
        <v>R-2</v>
      </c>
      <c r="J292" s="94" t="str">
        <v>No</v>
      </c>
      <c r="K292" s="94" t="str">
        <v>No</v>
      </c>
      <c r="L292" s="137" t="str">
        <v>Frozen Rate</v>
      </c>
      <c r="M292" s="94" t="str">
        <v>No</v>
      </c>
      <c r="N292" s="134" t="str">
        <v>No</v>
      </c>
      <c r="O292" s="119" t="str">
        <v>Yes</v>
      </c>
      <c r="P292" s="92" t="str">
        <v>N</v>
      </c>
      <c r="Q292" s="91">
        <v>45967</v>
      </c>
      <c r="R292" s="140">
        <v>0</v>
      </c>
      <c r="S292" s="92">
        <v>0</v>
      </c>
      <c r="T292" s="92">
        <v>0</v>
      </c>
      <c r="U292" s="137">
        <v>0</v>
      </c>
      <c r="V292" s="126" t="str">
        <f t="shared" si="8"/>
        <v>❄ Frozen Rate</v>
      </c>
      <c r="W292" s="130" t="str">
        <f>IFERROR(_xlfn.XLOOKUP(TEXT(H292,"0000000000"),'📞 Call Tracker'!A$2:A$2000,'📞 Call Tracker'!B$2:B$2000,""),"")</f>
        <v/>
      </c>
      <c r="X292" s="96" t="str">
        <f>IFERROR(_xlfn.XLOOKUP(TEXT(H292,"0000000000"),'📞 Call Tracker'!A$2:A$2000,'📞 Call Tracker'!C$2:C$2000,""),"")</f>
        <v/>
      </c>
      <c r="Y292" s="95" t="str">
        <f>IFERROR(_xlfn.XLOOKUP(TEXT(H292,"0000000000"),'📞 Call Tracker'!A$2:A$2000,'📞 Call Tracker'!D$2:D$2000,""),"")</f>
        <v/>
      </c>
      <c r="Z292" s="95" t="str">
        <f>IFERROR(_xlfn.XLOOKUP(TEXT(H292,"0000000000"),'📞 Call Tracker'!A$2:A$2000,'📞 Call Tracker'!E$2:E$2000,""),"")</f>
        <v/>
      </c>
      <c r="AA292" s="145" t="str">
        <f>IFERROR(_xlfn.XLOOKUP(TEXT(H292,"0000000000"),'📞 Call Tracker'!A$2:A$2000,'📞 Call Tracker'!F$2:F$2000,""),"")</f>
        <v/>
      </c>
      <c r="AB292" s="132">
        <f t="shared" si="9"/>
        <v>4</v>
      </c>
      <c r="AC292" s="79"/>
    </row>
    <row r="293" spans="1:29" ht="20.100000000000001" customHeight="1">
      <c r="A293" s="91">
        <v>45903</v>
      </c>
      <c r="B293" s="92" t="str">
        <v>Osorio</v>
      </c>
      <c r="C293" s="92" t="str">
        <v>Juan E &amp; Helen</v>
      </c>
      <c r="D293" s="92" t="str">
        <v>Avondale</v>
      </c>
      <c r="E293" s="92">
        <v>85392</v>
      </c>
      <c r="F293" s="137" t="str">
        <v>Retired/Hurt Financially</v>
      </c>
      <c r="G293" s="93" t="str">
        <v>https://images.edocket.azcc.gov/docketpdf/E000046204.pdf</v>
      </c>
      <c r="H293" s="150" t="s">
        <v>6663</v>
      </c>
      <c r="I293" s="114" t="str">
        <v>EPR-6w/ET-2</v>
      </c>
      <c r="J293" s="94" t="str">
        <v>No</v>
      </c>
      <c r="K293" s="94" t="str">
        <v>No</v>
      </c>
      <c r="L293" s="137" t="str">
        <v>Frozen Rate</v>
      </c>
      <c r="M293" s="94" t="str">
        <v>No</v>
      </c>
      <c r="N293" s="134" t="str">
        <v>No</v>
      </c>
      <c r="O293" s="119" t="str">
        <v>Yes</v>
      </c>
      <c r="P293" s="92" t="str">
        <v>N</v>
      </c>
      <c r="Q293" s="91">
        <v>45967</v>
      </c>
      <c r="R293" s="140">
        <v>0</v>
      </c>
      <c r="S293" s="92">
        <v>0</v>
      </c>
      <c r="T293" s="92">
        <v>0</v>
      </c>
      <c r="U293" s="137">
        <v>0</v>
      </c>
      <c r="V293" s="126" t="str">
        <f t="shared" si="8"/>
        <v>❄ Frozen Rate</v>
      </c>
      <c r="W293" s="130" t="str">
        <f>IFERROR(_xlfn.XLOOKUP(TEXT(H293,"0000000000"),'📞 Call Tracker'!A$2:A$2000,'📞 Call Tracker'!B$2:B$2000,""),"")</f>
        <v/>
      </c>
      <c r="X293" s="96" t="str">
        <f>IFERROR(_xlfn.XLOOKUP(TEXT(H293,"0000000000"),'📞 Call Tracker'!A$2:A$2000,'📞 Call Tracker'!C$2:C$2000,""),"")</f>
        <v/>
      </c>
      <c r="Y293" s="95" t="str">
        <f>IFERROR(_xlfn.XLOOKUP(TEXT(H293,"0000000000"),'📞 Call Tracker'!A$2:A$2000,'📞 Call Tracker'!D$2:D$2000,""),"")</f>
        <v/>
      </c>
      <c r="Z293" s="95" t="str">
        <f>IFERROR(_xlfn.XLOOKUP(TEXT(H293,"0000000000"),'📞 Call Tracker'!A$2:A$2000,'📞 Call Tracker'!E$2:E$2000,""),"")</f>
        <v/>
      </c>
      <c r="AA293" s="145" t="str">
        <f>IFERROR(_xlfn.XLOOKUP(TEXT(H293,"0000000000"),'📞 Call Tracker'!A$2:A$2000,'📞 Call Tracker'!F$2:F$2000,""),"")</f>
        <v/>
      </c>
      <c r="AB293" s="132">
        <f t="shared" si="9"/>
        <v>4</v>
      </c>
      <c r="AC293" s="79"/>
    </row>
    <row r="294" spans="1:29" ht="20.100000000000001" customHeight="1">
      <c r="A294" s="91">
        <v>45903</v>
      </c>
      <c r="B294" s="92" t="str">
        <v>Gregersen</v>
      </c>
      <c r="C294" s="92" t="str">
        <v>Kyle</v>
      </c>
      <c r="D294" s="92" t="str">
        <v>Surprise</v>
      </c>
      <c r="E294" s="92">
        <v>85379</v>
      </c>
      <c r="F294" s="137" t="str">
        <v>Opposed</v>
      </c>
      <c r="G294" s="93" t="str">
        <v>https://images.edocket.azcc.gov/docketpdf/E000046204.pdf</v>
      </c>
      <c r="H294" s="150" t="s">
        <v>6664</v>
      </c>
      <c r="I294" s="114" t="str">
        <v>R-2</v>
      </c>
      <c r="J294" s="94" t="str">
        <v>No</v>
      </c>
      <c r="K294" s="94" t="str">
        <v>No</v>
      </c>
      <c r="L294" s="137" t="str">
        <v>Frozen Rate</v>
      </c>
      <c r="M294" s="94" t="str">
        <v>Yes</v>
      </c>
      <c r="N294" s="134">
        <v>1773.15</v>
      </c>
      <c r="O294" s="119" t="str">
        <v>Yes</v>
      </c>
      <c r="P294" s="92">
        <v>0</v>
      </c>
      <c r="Q294" s="91">
        <v>45967</v>
      </c>
      <c r="R294" s="140" t="str">
        <v>Assistance?</v>
      </c>
      <c r="S294" s="92">
        <v>0</v>
      </c>
      <c r="T294" s="92">
        <v>0</v>
      </c>
      <c r="U294" s="137">
        <v>0</v>
      </c>
      <c r="V294" s="126" t="str">
        <f t="shared" si="8"/>
        <v>❄ Frozen Rate</v>
      </c>
      <c r="W294" s="130" t="str">
        <f>IFERROR(_xlfn.XLOOKUP(TEXT(H294,"0000000000"),'📞 Call Tracker'!A$2:A$2000,'📞 Call Tracker'!B$2:B$2000,""),"")</f>
        <v/>
      </c>
      <c r="X294" s="96" t="str">
        <f>IFERROR(_xlfn.XLOOKUP(TEXT(H294,"0000000000"),'📞 Call Tracker'!A$2:A$2000,'📞 Call Tracker'!C$2:C$2000,""),"")</f>
        <v/>
      </c>
      <c r="Y294" s="95" t="str">
        <f>IFERROR(_xlfn.XLOOKUP(TEXT(H294,"0000000000"),'📞 Call Tracker'!A$2:A$2000,'📞 Call Tracker'!D$2:D$2000,""),"")</f>
        <v/>
      </c>
      <c r="Z294" s="95" t="str">
        <f>IFERROR(_xlfn.XLOOKUP(TEXT(H294,"0000000000"),'📞 Call Tracker'!A$2:A$2000,'📞 Call Tracker'!E$2:E$2000,""),"")</f>
        <v/>
      </c>
      <c r="AA294" s="145" t="str">
        <f>IFERROR(_xlfn.XLOOKUP(TEXT(H294,"0000000000"),'📞 Call Tracker'!A$2:A$2000,'📞 Call Tracker'!F$2:F$2000,""),"")</f>
        <v/>
      </c>
      <c r="AB294" s="132">
        <f t="shared" si="9"/>
        <v>3</v>
      </c>
      <c r="AC294" s="79"/>
    </row>
    <row r="295" spans="1:29" ht="20.100000000000001" customHeight="1">
      <c r="A295" s="91">
        <v>45903</v>
      </c>
      <c r="B295" s="92" t="str">
        <v>Hileman</v>
      </c>
      <c r="C295" s="92" t="str">
        <v>Elizabeth</v>
      </c>
      <c r="D295" s="92" t="str">
        <v>Goodyear</v>
      </c>
      <c r="E295" s="92">
        <v>85338</v>
      </c>
      <c r="F295" s="137" t="str">
        <v>Opposed</v>
      </c>
      <c r="G295" s="93" t="str">
        <v>https://images.edocket.azcc.gov/docketpdf/E000046204.pdf</v>
      </c>
      <c r="H295" s="150" t="s">
        <v>1194</v>
      </c>
      <c r="I295" s="114" t="str">
        <v>R-2</v>
      </c>
      <c r="J295" s="94" t="str">
        <v>Yes</v>
      </c>
      <c r="K295" s="94" t="str">
        <v>No</v>
      </c>
      <c r="L295" s="137" t="str">
        <v>Frozen Rate</v>
      </c>
      <c r="M295" s="94" t="str">
        <v>Yes</v>
      </c>
      <c r="N295" s="134">
        <v>3130.07</v>
      </c>
      <c r="O295" s="119" t="str">
        <v>Yes</v>
      </c>
      <c r="P295" s="92">
        <v>0</v>
      </c>
      <c r="Q295" s="91">
        <v>45967</v>
      </c>
      <c r="R295" s="140" t="str">
        <v>Assistance?</v>
      </c>
      <c r="S295" s="92">
        <v>0</v>
      </c>
      <c r="T295" s="92">
        <v>0</v>
      </c>
      <c r="U295" s="137">
        <v>0</v>
      </c>
      <c r="V295" s="126" t="str">
        <f t="shared" si="8"/>
        <v>❄ Frozen Rate</v>
      </c>
      <c r="W295" s="130">
        <f>IFERROR(_xlfn.XLOOKUP(TEXT(H295,"0000000000"),'📞 Call Tracker'!A$2:A$2000,'📞 Call Tracker'!B$2:B$2000,""),"")</f>
        <v>0</v>
      </c>
      <c r="X295" s="96">
        <f>IFERROR(_xlfn.XLOOKUP(TEXT(H295,"0000000000"),'📞 Call Tracker'!A$2:A$2000,'📞 Call Tracker'!C$2:C$2000,""),"")</f>
        <v>0</v>
      </c>
      <c r="Y295" s="95">
        <f>IFERROR(_xlfn.XLOOKUP(TEXT(H295,"0000000000"),'📞 Call Tracker'!A$2:A$2000,'📞 Call Tracker'!D$2:D$2000,""),"")</f>
        <v>0</v>
      </c>
      <c r="Z295" s="95">
        <f>IFERROR(_xlfn.XLOOKUP(TEXT(H295,"0000000000"),'📞 Call Tracker'!A$2:A$2000,'📞 Call Tracker'!E$2:E$2000,""),"")</f>
        <v>0</v>
      </c>
      <c r="AA295" s="145">
        <f>IFERROR(_xlfn.XLOOKUP(TEXT(H295,"0000000000"),'📞 Call Tracker'!A$2:A$2000,'📞 Call Tracker'!F$2:F$2000,""),"")</f>
        <v>0</v>
      </c>
      <c r="AB295" s="132">
        <f t="shared" si="9"/>
        <v>99</v>
      </c>
      <c r="AC295" s="79"/>
    </row>
    <row r="296" spans="1:29" ht="20.100000000000001" customHeight="1">
      <c r="A296" s="91">
        <v>45903</v>
      </c>
      <c r="B296" s="92" t="str">
        <v>Townsend</v>
      </c>
      <c r="C296" s="92" t="str">
        <v>Shawna</v>
      </c>
      <c r="D296" s="92" t="str">
        <v>Glendale</v>
      </c>
      <c r="E296" s="92">
        <v>85310</v>
      </c>
      <c r="F296" s="137" t="str">
        <v>Opposed</v>
      </c>
      <c r="G296" s="93" t="str">
        <v>https://images.edocket.azcc.gov/docketpdf/E000046204.pdf</v>
      </c>
      <c r="H296" s="150" t="s">
        <v>1200</v>
      </c>
      <c r="I296" s="114" t="str">
        <v>R3-47</v>
      </c>
      <c r="J296" s="94" t="str">
        <v>Yes</v>
      </c>
      <c r="K296" s="94" t="str">
        <v>No</v>
      </c>
      <c r="L296" s="137" t="str">
        <v>Yes</v>
      </c>
      <c r="M296" s="94" t="str">
        <v>No</v>
      </c>
      <c r="N296" s="134" t="str">
        <v>No</v>
      </c>
      <c r="O296" s="119" t="str">
        <v>Yes</v>
      </c>
      <c r="P296" s="92" t="str">
        <v>N</v>
      </c>
      <c r="Q296" s="91">
        <v>45967</v>
      </c>
      <c r="R296" s="140">
        <v>0</v>
      </c>
      <c r="S296" s="92">
        <v>0</v>
      </c>
      <c r="T296" s="92">
        <v>0</v>
      </c>
      <c r="U296" s="137">
        <v>0</v>
      </c>
      <c r="V296" s="126" t="str">
        <f t="shared" si="8"/>
        <v>✅ On Best Plan</v>
      </c>
      <c r="W296" s="130">
        <f>IFERROR(_xlfn.XLOOKUP(TEXT(H296,"0000000000"),'📞 Call Tracker'!A$2:A$2000,'📞 Call Tracker'!B$2:B$2000,""),"")</f>
        <v>0</v>
      </c>
      <c r="X296" s="96">
        <f>IFERROR(_xlfn.XLOOKUP(TEXT(H296,"0000000000"),'📞 Call Tracker'!A$2:A$2000,'📞 Call Tracker'!C$2:C$2000,""),"")</f>
        <v>0</v>
      </c>
      <c r="Y296" s="95">
        <f>IFERROR(_xlfn.XLOOKUP(TEXT(H296,"0000000000"),'📞 Call Tracker'!A$2:A$2000,'📞 Call Tracker'!D$2:D$2000,""),"")</f>
        <v>0</v>
      </c>
      <c r="Z296" s="95">
        <f>IFERROR(_xlfn.XLOOKUP(TEXT(H296,"0000000000"),'📞 Call Tracker'!A$2:A$2000,'📞 Call Tracker'!E$2:E$2000,""),"")</f>
        <v>0</v>
      </c>
      <c r="AA296" s="145">
        <f>IFERROR(_xlfn.XLOOKUP(TEXT(H296,"0000000000"),'📞 Call Tracker'!A$2:A$2000,'📞 Call Tracker'!F$2:F$2000,""),"")</f>
        <v>0</v>
      </c>
      <c r="AB296" s="132">
        <f t="shared" si="9"/>
        <v>99</v>
      </c>
      <c r="AC296" s="79"/>
    </row>
    <row r="297" spans="1:29" ht="20.100000000000001" customHeight="1">
      <c r="A297" s="91">
        <v>45903</v>
      </c>
      <c r="B297" s="92" t="str">
        <v>Darfus</v>
      </c>
      <c r="C297" s="92" t="str">
        <v xml:space="preserve">Doug </v>
      </c>
      <c r="D297" s="92" t="str">
        <v>Phoenix</v>
      </c>
      <c r="E297" s="92">
        <v>85053</v>
      </c>
      <c r="F297" s="137" t="str">
        <v>Strain on family</v>
      </c>
      <c r="G297" s="93" t="str">
        <v>https://images.edocket.azcc.gov/docketpdf/E000046204.pdf</v>
      </c>
      <c r="H297" s="150" t="s">
        <v>1202</v>
      </c>
      <c r="I297" s="114" t="str">
        <v>R3-47</v>
      </c>
      <c r="J297" s="94" t="str">
        <v>No</v>
      </c>
      <c r="K297" s="94" t="str">
        <v>No</v>
      </c>
      <c r="L297" s="137" t="str">
        <v>Yes</v>
      </c>
      <c r="M297" s="94" t="str">
        <v>No</v>
      </c>
      <c r="N297" s="134" t="str">
        <v>No</v>
      </c>
      <c r="O297" s="119" t="str">
        <v>Yes</v>
      </c>
      <c r="P297" s="92" t="str">
        <v>N</v>
      </c>
      <c r="Q297" s="91">
        <v>45967</v>
      </c>
      <c r="R297" s="140">
        <v>0</v>
      </c>
      <c r="S297" s="92">
        <v>0</v>
      </c>
      <c r="T297" s="92">
        <v>0</v>
      </c>
      <c r="U297" s="137">
        <v>0</v>
      </c>
      <c r="V297" s="126" t="str">
        <f t="shared" si="8"/>
        <v>✅ On Best Plan</v>
      </c>
      <c r="W297" s="130" t="str">
        <f>IFERROR(_xlfn.XLOOKUP(TEXT(H297,"0000000000"),'📞 Call Tracker'!A$2:A$2000,'📞 Call Tracker'!B$2:B$2000,""),"")</f>
        <v>Michelle</v>
      </c>
      <c r="X297" s="96">
        <f>IFERROR(_xlfn.XLOOKUP(TEXT(H297,"0000000000"),'📞 Call Tracker'!A$2:A$2000,'📞 Call Tracker'!C$2:C$2000,""),"")</f>
        <v>46039</v>
      </c>
      <c r="Y297" s="95" t="str">
        <f>IFERROR(_xlfn.XLOOKUP(TEXT(H297,"0000000000"),'📞 Call Tracker'!A$2:A$2000,'📞 Call Tracker'!D$2:D$2000,""),"")</f>
        <v>YES</v>
      </c>
      <c r="Z297" s="95">
        <f>IFERROR(_xlfn.XLOOKUP(TEXT(H297,"0000000000"),'📞 Call Tracker'!A$2:A$2000,'📞 Call Tracker'!E$2:E$2000,""),"")</f>
        <v>0</v>
      </c>
      <c r="AA297" s="145">
        <f>IFERROR(_xlfn.XLOOKUP(TEXT(H297,"0000000000"),'📞 Call Tracker'!A$2:A$2000,'📞 Call Tracker'!F$2:F$2000,""),"")</f>
        <v>0</v>
      </c>
      <c r="AB297" s="132">
        <f t="shared" si="9"/>
        <v>99</v>
      </c>
      <c r="AC297" s="79"/>
    </row>
    <row r="298" spans="1:29" ht="20.100000000000001" customHeight="1">
      <c r="A298" s="91">
        <v>45903</v>
      </c>
      <c r="B298" s="92" t="str">
        <v>Whitney</v>
      </c>
      <c r="C298" s="92" t="str">
        <v>Douglas</v>
      </c>
      <c r="D298" s="92" t="str">
        <v>Sedona</v>
      </c>
      <c r="E298" s="92">
        <v>86336</v>
      </c>
      <c r="F298" s="137" t="str">
        <v>Opposed</v>
      </c>
      <c r="G298" s="93" t="str">
        <v>https://images.edocket.azcc.gov/docketpdf/E000046204.pdf</v>
      </c>
      <c r="H298" s="150" t="s">
        <v>1204</v>
      </c>
      <c r="I298" s="114" t="str">
        <v>R-XS</v>
      </c>
      <c r="J298" s="94" t="str">
        <v>No</v>
      </c>
      <c r="K298" s="94" t="str">
        <v>No</v>
      </c>
      <c r="L298" s="137" t="str">
        <v>Yes</v>
      </c>
      <c r="M298" s="94" t="str">
        <v>No</v>
      </c>
      <c r="N298" s="134" t="str">
        <v>No</v>
      </c>
      <c r="O298" s="119" t="str">
        <v>Yes</v>
      </c>
      <c r="P298" s="92" t="str">
        <v>N</v>
      </c>
      <c r="Q298" s="91">
        <v>45967</v>
      </c>
      <c r="R298" s="140">
        <v>0</v>
      </c>
      <c r="S298" s="92">
        <v>0</v>
      </c>
      <c r="T298" s="92">
        <v>0</v>
      </c>
      <c r="U298" s="137">
        <v>0</v>
      </c>
      <c r="V298" s="126" t="str">
        <f t="shared" si="8"/>
        <v>✅ On Best Plan</v>
      </c>
      <c r="W298" s="130" t="str">
        <f>IFERROR(_xlfn.XLOOKUP(TEXT(H298,"0000000000"),'📞 Call Tracker'!A$2:A$2000,'📞 Call Tracker'!B$2:B$2000,""),"")</f>
        <v>Michelle</v>
      </c>
      <c r="X298" s="96">
        <f>IFERROR(_xlfn.XLOOKUP(TEXT(H298,"0000000000"),'📞 Call Tracker'!A$2:A$2000,'📞 Call Tracker'!C$2:C$2000,""),"")</f>
        <v>46039</v>
      </c>
      <c r="Y298" s="95" t="str">
        <f>IFERROR(_xlfn.XLOOKUP(TEXT(H298,"0000000000"),'📞 Call Tracker'!A$2:A$2000,'📞 Call Tracker'!D$2:D$2000,""),"")</f>
        <v>YES</v>
      </c>
      <c r="Z298" s="95">
        <f>IFERROR(_xlfn.XLOOKUP(TEXT(H298,"0000000000"),'📞 Call Tracker'!A$2:A$2000,'📞 Call Tracker'!E$2:E$2000,""),"")</f>
        <v>0</v>
      </c>
      <c r="AA298" s="145">
        <f>IFERROR(_xlfn.XLOOKUP(TEXT(H298,"0000000000"),'📞 Call Tracker'!A$2:A$2000,'📞 Call Tracker'!F$2:F$2000,""),"")</f>
        <v>0</v>
      </c>
      <c r="AB298" s="132">
        <f t="shared" si="9"/>
        <v>99</v>
      </c>
      <c r="AC298" s="79"/>
    </row>
    <row r="299" spans="1:29" ht="20.100000000000001" customHeight="1">
      <c r="A299" s="91">
        <v>45903</v>
      </c>
      <c r="B299" s="92" t="str">
        <v>Haslett</v>
      </c>
      <c r="C299" s="92" t="str">
        <v>Bryan</v>
      </c>
      <c r="D299" s="92" t="str">
        <v>Scottsdale</v>
      </c>
      <c r="E299" s="92">
        <v>85255</v>
      </c>
      <c r="F299" s="137" t="str">
        <v>Opposed</v>
      </c>
      <c r="G299" s="93" t="str">
        <v>https://images.edocket.azcc.gov/docketpdf/E000046204.pdf</v>
      </c>
      <c r="H299" s="150" t="s">
        <v>1207</v>
      </c>
      <c r="I299" s="114" t="str">
        <v>EPR-6w/ET-2</v>
      </c>
      <c r="J299" s="94" t="str">
        <v>No</v>
      </c>
      <c r="K299" s="94" t="str">
        <v>No</v>
      </c>
      <c r="L299" s="137" t="str">
        <v>Frozen Rate</v>
      </c>
      <c r="M299" s="94" t="str">
        <v>No</v>
      </c>
      <c r="N299" s="134" t="str">
        <v>No</v>
      </c>
      <c r="O299" s="119" t="str">
        <v>Yes</v>
      </c>
      <c r="P299" s="92" t="str">
        <v>N</v>
      </c>
      <c r="Q299" s="91">
        <v>45967</v>
      </c>
      <c r="R299" s="140">
        <v>0</v>
      </c>
      <c r="S299" s="92">
        <v>0</v>
      </c>
      <c r="T299" s="92">
        <v>0</v>
      </c>
      <c r="U299" s="137">
        <v>0</v>
      </c>
      <c r="V299" s="126" t="str">
        <f t="shared" si="8"/>
        <v>❄ Frozen Rate</v>
      </c>
      <c r="W299" s="130">
        <f>IFERROR(_xlfn.XLOOKUP(TEXT(H299,"0000000000"),'📞 Call Tracker'!A$2:A$2000,'📞 Call Tracker'!B$2:B$2000,""),"")</f>
        <v>0</v>
      </c>
      <c r="X299" s="96">
        <f>IFERROR(_xlfn.XLOOKUP(TEXT(H299,"0000000000"),'📞 Call Tracker'!A$2:A$2000,'📞 Call Tracker'!C$2:C$2000,""),"")</f>
        <v>0</v>
      </c>
      <c r="Y299" s="95">
        <f>IFERROR(_xlfn.XLOOKUP(TEXT(H299,"0000000000"),'📞 Call Tracker'!A$2:A$2000,'📞 Call Tracker'!D$2:D$2000,""),"")</f>
        <v>0</v>
      </c>
      <c r="Z299" s="95">
        <f>IFERROR(_xlfn.XLOOKUP(TEXT(H299,"0000000000"),'📞 Call Tracker'!A$2:A$2000,'📞 Call Tracker'!E$2:E$2000,""),"")</f>
        <v>0</v>
      </c>
      <c r="AA299" s="145">
        <f>IFERROR(_xlfn.XLOOKUP(TEXT(H299,"0000000000"),'📞 Call Tracker'!A$2:A$2000,'📞 Call Tracker'!F$2:F$2000,""),"")</f>
        <v>0</v>
      </c>
      <c r="AB299" s="132">
        <f t="shared" si="9"/>
        <v>99</v>
      </c>
      <c r="AC299" s="79"/>
    </row>
    <row r="300" spans="1:29" ht="20.100000000000001" customHeight="1">
      <c r="A300" s="91">
        <v>45903</v>
      </c>
      <c r="B300" s="92" t="str">
        <v>Taylor</v>
      </c>
      <c r="C300" s="92" t="str">
        <v>Pamela</v>
      </c>
      <c r="D300" s="92" t="str">
        <v>Avondale</v>
      </c>
      <c r="E300" s="92">
        <v>85392</v>
      </c>
      <c r="F300" s="137" t="str">
        <v>Opposed</v>
      </c>
      <c r="G300" s="93" t="str">
        <v>https://images.edocket.azcc.gov/docketpdf/E000046204.pdf</v>
      </c>
      <c r="H300" s="150" t="s">
        <v>1211</v>
      </c>
      <c r="I300" s="114" t="str">
        <v>R3-47</v>
      </c>
      <c r="J300" s="94" t="str">
        <v>No</v>
      </c>
      <c r="K300" s="94" t="str">
        <v>No</v>
      </c>
      <c r="L300" s="137" t="str">
        <v>Yes</v>
      </c>
      <c r="M300" s="94" t="str">
        <v>Yes</v>
      </c>
      <c r="N300" s="134">
        <v>870.88</v>
      </c>
      <c r="O300" s="119" t="str">
        <v>Yes</v>
      </c>
      <c r="P300" s="92">
        <v>0</v>
      </c>
      <c r="Q300" s="91">
        <v>45967</v>
      </c>
      <c r="R300" s="140" t="str">
        <v>Assistance?</v>
      </c>
      <c r="S300" s="92">
        <v>0</v>
      </c>
      <c r="T300" s="92">
        <v>0</v>
      </c>
      <c r="U300" s="137">
        <v>0</v>
      </c>
      <c r="V300" s="126" t="str">
        <f t="shared" si="8"/>
        <v>✅ On Best Plan</v>
      </c>
      <c r="W300" s="130" t="str">
        <f>IFERROR(_xlfn.XLOOKUP(TEXT(H300,"0000000000"),'📞 Call Tracker'!A$2:A$2000,'📞 Call Tracker'!B$2:B$2000,""),"")</f>
        <v>Joaquin</v>
      </c>
      <c r="X300" s="96">
        <f>IFERROR(_xlfn.XLOOKUP(TEXT(H300,"0000000000"),'📞 Call Tracker'!A$2:A$2000,'📞 Call Tracker'!C$2:C$2000,""),"")</f>
        <v>46081</v>
      </c>
      <c r="Y300" s="95" t="str">
        <f>IFERROR(_xlfn.XLOOKUP(TEXT(H300,"0000000000"),'📞 Call Tracker'!A$2:A$2000,'📞 Call Tracker'!D$2:D$2000,""),"")</f>
        <v>NO</v>
      </c>
      <c r="Z300" s="95" t="str">
        <f>IFERROR(_xlfn.XLOOKUP(TEXT(H300,"0000000000"),'📞 Call Tracker'!A$2:A$2000,'📞 Call Tracker'!E$2:E$2000,""),"")</f>
        <v>General Education</v>
      </c>
      <c r="AA300" s="145" t="str">
        <f>IFERROR(_xlfn.XLOOKUP(TEXT(H300,"0000000000"),'📞 Call Tracker'!A$2:A$2000,'📞 Call Tracker'!F$2:F$2000,""),"")</f>
        <v>POSITIVE WITH OPTION OFFERED TO SAVE OR LOWER BILL</v>
      </c>
      <c r="AB300" s="132">
        <f t="shared" si="9"/>
        <v>99</v>
      </c>
      <c r="AC300" s="79"/>
    </row>
    <row r="301" spans="1:29" ht="20.100000000000001" customHeight="1">
      <c r="A301" s="91">
        <v>45903</v>
      </c>
      <c r="B301" s="92" t="str">
        <v>Cagle</v>
      </c>
      <c r="C301" s="92" t="str">
        <v>Christine</v>
      </c>
      <c r="D301" s="92" t="str">
        <v>Goodyear</v>
      </c>
      <c r="E301" s="92">
        <v>85395</v>
      </c>
      <c r="F301" s="137" t="str">
        <v>Opposed</v>
      </c>
      <c r="G301" s="93" t="str">
        <v>https://images.edocket.azcc.gov/docketpdf/E000046204.pdf</v>
      </c>
      <c r="H301" s="150" t="s">
        <v>1213</v>
      </c>
      <c r="I301" s="114" t="str">
        <v>EPR-6w/ET-2</v>
      </c>
      <c r="J301" s="94" t="str">
        <v>No</v>
      </c>
      <c r="K301" s="94" t="str">
        <v>No</v>
      </c>
      <c r="L301" s="137" t="str">
        <v>Frozen Rate</v>
      </c>
      <c r="M301" s="94" t="str">
        <v>No</v>
      </c>
      <c r="N301" s="134" t="str">
        <v>No</v>
      </c>
      <c r="O301" s="119" t="str">
        <v>Yes</v>
      </c>
      <c r="P301" s="92" t="str">
        <v>N</v>
      </c>
      <c r="Q301" s="91">
        <v>45967</v>
      </c>
      <c r="R301" s="140">
        <v>0</v>
      </c>
      <c r="S301" s="92">
        <v>0</v>
      </c>
      <c r="T301" s="92">
        <v>0</v>
      </c>
      <c r="U301" s="137">
        <v>0</v>
      </c>
      <c r="V301" s="126" t="str">
        <f t="shared" si="8"/>
        <v>❄ Frozen Rate</v>
      </c>
      <c r="W301" s="130">
        <f>IFERROR(_xlfn.XLOOKUP(TEXT(H301,"0000000000"),'📞 Call Tracker'!A$2:A$2000,'📞 Call Tracker'!B$2:B$2000,""),"")</f>
        <v>0</v>
      </c>
      <c r="X301" s="96">
        <f>IFERROR(_xlfn.XLOOKUP(TEXT(H301,"0000000000"),'📞 Call Tracker'!A$2:A$2000,'📞 Call Tracker'!C$2:C$2000,""),"")</f>
        <v>0</v>
      </c>
      <c r="Y301" s="95">
        <f>IFERROR(_xlfn.XLOOKUP(TEXT(H301,"0000000000"),'📞 Call Tracker'!A$2:A$2000,'📞 Call Tracker'!D$2:D$2000,""),"")</f>
        <v>0</v>
      </c>
      <c r="Z301" s="95">
        <f>IFERROR(_xlfn.XLOOKUP(TEXT(H301,"0000000000"),'📞 Call Tracker'!A$2:A$2000,'📞 Call Tracker'!E$2:E$2000,""),"")</f>
        <v>0</v>
      </c>
      <c r="AA301" s="145">
        <f>IFERROR(_xlfn.XLOOKUP(TEXT(H301,"0000000000"),'📞 Call Tracker'!A$2:A$2000,'📞 Call Tracker'!F$2:F$2000,""),"")</f>
        <v>0</v>
      </c>
      <c r="AB301" s="132">
        <f t="shared" si="9"/>
        <v>99</v>
      </c>
      <c r="AC301" s="79"/>
    </row>
    <row r="302" spans="1:29" ht="20.100000000000001" customHeight="1">
      <c r="A302" s="91">
        <v>45903</v>
      </c>
      <c r="B302" s="92" t="str">
        <v>Duell</v>
      </c>
      <c r="C302" s="92" t="str">
        <v>Brad</v>
      </c>
      <c r="D302" s="92" t="str">
        <v>Scottsdale</v>
      </c>
      <c r="E302" s="92">
        <v>85254</v>
      </c>
      <c r="F302" s="137" t="str">
        <v>Opposed</v>
      </c>
      <c r="G302" s="93" t="str">
        <v>https://images.edocket.azcc.gov/docketpdf/E000046204.pdf</v>
      </c>
      <c r="H302" s="150" t="s">
        <v>1217</v>
      </c>
      <c r="I302" s="114" t="str">
        <v>R3-47</v>
      </c>
      <c r="J302" s="94" t="str">
        <v>No</v>
      </c>
      <c r="K302" s="94" t="str">
        <v>No</v>
      </c>
      <c r="L302" s="137" t="str">
        <v>Yes</v>
      </c>
      <c r="M302" s="94" t="str">
        <v>No</v>
      </c>
      <c r="N302" s="134" t="str">
        <v>No</v>
      </c>
      <c r="O302" s="119" t="str">
        <v>Yes</v>
      </c>
      <c r="P302" s="92" t="str">
        <v>N</v>
      </c>
      <c r="Q302" s="91">
        <v>45967</v>
      </c>
      <c r="R302" s="140">
        <v>0</v>
      </c>
      <c r="S302" s="92">
        <v>0</v>
      </c>
      <c r="T302" s="92">
        <v>0</v>
      </c>
      <c r="U302" s="137">
        <v>0</v>
      </c>
      <c r="V302" s="126" t="str">
        <f t="shared" si="8"/>
        <v>✅ On Best Plan</v>
      </c>
      <c r="W302" s="130">
        <f>IFERROR(_xlfn.XLOOKUP(TEXT(H302,"0000000000"),'📞 Call Tracker'!A$2:A$2000,'📞 Call Tracker'!B$2:B$2000,""),"")</f>
        <v>0</v>
      </c>
      <c r="X302" s="96">
        <f>IFERROR(_xlfn.XLOOKUP(TEXT(H302,"0000000000"),'📞 Call Tracker'!A$2:A$2000,'📞 Call Tracker'!C$2:C$2000,""),"")</f>
        <v>0</v>
      </c>
      <c r="Y302" s="95">
        <f>IFERROR(_xlfn.XLOOKUP(TEXT(H302,"0000000000"),'📞 Call Tracker'!A$2:A$2000,'📞 Call Tracker'!D$2:D$2000,""),"")</f>
        <v>0</v>
      </c>
      <c r="Z302" s="95">
        <f>IFERROR(_xlfn.XLOOKUP(TEXT(H302,"0000000000"),'📞 Call Tracker'!A$2:A$2000,'📞 Call Tracker'!E$2:E$2000,""),"")</f>
        <v>0</v>
      </c>
      <c r="AA302" s="145">
        <f>IFERROR(_xlfn.XLOOKUP(TEXT(H302,"0000000000"),'📞 Call Tracker'!A$2:A$2000,'📞 Call Tracker'!F$2:F$2000,""),"")</f>
        <v>0</v>
      </c>
      <c r="AB302" s="132">
        <f t="shared" si="9"/>
        <v>99</v>
      </c>
      <c r="AC302" s="79"/>
    </row>
    <row r="303" spans="1:29" ht="20.100000000000001" customHeight="1">
      <c r="A303" s="91">
        <v>45903</v>
      </c>
      <c r="B303" s="92" t="str">
        <v>Roberts</v>
      </c>
      <c r="C303" s="92" t="str">
        <v>Aria</v>
      </c>
      <c r="D303" s="92" t="str">
        <v>Phoenix</v>
      </c>
      <c r="E303" s="92">
        <v>85032</v>
      </c>
      <c r="F303" s="137" t="str">
        <v>Form letter</v>
      </c>
      <c r="G303" s="93" t="str">
        <v>https://images.edocket.azcc.gov/docketpdf/E000046204.pdf</v>
      </c>
      <c r="H303" s="150" t="s">
        <v>1219</v>
      </c>
      <c r="I303" s="114" t="str">
        <v>R-XS</v>
      </c>
      <c r="J303" s="94" t="str">
        <v>No</v>
      </c>
      <c r="K303" s="94" t="str">
        <v>No</v>
      </c>
      <c r="L303" s="137" t="str">
        <v>Yes</v>
      </c>
      <c r="M303" s="94" t="str">
        <v>No</v>
      </c>
      <c r="N303" s="134" t="str">
        <v>No</v>
      </c>
      <c r="O303" s="119" t="str">
        <v>Yes</v>
      </c>
      <c r="P303" s="92" t="str">
        <v>N</v>
      </c>
      <c r="Q303" s="91">
        <v>45967</v>
      </c>
      <c r="R303" s="140">
        <v>0</v>
      </c>
      <c r="S303" s="92">
        <v>0</v>
      </c>
      <c r="T303" s="92">
        <v>0</v>
      </c>
      <c r="U303" s="137">
        <v>0</v>
      </c>
      <c r="V303" s="126" t="str">
        <f t="shared" si="8"/>
        <v>✅ On Best Plan</v>
      </c>
      <c r="W303" s="130" t="str">
        <f>IFERROR(_xlfn.XLOOKUP(TEXT(H303,"0000000000"),'📞 Call Tracker'!A$2:A$2000,'📞 Call Tracker'!B$2:B$2000,""),"")</f>
        <v>Michelle</v>
      </c>
      <c r="X303" s="96">
        <f>IFERROR(_xlfn.XLOOKUP(TEXT(H303,"0000000000"),'📞 Call Tracker'!A$2:A$2000,'📞 Call Tracker'!C$2:C$2000,""),"")</f>
        <v>46039</v>
      </c>
      <c r="Y303" s="95" t="str">
        <f>IFERROR(_xlfn.XLOOKUP(TEXT(H303,"0000000000"),'📞 Call Tracker'!A$2:A$2000,'📞 Call Tracker'!D$2:D$2000,""),"")</f>
        <v>NO</v>
      </c>
      <c r="Z303" s="95" t="str">
        <f>IFERROR(_xlfn.XLOOKUP(TEXT(H303,"0000000000"),'📞 Call Tracker'!A$2:A$2000,'📞 Call Tracker'!E$2:E$2000,""),"")</f>
        <v>E3/E4</v>
      </c>
      <c r="AA303" s="145">
        <f>IFERROR(_xlfn.XLOOKUP(TEXT(H303,"0000000000"),'📞 Call Tracker'!A$2:A$2000,'📞 Call Tracker'!F$2:F$2000,""),"")</f>
        <v>0</v>
      </c>
      <c r="AB303" s="132">
        <f t="shared" si="9"/>
        <v>99</v>
      </c>
      <c r="AC303" s="79"/>
    </row>
    <row r="304" spans="1:29" ht="20.100000000000001" customHeight="1">
      <c r="A304" s="91">
        <v>45903</v>
      </c>
      <c r="B304" s="92" t="str">
        <v>Schuit</v>
      </c>
      <c r="C304" s="92" t="str">
        <v>Cathy</v>
      </c>
      <c r="D304" s="92" t="str">
        <v>Goodyear</v>
      </c>
      <c r="E304" s="92">
        <v>85395</v>
      </c>
      <c r="F304" s="137" t="str">
        <v>Opposed</v>
      </c>
      <c r="G304" s="93" t="str">
        <v>https://images.edocket.azcc.gov/docketpdf/E000046204.pdf</v>
      </c>
      <c r="H304" s="150" t="s">
        <v>1222</v>
      </c>
      <c r="I304" s="114" t="str">
        <v>R-2</v>
      </c>
      <c r="J304" s="94" t="str">
        <v>No</v>
      </c>
      <c r="K304" s="94" t="str">
        <v>No</v>
      </c>
      <c r="L304" s="137" t="str">
        <v>Frozen Rate</v>
      </c>
      <c r="M304" s="94" t="str">
        <v>No</v>
      </c>
      <c r="N304" s="134" t="str">
        <v>No</v>
      </c>
      <c r="O304" s="119" t="str">
        <v>Yes</v>
      </c>
      <c r="P304" s="92" t="str">
        <v>N</v>
      </c>
      <c r="Q304" s="91">
        <v>45967</v>
      </c>
      <c r="R304" s="140">
        <v>0</v>
      </c>
      <c r="S304" s="92">
        <v>0</v>
      </c>
      <c r="T304" s="92">
        <v>0</v>
      </c>
      <c r="U304" s="137">
        <v>0</v>
      </c>
      <c r="V304" s="126" t="str">
        <f t="shared" si="8"/>
        <v>❄ Frozen Rate</v>
      </c>
      <c r="W304" s="130">
        <f>IFERROR(_xlfn.XLOOKUP(TEXT(H304,"0000000000"),'📞 Call Tracker'!A$2:A$2000,'📞 Call Tracker'!B$2:B$2000,""),"")</f>
        <v>0</v>
      </c>
      <c r="X304" s="96">
        <f>IFERROR(_xlfn.XLOOKUP(TEXT(H304,"0000000000"),'📞 Call Tracker'!A$2:A$2000,'📞 Call Tracker'!C$2:C$2000,""),"")</f>
        <v>0</v>
      </c>
      <c r="Y304" s="95">
        <f>IFERROR(_xlfn.XLOOKUP(TEXT(H304,"0000000000"),'📞 Call Tracker'!A$2:A$2000,'📞 Call Tracker'!D$2:D$2000,""),"")</f>
        <v>0</v>
      </c>
      <c r="Z304" s="95">
        <f>IFERROR(_xlfn.XLOOKUP(TEXT(H304,"0000000000"),'📞 Call Tracker'!A$2:A$2000,'📞 Call Tracker'!E$2:E$2000,""),"")</f>
        <v>0</v>
      </c>
      <c r="AA304" s="145">
        <f>IFERROR(_xlfn.XLOOKUP(TEXT(H304,"0000000000"),'📞 Call Tracker'!A$2:A$2000,'📞 Call Tracker'!F$2:F$2000,""),"")</f>
        <v>0</v>
      </c>
      <c r="AB304" s="132">
        <f t="shared" si="9"/>
        <v>99</v>
      </c>
      <c r="AC304" s="79"/>
    </row>
    <row r="305" spans="1:29" ht="20.100000000000001" customHeight="1">
      <c r="A305" s="91">
        <v>45903</v>
      </c>
      <c r="B305" s="92" t="str">
        <v>Zinn</v>
      </c>
      <c r="C305" s="92" t="str">
        <v>Robert</v>
      </c>
      <c r="D305" s="92" t="str">
        <v>Goodyear</v>
      </c>
      <c r="E305" s="92">
        <v>85395</v>
      </c>
      <c r="F305" s="137" t="str">
        <v>Extortion/Monopoly</v>
      </c>
      <c r="G305" s="93" t="str">
        <v>https://images.edocket.azcc.gov/docketpdf/E000046204.pdf</v>
      </c>
      <c r="H305" s="150" t="s">
        <v>1224</v>
      </c>
      <c r="I305" s="114" t="str">
        <v>R3-47</v>
      </c>
      <c r="J305" s="94" t="str">
        <v>No</v>
      </c>
      <c r="K305" s="94" t="str">
        <v>No</v>
      </c>
      <c r="L305" s="137" t="str">
        <v>Yes</v>
      </c>
      <c r="M305" s="94" t="str">
        <v>No</v>
      </c>
      <c r="N305" s="134" t="str">
        <v>No</v>
      </c>
      <c r="O305" s="119" t="str">
        <v>Yes</v>
      </c>
      <c r="P305" s="92" t="str">
        <v>N</v>
      </c>
      <c r="Q305" s="91">
        <v>45967</v>
      </c>
      <c r="R305" s="140">
        <v>0</v>
      </c>
      <c r="S305" s="92">
        <v>0</v>
      </c>
      <c r="T305" s="92">
        <v>0</v>
      </c>
      <c r="U305" s="137">
        <v>0</v>
      </c>
      <c r="V305" s="126" t="str">
        <f t="shared" si="8"/>
        <v>✅ On Best Plan</v>
      </c>
      <c r="W305" s="130">
        <f>IFERROR(_xlfn.XLOOKUP(TEXT(H305,"0000000000"),'📞 Call Tracker'!A$2:A$2000,'📞 Call Tracker'!B$2:B$2000,""),"")</f>
        <v>0</v>
      </c>
      <c r="X305" s="96">
        <f>IFERROR(_xlfn.XLOOKUP(TEXT(H305,"0000000000"),'📞 Call Tracker'!A$2:A$2000,'📞 Call Tracker'!C$2:C$2000,""),"")</f>
        <v>0</v>
      </c>
      <c r="Y305" s="95">
        <f>IFERROR(_xlfn.XLOOKUP(TEXT(H305,"0000000000"),'📞 Call Tracker'!A$2:A$2000,'📞 Call Tracker'!D$2:D$2000,""),"")</f>
        <v>0</v>
      </c>
      <c r="Z305" s="95">
        <f>IFERROR(_xlfn.XLOOKUP(TEXT(H305,"0000000000"),'📞 Call Tracker'!A$2:A$2000,'📞 Call Tracker'!E$2:E$2000,""),"")</f>
        <v>0</v>
      </c>
      <c r="AA305" s="145">
        <f>IFERROR(_xlfn.XLOOKUP(TEXT(H305,"0000000000"),'📞 Call Tracker'!A$2:A$2000,'📞 Call Tracker'!F$2:F$2000,""),"")</f>
        <v>0</v>
      </c>
      <c r="AB305" s="132">
        <f t="shared" si="9"/>
        <v>99</v>
      </c>
      <c r="AC305" s="79"/>
    </row>
    <row r="306" spans="1:29" ht="20.100000000000001" customHeight="1">
      <c r="A306" s="91">
        <v>45903</v>
      </c>
      <c r="B306" s="92" t="str">
        <v>Wolfe</v>
      </c>
      <c r="C306" s="92" t="str">
        <v>Phillip</v>
      </c>
      <c r="D306" s="92" t="str">
        <v>Yuma</v>
      </c>
      <c r="E306" s="92">
        <v>85365</v>
      </c>
      <c r="F306" s="137" t="str">
        <v>Opposed</v>
      </c>
      <c r="G306" s="93" t="str">
        <v>https://images.edocket.azcc.gov/docketpdf/E000046204.pdf</v>
      </c>
      <c r="H306" s="150" t="s">
        <v>1227</v>
      </c>
      <c r="I306" s="114" t="str">
        <v>R-2</v>
      </c>
      <c r="J306" s="94" t="str">
        <v>No</v>
      </c>
      <c r="K306" s="94" t="str">
        <v>No</v>
      </c>
      <c r="L306" s="137" t="str">
        <v>Frozen Rate</v>
      </c>
      <c r="M306" s="94" t="str">
        <v>No</v>
      </c>
      <c r="N306" s="134" t="str">
        <v>No</v>
      </c>
      <c r="O306" s="119" t="str">
        <v>Yes</v>
      </c>
      <c r="P306" s="92" t="str">
        <v>N</v>
      </c>
      <c r="Q306" s="91">
        <v>45967</v>
      </c>
      <c r="R306" s="140">
        <v>0</v>
      </c>
      <c r="S306" s="92">
        <v>0</v>
      </c>
      <c r="T306" s="92">
        <v>0</v>
      </c>
      <c r="U306" s="137">
        <v>0</v>
      </c>
      <c r="V306" s="126" t="str">
        <f t="shared" si="8"/>
        <v>❄ Frozen Rate</v>
      </c>
      <c r="W306" s="130">
        <f>IFERROR(_xlfn.XLOOKUP(TEXT(H306,"0000000000"),'📞 Call Tracker'!A$2:A$2000,'📞 Call Tracker'!B$2:B$2000,""),"")</f>
        <v>0</v>
      </c>
      <c r="X306" s="96">
        <f>IFERROR(_xlfn.XLOOKUP(TEXT(H306,"0000000000"),'📞 Call Tracker'!A$2:A$2000,'📞 Call Tracker'!C$2:C$2000,""),"")</f>
        <v>0</v>
      </c>
      <c r="Y306" s="95">
        <f>IFERROR(_xlfn.XLOOKUP(TEXT(H306,"0000000000"),'📞 Call Tracker'!A$2:A$2000,'📞 Call Tracker'!D$2:D$2000,""),"")</f>
        <v>0</v>
      </c>
      <c r="Z306" s="95">
        <f>IFERROR(_xlfn.XLOOKUP(TEXT(H306,"0000000000"),'📞 Call Tracker'!A$2:A$2000,'📞 Call Tracker'!E$2:E$2000,""),"")</f>
        <v>0</v>
      </c>
      <c r="AA306" s="145">
        <f>IFERROR(_xlfn.XLOOKUP(TEXT(H306,"0000000000"),'📞 Call Tracker'!A$2:A$2000,'📞 Call Tracker'!F$2:F$2000,""),"")</f>
        <v>0</v>
      </c>
      <c r="AB306" s="132">
        <f t="shared" si="9"/>
        <v>99</v>
      </c>
      <c r="AC306" s="79"/>
    </row>
    <row r="307" spans="1:29" ht="20.100000000000001" customHeight="1">
      <c r="A307" s="91">
        <v>45903</v>
      </c>
      <c r="B307" s="92" t="str">
        <v>Kukkapalli</v>
      </c>
      <c r="C307" s="92" t="str">
        <v>Vasu</v>
      </c>
      <c r="D307" s="92" t="str">
        <v>Phoenix</v>
      </c>
      <c r="E307" s="92">
        <v>85024</v>
      </c>
      <c r="F307" s="137" t="str">
        <v>Opposed</v>
      </c>
      <c r="G307" s="93" t="str">
        <v>https://images.edocket.azcc.gov/docketpdf/E000046204.pdf</v>
      </c>
      <c r="H307" s="150" t="s">
        <v>1229</v>
      </c>
      <c r="I307" s="114" t="str">
        <v>RCPw/R3-47</v>
      </c>
      <c r="J307" s="94" t="str">
        <v>No</v>
      </c>
      <c r="K307" s="94" t="str">
        <v>No</v>
      </c>
      <c r="L307" s="137" t="str">
        <v>N MEP TOU-E ($165.17)</v>
      </c>
      <c r="M307" s="94" t="str">
        <v>No</v>
      </c>
      <c r="N307" s="134" t="str">
        <v>No</v>
      </c>
      <c r="O307" s="119" t="str">
        <v>Yes</v>
      </c>
      <c r="P307" s="92">
        <v>45936</v>
      </c>
      <c r="Q307" s="91">
        <v>45967</v>
      </c>
      <c r="R307" s="140" t="str">
        <v xml:space="preserve">COR switched to suggest RTOUE47 </v>
      </c>
      <c r="S307" s="92">
        <v>0</v>
      </c>
      <c r="T307" s="92">
        <v>0</v>
      </c>
      <c r="U307" s="137">
        <v>0</v>
      </c>
      <c r="V307" s="126" t="str">
        <f t="shared" si="8"/>
        <v>❌ Not on Best Plan</v>
      </c>
      <c r="W307" s="130">
        <f>IFERROR(_xlfn.XLOOKUP(TEXT(H307,"0000000000"),'📞 Call Tracker'!A$2:A$2000,'📞 Call Tracker'!B$2:B$2000,""),"")</f>
        <v>0</v>
      </c>
      <c r="X307" s="96">
        <f>IFERROR(_xlfn.XLOOKUP(TEXT(H307,"0000000000"),'📞 Call Tracker'!A$2:A$2000,'📞 Call Tracker'!C$2:C$2000,""),"")</f>
        <v>0</v>
      </c>
      <c r="Y307" s="95">
        <f>IFERROR(_xlfn.XLOOKUP(TEXT(H307,"0000000000"),'📞 Call Tracker'!A$2:A$2000,'📞 Call Tracker'!D$2:D$2000,""),"")</f>
        <v>0</v>
      </c>
      <c r="Z307" s="95">
        <f>IFERROR(_xlfn.XLOOKUP(TEXT(H307,"0000000000"),'📞 Call Tracker'!A$2:A$2000,'📞 Call Tracker'!E$2:E$2000,""),"")</f>
        <v>0</v>
      </c>
      <c r="AA307" s="145">
        <f>IFERROR(_xlfn.XLOOKUP(TEXT(H307,"0000000000"),'📞 Call Tracker'!A$2:A$2000,'📞 Call Tracker'!F$2:F$2000,""),"")</f>
        <v>0</v>
      </c>
      <c r="AB307" s="132">
        <f t="shared" si="9"/>
        <v>99</v>
      </c>
      <c r="AC307" s="79"/>
    </row>
    <row r="308" spans="1:29" ht="20.100000000000001" customHeight="1">
      <c r="A308" s="91">
        <v>45903</v>
      </c>
      <c r="B308" s="92" t="str">
        <v>Ravikumar</v>
      </c>
      <c r="C308" s="92" t="str">
        <v>Sangeetha</v>
      </c>
      <c r="D308" s="92" t="str">
        <v>Glendale</v>
      </c>
      <c r="E308" s="92">
        <v>85306</v>
      </c>
      <c r="F308" s="137" t="str">
        <v>Form letter</v>
      </c>
      <c r="G308" s="93" t="str">
        <v>https://images.edocket.azcc.gov/docketpdf/E000046204.pdf</v>
      </c>
      <c r="H308" s="150" t="s">
        <v>1232</v>
      </c>
      <c r="I308" s="114" t="str">
        <v>R3-47</v>
      </c>
      <c r="J308" s="94" t="str">
        <v>No</v>
      </c>
      <c r="K308" s="94" t="str">
        <v>No</v>
      </c>
      <c r="L308" s="137" t="str">
        <v>Yes</v>
      </c>
      <c r="M308" s="94" t="str">
        <v>No</v>
      </c>
      <c r="N308" s="134" t="str">
        <v>No</v>
      </c>
      <c r="O308" s="119" t="str">
        <v>Yes</v>
      </c>
      <c r="P308" s="92" t="str">
        <v>N</v>
      </c>
      <c r="Q308" s="91">
        <v>45967</v>
      </c>
      <c r="R308" s="140">
        <v>0</v>
      </c>
      <c r="S308" s="92">
        <v>0</v>
      </c>
      <c r="T308" s="92">
        <v>0</v>
      </c>
      <c r="U308" s="137">
        <v>0</v>
      </c>
      <c r="V308" s="126" t="str">
        <f t="shared" si="8"/>
        <v>✅ On Best Plan</v>
      </c>
      <c r="W308" s="130">
        <f>IFERROR(_xlfn.XLOOKUP(TEXT(H308,"0000000000"),'📞 Call Tracker'!A$2:A$2000,'📞 Call Tracker'!B$2:B$2000,""),"")</f>
        <v>0</v>
      </c>
      <c r="X308" s="96">
        <f>IFERROR(_xlfn.XLOOKUP(TEXT(H308,"0000000000"),'📞 Call Tracker'!A$2:A$2000,'📞 Call Tracker'!C$2:C$2000,""),"")</f>
        <v>0</v>
      </c>
      <c r="Y308" s="95">
        <f>IFERROR(_xlfn.XLOOKUP(TEXT(H308,"0000000000"),'📞 Call Tracker'!A$2:A$2000,'📞 Call Tracker'!D$2:D$2000,""),"")</f>
        <v>0</v>
      </c>
      <c r="Z308" s="95">
        <f>IFERROR(_xlfn.XLOOKUP(TEXT(H308,"0000000000"),'📞 Call Tracker'!A$2:A$2000,'📞 Call Tracker'!E$2:E$2000,""),"")</f>
        <v>0</v>
      </c>
      <c r="AA308" s="145">
        <f>IFERROR(_xlfn.XLOOKUP(TEXT(H308,"0000000000"),'📞 Call Tracker'!A$2:A$2000,'📞 Call Tracker'!F$2:F$2000,""),"")</f>
        <v>0</v>
      </c>
      <c r="AB308" s="132">
        <f t="shared" si="9"/>
        <v>99</v>
      </c>
      <c r="AC308" s="79"/>
    </row>
    <row r="309" spans="1:29" ht="20.100000000000001" customHeight="1">
      <c r="A309" s="91">
        <v>45903</v>
      </c>
      <c r="B309" s="92" t="str">
        <v>Gottipati</v>
      </c>
      <c r="C309" s="92" t="str">
        <v>Srinivasa</v>
      </c>
      <c r="D309" s="92" t="str">
        <v>Peoria</v>
      </c>
      <c r="E309" s="92">
        <v>85382</v>
      </c>
      <c r="F309" s="137" t="str">
        <v>Opposed</v>
      </c>
      <c r="G309" s="93" t="str">
        <v>https://images.edocket.azcc.gov/docketpdf/E000046204.pdf</v>
      </c>
      <c r="H309" s="150" t="s">
        <v>1237</v>
      </c>
      <c r="I309" s="114" t="str">
        <v>REV47</v>
      </c>
      <c r="J309" s="94" t="str">
        <v>No</v>
      </c>
      <c r="K309" s="94" t="str">
        <v>No</v>
      </c>
      <c r="L309" s="137" t="str">
        <v>No MEP R3-47 ($295.59)</v>
      </c>
      <c r="M309" s="94" t="str">
        <v>No</v>
      </c>
      <c r="N309" s="134" t="str">
        <v>No</v>
      </c>
      <c r="O309" s="119" t="str">
        <v>Yes</v>
      </c>
      <c r="P309" s="92">
        <v>0</v>
      </c>
      <c r="Q309" s="91">
        <v>45967</v>
      </c>
      <c r="R309" s="140">
        <v>0</v>
      </c>
      <c r="S309" s="92">
        <v>0</v>
      </c>
      <c r="T309" s="92">
        <v>0</v>
      </c>
      <c r="U309" s="137">
        <v>0</v>
      </c>
      <c r="V309" s="126" t="str">
        <f t="shared" si="8"/>
        <v>❌ Not on Best Plan</v>
      </c>
      <c r="W309" s="130">
        <f>IFERROR(_xlfn.XLOOKUP(TEXT(H309,"0000000000"),'📞 Call Tracker'!A$2:A$2000,'📞 Call Tracker'!B$2:B$2000,""),"")</f>
        <v>0</v>
      </c>
      <c r="X309" s="96">
        <f>IFERROR(_xlfn.XLOOKUP(TEXT(H309,"0000000000"),'📞 Call Tracker'!A$2:A$2000,'📞 Call Tracker'!C$2:C$2000,""),"")</f>
        <v>0</v>
      </c>
      <c r="Y309" s="95">
        <f>IFERROR(_xlfn.XLOOKUP(TEXT(H309,"0000000000"),'📞 Call Tracker'!A$2:A$2000,'📞 Call Tracker'!D$2:D$2000,""),"")</f>
        <v>0</v>
      </c>
      <c r="Z309" s="95">
        <f>IFERROR(_xlfn.XLOOKUP(TEXT(H309,"0000000000"),'📞 Call Tracker'!A$2:A$2000,'📞 Call Tracker'!E$2:E$2000,""),"")</f>
        <v>0</v>
      </c>
      <c r="AA309" s="145">
        <f>IFERROR(_xlfn.XLOOKUP(TEXT(H309,"0000000000"),'📞 Call Tracker'!A$2:A$2000,'📞 Call Tracker'!F$2:F$2000,""),"")</f>
        <v>0</v>
      </c>
      <c r="AB309" s="132">
        <f t="shared" si="9"/>
        <v>99</v>
      </c>
      <c r="AC309" s="79"/>
    </row>
    <row r="310" spans="1:29" ht="20.100000000000001" customHeight="1">
      <c r="A310" s="91">
        <v>45903</v>
      </c>
      <c r="B310" s="92" t="str">
        <v>Penny</v>
      </c>
      <c r="C310" s="92" t="str">
        <v>Leigh</v>
      </c>
      <c r="D310" s="92" t="str">
        <v>Phoenix</v>
      </c>
      <c r="E310" s="92">
        <v>85085</v>
      </c>
      <c r="F310" s="137" t="str">
        <v>Form letter</v>
      </c>
      <c r="G310" s="93" t="str">
        <v>https://images.edocket.azcc.gov/docketpdf/E000046204.pdf</v>
      </c>
      <c r="H310" s="150" t="s">
        <v>1249</v>
      </c>
      <c r="I310" s="114" t="str">
        <v>R-2</v>
      </c>
      <c r="J310" s="94" t="str">
        <v>No</v>
      </c>
      <c r="K310" s="94" t="str">
        <v>No</v>
      </c>
      <c r="L310" s="137" t="str">
        <v>Frozen Rate</v>
      </c>
      <c r="M310" s="94" t="str">
        <v>No</v>
      </c>
      <c r="N310" s="134" t="str">
        <v>No</v>
      </c>
      <c r="O310" s="119" t="str">
        <v>Yes</v>
      </c>
      <c r="P310" s="92" t="str">
        <v>N</v>
      </c>
      <c r="Q310" s="91">
        <v>45967</v>
      </c>
      <c r="R310" s="140">
        <v>0</v>
      </c>
      <c r="S310" s="92">
        <v>0</v>
      </c>
      <c r="T310" s="92">
        <v>0</v>
      </c>
      <c r="U310" s="137">
        <v>0</v>
      </c>
      <c r="V310" s="126" t="str">
        <f t="shared" si="8"/>
        <v>❄ Frozen Rate</v>
      </c>
      <c r="W310" s="130" t="str">
        <f>IFERROR(_xlfn.XLOOKUP(TEXT(H310,"0000000000"),'📞 Call Tracker'!A$2:A$2000,'📞 Call Tracker'!B$2:B$2000,""),"")</f>
        <v>Joaquin</v>
      </c>
      <c r="X310" s="96">
        <f>IFERROR(_xlfn.XLOOKUP(TEXT(H310,"0000000000"),'📞 Call Tracker'!A$2:A$2000,'📞 Call Tracker'!C$2:C$2000,""),"")</f>
        <v>46053</v>
      </c>
      <c r="Y310" s="95" t="str">
        <f>IFERROR(_xlfn.XLOOKUP(TEXT(H310,"0000000000"),'📞 Call Tracker'!A$2:A$2000,'📞 Call Tracker'!D$2:D$2000,""),"")</f>
        <v>NO</v>
      </c>
      <c r="Z310" s="95" t="str">
        <f>IFERROR(_xlfn.XLOOKUP(TEXT(H310,"0000000000"),'📞 Call Tracker'!A$2:A$2000,'📞 Call Tracker'!E$2:E$2000,""),"")</f>
        <v>General Education</v>
      </c>
      <c r="AA310" s="145" t="str">
        <f>IFERROR(_xlfn.XLOOKUP(TEXT(H310,"0000000000"),'📞 Call Tracker'!A$2:A$2000,'📞 Call Tracker'!F$2:F$2000,""),"")</f>
        <v>SOLAR ACCT</v>
      </c>
      <c r="AB310" s="132">
        <f t="shared" si="9"/>
        <v>99</v>
      </c>
      <c r="AC310" s="79"/>
    </row>
    <row r="311" spans="1:29" ht="20.100000000000001" customHeight="1">
      <c r="A311" s="91">
        <v>45903</v>
      </c>
      <c r="B311" s="92" t="str">
        <v>Koripella</v>
      </c>
      <c r="C311" s="92" t="str">
        <v>Ravi</v>
      </c>
      <c r="D311" s="92" t="str">
        <v>Surprise</v>
      </c>
      <c r="E311" s="92">
        <v>85387</v>
      </c>
      <c r="F311" s="137" t="str">
        <v>Form letter</v>
      </c>
      <c r="G311" s="93" t="str">
        <v>https://images.edocket.azcc.gov/docketpdf/E000046204.pdf</v>
      </c>
      <c r="H311" s="150" t="s">
        <v>1253</v>
      </c>
      <c r="I311" s="114" t="str">
        <v>R3-47</v>
      </c>
      <c r="J311" s="94" t="str">
        <v>No</v>
      </c>
      <c r="K311" s="94" t="str">
        <v>No</v>
      </c>
      <c r="L311" s="137" t="str">
        <v>Yes</v>
      </c>
      <c r="M311" s="94" t="str">
        <v>No</v>
      </c>
      <c r="N311" s="134" t="str">
        <v>No</v>
      </c>
      <c r="O311" s="119" t="str">
        <v>Yes</v>
      </c>
      <c r="P311" s="92" t="str">
        <v>N</v>
      </c>
      <c r="Q311" s="91">
        <v>45967</v>
      </c>
      <c r="R311" s="140">
        <v>0</v>
      </c>
      <c r="S311" s="92">
        <v>0</v>
      </c>
      <c r="T311" s="92">
        <v>0</v>
      </c>
      <c r="U311" s="137">
        <v>0</v>
      </c>
      <c r="V311" s="126" t="str">
        <f t="shared" si="8"/>
        <v>✅ On Best Plan</v>
      </c>
      <c r="W311" s="130">
        <f>IFERROR(_xlfn.XLOOKUP(TEXT(H311,"0000000000"),'📞 Call Tracker'!A$2:A$2000,'📞 Call Tracker'!B$2:B$2000,""),"")</f>
        <v>0</v>
      </c>
      <c r="X311" s="96">
        <f>IFERROR(_xlfn.XLOOKUP(TEXT(H311,"0000000000"),'📞 Call Tracker'!A$2:A$2000,'📞 Call Tracker'!C$2:C$2000,""),"")</f>
        <v>0</v>
      </c>
      <c r="Y311" s="95">
        <f>IFERROR(_xlfn.XLOOKUP(TEXT(H311,"0000000000"),'📞 Call Tracker'!A$2:A$2000,'📞 Call Tracker'!D$2:D$2000,""),"")</f>
        <v>0</v>
      </c>
      <c r="Z311" s="95">
        <f>IFERROR(_xlfn.XLOOKUP(TEXT(H311,"0000000000"),'📞 Call Tracker'!A$2:A$2000,'📞 Call Tracker'!E$2:E$2000,""),"")</f>
        <v>0</v>
      </c>
      <c r="AA311" s="145">
        <f>IFERROR(_xlfn.XLOOKUP(TEXT(H311,"0000000000"),'📞 Call Tracker'!A$2:A$2000,'📞 Call Tracker'!F$2:F$2000,""),"")</f>
        <v>0</v>
      </c>
      <c r="AB311" s="132">
        <f t="shared" si="9"/>
        <v>99</v>
      </c>
      <c r="AC311" s="79"/>
    </row>
    <row r="312" spans="1:29" ht="20.100000000000001" customHeight="1">
      <c r="A312" s="91">
        <v>45903</v>
      </c>
      <c r="B312" s="92" t="str">
        <v>Kuppuswamy</v>
      </c>
      <c r="C312" s="92" t="str">
        <v>Balaji</v>
      </c>
      <c r="D312" s="92" t="str">
        <v>Peoria</v>
      </c>
      <c r="E312" s="92">
        <v>85383</v>
      </c>
      <c r="F312" s="137" t="str">
        <v>Form letter</v>
      </c>
      <c r="G312" s="93" t="str">
        <v>https://images.edocket.azcc.gov/docketpdf/E000046204.pdf</v>
      </c>
      <c r="H312" s="150" t="s">
        <v>1258</v>
      </c>
      <c r="I312" s="114" t="str">
        <v>REV47</v>
      </c>
      <c r="J312" s="94" t="str">
        <v>No</v>
      </c>
      <c r="K312" s="94" t="str">
        <v>No</v>
      </c>
      <c r="L312" s="137" t="str">
        <v>Not available yet</v>
      </c>
      <c r="M312" s="94" t="str">
        <v>No</v>
      </c>
      <c r="N312" s="134" t="str">
        <v>No</v>
      </c>
      <c r="O312" s="119" t="str">
        <v>Yes</v>
      </c>
      <c r="P312" s="92" t="str">
        <v>N</v>
      </c>
      <c r="Q312" s="91">
        <v>45967</v>
      </c>
      <c r="R312" s="140" t="str">
        <v>COR requested rate change to R3-47 on 10/1</v>
      </c>
      <c r="S312" s="92">
        <v>0</v>
      </c>
      <c r="T312" s="92">
        <v>0</v>
      </c>
      <c r="U312" s="137">
        <v>0</v>
      </c>
      <c r="V312" s="126" t="str">
        <f t="shared" si="8"/>
        <v>❌ Not on Best Plan</v>
      </c>
      <c r="W312" s="130" t="str">
        <f>IFERROR(_xlfn.XLOOKUP(TEXT(H312,"0000000000"),'📞 Call Tracker'!A$2:A$2000,'📞 Call Tracker'!B$2:B$2000,""),"")</f>
        <v>Joaquin</v>
      </c>
      <c r="X312" s="96">
        <f>IFERROR(_xlfn.XLOOKUP(TEXT(H312,"0000000000"),'📞 Call Tracker'!A$2:A$2000,'📞 Call Tracker'!C$2:C$2000,""),"")</f>
        <v>46053</v>
      </c>
      <c r="Y312" s="95" t="str">
        <f>IFERROR(_xlfn.XLOOKUP(TEXT(H312,"0000000000"),'📞 Call Tracker'!A$2:A$2000,'📞 Call Tracker'!D$2:D$2000,""),"")</f>
        <v>NO</v>
      </c>
      <c r="Z312" s="95" t="str">
        <f>IFERROR(_xlfn.XLOOKUP(TEXT(H312,"0000000000"),'📞 Call Tracker'!A$2:A$2000,'📞 Call Tracker'!E$2:E$2000,""),"")</f>
        <v>General Education</v>
      </c>
      <c r="AA312" s="145" t="str">
        <f>IFERROR(_xlfn.XLOOKUP(TEXT(H312,"0000000000"),'📞 Call Tracker'!A$2:A$2000,'📞 Call Tracker'!F$2:F$2000,""),"")</f>
        <v>WILL CB TO MAKE CHANGES</v>
      </c>
      <c r="AB312" s="132">
        <f t="shared" si="9"/>
        <v>99</v>
      </c>
      <c r="AC312" s="79"/>
    </row>
    <row r="313" spans="1:29" ht="20.100000000000001" customHeight="1">
      <c r="A313" s="91">
        <v>45903</v>
      </c>
      <c r="B313" s="92" t="str">
        <v>Ziller</v>
      </c>
      <c r="C313" s="92" t="str">
        <v>Chris</v>
      </c>
      <c r="D313" s="92" t="str">
        <v>Phoenix</v>
      </c>
      <c r="E313" s="92">
        <v>85027</v>
      </c>
      <c r="F313" s="137" t="str">
        <v>Form letter</v>
      </c>
      <c r="G313" s="93" t="str">
        <v>https://images.edocket.azcc.gov/docketpdf/E000046204.pdf</v>
      </c>
      <c r="H313" s="150" t="s">
        <v>1262</v>
      </c>
      <c r="I313" s="114" t="str">
        <v>RTOUE47</v>
      </c>
      <c r="J313" s="94" t="str">
        <v>No</v>
      </c>
      <c r="K313" s="94" t="str">
        <v>No</v>
      </c>
      <c r="L313" s="137" t="str">
        <v>No MEP R3-47 ($90.87)</v>
      </c>
      <c r="M313" s="94" t="str">
        <v>No</v>
      </c>
      <c r="N313" s="134" t="str">
        <v>No</v>
      </c>
      <c r="O313" s="119" t="str">
        <v>Yes</v>
      </c>
      <c r="P313" s="92" t="str">
        <v>N</v>
      </c>
      <c r="Q313" s="91">
        <v>45967</v>
      </c>
      <c r="R313" s="140">
        <v>0</v>
      </c>
      <c r="S313" s="92">
        <v>0</v>
      </c>
      <c r="T313" s="92">
        <v>0</v>
      </c>
      <c r="U313" s="137">
        <v>0</v>
      </c>
      <c r="V313" s="126" t="str">
        <f t="shared" si="8"/>
        <v>❌ Not on Best Plan</v>
      </c>
      <c r="W313" s="130">
        <f>IFERROR(_xlfn.XLOOKUP(TEXT(H313,"0000000000"),'📞 Call Tracker'!A$2:A$2000,'📞 Call Tracker'!B$2:B$2000,""),"")</f>
        <v>0</v>
      </c>
      <c r="X313" s="96">
        <f>IFERROR(_xlfn.XLOOKUP(TEXT(H313,"0000000000"),'📞 Call Tracker'!A$2:A$2000,'📞 Call Tracker'!C$2:C$2000,""),"")</f>
        <v>0</v>
      </c>
      <c r="Y313" s="95">
        <f>IFERROR(_xlfn.XLOOKUP(TEXT(H313,"0000000000"),'📞 Call Tracker'!A$2:A$2000,'📞 Call Tracker'!D$2:D$2000,""),"")</f>
        <v>0</v>
      </c>
      <c r="Z313" s="95">
        <f>IFERROR(_xlfn.XLOOKUP(TEXT(H313,"0000000000"),'📞 Call Tracker'!A$2:A$2000,'📞 Call Tracker'!E$2:E$2000,""),"")</f>
        <v>0</v>
      </c>
      <c r="AA313" s="145">
        <f>IFERROR(_xlfn.XLOOKUP(TEXT(H313,"0000000000"),'📞 Call Tracker'!A$2:A$2000,'📞 Call Tracker'!F$2:F$2000,""),"")</f>
        <v>0</v>
      </c>
      <c r="AB313" s="132">
        <f t="shared" si="9"/>
        <v>99</v>
      </c>
      <c r="AC313" s="79"/>
    </row>
    <row r="314" spans="1:29" ht="20.100000000000001" customHeight="1">
      <c r="A314" s="91">
        <v>45903</v>
      </c>
      <c r="B314" s="92" t="str">
        <v>Rajan</v>
      </c>
      <c r="C314" s="92" t="str">
        <v>Kiran</v>
      </c>
      <c r="D314" s="92" t="str">
        <v>Phoenix</v>
      </c>
      <c r="E314" s="92">
        <v>85086</v>
      </c>
      <c r="F314" s="137" t="str">
        <v>Form letter</v>
      </c>
      <c r="G314" s="93" t="str">
        <v>https://images.edocket.azcc.gov/docketpdf/E000046204.pdf</v>
      </c>
      <c r="H314" s="150" t="s">
        <v>1269</v>
      </c>
      <c r="I314" s="114" t="str">
        <v>RCPw/RTOUE47</v>
      </c>
      <c r="J314" s="94" t="str">
        <v>No</v>
      </c>
      <c r="K314" s="94" t="str">
        <v>No</v>
      </c>
      <c r="L314" s="137" t="str">
        <v>NA</v>
      </c>
      <c r="M314" s="94" t="str">
        <v>No</v>
      </c>
      <c r="N314" s="134" t="str">
        <v>No</v>
      </c>
      <c r="O314" s="119" t="str">
        <v>Yes</v>
      </c>
      <c r="P314" s="92" t="str">
        <v>N</v>
      </c>
      <c r="Q314" s="91">
        <v>45967</v>
      </c>
      <c r="R314" s="140" t="str">
        <v>MEP does not appear on bill due to 'flagged for irregular usage' - Ashley is looking into it.</v>
      </c>
      <c r="S314" s="92">
        <v>0</v>
      </c>
      <c r="T314" s="92">
        <v>0</v>
      </c>
      <c r="U314" s="137">
        <v>0</v>
      </c>
      <c r="V314" s="126" t="str">
        <f t="shared" si="8"/>
        <v>⚠ Unknown</v>
      </c>
      <c r="W314" s="130">
        <f>IFERROR(_xlfn.XLOOKUP(TEXT(H314,"0000000000"),'📞 Call Tracker'!A$2:A$2000,'📞 Call Tracker'!B$2:B$2000,""),"")</f>
        <v>0</v>
      </c>
      <c r="X314" s="96">
        <f>IFERROR(_xlfn.XLOOKUP(TEXT(H314,"0000000000"),'📞 Call Tracker'!A$2:A$2000,'📞 Call Tracker'!C$2:C$2000,""),"")</f>
        <v>0</v>
      </c>
      <c r="Y314" s="95">
        <f>IFERROR(_xlfn.XLOOKUP(TEXT(H314,"0000000000"),'📞 Call Tracker'!A$2:A$2000,'📞 Call Tracker'!D$2:D$2000,""),"")</f>
        <v>0</v>
      </c>
      <c r="Z314" s="95">
        <f>IFERROR(_xlfn.XLOOKUP(TEXT(H314,"0000000000"),'📞 Call Tracker'!A$2:A$2000,'📞 Call Tracker'!E$2:E$2000,""),"")</f>
        <v>0</v>
      </c>
      <c r="AA314" s="145">
        <f>IFERROR(_xlfn.XLOOKUP(TEXT(H314,"0000000000"),'📞 Call Tracker'!A$2:A$2000,'📞 Call Tracker'!F$2:F$2000,""),"")</f>
        <v>0</v>
      </c>
      <c r="AB314" s="132">
        <f t="shared" si="9"/>
        <v>99</v>
      </c>
      <c r="AC314" s="79"/>
    </row>
    <row r="315" spans="1:29" ht="20.100000000000001" customHeight="1">
      <c r="A315" s="91">
        <v>45903</v>
      </c>
      <c r="B315" s="92" t="str">
        <v>Vanos</v>
      </c>
      <c r="C315" s="92" t="str">
        <v>Kimberly</v>
      </c>
      <c r="D315" s="92" t="str">
        <v>Avondale</v>
      </c>
      <c r="E315" s="92">
        <v>85392</v>
      </c>
      <c r="F315" s="137" t="str">
        <v>Opposed</v>
      </c>
      <c r="G315" s="93" t="str">
        <v>https://images.edocket.azcc.gov/docketpdf/E000046204.pdf</v>
      </c>
      <c r="H315" s="150" t="s">
        <v>1272</v>
      </c>
      <c r="I315" s="114" t="str">
        <v>EPR-6w/ET-2</v>
      </c>
      <c r="J315" s="94" t="str">
        <v>No</v>
      </c>
      <c r="K315" s="94" t="str">
        <v>No</v>
      </c>
      <c r="L315" s="137" t="str">
        <v>Frozen Rate</v>
      </c>
      <c r="M315" s="94" t="str">
        <v>No</v>
      </c>
      <c r="N315" s="134" t="str">
        <v>No</v>
      </c>
      <c r="O315" s="119" t="str">
        <v>Yes</v>
      </c>
      <c r="P315" s="92" t="str">
        <v>N</v>
      </c>
      <c r="Q315" s="91">
        <v>45967</v>
      </c>
      <c r="R315" s="140">
        <v>0</v>
      </c>
      <c r="S315" s="92">
        <v>0</v>
      </c>
      <c r="T315" s="92">
        <v>0</v>
      </c>
      <c r="U315" s="137">
        <v>0</v>
      </c>
      <c r="V315" s="126" t="str">
        <f t="shared" si="8"/>
        <v>❄ Frozen Rate</v>
      </c>
      <c r="W315" s="130" t="str">
        <f>IFERROR(_xlfn.XLOOKUP(TEXT(H315,"0000000000"),'📞 Call Tracker'!A$2:A$2000,'📞 Call Tracker'!B$2:B$2000,""),"")</f>
        <v>Joaquin</v>
      </c>
      <c r="X315" s="96">
        <f>IFERROR(_xlfn.XLOOKUP(TEXT(H315,"0000000000"),'📞 Call Tracker'!A$2:A$2000,'📞 Call Tracker'!C$2:C$2000,""),"")</f>
        <v>46060</v>
      </c>
      <c r="Y315" s="95" t="str">
        <f>IFERROR(_xlfn.XLOOKUP(TEXT(H315,"0000000000"),'📞 Call Tracker'!A$2:A$2000,'📞 Call Tracker'!D$2:D$2000,""),"")</f>
        <v>NO</v>
      </c>
      <c r="Z315" s="95">
        <f>IFERROR(_xlfn.XLOOKUP(TEXT(H315,"0000000000"),'📞 Call Tracker'!A$2:A$2000,'📞 Call Tracker'!E$2:E$2000,""),"")</f>
        <v>0</v>
      </c>
      <c r="AA315" s="145" t="str">
        <f>IFERROR(_xlfn.XLOOKUP(TEXT(H315,"0000000000"),'📞 Call Tracker'!A$2:A$2000,'📞 Call Tracker'!F$2:F$2000,""),"")</f>
        <v>SOLAR ACCT</v>
      </c>
      <c r="AB315" s="132">
        <f t="shared" si="9"/>
        <v>99</v>
      </c>
      <c r="AC315" s="79"/>
    </row>
    <row r="316" spans="1:29" ht="20.100000000000001" customHeight="1">
      <c r="A316" s="91">
        <v>45903</v>
      </c>
      <c r="B316" s="92" t="str">
        <v>Arrowsmith</v>
      </c>
      <c r="C316" s="92" t="str">
        <v>Kelsey</v>
      </c>
      <c r="D316" s="92" t="str">
        <v>Phoenix</v>
      </c>
      <c r="E316" s="92">
        <v>85021</v>
      </c>
      <c r="F316" s="137" t="str">
        <v>Form letter</v>
      </c>
      <c r="G316" s="93" t="str">
        <v>https://images.edocket.azcc.gov/docketpdf/E000046204.pdf</v>
      </c>
      <c r="H316" s="150" t="s">
        <v>1278</v>
      </c>
      <c r="I316" s="114" t="str">
        <v>RTOUE47</v>
      </c>
      <c r="J316" s="94" t="str">
        <v>No</v>
      </c>
      <c r="K316" s="94" t="str">
        <v>No</v>
      </c>
      <c r="L316" s="137" t="str">
        <v>No MEP R3-47 ($701.02)</v>
      </c>
      <c r="M316" s="94" t="str">
        <v>No</v>
      </c>
      <c r="N316" s="134" t="str">
        <v>No</v>
      </c>
      <c r="O316" s="119" t="str">
        <v>Yes</v>
      </c>
      <c r="P316" s="92">
        <v>45936</v>
      </c>
      <c r="Q316" s="91">
        <v>45967</v>
      </c>
      <c r="R316" s="140" t="str">
        <v>10/6 Left VM</v>
      </c>
      <c r="S316" s="92">
        <v>0</v>
      </c>
      <c r="T316" s="92">
        <v>0</v>
      </c>
      <c r="U316" s="137">
        <v>0</v>
      </c>
      <c r="V316" s="126" t="str">
        <f t="shared" si="8"/>
        <v>❌ Not on Best Plan</v>
      </c>
      <c r="W316" s="130" t="str">
        <f>IFERROR(_xlfn.XLOOKUP(TEXT(H316,"0000000000"),'📞 Call Tracker'!A$2:A$2000,'📞 Call Tracker'!B$2:B$2000,""),"")</f>
        <v>Michelle</v>
      </c>
      <c r="X316" s="96">
        <f>IFERROR(_xlfn.XLOOKUP(TEXT(H316,"0000000000"),'📞 Call Tracker'!A$2:A$2000,'📞 Call Tracker'!C$2:C$2000,""),"")</f>
        <v>46039</v>
      </c>
      <c r="Y316" s="95" t="str">
        <f>IFERROR(_xlfn.XLOOKUP(TEXT(H316,"0000000000"),'📞 Call Tracker'!A$2:A$2000,'📞 Call Tracker'!D$2:D$2000,""),"")</f>
        <v>YES</v>
      </c>
      <c r="Z316" s="95">
        <f>IFERROR(_xlfn.XLOOKUP(TEXT(H316,"0000000000"),'📞 Call Tracker'!A$2:A$2000,'📞 Call Tracker'!E$2:E$2000,""),"")</f>
        <v>0</v>
      </c>
      <c r="AA316" s="145">
        <f>IFERROR(_xlfn.XLOOKUP(TEXT(H316,"0000000000"),'📞 Call Tracker'!A$2:A$2000,'📞 Call Tracker'!F$2:F$2000,""),"")</f>
        <v>0</v>
      </c>
      <c r="AB316" s="132">
        <f t="shared" si="9"/>
        <v>99</v>
      </c>
      <c r="AC316" s="79"/>
    </row>
    <row r="317" spans="1:29" ht="20.100000000000001" customHeight="1">
      <c r="A317" s="91">
        <v>45903</v>
      </c>
      <c r="B317" s="92" t="str">
        <v>Yadav</v>
      </c>
      <c r="C317" s="92" t="str">
        <v>Ashish</v>
      </c>
      <c r="D317" s="92" t="str">
        <v>Phoenix</v>
      </c>
      <c r="E317" s="92">
        <v>85024</v>
      </c>
      <c r="F317" s="137" t="str">
        <v>Form letter</v>
      </c>
      <c r="G317" s="93" t="str">
        <v>https://images.edocket.azcc.gov/docketpdf/E000046204.pdf</v>
      </c>
      <c r="H317" s="150" t="s">
        <v>1283</v>
      </c>
      <c r="I317" s="114" t="str">
        <v>R3-47</v>
      </c>
      <c r="J317" s="94" t="str">
        <v>No</v>
      </c>
      <c r="K317" s="94" t="str">
        <v>No</v>
      </c>
      <c r="L317" s="137" t="str">
        <v>Yes</v>
      </c>
      <c r="M317" s="94" t="str">
        <v>No</v>
      </c>
      <c r="N317" s="134" t="str">
        <v>No</v>
      </c>
      <c r="O317" s="119" t="str">
        <v>Yes</v>
      </c>
      <c r="P317" s="92" t="str">
        <v>N</v>
      </c>
      <c r="Q317" s="91">
        <v>45967</v>
      </c>
      <c r="R317" s="140">
        <v>0</v>
      </c>
      <c r="S317" s="92">
        <v>0</v>
      </c>
      <c r="T317" s="92">
        <v>0</v>
      </c>
      <c r="U317" s="137">
        <v>0</v>
      </c>
      <c r="V317" s="126" t="str">
        <f t="shared" si="8"/>
        <v>✅ On Best Plan</v>
      </c>
      <c r="W317" s="130">
        <f>IFERROR(_xlfn.XLOOKUP(TEXT(H317,"0000000000"),'📞 Call Tracker'!A$2:A$2000,'📞 Call Tracker'!B$2:B$2000,""),"")</f>
        <v>0</v>
      </c>
      <c r="X317" s="96">
        <f>IFERROR(_xlfn.XLOOKUP(TEXT(H317,"0000000000"),'📞 Call Tracker'!A$2:A$2000,'📞 Call Tracker'!C$2:C$2000,""),"")</f>
        <v>0</v>
      </c>
      <c r="Y317" s="95">
        <f>IFERROR(_xlfn.XLOOKUP(TEXT(H317,"0000000000"),'📞 Call Tracker'!A$2:A$2000,'📞 Call Tracker'!D$2:D$2000,""),"")</f>
        <v>0</v>
      </c>
      <c r="Z317" s="95">
        <f>IFERROR(_xlfn.XLOOKUP(TEXT(H317,"0000000000"),'📞 Call Tracker'!A$2:A$2000,'📞 Call Tracker'!E$2:E$2000,""),"")</f>
        <v>0</v>
      </c>
      <c r="AA317" s="145">
        <f>IFERROR(_xlfn.XLOOKUP(TEXT(H317,"0000000000"),'📞 Call Tracker'!A$2:A$2000,'📞 Call Tracker'!F$2:F$2000,""),"")</f>
        <v>0</v>
      </c>
      <c r="AB317" s="132">
        <f t="shared" si="9"/>
        <v>99</v>
      </c>
      <c r="AC317" s="79"/>
    </row>
    <row r="318" spans="1:29" ht="20.100000000000001" customHeight="1">
      <c r="A318" s="91">
        <v>45903</v>
      </c>
      <c r="B318" s="92" t="str">
        <v>Ahmad</v>
      </c>
      <c r="C318" s="92" t="str">
        <v>Ammara</v>
      </c>
      <c r="D318" s="92" t="str">
        <v>Goodyear</v>
      </c>
      <c r="E318" s="92">
        <v>85338</v>
      </c>
      <c r="F318" s="137" t="str">
        <v>Opposed</v>
      </c>
      <c r="G318" s="93" t="str">
        <v>https://images.edocket.azcc.gov/docketpdf/E000046204.pdf</v>
      </c>
      <c r="H318" s="150" t="s">
        <v>1288</v>
      </c>
      <c r="I318" s="114" t="str">
        <v>R-BASIC</v>
      </c>
      <c r="J318" s="94" t="str">
        <v>Yes</v>
      </c>
      <c r="K318" s="94" t="str">
        <v>No</v>
      </c>
      <c r="L318" s="137" t="str">
        <v>No MEP R3-47 ($55.98)</v>
      </c>
      <c r="M318" s="94" t="str">
        <v>No</v>
      </c>
      <c r="N318" s="134" t="str">
        <v>No</v>
      </c>
      <c r="O318" s="119" t="str">
        <v>Yes</v>
      </c>
      <c r="P318" s="92">
        <v>45936</v>
      </c>
      <c r="Q318" s="91">
        <v>45967</v>
      </c>
      <c r="R318" s="140" t="str">
        <v>10/6 Left VM</v>
      </c>
      <c r="S318" s="92">
        <v>0</v>
      </c>
      <c r="T318" s="92">
        <v>0</v>
      </c>
      <c r="U318" s="137">
        <v>0</v>
      </c>
      <c r="V318" s="126" t="str">
        <f t="shared" si="8"/>
        <v>❌ Not on Best Plan</v>
      </c>
      <c r="W318" s="130">
        <f>IFERROR(_xlfn.XLOOKUP(TEXT(H318,"0000000000"),'📞 Call Tracker'!A$2:A$2000,'📞 Call Tracker'!B$2:B$2000,""),"")</f>
        <v>0</v>
      </c>
      <c r="X318" s="96">
        <f>IFERROR(_xlfn.XLOOKUP(TEXT(H318,"0000000000"),'📞 Call Tracker'!A$2:A$2000,'📞 Call Tracker'!C$2:C$2000,""),"")</f>
        <v>0</v>
      </c>
      <c r="Y318" s="95">
        <f>IFERROR(_xlfn.XLOOKUP(TEXT(H318,"0000000000"),'📞 Call Tracker'!A$2:A$2000,'📞 Call Tracker'!D$2:D$2000,""),"")</f>
        <v>0</v>
      </c>
      <c r="Z318" s="95">
        <f>IFERROR(_xlfn.XLOOKUP(TEXT(H318,"0000000000"),'📞 Call Tracker'!A$2:A$2000,'📞 Call Tracker'!E$2:E$2000,""),"")</f>
        <v>0</v>
      </c>
      <c r="AA318" s="145">
        <f>IFERROR(_xlfn.XLOOKUP(TEXT(H318,"0000000000"),'📞 Call Tracker'!A$2:A$2000,'📞 Call Tracker'!F$2:F$2000,""),"")</f>
        <v>0</v>
      </c>
      <c r="AB318" s="132">
        <f t="shared" si="9"/>
        <v>99</v>
      </c>
      <c r="AC318" s="79"/>
    </row>
    <row r="319" spans="1:29" ht="20.100000000000001" customHeight="1">
      <c r="A319" s="91">
        <v>45903</v>
      </c>
      <c r="B319" s="92" t="str">
        <v>Chinta</v>
      </c>
      <c r="C319" s="92" t="str">
        <v>Bhavanishankar</v>
      </c>
      <c r="D319" s="92" t="str">
        <v>Surprise</v>
      </c>
      <c r="E319" s="92">
        <v>85379</v>
      </c>
      <c r="F319" s="137" t="str">
        <v>Opposed</v>
      </c>
      <c r="G319" s="93" t="str">
        <v>https://images.edocket.azcc.gov/docketpdf/E000046204.pdf</v>
      </c>
      <c r="H319" s="150" t="s">
        <v>1291</v>
      </c>
      <c r="I319" s="114" t="str">
        <v>R3-47</v>
      </c>
      <c r="J319" s="94" t="str">
        <v>No</v>
      </c>
      <c r="K319" s="94" t="str">
        <v>No</v>
      </c>
      <c r="L319" s="137" t="str">
        <v>Yes</v>
      </c>
      <c r="M319" s="94" t="str">
        <v>No</v>
      </c>
      <c r="N319" s="134" t="str">
        <v>No</v>
      </c>
      <c r="O319" s="119" t="str">
        <v>Yes</v>
      </c>
      <c r="P319" s="92" t="str">
        <v>N</v>
      </c>
      <c r="Q319" s="91">
        <v>45967</v>
      </c>
      <c r="R319" s="140">
        <v>0</v>
      </c>
      <c r="S319" s="92">
        <v>0</v>
      </c>
      <c r="T319" s="92">
        <v>0</v>
      </c>
      <c r="U319" s="137">
        <v>0</v>
      </c>
      <c r="V319" s="126" t="str">
        <f t="shared" si="8"/>
        <v>✅ On Best Plan</v>
      </c>
      <c r="W319" s="130" t="str">
        <f>IFERROR(_xlfn.XLOOKUP(TEXT(H319,"0000000000"),'📞 Call Tracker'!A$2:A$2000,'📞 Call Tracker'!B$2:B$2000,""),"")</f>
        <v>Michelle</v>
      </c>
      <c r="X319" s="96">
        <f>IFERROR(_xlfn.XLOOKUP(TEXT(H319,"0000000000"),'📞 Call Tracker'!A$2:A$2000,'📞 Call Tracker'!C$2:C$2000,""),"")</f>
        <v>46039</v>
      </c>
      <c r="Y319" s="95" t="str">
        <f>IFERROR(_xlfn.XLOOKUP(TEXT(H319,"0000000000"),'📞 Call Tracker'!A$2:A$2000,'📞 Call Tracker'!D$2:D$2000,""),"")</f>
        <v>YES</v>
      </c>
      <c r="Z319" s="95">
        <f>IFERROR(_xlfn.XLOOKUP(TEXT(H319,"0000000000"),'📞 Call Tracker'!A$2:A$2000,'📞 Call Tracker'!E$2:E$2000,""),"")</f>
        <v>0</v>
      </c>
      <c r="AA319" s="145">
        <f>IFERROR(_xlfn.XLOOKUP(TEXT(H319,"0000000000"),'📞 Call Tracker'!A$2:A$2000,'📞 Call Tracker'!F$2:F$2000,""),"")</f>
        <v>0</v>
      </c>
      <c r="AB319" s="132">
        <f t="shared" si="9"/>
        <v>99</v>
      </c>
      <c r="AC319" s="79"/>
    </row>
    <row r="320" spans="1:29" ht="20.100000000000001" customHeight="1">
      <c r="A320" s="91">
        <v>45903</v>
      </c>
      <c r="B320" s="92" t="str">
        <v>Rauschkolb</v>
      </c>
      <c r="C320" s="92" t="str">
        <v>Phillip</v>
      </c>
      <c r="D320" s="92" t="str">
        <v>Goodyear</v>
      </c>
      <c r="E320" s="92">
        <v>85338</v>
      </c>
      <c r="F320" s="137" t="str">
        <v>Form letter</v>
      </c>
      <c r="G320" s="93" t="str">
        <v>https://images.edocket.azcc.gov/docketpdf/E000046204.pdf</v>
      </c>
      <c r="H320" s="150" t="s">
        <v>1297</v>
      </c>
      <c r="I320" s="114" t="str">
        <v>R-BASICL</v>
      </c>
      <c r="J320" s="94" t="str">
        <v>No</v>
      </c>
      <c r="K320" s="94" t="str">
        <v>No</v>
      </c>
      <c r="L320" s="137" t="str">
        <v>No MEP R3-47 ($30.33)</v>
      </c>
      <c r="M320" s="94" t="str">
        <v>No</v>
      </c>
      <c r="N320" s="134" t="str">
        <v>No</v>
      </c>
      <c r="O320" s="119" t="str">
        <v>Yes</v>
      </c>
      <c r="P320" s="92" t="str">
        <v>N</v>
      </c>
      <c r="Q320" s="91">
        <v>45967</v>
      </c>
      <c r="R320" s="140">
        <v>0</v>
      </c>
      <c r="S320" s="92">
        <v>0</v>
      </c>
      <c r="T320" s="92">
        <v>0</v>
      </c>
      <c r="U320" s="137">
        <v>0</v>
      </c>
      <c r="V320" s="126" t="str">
        <f t="shared" si="8"/>
        <v>❌ Not on Best Plan</v>
      </c>
      <c r="W320" s="130">
        <f>IFERROR(_xlfn.XLOOKUP(TEXT(H320,"0000000000"),'📞 Call Tracker'!A$2:A$2000,'📞 Call Tracker'!B$2:B$2000,""),"")</f>
        <v>0</v>
      </c>
      <c r="X320" s="96">
        <f>IFERROR(_xlfn.XLOOKUP(TEXT(H320,"0000000000"),'📞 Call Tracker'!A$2:A$2000,'📞 Call Tracker'!C$2:C$2000,""),"")</f>
        <v>0</v>
      </c>
      <c r="Y320" s="95">
        <f>IFERROR(_xlfn.XLOOKUP(TEXT(H320,"0000000000"),'📞 Call Tracker'!A$2:A$2000,'📞 Call Tracker'!D$2:D$2000,""),"")</f>
        <v>0</v>
      </c>
      <c r="Z320" s="95">
        <f>IFERROR(_xlfn.XLOOKUP(TEXT(H320,"0000000000"),'📞 Call Tracker'!A$2:A$2000,'📞 Call Tracker'!E$2:E$2000,""),"")</f>
        <v>0</v>
      </c>
      <c r="AA320" s="145">
        <f>IFERROR(_xlfn.XLOOKUP(TEXT(H320,"0000000000"),'📞 Call Tracker'!A$2:A$2000,'📞 Call Tracker'!F$2:F$2000,""),"")</f>
        <v>0</v>
      </c>
      <c r="AB320" s="132">
        <f t="shared" si="9"/>
        <v>99</v>
      </c>
      <c r="AC320" s="79"/>
    </row>
    <row r="321" spans="1:29" ht="20.100000000000001" customHeight="1">
      <c r="A321" s="91">
        <v>45903</v>
      </c>
      <c r="B321" s="92" t="str">
        <v>Paul</v>
      </c>
      <c r="C321" s="92" t="str">
        <v>Justin</v>
      </c>
      <c r="D321" s="92" t="str">
        <v>Phoenix</v>
      </c>
      <c r="E321" s="92">
        <v>85085</v>
      </c>
      <c r="F321" s="137" t="str">
        <v>Opposed</v>
      </c>
      <c r="G321" s="93" t="str">
        <v>https://images.edocket.azcc.gov/docketpdf/E000046204.pdf</v>
      </c>
      <c r="H321" s="150" t="s">
        <v>1300</v>
      </c>
      <c r="I321" s="114" t="str">
        <v>RCPw/R3-47</v>
      </c>
      <c r="J321" s="94" t="str">
        <v>No</v>
      </c>
      <c r="K321" s="94" t="str">
        <v>No</v>
      </c>
      <c r="L321" s="137" t="str">
        <v>Yes</v>
      </c>
      <c r="M321" s="94" t="str">
        <v>No</v>
      </c>
      <c r="N321" s="134" t="str">
        <v>No</v>
      </c>
      <c r="O321" s="119" t="str">
        <v>Yes</v>
      </c>
      <c r="P321" s="92" t="str">
        <v>N</v>
      </c>
      <c r="Q321" s="91">
        <v>45967</v>
      </c>
      <c r="R321" s="140">
        <v>0</v>
      </c>
      <c r="S321" s="92">
        <v>0</v>
      </c>
      <c r="T321" s="92">
        <v>0</v>
      </c>
      <c r="U321" s="137">
        <v>0</v>
      </c>
      <c r="V321" s="126" t="str">
        <f t="shared" si="8"/>
        <v>✅ On Best Plan</v>
      </c>
      <c r="W321" s="130" t="str">
        <f>IFERROR(_xlfn.XLOOKUP(TEXT(H321,"0000000000"),'📞 Call Tracker'!A$2:A$2000,'📞 Call Tracker'!B$2:B$2000,""),"")</f>
        <v>Michelle</v>
      </c>
      <c r="X321" s="96">
        <f>IFERROR(_xlfn.XLOOKUP(TEXT(H321,"0000000000"),'📞 Call Tracker'!A$2:A$2000,'📞 Call Tracker'!C$2:C$2000,""),"")</f>
        <v>46039</v>
      </c>
      <c r="Y321" s="95" t="str">
        <f>IFERROR(_xlfn.XLOOKUP(TEXT(H321,"0000000000"),'📞 Call Tracker'!A$2:A$2000,'📞 Call Tracker'!D$2:D$2000,""),"")</f>
        <v>YES</v>
      </c>
      <c r="Z321" s="95">
        <f>IFERROR(_xlfn.XLOOKUP(TEXT(H321,"0000000000"),'📞 Call Tracker'!A$2:A$2000,'📞 Call Tracker'!E$2:E$2000,""),"")</f>
        <v>0</v>
      </c>
      <c r="AA321" s="145">
        <f>IFERROR(_xlfn.XLOOKUP(TEXT(H321,"0000000000"),'📞 Call Tracker'!A$2:A$2000,'📞 Call Tracker'!F$2:F$2000,""),"")</f>
        <v>0</v>
      </c>
      <c r="AB321" s="132">
        <f t="shared" si="9"/>
        <v>99</v>
      </c>
      <c r="AC321" s="79"/>
    </row>
    <row r="322" spans="1:29" ht="20.100000000000001" customHeight="1">
      <c r="A322" s="91">
        <v>45903</v>
      </c>
      <c r="B322" s="92" t="str">
        <v>Fugiel</v>
      </c>
      <c r="C322" s="92" t="str">
        <v>Kirsten</v>
      </c>
      <c r="D322" s="92" t="str">
        <v>Phoenix</v>
      </c>
      <c r="E322" s="92">
        <v>85053</v>
      </c>
      <c r="F322" s="137" t="str">
        <v>Opposed</v>
      </c>
      <c r="G322" s="93" t="str">
        <v>https://images.edocket.azcc.gov/docketpdf/E000046204.pdf</v>
      </c>
      <c r="H322" s="150" t="s">
        <v>1304</v>
      </c>
      <c r="I322" s="114" t="str">
        <v>RCPw/R3-47</v>
      </c>
      <c r="J322" s="94" t="str">
        <v>No</v>
      </c>
      <c r="K322" s="94" t="str">
        <v>No</v>
      </c>
      <c r="L322" s="137" t="str">
        <v>Yes</v>
      </c>
      <c r="M322" s="94" t="str">
        <v>No</v>
      </c>
      <c r="N322" s="134" t="str">
        <v>No</v>
      </c>
      <c r="O322" s="119" t="str">
        <v>Yes</v>
      </c>
      <c r="P322" s="92" t="str">
        <v>N</v>
      </c>
      <c r="Q322" s="91">
        <v>45967</v>
      </c>
      <c r="R322" s="140">
        <v>0</v>
      </c>
      <c r="S322" s="92">
        <v>0</v>
      </c>
      <c r="T322" s="92">
        <v>0</v>
      </c>
      <c r="U322" s="137">
        <v>0</v>
      </c>
      <c r="V322" s="126" t="str">
        <f t="shared" si="8"/>
        <v>✅ On Best Plan</v>
      </c>
      <c r="W322" s="130">
        <f>IFERROR(_xlfn.XLOOKUP(TEXT(H322,"0000000000"),'📞 Call Tracker'!A$2:A$2000,'📞 Call Tracker'!B$2:B$2000,""),"")</f>
        <v>0</v>
      </c>
      <c r="X322" s="96">
        <f>IFERROR(_xlfn.XLOOKUP(TEXT(H322,"0000000000"),'📞 Call Tracker'!A$2:A$2000,'📞 Call Tracker'!C$2:C$2000,""),"")</f>
        <v>0</v>
      </c>
      <c r="Y322" s="95">
        <f>IFERROR(_xlfn.XLOOKUP(TEXT(H322,"0000000000"),'📞 Call Tracker'!A$2:A$2000,'📞 Call Tracker'!D$2:D$2000,""),"")</f>
        <v>0</v>
      </c>
      <c r="Z322" s="95">
        <f>IFERROR(_xlfn.XLOOKUP(TEXT(H322,"0000000000"),'📞 Call Tracker'!A$2:A$2000,'📞 Call Tracker'!E$2:E$2000,""),"")</f>
        <v>0</v>
      </c>
      <c r="AA322" s="145">
        <f>IFERROR(_xlfn.XLOOKUP(TEXT(H322,"0000000000"),'📞 Call Tracker'!A$2:A$2000,'📞 Call Tracker'!F$2:F$2000,""),"")</f>
        <v>0</v>
      </c>
      <c r="AB322" s="132">
        <f t="shared" si="9"/>
        <v>99</v>
      </c>
      <c r="AC322" s="79"/>
    </row>
    <row r="323" spans="1:29" ht="20.100000000000001" customHeight="1">
      <c r="A323" s="91">
        <v>45903</v>
      </c>
      <c r="B323" s="92" t="str">
        <v>Brower</v>
      </c>
      <c r="C323" s="92" t="str">
        <v>Randall</v>
      </c>
      <c r="D323" s="92" t="str">
        <v>Goodyear</v>
      </c>
      <c r="E323" s="92">
        <v>85395</v>
      </c>
      <c r="F323" s="137" t="str">
        <v>Opposed</v>
      </c>
      <c r="G323" s="93" t="str">
        <v>https://images.edocket.azcc.gov/docketpdf/E000046204.pdf</v>
      </c>
      <c r="H323" s="150" t="s">
        <v>1306</v>
      </c>
      <c r="I323" s="114" t="str">
        <v>EPR-6w/E-12</v>
      </c>
      <c r="J323" s="94" t="str">
        <v>No</v>
      </c>
      <c r="K323" s="94" t="str">
        <v>No</v>
      </c>
      <c r="L323" s="137" t="str">
        <v>Frozen Rate</v>
      </c>
      <c r="M323" s="94" t="str">
        <v>No</v>
      </c>
      <c r="N323" s="134" t="str">
        <v>No</v>
      </c>
      <c r="O323" s="119" t="str">
        <v>Yes</v>
      </c>
      <c r="P323" s="92" t="str">
        <v>N</v>
      </c>
      <c r="Q323" s="91">
        <v>45967</v>
      </c>
      <c r="R323" s="140">
        <v>0</v>
      </c>
      <c r="S323" s="92">
        <v>0</v>
      </c>
      <c r="T323" s="92">
        <v>0</v>
      </c>
      <c r="U323" s="137">
        <v>0</v>
      </c>
      <c r="V323" s="126" t="str">
        <f t="shared" ref="V323:V386" si="10">IF(OR(LEFT(TRIM(L323),3)="Yes",TRIM(L323)="Y"),"✅ On Best Plan",IF(OR(L323="Frozen Rate",L323="Frozen Plan"),"❄ Frozen Rate",IF(OR(L323="Not able to Compare",L323="Info Not Avail",L323="NA",L323=""),"⚠ Unknown","❌ Not on Best Plan")))</f>
        <v>❄ Frozen Rate</v>
      </c>
      <c r="W323" s="130" t="str">
        <f>IFERROR(_xlfn.XLOOKUP(TEXT(H323,"0000000000"),'📞 Call Tracker'!A$2:A$2000,'📞 Call Tracker'!B$2:B$2000,""),"")</f>
        <v>Michelle</v>
      </c>
      <c r="X323" s="96">
        <f>IFERROR(_xlfn.XLOOKUP(TEXT(H323,"0000000000"),'📞 Call Tracker'!A$2:A$2000,'📞 Call Tracker'!C$2:C$2000,""),"")</f>
        <v>46039</v>
      </c>
      <c r="Y323" s="95" t="str">
        <f>IFERROR(_xlfn.XLOOKUP(TEXT(H323,"0000000000"),'📞 Call Tracker'!A$2:A$2000,'📞 Call Tracker'!D$2:D$2000,""),"")</f>
        <v>YES</v>
      </c>
      <c r="Z323" s="95">
        <f>IFERROR(_xlfn.XLOOKUP(TEXT(H323,"0000000000"),'📞 Call Tracker'!A$2:A$2000,'📞 Call Tracker'!E$2:E$2000,""),"")</f>
        <v>0</v>
      </c>
      <c r="AA323" s="145">
        <f>IFERROR(_xlfn.XLOOKUP(TEXT(H323,"0000000000"),'📞 Call Tracker'!A$2:A$2000,'📞 Call Tracker'!F$2:F$2000,""),"")</f>
        <v>0</v>
      </c>
      <c r="AB323" s="132">
        <f t="shared" ref="AB323:AB386" si="11">IF(OR(H323="",X323&lt;&gt;""),99,IF(AND(NOT(OR(LEFT(TRIM(L323),3)="Yes",TRIM(L323)="Y",L323="Frozen Rate",L323="Frozen Plan",L323="Not able to Compare",L323="Info Not Avail",L323="NA",L323="")),AND(N323&lt;&gt;"No",N323&lt;&gt;"")),1,IF(NOT(OR(LEFT(TRIM(L323),3)="Yes",TRIM(L323)="Y",L323="Frozen Rate",L323="Frozen Plan",L323="Not able to Compare",L323="Info Not Avail",L323="NA",L323="")),2,IF(AND(N323&lt;&gt;"No",N323&lt;&gt;""),3,4))))</f>
        <v>99</v>
      </c>
      <c r="AC323" s="79"/>
    </row>
    <row r="324" spans="1:29" ht="20.100000000000001" customHeight="1">
      <c r="A324" s="91">
        <v>45903</v>
      </c>
      <c r="B324" s="92" t="str">
        <v>Willems</v>
      </c>
      <c r="C324" s="92" t="str">
        <v>Dale</v>
      </c>
      <c r="D324" s="92" t="str">
        <v>Casa Grande</v>
      </c>
      <c r="E324" s="92">
        <v>85123</v>
      </c>
      <c r="F324" s="137" t="str">
        <v>Opposed</v>
      </c>
      <c r="G324" s="93" t="str">
        <v>https://images.edocket.azcc.gov/docketpdf/E000046204.pdf</v>
      </c>
      <c r="H324" s="150" t="s">
        <v>1309</v>
      </c>
      <c r="I324" s="114" t="str">
        <v>R-BASIC</v>
      </c>
      <c r="J324" s="94" t="str">
        <v>No</v>
      </c>
      <c r="K324" s="94" t="str">
        <v>No</v>
      </c>
      <c r="L324" s="137" t="str">
        <v>Yes</v>
      </c>
      <c r="M324" s="94" t="str">
        <v>No</v>
      </c>
      <c r="N324" s="134" t="str">
        <v>No</v>
      </c>
      <c r="O324" s="119" t="str">
        <v>Yes</v>
      </c>
      <c r="P324" s="92" t="str">
        <v>N</v>
      </c>
      <c r="Q324" s="91">
        <v>45967</v>
      </c>
      <c r="R324" s="140">
        <v>0</v>
      </c>
      <c r="S324" s="92">
        <v>0</v>
      </c>
      <c r="T324" s="92">
        <v>0</v>
      </c>
      <c r="U324" s="137">
        <v>0</v>
      </c>
      <c r="V324" s="126" t="str">
        <f t="shared" si="10"/>
        <v>✅ On Best Plan</v>
      </c>
      <c r="W324" s="130">
        <f>IFERROR(_xlfn.XLOOKUP(TEXT(H324,"0000000000"),'📞 Call Tracker'!A$2:A$2000,'📞 Call Tracker'!B$2:B$2000,""),"")</f>
        <v>0</v>
      </c>
      <c r="X324" s="96">
        <f>IFERROR(_xlfn.XLOOKUP(TEXT(H324,"0000000000"),'📞 Call Tracker'!A$2:A$2000,'📞 Call Tracker'!C$2:C$2000,""),"")</f>
        <v>0</v>
      </c>
      <c r="Y324" s="95">
        <f>IFERROR(_xlfn.XLOOKUP(TEXT(H324,"0000000000"),'📞 Call Tracker'!A$2:A$2000,'📞 Call Tracker'!D$2:D$2000,""),"")</f>
        <v>0</v>
      </c>
      <c r="Z324" s="95">
        <f>IFERROR(_xlfn.XLOOKUP(TEXT(H324,"0000000000"),'📞 Call Tracker'!A$2:A$2000,'📞 Call Tracker'!E$2:E$2000,""),"")</f>
        <v>0</v>
      </c>
      <c r="AA324" s="145">
        <f>IFERROR(_xlfn.XLOOKUP(TEXT(H324,"0000000000"),'📞 Call Tracker'!A$2:A$2000,'📞 Call Tracker'!F$2:F$2000,""),"")</f>
        <v>0</v>
      </c>
      <c r="AB324" s="132">
        <f t="shared" si="11"/>
        <v>99</v>
      </c>
      <c r="AC324" s="79"/>
    </row>
    <row r="325" spans="1:29" ht="20.100000000000001" customHeight="1">
      <c r="A325" s="91">
        <v>45903</v>
      </c>
      <c r="B325" s="92" t="str">
        <v>Anna</v>
      </c>
      <c r="C325" s="92" t="str">
        <v>Pradeep</v>
      </c>
      <c r="D325" s="92" t="str">
        <v>Phoenix</v>
      </c>
      <c r="E325" s="92">
        <v>85085</v>
      </c>
      <c r="F325" s="137" t="str">
        <v>Opposed</v>
      </c>
      <c r="G325" s="93" t="str">
        <v>https://images.edocket.azcc.gov/docketpdf/E000046204.pdf</v>
      </c>
      <c r="H325" s="150" t="s">
        <v>1312</v>
      </c>
      <c r="I325" s="114" t="str">
        <v>R-XS</v>
      </c>
      <c r="J325" s="94" t="str">
        <v>No</v>
      </c>
      <c r="K325" s="94" t="str">
        <v>No</v>
      </c>
      <c r="L325" s="137" t="str">
        <v>Yes</v>
      </c>
      <c r="M325" s="94" t="str">
        <v>No</v>
      </c>
      <c r="N325" s="134" t="str">
        <v>No</v>
      </c>
      <c r="O325" s="119" t="str">
        <v>Yes</v>
      </c>
      <c r="P325" s="92" t="str">
        <v>N</v>
      </c>
      <c r="Q325" s="91">
        <v>45967</v>
      </c>
      <c r="R325" s="140">
        <v>0</v>
      </c>
      <c r="S325" s="92">
        <v>0</v>
      </c>
      <c r="T325" s="92">
        <v>0</v>
      </c>
      <c r="U325" s="137">
        <v>0</v>
      </c>
      <c r="V325" s="126" t="str">
        <f t="shared" si="10"/>
        <v>✅ On Best Plan</v>
      </c>
      <c r="W325" s="130">
        <f>IFERROR(_xlfn.XLOOKUP(TEXT(H325,"0000000000"),'📞 Call Tracker'!A$2:A$2000,'📞 Call Tracker'!B$2:B$2000,""),"")</f>
        <v>0</v>
      </c>
      <c r="X325" s="96">
        <f>IFERROR(_xlfn.XLOOKUP(TEXT(H325,"0000000000"),'📞 Call Tracker'!A$2:A$2000,'📞 Call Tracker'!C$2:C$2000,""),"")</f>
        <v>0</v>
      </c>
      <c r="Y325" s="95">
        <f>IFERROR(_xlfn.XLOOKUP(TEXT(H325,"0000000000"),'📞 Call Tracker'!A$2:A$2000,'📞 Call Tracker'!D$2:D$2000,""),"")</f>
        <v>0</v>
      </c>
      <c r="Z325" s="95">
        <f>IFERROR(_xlfn.XLOOKUP(TEXT(H325,"0000000000"),'📞 Call Tracker'!A$2:A$2000,'📞 Call Tracker'!E$2:E$2000,""),"")</f>
        <v>0</v>
      </c>
      <c r="AA325" s="145">
        <f>IFERROR(_xlfn.XLOOKUP(TEXT(H325,"0000000000"),'📞 Call Tracker'!A$2:A$2000,'📞 Call Tracker'!F$2:F$2000,""),"")</f>
        <v>0</v>
      </c>
      <c r="AB325" s="132">
        <f t="shared" si="11"/>
        <v>99</v>
      </c>
      <c r="AC325" s="79"/>
    </row>
    <row r="326" spans="1:29" ht="20.100000000000001" customHeight="1">
      <c r="A326" s="91">
        <v>45903</v>
      </c>
      <c r="B326" s="92" t="str">
        <v>Rivarde</v>
      </c>
      <c r="C326" s="92" t="str">
        <v>Renee</v>
      </c>
      <c r="D326" s="92" t="str">
        <v>Goodyear</v>
      </c>
      <c r="E326" s="92">
        <v>85338</v>
      </c>
      <c r="F326" s="137" t="str">
        <v>Opposed</v>
      </c>
      <c r="G326" s="93" t="str">
        <v>https://images.edocket.azcc.gov/docketpdf/E000046204.pdf</v>
      </c>
      <c r="H326" s="150" t="s">
        <v>1315</v>
      </c>
      <c r="I326" s="114" t="str">
        <v>R-XS</v>
      </c>
      <c r="J326" s="94" t="str">
        <v>No</v>
      </c>
      <c r="K326" s="94" t="str">
        <v>No</v>
      </c>
      <c r="L326" s="137" t="str">
        <v>Yes</v>
      </c>
      <c r="M326" s="94" t="str">
        <v>No</v>
      </c>
      <c r="N326" s="134" t="str">
        <v>No</v>
      </c>
      <c r="O326" s="119" t="str">
        <v>Yes</v>
      </c>
      <c r="P326" s="92" t="str">
        <v>N</v>
      </c>
      <c r="Q326" s="91">
        <v>45967</v>
      </c>
      <c r="R326" s="140">
        <v>0</v>
      </c>
      <c r="S326" s="92">
        <v>0</v>
      </c>
      <c r="T326" s="92">
        <v>0</v>
      </c>
      <c r="U326" s="137">
        <v>0</v>
      </c>
      <c r="V326" s="126" t="str">
        <f t="shared" si="10"/>
        <v>✅ On Best Plan</v>
      </c>
      <c r="W326" s="130">
        <f>IFERROR(_xlfn.XLOOKUP(TEXT(H326,"0000000000"),'📞 Call Tracker'!A$2:A$2000,'📞 Call Tracker'!B$2:B$2000,""),"")</f>
        <v>0</v>
      </c>
      <c r="X326" s="96">
        <f>IFERROR(_xlfn.XLOOKUP(TEXT(H326,"0000000000"),'📞 Call Tracker'!A$2:A$2000,'📞 Call Tracker'!C$2:C$2000,""),"")</f>
        <v>0</v>
      </c>
      <c r="Y326" s="95">
        <f>IFERROR(_xlfn.XLOOKUP(TEXT(H326,"0000000000"),'📞 Call Tracker'!A$2:A$2000,'📞 Call Tracker'!D$2:D$2000,""),"")</f>
        <v>0</v>
      </c>
      <c r="Z326" s="95">
        <f>IFERROR(_xlfn.XLOOKUP(TEXT(H326,"0000000000"),'📞 Call Tracker'!A$2:A$2000,'📞 Call Tracker'!E$2:E$2000,""),"")</f>
        <v>0</v>
      </c>
      <c r="AA326" s="145">
        <f>IFERROR(_xlfn.XLOOKUP(TEXT(H326,"0000000000"),'📞 Call Tracker'!A$2:A$2000,'📞 Call Tracker'!F$2:F$2000,""),"")</f>
        <v>0</v>
      </c>
      <c r="AB326" s="132">
        <f t="shared" si="11"/>
        <v>99</v>
      </c>
      <c r="AC326" s="79"/>
    </row>
    <row r="327" spans="1:29" ht="20.100000000000001" customHeight="1">
      <c r="A327" s="91">
        <v>45903</v>
      </c>
      <c r="B327" s="92" t="str">
        <v xml:space="preserve">White </v>
      </c>
      <c r="C327" s="92" t="str">
        <v>Mark</v>
      </c>
      <c r="D327" s="92" t="str">
        <v>Goodyear</v>
      </c>
      <c r="E327" s="92">
        <v>85338</v>
      </c>
      <c r="F327" s="137" t="str">
        <v>Opposed</v>
      </c>
      <c r="G327" s="93" t="str">
        <v>https://images.edocket.azcc.gov/docketpdf/E000046204.pdf</v>
      </c>
      <c r="H327" s="150" t="s">
        <v>1317</v>
      </c>
      <c r="I327" s="114" t="str">
        <v>RCPw/RTOUE47</v>
      </c>
      <c r="J327" s="94" t="str">
        <v>No</v>
      </c>
      <c r="K327" s="94" t="str">
        <v>No</v>
      </c>
      <c r="L327" s="137" t="str">
        <v>Yes</v>
      </c>
      <c r="M327" s="94" t="str">
        <v>No</v>
      </c>
      <c r="N327" s="134" t="str">
        <v>No</v>
      </c>
      <c r="O327" s="119" t="str">
        <v>Yes</v>
      </c>
      <c r="P327" s="92" t="str">
        <v>N</v>
      </c>
      <c r="Q327" s="91">
        <v>45967</v>
      </c>
      <c r="R327" s="140">
        <v>0</v>
      </c>
      <c r="S327" s="92">
        <v>0</v>
      </c>
      <c r="T327" s="92">
        <v>0</v>
      </c>
      <c r="U327" s="137">
        <v>0</v>
      </c>
      <c r="V327" s="126" t="str">
        <f t="shared" si="10"/>
        <v>✅ On Best Plan</v>
      </c>
      <c r="W327" s="130">
        <f>IFERROR(_xlfn.XLOOKUP(TEXT(H327,"0000000000"),'📞 Call Tracker'!A$2:A$2000,'📞 Call Tracker'!B$2:B$2000,""),"")</f>
        <v>0</v>
      </c>
      <c r="X327" s="96">
        <f>IFERROR(_xlfn.XLOOKUP(TEXT(H327,"0000000000"),'📞 Call Tracker'!A$2:A$2000,'📞 Call Tracker'!C$2:C$2000,""),"")</f>
        <v>0</v>
      </c>
      <c r="Y327" s="95">
        <f>IFERROR(_xlfn.XLOOKUP(TEXT(H327,"0000000000"),'📞 Call Tracker'!A$2:A$2000,'📞 Call Tracker'!D$2:D$2000,""),"")</f>
        <v>0</v>
      </c>
      <c r="Z327" s="95">
        <f>IFERROR(_xlfn.XLOOKUP(TEXT(H327,"0000000000"),'📞 Call Tracker'!A$2:A$2000,'📞 Call Tracker'!E$2:E$2000,""),"")</f>
        <v>0</v>
      </c>
      <c r="AA327" s="145">
        <f>IFERROR(_xlfn.XLOOKUP(TEXT(H327,"0000000000"),'📞 Call Tracker'!A$2:A$2000,'📞 Call Tracker'!F$2:F$2000,""),"")</f>
        <v>0</v>
      </c>
      <c r="AB327" s="132">
        <f t="shared" si="11"/>
        <v>99</v>
      </c>
      <c r="AC327" s="79"/>
    </row>
    <row r="328" spans="1:29" ht="20.100000000000001" customHeight="1">
      <c r="A328" s="91">
        <v>45903</v>
      </c>
      <c r="B328" s="92" t="str">
        <v>Boersma</v>
      </c>
      <c r="C328" s="92" t="str">
        <v>Patti</v>
      </c>
      <c r="D328" s="92" t="str">
        <v>Goodyear</v>
      </c>
      <c r="E328" s="92">
        <v>85395</v>
      </c>
      <c r="F328" s="137" t="str">
        <v>Opposed</v>
      </c>
      <c r="G328" s="93" t="str">
        <v>https://images.edocket.azcc.gov/docketpdf/E000046204.pdf</v>
      </c>
      <c r="H328" s="150" t="s">
        <v>1324</v>
      </c>
      <c r="I328" s="114" t="str">
        <v>RCPw/R3-47</v>
      </c>
      <c r="J328" s="94" t="str">
        <v>No</v>
      </c>
      <c r="K328" s="94" t="str">
        <v>No</v>
      </c>
      <c r="L328" s="137" t="str">
        <v>Yes</v>
      </c>
      <c r="M328" s="94" t="str">
        <v>No</v>
      </c>
      <c r="N328" s="134" t="str">
        <v>No</v>
      </c>
      <c r="O328" s="119" t="str">
        <v>Yes</v>
      </c>
      <c r="P328" s="92" t="str">
        <v>N</v>
      </c>
      <c r="Q328" s="91">
        <v>45967</v>
      </c>
      <c r="R328" s="140">
        <v>0</v>
      </c>
      <c r="S328" s="92">
        <v>0</v>
      </c>
      <c r="T328" s="92">
        <v>0</v>
      </c>
      <c r="U328" s="137">
        <v>0</v>
      </c>
      <c r="V328" s="126" t="str">
        <f t="shared" si="10"/>
        <v>✅ On Best Plan</v>
      </c>
      <c r="W328" s="130">
        <f>IFERROR(_xlfn.XLOOKUP(TEXT(H328,"0000000000"),'📞 Call Tracker'!A$2:A$2000,'📞 Call Tracker'!B$2:B$2000,""),"")</f>
        <v>0</v>
      </c>
      <c r="X328" s="96">
        <f>IFERROR(_xlfn.XLOOKUP(TEXT(H328,"0000000000"),'📞 Call Tracker'!A$2:A$2000,'📞 Call Tracker'!C$2:C$2000,""),"")</f>
        <v>0</v>
      </c>
      <c r="Y328" s="95">
        <f>IFERROR(_xlfn.XLOOKUP(TEXT(H328,"0000000000"),'📞 Call Tracker'!A$2:A$2000,'📞 Call Tracker'!D$2:D$2000,""),"")</f>
        <v>0</v>
      </c>
      <c r="Z328" s="95">
        <f>IFERROR(_xlfn.XLOOKUP(TEXT(H328,"0000000000"),'📞 Call Tracker'!A$2:A$2000,'📞 Call Tracker'!E$2:E$2000,""),"")</f>
        <v>0</v>
      </c>
      <c r="AA328" s="145">
        <f>IFERROR(_xlfn.XLOOKUP(TEXT(H328,"0000000000"),'📞 Call Tracker'!A$2:A$2000,'📞 Call Tracker'!F$2:F$2000,""),"")</f>
        <v>0</v>
      </c>
      <c r="AB328" s="132">
        <f t="shared" si="11"/>
        <v>99</v>
      </c>
      <c r="AC328" s="79"/>
    </row>
    <row r="329" spans="1:29" ht="20.100000000000001" customHeight="1">
      <c r="A329" s="91">
        <v>45903</v>
      </c>
      <c r="B329" s="92" t="str">
        <v>Arpaia</v>
      </c>
      <c r="C329" s="92" t="str">
        <v>Mary</v>
      </c>
      <c r="D329" s="92" t="str">
        <v>Avondale</v>
      </c>
      <c r="E329" s="92">
        <v>85392</v>
      </c>
      <c r="F329" s="137" t="str">
        <v>Opposed</v>
      </c>
      <c r="G329" s="93" t="str">
        <v>https://images.edocket.azcc.gov/docketpdf/E000046204.pdf</v>
      </c>
      <c r="H329" s="150" t="s">
        <v>1328</v>
      </c>
      <c r="I329" s="114" t="str">
        <v>R-BASIC</v>
      </c>
      <c r="J329" s="94" t="str">
        <v>No</v>
      </c>
      <c r="K329" s="94" t="str">
        <v>No</v>
      </c>
      <c r="L329" s="137" t="str">
        <v>No MEP R3-47 ($165.42)</v>
      </c>
      <c r="M329" s="94" t="str">
        <v>No</v>
      </c>
      <c r="N329" s="134" t="str">
        <v>No</v>
      </c>
      <c r="O329" s="119" t="str">
        <v>Yes</v>
      </c>
      <c r="P329" s="92">
        <v>45936</v>
      </c>
      <c r="Q329" s="91">
        <v>45967</v>
      </c>
      <c r="R329" s="140" t="str">
        <v>10/6 Left VM</v>
      </c>
      <c r="S329" s="92">
        <v>0</v>
      </c>
      <c r="T329" s="92">
        <v>0</v>
      </c>
      <c r="U329" s="137">
        <v>0</v>
      </c>
      <c r="V329" s="126" t="str">
        <f t="shared" si="10"/>
        <v>❌ Not on Best Plan</v>
      </c>
      <c r="W329" s="130">
        <f>IFERROR(_xlfn.XLOOKUP(TEXT(H329,"0000000000"),'📞 Call Tracker'!A$2:A$2000,'📞 Call Tracker'!B$2:B$2000,""),"")</f>
        <v>0</v>
      </c>
      <c r="X329" s="96">
        <f>IFERROR(_xlfn.XLOOKUP(TEXT(H329,"0000000000"),'📞 Call Tracker'!A$2:A$2000,'📞 Call Tracker'!C$2:C$2000,""),"")</f>
        <v>0</v>
      </c>
      <c r="Y329" s="95">
        <f>IFERROR(_xlfn.XLOOKUP(TEXT(H329,"0000000000"),'📞 Call Tracker'!A$2:A$2000,'📞 Call Tracker'!D$2:D$2000,""),"")</f>
        <v>0</v>
      </c>
      <c r="Z329" s="95">
        <f>IFERROR(_xlfn.XLOOKUP(TEXT(H329,"0000000000"),'📞 Call Tracker'!A$2:A$2000,'📞 Call Tracker'!E$2:E$2000,""),"")</f>
        <v>0</v>
      </c>
      <c r="AA329" s="145">
        <f>IFERROR(_xlfn.XLOOKUP(TEXT(H329,"0000000000"),'📞 Call Tracker'!A$2:A$2000,'📞 Call Tracker'!F$2:F$2000,""),"")</f>
        <v>0</v>
      </c>
      <c r="AB329" s="132">
        <f t="shared" si="11"/>
        <v>99</v>
      </c>
      <c r="AC329" s="79"/>
    </row>
    <row r="330" spans="1:29" ht="20.100000000000001" customHeight="1">
      <c r="A330" s="91">
        <v>45903</v>
      </c>
      <c r="B330" s="92" t="str">
        <v>Pandit</v>
      </c>
      <c r="C330" s="92" t="str">
        <v>Najaraj</v>
      </c>
      <c r="D330" s="92" t="str">
        <v>Peoria</v>
      </c>
      <c r="E330" s="92">
        <v>85383</v>
      </c>
      <c r="F330" s="137" t="str">
        <v>Form letter</v>
      </c>
      <c r="G330" s="93" t="str">
        <v>https://images.edocket.azcc.gov/docketpdf/E000046204.pdf</v>
      </c>
      <c r="H330" s="150" t="s">
        <v>1332</v>
      </c>
      <c r="I330" s="114" t="str">
        <v>R3-47</v>
      </c>
      <c r="J330" s="94" t="str">
        <v>No</v>
      </c>
      <c r="K330" s="94" t="str">
        <v>No</v>
      </c>
      <c r="L330" s="137" t="str">
        <v>Yes</v>
      </c>
      <c r="M330" s="94" t="str">
        <v>No</v>
      </c>
      <c r="N330" s="134" t="str">
        <v>No</v>
      </c>
      <c r="O330" s="119" t="str">
        <v>Yes</v>
      </c>
      <c r="P330" s="92" t="str">
        <v>N</v>
      </c>
      <c r="Q330" s="91">
        <v>45967</v>
      </c>
      <c r="R330" s="140">
        <v>0</v>
      </c>
      <c r="S330" s="92">
        <v>0</v>
      </c>
      <c r="T330" s="92">
        <v>0</v>
      </c>
      <c r="U330" s="137">
        <v>0</v>
      </c>
      <c r="V330" s="126" t="str">
        <f t="shared" si="10"/>
        <v>✅ On Best Plan</v>
      </c>
      <c r="W330" s="130" t="str">
        <f>IFERROR(_xlfn.XLOOKUP(TEXT(H330,"0000000000"),'📞 Call Tracker'!A$2:A$2000,'📞 Call Tracker'!B$2:B$2000,""),"")</f>
        <v>Michelle</v>
      </c>
      <c r="X330" s="96">
        <f>IFERROR(_xlfn.XLOOKUP(TEXT(H330,"0000000000"),'📞 Call Tracker'!A$2:A$2000,'📞 Call Tracker'!C$2:C$2000,""),"")</f>
        <v>45997</v>
      </c>
      <c r="Y330" s="95" t="str">
        <f>IFERROR(_xlfn.XLOOKUP(TEXT(H330,"0000000000"),'📞 Call Tracker'!A$2:A$2000,'📞 Call Tracker'!D$2:D$2000,""),"")</f>
        <v>NO</v>
      </c>
      <c r="Z330" s="95">
        <f>IFERROR(_xlfn.XLOOKUP(TEXT(H330,"0000000000"),'📞 Call Tracker'!A$2:A$2000,'📞 Call Tracker'!E$2:E$2000,""),"")</f>
        <v>0</v>
      </c>
      <c r="AA330" s="145" t="str">
        <f>IFERROR(_xlfn.XLOOKUP(TEXT(H330,"0000000000"),'📞 Call Tracker'!A$2:A$2000,'📞 Call Tracker'!F$2:F$2000,""),"")</f>
        <v>NUMBER OUT OF SERVICE</v>
      </c>
      <c r="AB330" s="132">
        <f t="shared" si="11"/>
        <v>99</v>
      </c>
      <c r="AC330" s="79"/>
    </row>
    <row r="331" spans="1:29" ht="20.100000000000001" customHeight="1">
      <c r="A331" s="91">
        <v>45903</v>
      </c>
      <c r="B331" s="92" t="str">
        <v>Erra</v>
      </c>
      <c r="C331" s="92" t="str">
        <v>Mohan</v>
      </c>
      <c r="D331" s="92" t="str">
        <v>Peoria</v>
      </c>
      <c r="E331" s="92">
        <v>85383</v>
      </c>
      <c r="F331" s="137" t="str">
        <v>Form letter</v>
      </c>
      <c r="G331" s="93" t="str">
        <v>https://images.edocket.azcc.gov/docketpdf/E000046204.pdf</v>
      </c>
      <c r="H331" s="150" t="s">
        <v>1337</v>
      </c>
      <c r="I331" s="114" t="str">
        <v>RTOUE47</v>
      </c>
      <c r="J331" s="94" t="str">
        <v>No</v>
      </c>
      <c r="K331" s="94" t="str">
        <v>No</v>
      </c>
      <c r="L331" s="137" t="str">
        <v>No MEP R3-47 ($86.44)</v>
      </c>
      <c r="M331" s="94" t="str">
        <v>No</v>
      </c>
      <c r="N331" s="134" t="str">
        <v>No</v>
      </c>
      <c r="O331" s="119" t="str">
        <v>Yes</v>
      </c>
      <c r="P331" s="92" t="str">
        <v>N</v>
      </c>
      <c r="Q331" s="91">
        <v>45967</v>
      </c>
      <c r="R331" s="140">
        <v>0</v>
      </c>
      <c r="S331" s="92">
        <v>0</v>
      </c>
      <c r="T331" s="92">
        <v>0</v>
      </c>
      <c r="U331" s="137">
        <v>0</v>
      </c>
      <c r="V331" s="126" t="str">
        <f t="shared" si="10"/>
        <v>❌ Not on Best Plan</v>
      </c>
      <c r="W331" s="130">
        <f>IFERROR(_xlfn.XLOOKUP(TEXT(H331,"0000000000"),'📞 Call Tracker'!A$2:A$2000,'📞 Call Tracker'!B$2:B$2000,""),"")</f>
        <v>0</v>
      </c>
      <c r="X331" s="96">
        <f>IFERROR(_xlfn.XLOOKUP(TEXT(H331,"0000000000"),'📞 Call Tracker'!A$2:A$2000,'📞 Call Tracker'!C$2:C$2000,""),"")</f>
        <v>0</v>
      </c>
      <c r="Y331" s="95">
        <f>IFERROR(_xlfn.XLOOKUP(TEXT(H331,"0000000000"),'📞 Call Tracker'!A$2:A$2000,'📞 Call Tracker'!D$2:D$2000,""),"")</f>
        <v>0</v>
      </c>
      <c r="Z331" s="95">
        <f>IFERROR(_xlfn.XLOOKUP(TEXT(H331,"0000000000"),'📞 Call Tracker'!A$2:A$2000,'📞 Call Tracker'!E$2:E$2000,""),"")</f>
        <v>0</v>
      </c>
      <c r="AA331" s="145">
        <f>IFERROR(_xlfn.XLOOKUP(TEXT(H331,"0000000000"),'📞 Call Tracker'!A$2:A$2000,'📞 Call Tracker'!F$2:F$2000,""),"")</f>
        <v>0</v>
      </c>
      <c r="AB331" s="132">
        <f t="shared" si="11"/>
        <v>99</v>
      </c>
      <c r="AC331" s="79"/>
    </row>
    <row r="332" spans="1:29" ht="20.100000000000001" customHeight="1">
      <c r="A332" s="91">
        <v>45903</v>
      </c>
      <c r="B332" s="92" t="str">
        <v>Mallory</v>
      </c>
      <c r="C332" s="92" t="str">
        <v>Evan</v>
      </c>
      <c r="D332" s="92" t="str">
        <v>Peoria</v>
      </c>
      <c r="E332" s="92">
        <v>85383</v>
      </c>
      <c r="F332" s="137" t="str">
        <v>Opposed</v>
      </c>
      <c r="G332" s="93" t="str">
        <v>https://images.edocket.azcc.gov/docketpdf/E000046204.pdf</v>
      </c>
      <c r="H332" s="150" t="s">
        <v>1340</v>
      </c>
      <c r="I332" s="114" t="str">
        <v>RCPw/R-2</v>
      </c>
      <c r="J332" s="94" t="str">
        <v>No</v>
      </c>
      <c r="K332" s="94" t="str">
        <v>No</v>
      </c>
      <c r="L332" s="137" t="str">
        <v>Frozen Rate</v>
      </c>
      <c r="M332" s="94" t="str">
        <v>No</v>
      </c>
      <c r="N332" s="134" t="str">
        <v>No</v>
      </c>
      <c r="O332" s="119" t="str">
        <v>Yes</v>
      </c>
      <c r="P332" s="92" t="str">
        <v>N</v>
      </c>
      <c r="Q332" s="91">
        <v>45967</v>
      </c>
      <c r="R332" s="140">
        <v>0</v>
      </c>
      <c r="S332" s="92">
        <v>0</v>
      </c>
      <c r="T332" s="92">
        <v>0</v>
      </c>
      <c r="U332" s="137">
        <v>0</v>
      </c>
      <c r="V332" s="126" t="str">
        <f t="shared" si="10"/>
        <v>❄ Frozen Rate</v>
      </c>
      <c r="W332" s="130" t="str">
        <f>IFERROR(_xlfn.XLOOKUP(TEXT(H332,"0000000000"),'📞 Call Tracker'!A$2:A$2000,'📞 Call Tracker'!B$2:B$2000,""),"")</f>
        <v>Joaquin</v>
      </c>
      <c r="X332" s="96">
        <f>IFERROR(_xlfn.XLOOKUP(TEXT(H332,"0000000000"),'📞 Call Tracker'!A$2:A$2000,'📞 Call Tracker'!C$2:C$2000,""),"")</f>
        <v>46060</v>
      </c>
      <c r="Y332" s="95" t="str">
        <f>IFERROR(_xlfn.XLOOKUP(TEXT(H332,"0000000000"),'📞 Call Tracker'!A$2:A$2000,'📞 Call Tracker'!D$2:D$2000,""),"")</f>
        <v>YES</v>
      </c>
      <c r="Z332" s="95">
        <f>IFERROR(_xlfn.XLOOKUP(TEXT(H332,"0000000000"),'📞 Call Tracker'!A$2:A$2000,'📞 Call Tracker'!E$2:E$2000,""),"")</f>
        <v>0</v>
      </c>
      <c r="AA332" s="145">
        <f>IFERROR(_xlfn.XLOOKUP(TEXT(H332,"0000000000"),'📞 Call Tracker'!A$2:A$2000,'📞 Call Tracker'!F$2:F$2000,""),"")</f>
        <v>0</v>
      </c>
      <c r="AB332" s="132">
        <f t="shared" si="11"/>
        <v>99</v>
      </c>
      <c r="AC332" s="79"/>
    </row>
    <row r="333" spans="1:29" ht="20.100000000000001" customHeight="1">
      <c r="A333" s="91">
        <v>45903</v>
      </c>
      <c r="B333" s="92" t="str">
        <v>Underwood</v>
      </c>
      <c r="C333" s="92" t="str">
        <v>Sarah</v>
      </c>
      <c r="D333" s="92" t="str">
        <v>Litchfield Park</v>
      </c>
      <c r="E333" s="92">
        <v>85340</v>
      </c>
      <c r="F333" s="137" t="str">
        <v>Opposed</v>
      </c>
      <c r="G333" s="93" t="str">
        <v>https://images.edocket.azcc.gov/docketpdf/E000046204.pdf</v>
      </c>
      <c r="H333" s="150" t="s">
        <v>1344</v>
      </c>
      <c r="I333" s="114" t="str">
        <v>R-BASICL</v>
      </c>
      <c r="J333" s="94" t="str">
        <v>No</v>
      </c>
      <c r="K333" s="94" t="str">
        <v>No</v>
      </c>
      <c r="L333" s="137" t="str">
        <v>No MEP R3-47 ($159.25)</v>
      </c>
      <c r="M333" s="94" t="str">
        <v>No</v>
      </c>
      <c r="N333" s="134" t="str">
        <v>No</v>
      </c>
      <c r="O333" s="119" t="str">
        <v>Yes</v>
      </c>
      <c r="P333" s="92">
        <v>45936</v>
      </c>
      <c r="Q333" s="91">
        <v>45967</v>
      </c>
      <c r="R333" s="140" t="str">
        <v>10/6 Left VM</v>
      </c>
      <c r="S333" s="92">
        <v>0</v>
      </c>
      <c r="T333" s="92">
        <v>0</v>
      </c>
      <c r="U333" s="137">
        <v>0</v>
      </c>
      <c r="V333" s="126" t="str">
        <f t="shared" si="10"/>
        <v>❌ Not on Best Plan</v>
      </c>
      <c r="W333" s="130">
        <f>IFERROR(_xlfn.XLOOKUP(TEXT(H333,"0000000000"),'📞 Call Tracker'!A$2:A$2000,'📞 Call Tracker'!B$2:B$2000,""),"")</f>
        <v>0</v>
      </c>
      <c r="X333" s="96">
        <f>IFERROR(_xlfn.XLOOKUP(TEXT(H333,"0000000000"),'📞 Call Tracker'!A$2:A$2000,'📞 Call Tracker'!C$2:C$2000,""),"")</f>
        <v>0</v>
      </c>
      <c r="Y333" s="95">
        <f>IFERROR(_xlfn.XLOOKUP(TEXT(H333,"0000000000"),'📞 Call Tracker'!A$2:A$2000,'📞 Call Tracker'!D$2:D$2000,""),"")</f>
        <v>0</v>
      </c>
      <c r="Z333" s="95">
        <f>IFERROR(_xlfn.XLOOKUP(TEXT(H333,"0000000000"),'📞 Call Tracker'!A$2:A$2000,'📞 Call Tracker'!E$2:E$2000,""),"")</f>
        <v>0</v>
      </c>
      <c r="AA333" s="145">
        <f>IFERROR(_xlfn.XLOOKUP(TEXT(H333,"0000000000"),'📞 Call Tracker'!A$2:A$2000,'📞 Call Tracker'!F$2:F$2000,""),"")</f>
        <v>0</v>
      </c>
      <c r="AB333" s="132">
        <f t="shared" si="11"/>
        <v>99</v>
      </c>
      <c r="AC333" s="79"/>
    </row>
    <row r="334" spans="1:29" ht="20.100000000000001" customHeight="1">
      <c r="A334" s="91">
        <v>45903</v>
      </c>
      <c r="B334" s="92" t="str">
        <v>Kuri</v>
      </c>
      <c r="C334" s="92" t="str">
        <v>Robert</v>
      </c>
      <c r="D334" s="92" t="str">
        <v>Waddell</v>
      </c>
      <c r="E334" s="92">
        <v>85355</v>
      </c>
      <c r="F334" s="137" t="str">
        <v>Opposed</v>
      </c>
      <c r="G334" s="93" t="str">
        <v>https://images.edocket.azcc.gov/docketpdf/E000046204.pdf</v>
      </c>
      <c r="H334" s="150" t="s">
        <v>1347</v>
      </c>
      <c r="I334" s="114" t="str">
        <v>RCPw/RTOUE47</v>
      </c>
      <c r="J334" s="94" t="str">
        <v>No</v>
      </c>
      <c r="K334" s="94" t="str">
        <v>No</v>
      </c>
      <c r="L334" s="137" t="str">
        <v>Yes</v>
      </c>
      <c r="M334" s="94" t="str">
        <v>No</v>
      </c>
      <c r="N334" s="134" t="str">
        <v>No</v>
      </c>
      <c r="O334" s="119" t="str">
        <v>Yes</v>
      </c>
      <c r="P334" s="92" t="str">
        <v>N</v>
      </c>
      <c r="Q334" s="91">
        <v>45967</v>
      </c>
      <c r="R334" s="140">
        <v>0</v>
      </c>
      <c r="S334" s="92">
        <v>0</v>
      </c>
      <c r="T334" s="92">
        <v>0</v>
      </c>
      <c r="U334" s="137">
        <v>0</v>
      </c>
      <c r="V334" s="126" t="str">
        <f t="shared" si="10"/>
        <v>✅ On Best Plan</v>
      </c>
      <c r="W334" s="130" t="str">
        <f>IFERROR(_xlfn.XLOOKUP(TEXT(H334,"0000000000"),'📞 Call Tracker'!A$2:A$2000,'📞 Call Tracker'!B$2:B$2000,""),"")</f>
        <v>Michelle</v>
      </c>
      <c r="X334" s="96">
        <f>IFERROR(_xlfn.XLOOKUP(TEXT(H334,"0000000000"),'📞 Call Tracker'!A$2:A$2000,'📞 Call Tracker'!C$2:C$2000,""),"")</f>
        <v>46039</v>
      </c>
      <c r="Y334" s="95" t="str">
        <f>IFERROR(_xlfn.XLOOKUP(TEXT(H334,"0000000000"),'📞 Call Tracker'!A$2:A$2000,'📞 Call Tracker'!D$2:D$2000,""),"")</f>
        <v>NO</v>
      </c>
      <c r="Z334" s="95" t="str">
        <f>IFERROR(_xlfn.XLOOKUP(TEXT(H334,"0000000000"),'📞 Call Tracker'!A$2:A$2000,'📞 Call Tracker'!E$2:E$2000,""),"")</f>
        <v>General Education</v>
      </c>
      <c r="AA334" s="145">
        <f>IFERROR(_xlfn.XLOOKUP(TEXT(H334,"0000000000"),'📞 Call Tracker'!A$2:A$2000,'📞 Call Tracker'!F$2:F$2000,""),"")</f>
        <v>0</v>
      </c>
      <c r="AB334" s="132">
        <f t="shared" si="11"/>
        <v>99</v>
      </c>
      <c r="AC334" s="79"/>
    </row>
    <row r="335" spans="1:29" ht="20.100000000000001" customHeight="1">
      <c r="A335" s="91">
        <v>45903</v>
      </c>
      <c r="B335" s="92" t="str">
        <v>Mahato</v>
      </c>
      <c r="C335" s="92" t="str">
        <v>Partha</v>
      </c>
      <c r="D335" s="92" t="str">
        <v>Phoenix</v>
      </c>
      <c r="E335" s="92">
        <v>85024</v>
      </c>
      <c r="F335" s="137" t="str">
        <v>Opposed</v>
      </c>
      <c r="G335" s="93" t="str">
        <v>https://images.edocket.azcc.gov/docketpdf/E000046204.pdf</v>
      </c>
      <c r="H335" s="150" t="s">
        <v>1351</v>
      </c>
      <c r="I335" s="114" t="str">
        <v>REV47</v>
      </c>
      <c r="J335" s="94" t="str">
        <v>No</v>
      </c>
      <c r="K335" s="94" t="str">
        <v>No</v>
      </c>
      <c r="L335" s="137" t="str">
        <v>Yes</v>
      </c>
      <c r="M335" s="94" t="str">
        <v>No</v>
      </c>
      <c r="N335" s="134" t="str">
        <v>No</v>
      </c>
      <c r="O335" s="119" t="str">
        <v>Yes</v>
      </c>
      <c r="P335" s="92" t="str">
        <v>N</v>
      </c>
      <c r="Q335" s="91">
        <v>45967</v>
      </c>
      <c r="R335" s="140">
        <v>0</v>
      </c>
      <c r="S335" s="92">
        <v>0</v>
      </c>
      <c r="T335" s="92">
        <v>0</v>
      </c>
      <c r="U335" s="137">
        <v>0</v>
      </c>
      <c r="V335" s="126" t="str">
        <f t="shared" si="10"/>
        <v>✅ On Best Plan</v>
      </c>
      <c r="W335" s="130">
        <f>IFERROR(_xlfn.XLOOKUP(TEXT(H335,"0000000000"),'📞 Call Tracker'!A$2:A$2000,'📞 Call Tracker'!B$2:B$2000,""),"")</f>
        <v>0</v>
      </c>
      <c r="X335" s="96">
        <f>IFERROR(_xlfn.XLOOKUP(TEXT(H335,"0000000000"),'📞 Call Tracker'!A$2:A$2000,'📞 Call Tracker'!C$2:C$2000,""),"")</f>
        <v>0</v>
      </c>
      <c r="Y335" s="95">
        <f>IFERROR(_xlfn.XLOOKUP(TEXT(H335,"0000000000"),'📞 Call Tracker'!A$2:A$2000,'📞 Call Tracker'!D$2:D$2000,""),"")</f>
        <v>0</v>
      </c>
      <c r="Z335" s="95">
        <f>IFERROR(_xlfn.XLOOKUP(TEXT(H335,"0000000000"),'📞 Call Tracker'!A$2:A$2000,'📞 Call Tracker'!E$2:E$2000,""),"")</f>
        <v>0</v>
      </c>
      <c r="AA335" s="145">
        <f>IFERROR(_xlfn.XLOOKUP(TEXT(H335,"0000000000"),'📞 Call Tracker'!A$2:A$2000,'📞 Call Tracker'!F$2:F$2000,""),"")</f>
        <v>0</v>
      </c>
      <c r="AB335" s="132">
        <f t="shared" si="11"/>
        <v>99</v>
      </c>
      <c r="AC335" s="79"/>
    </row>
    <row r="336" spans="1:29" ht="20.100000000000001" customHeight="1">
      <c r="A336" s="91">
        <v>45903</v>
      </c>
      <c r="B336" s="92" t="str">
        <v>Klug</v>
      </c>
      <c r="C336" s="92" t="str">
        <v>Cameron</v>
      </c>
      <c r="D336" s="92" t="str">
        <v>Phoenix</v>
      </c>
      <c r="E336" s="92">
        <v>85085</v>
      </c>
      <c r="F336" s="137" t="str">
        <v>Form letter</v>
      </c>
      <c r="G336" s="93" t="str">
        <v>https://images.edocket.azcc.gov/docketpdf/E000046204.pdf</v>
      </c>
      <c r="H336" s="150" t="s">
        <v>1355</v>
      </c>
      <c r="I336" s="114" t="str">
        <v>R3-47</v>
      </c>
      <c r="J336" s="94" t="str">
        <v>No</v>
      </c>
      <c r="K336" s="94" t="str">
        <v>No</v>
      </c>
      <c r="L336" s="137" t="str">
        <v>Yes</v>
      </c>
      <c r="M336" s="94" t="str">
        <v>No</v>
      </c>
      <c r="N336" s="134" t="str">
        <v>No</v>
      </c>
      <c r="O336" s="119" t="str">
        <v>Yes</v>
      </c>
      <c r="P336" s="92" t="str">
        <v>N</v>
      </c>
      <c r="Q336" s="91">
        <v>45967</v>
      </c>
      <c r="R336" s="140">
        <v>0</v>
      </c>
      <c r="S336" s="92">
        <v>0</v>
      </c>
      <c r="T336" s="92">
        <v>0</v>
      </c>
      <c r="U336" s="137">
        <v>0</v>
      </c>
      <c r="V336" s="126" t="str">
        <f t="shared" si="10"/>
        <v>✅ On Best Plan</v>
      </c>
      <c r="W336" s="130" t="str">
        <f>IFERROR(_xlfn.XLOOKUP(TEXT(H336,"0000000000"),'📞 Call Tracker'!A$2:A$2000,'📞 Call Tracker'!B$2:B$2000,""),"")</f>
        <v>Michelle</v>
      </c>
      <c r="X336" s="96">
        <f>IFERROR(_xlfn.XLOOKUP(TEXT(H336,"0000000000"),'📞 Call Tracker'!A$2:A$2000,'📞 Call Tracker'!C$2:C$2000,""),"")</f>
        <v>46060</v>
      </c>
      <c r="Y336" s="95" t="str">
        <f>IFERROR(_xlfn.XLOOKUP(TEXT(H336,"0000000000"),'📞 Call Tracker'!A$2:A$2000,'📞 Call Tracker'!D$2:D$2000,""),"")</f>
        <v>YES</v>
      </c>
      <c r="Z336" s="95">
        <f>IFERROR(_xlfn.XLOOKUP(TEXT(H336,"0000000000"),'📞 Call Tracker'!A$2:A$2000,'📞 Call Tracker'!E$2:E$2000,""),"")</f>
        <v>0</v>
      </c>
      <c r="AA336" s="145">
        <f>IFERROR(_xlfn.XLOOKUP(TEXT(H336,"0000000000"),'📞 Call Tracker'!A$2:A$2000,'📞 Call Tracker'!F$2:F$2000,""),"")</f>
        <v>0</v>
      </c>
      <c r="AB336" s="132">
        <f t="shared" si="11"/>
        <v>99</v>
      </c>
      <c r="AC336" s="79"/>
    </row>
    <row r="337" spans="1:29" ht="20.100000000000001" customHeight="1">
      <c r="A337" s="91">
        <v>45903</v>
      </c>
      <c r="B337" s="92" t="str">
        <v>Cuadras</v>
      </c>
      <c r="C337" s="92" t="str">
        <v>JoVon</v>
      </c>
      <c r="D337" s="92" t="str">
        <v>Phoenix</v>
      </c>
      <c r="E337" s="92">
        <v>85003</v>
      </c>
      <c r="F337" s="137" t="str">
        <v>Form letter</v>
      </c>
      <c r="G337" s="93" t="str">
        <v>https://images.edocket.azcc.gov/docketpdf/E000046204.pdf</v>
      </c>
      <c r="H337" s="150" t="s">
        <v>1358</v>
      </c>
      <c r="I337" s="114" t="str">
        <v>RTOUE47</v>
      </c>
      <c r="J337" s="94" t="str">
        <v>No</v>
      </c>
      <c r="K337" s="94" t="str">
        <v>No</v>
      </c>
      <c r="L337" s="137" t="str">
        <v>No MEP R3-47 ($348.67)</v>
      </c>
      <c r="M337" s="94" t="str">
        <v>No</v>
      </c>
      <c r="N337" s="134" t="str">
        <v>No</v>
      </c>
      <c r="O337" s="119" t="str">
        <v>Yes</v>
      </c>
      <c r="P337" s="92">
        <v>45936</v>
      </c>
      <c r="Q337" s="91">
        <v>45967</v>
      </c>
      <c r="R337" s="140" t="str">
        <v>10/6 Spoke with customer, he's interested to learn more and wanted to review his online account. Offered our phone number if he'd like to discuss it further.</v>
      </c>
      <c r="S337" s="92">
        <v>0</v>
      </c>
      <c r="T337" s="92">
        <v>0</v>
      </c>
      <c r="U337" s="137">
        <v>0</v>
      </c>
      <c r="V337" s="126" t="str">
        <f t="shared" si="10"/>
        <v>❌ Not on Best Plan</v>
      </c>
      <c r="W337" s="130" t="str">
        <f>IFERROR(_xlfn.XLOOKUP(TEXT(H337,"0000000000"),'📞 Call Tracker'!A$2:A$2000,'📞 Call Tracker'!B$2:B$2000,""),"")</f>
        <v>Michelle</v>
      </c>
      <c r="X337" s="96">
        <f>IFERROR(_xlfn.XLOOKUP(TEXT(H337,"0000000000"),'📞 Call Tracker'!A$2:A$2000,'📞 Call Tracker'!C$2:C$2000,""),"")</f>
        <v>45997</v>
      </c>
      <c r="Y337" s="95" t="str">
        <f>IFERROR(_xlfn.XLOOKUP(TEXT(H337,"0000000000"),'📞 Call Tracker'!A$2:A$2000,'📞 Call Tracker'!D$2:D$2000,""),"")</f>
        <v>YES</v>
      </c>
      <c r="Z337" s="95">
        <f>IFERROR(_xlfn.XLOOKUP(TEXT(H337,"0000000000"),'📞 Call Tracker'!A$2:A$2000,'📞 Call Tracker'!E$2:E$2000,""),"")</f>
        <v>0</v>
      </c>
      <c r="AA337" s="145" t="str">
        <f>IFERROR(_xlfn.XLOOKUP(TEXT(H337,"0000000000"),'📞 Call Tracker'!A$2:A$2000,'📞 Call Tracker'!F$2:F$2000,""),"")</f>
        <v>SOLAR</v>
      </c>
      <c r="AB337" s="132">
        <f t="shared" si="11"/>
        <v>99</v>
      </c>
      <c r="AC337" s="79"/>
    </row>
    <row r="338" spans="1:29" ht="20.100000000000001" customHeight="1">
      <c r="A338" s="91">
        <v>45903</v>
      </c>
      <c r="B338" s="92" t="str">
        <v>Monteleone</v>
      </c>
      <c r="C338" s="92" t="str">
        <v>Kathleen</v>
      </c>
      <c r="D338" s="92" t="str">
        <v>Goodyear</v>
      </c>
      <c r="E338" s="92">
        <v>85338</v>
      </c>
      <c r="F338" s="137" t="str">
        <v>Opposed/will cause hardships</v>
      </c>
      <c r="G338" s="93" t="str">
        <v>https://images.edocket.azcc.gov/docketpdf/E000046204.pdf</v>
      </c>
      <c r="H338" s="150" t="s">
        <v>1363</v>
      </c>
      <c r="I338" s="114" t="str">
        <v>RTOUE47</v>
      </c>
      <c r="J338" s="94" t="str">
        <v>No</v>
      </c>
      <c r="K338" s="94" t="str">
        <v>No</v>
      </c>
      <c r="L338" s="137" t="str">
        <v>N MEP R3-47 ($273.17)</v>
      </c>
      <c r="M338" s="94" t="str">
        <v>No</v>
      </c>
      <c r="N338" s="134" t="str">
        <v>No</v>
      </c>
      <c r="O338" s="119" t="str">
        <v>Yes</v>
      </c>
      <c r="P338" s="92">
        <v>45936</v>
      </c>
      <c r="Q338" s="91">
        <v>45967</v>
      </c>
      <c r="R338" s="140" t="str">
        <v>10/6 Left VM</v>
      </c>
      <c r="S338" s="92">
        <v>0</v>
      </c>
      <c r="T338" s="92">
        <v>0</v>
      </c>
      <c r="U338" s="137">
        <v>0</v>
      </c>
      <c r="V338" s="126" t="str">
        <f t="shared" si="10"/>
        <v>❌ Not on Best Plan</v>
      </c>
      <c r="W338" s="130">
        <f>IFERROR(_xlfn.XLOOKUP(TEXT(H338,"0000000000"),'📞 Call Tracker'!A$2:A$2000,'📞 Call Tracker'!B$2:B$2000,""),"")</f>
        <v>0</v>
      </c>
      <c r="X338" s="96">
        <f>IFERROR(_xlfn.XLOOKUP(TEXT(H338,"0000000000"),'📞 Call Tracker'!A$2:A$2000,'📞 Call Tracker'!C$2:C$2000,""),"")</f>
        <v>0</v>
      </c>
      <c r="Y338" s="95">
        <f>IFERROR(_xlfn.XLOOKUP(TEXT(H338,"0000000000"),'📞 Call Tracker'!A$2:A$2000,'📞 Call Tracker'!D$2:D$2000,""),"")</f>
        <v>0</v>
      </c>
      <c r="Z338" s="95">
        <f>IFERROR(_xlfn.XLOOKUP(TEXT(H338,"0000000000"),'📞 Call Tracker'!A$2:A$2000,'📞 Call Tracker'!E$2:E$2000,""),"")</f>
        <v>0</v>
      </c>
      <c r="AA338" s="145">
        <f>IFERROR(_xlfn.XLOOKUP(TEXT(H338,"0000000000"),'📞 Call Tracker'!A$2:A$2000,'📞 Call Tracker'!F$2:F$2000,""),"")</f>
        <v>0</v>
      </c>
      <c r="AB338" s="132">
        <f t="shared" si="11"/>
        <v>99</v>
      </c>
      <c r="AC338" s="79"/>
    </row>
    <row r="339" spans="1:29" ht="20.100000000000001" customHeight="1">
      <c r="A339" s="91">
        <v>45903</v>
      </c>
      <c r="B339" s="92" t="str">
        <v>Pahuja</v>
      </c>
      <c r="C339" s="92" t="str">
        <v>Himanshu</v>
      </c>
      <c r="D339" s="92" t="str">
        <v>Peoria</v>
      </c>
      <c r="E339" s="92">
        <v>85383</v>
      </c>
      <c r="F339" s="137" t="str">
        <v>Form letter</v>
      </c>
      <c r="G339" s="93" t="str">
        <v>https://images.edocket.azcc.gov/docketpdf/E000046204.pdf</v>
      </c>
      <c r="H339" s="150" t="s">
        <v>1366</v>
      </c>
      <c r="I339" s="114" t="str">
        <v>RTOUE47</v>
      </c>
      <c r="J339" s="94" t="str">
        <v>No</v>
      </c>
      <c r="K339" s="94" t="str">
        <v>No</v>
      </c>
      <c r="L339" s="137" t="str">
        <v>No MEP R3-47 ($461.51)</v>
      </c>
      <c r="M339" s="94" t="str">
        <v>No</v>
      </c>
      <c r="N339" s="134" t="str">
        <v>No</v>
      </c>
      <c r="O339" s="119" t="str">
        <v>Yes</v>
      </c>
      <c r="P339" s="92">
        <v>45936</v>
      </c>
      <c r="Q339" s="91">
        <v>45967</v>
      </c>
      <c r="R339" s="140" t="str">
        <v>10/6 Left VM</v>
      </c>
      <c r="S339" s="92">
        <v>0</v>
      </c>
      <c r="T339" s="92">
        <v>0</v>
      </c>
      <c r="U339" s="137">
        <v>0</v>
      </c>
      <c r="V339" s="126" t="str">
        <f t="shared" si="10"/>
        <v>❌ Not on Best Plan</v>
      </c>
      <c r="W339" s="130">
        <f>IFERROR(_xlfn.XLOOKUP(TEXT(H339,"0000000000"),'📞 Call Tracker'!A$2:A$2000,'📞 Call Tracker'!B$2:B$2000,""),"")</f>
        <v>0</v>
      </c>
      <c r="X339" s="96">
        <f>IFERROR(_xlfn.XLOOKUP(TEXT(H339,"0000000000"),'📞 Call Tracker'!A$2:A$2000,'📞 Call Tracker'!C$2:C$2000,""),"")</f>
        <v>0</v>
      </c>
      <c r="Y339" s="95">
        <f>IFERROR(_xlfn.XLOOKUP(TEXT(H339,"0000000000"),'📞 Call Tracker'!A$2:A$2000,'📞 Call Tracker'!D$2:D$2000,""),"")</f>
        <v>0</v>
      </c>
      <c r="Z339" s="95">
        <f>IFERROR(_xlfn.XLOOKUP(TEXT(H339,"0000000000"),'📞 Call Tracker'!A$2:A$2000,'📞 Call Tracker'!E$2:E$2000,""),"")</f>
        <v>0</v>
      </c>
      <c r="AA339" s="145">
        <f>IFERROR(_xlfn.XLOOKUP(TEXT(H339,"0000000000"),'📞 Call Tracker'!A$2:A$2000,'📞 Call Tracker'!F$2:F$2000,""),"")</f>
        <v>0</v>
      </c>
      <c r="AB339" s="132">
        <f t="shared" si="11"/>
        <v>99</v>
      </c>
      <c r="AC339" s="79"/>
    </row>
    <row r="340" spans="1:29" ht="20.100000000000001" customHeight="1">
      <c r="A340" s="91">
        <v>45903</v>
      </c>
      <c r="B340" s="92" t="str">
        <v>Bedadala</v>
      </c>
      <c r="C340" s="92" t="str">
        <v>Harinatha</v>
      </c>
      <c r="D340" s="92" t="str">
        <v>Peoria</v>
      </c>
      <c r="E340" s="92">
        <v>85383</v>
      </c>
      <c r="F340" s="137" t="str">
        <v>Form letter</v>
      </c>
      <c r="G340" s="93" t="str">
        <v>https://images.edocket.azcc.gov/docketpdf/E000046204.pdf</v>
      </c>
      <c r="H340" s="150" t="s">
        <v>1369</v>
      </c>
      <c r="I340" s="114" t="str">
        <v>R-XS</v>
      </c>
      <c r="J340" s="94" t="str">
        <v>No</v>
      </c>
      <c r="K340" s="94" t="str">
        <v>No</v>
      </c>
      <c r="L340" s="137" t="str">
        <v>Yes</v>
      </c>
      <c r="M340" s="94" t="str">
        <v>No</v>
      </c>
      <c r="N340" s="134" t="str">
        <v>No</v>
      </c>
      <c r="O340" s="119" t="str">
        <v>Yes</v>
      </c>
      <c r="P340" s="92" t="str">
        <v>N</v>
      </c>
      <c r="Q340" s="91">
        <v>45967</v>
      </c>
      <c r="R340" s="140">
        <v>0</v>
      </c>
      <c r="S340" s="92">
        <v>0</v>
      </c>
      <c r="T340" s="92">
        <v>0</v>
      </c>
      <c r="U340" s="137">
        <v>0</v>
      </c>
      <c r="V340" s="126" t="str">
        <f t="shared" si="10"/>
        <v>✅ On Best Plan</v>
      </c>
      <c r="W340" s="130" t="str">
        <f>IFERROR(_xlfn.XLOOKUP(TEXT(H340,"0000000000"),'📞 Call Tracker'!A$2:A$2000,'📞 Call Tracker'!B$2:B$2000,""),"")</f>
        <v>Michelle</v>
      </c>
      <c r="X340" s="96">
        <f>IFERROR(_xlfn.XLOOKUP(TEXT(H340,"0000000000"),'📞 Call Tracker'!A$2:A$2000,'📞 Call Tracker'!C$2:C$2000,""),"")</f>
        <v>46046</v>
      </c>
      <c r="Y340" s="95" t="str">
        <f>IFERROR(_xlfn.XLOOKUP(TEXT(H340,"0000000000"),'📞 Call Tracker'!A$2:A$2000,'📞 Call Tracker'!D$2:D$2000,""),"")</f>
        <v>YES</v>
      </c>
      <c r="Z340" s="95">
        <f>IFERROR(_xlfn.XLOOKUP(TEXT(H340,"0000000000"),'📞 Call Tracker'!A$2:A$2000,'📞 Call Tracker'!E$2:E$2000,""),"")</f>
        <v>0</v>
      </c>
      <c r="AA340" s="145">
        <f>IFERROR(_xlfn.XLOOKUP(TEXT(H340,"0000000000"),'📞 Call Tracker'!A$2:A$2000,'📞 Call Tracker'!F$2:F$2000,""),"")</f>
        <v>0</v>
      </c>
      <c r="AB340" s="132">
        <f t="shared" si="11"/>
        <v>99</v>
      </c>
      <c r="AC340" s="79"/>
    </row>
    <row r="341" spans="1:29" ht="20.100000000000001" customHeight="1">
      <c r="A341" s="91">
        <v>45903</v>
      </c>
      <c r="B341" s="92" t="str">
        <v>Clow</v>
      </c>
      <c r="C341" s="92" t="str">
        <v>Richard</v>
      </c>
      <c r="D341" s="92" t="str">
        <v>Goodyear</v>
      </c>
      <c r="E341" s="92">
        <v>85338</v>
      </c>
      <c r="F341" s="137" t="str">
        <v>Opposed</v>
      </c>
      <c r="G341" s="93" t="str">
        <v>https://images.edocket.azcc.gov/docketpdf/E000046204.pdf</v>
      </c>
      <c r="H341" s="150" t="s">
        <v>1374</v>
      </c>
      <c r="I341" s="114" t="str">
        <v>RTOUE47</v>
      </c>
      <c r="J341" s="94" t="str">
        <v>No</v>
      </c>
      <c r="K341" s="94" t="str">
        <v>No</v>
      </c>
      <c r="L341" s="137" t="str">
        <v>No MEP R3-47 ($517.20)</v>
      </c>
      <c r="M341" s="94" t="str">
        <v>No</v>
      </c>
      <c r="N341" s="134" t="str">
        <v>No</v>
      </c>
      <c r="O341" s="119" t="str">
        <v>Yes</v>
      </c>
      <c r="P341" s="92" t="str">
        <v>N</v>
      </c>
      <c r="Q341" s="91">
        <v>45967</v>
      </c>
      <c r="R341" s="140" t="str">
        <v>10/6 Tried to leave VM - mailbox full, 11/12 tried again and number is not in service</v>
      </c>
      <c r="S341" s="92">
        <v>0</v>
      </c>
      <c r="T341" s="92">
        <v>0</v>
      </c>
      <c r="U341" s="137">
        <v>0</v>
      </c>
      <c r="V341" s="126" t="str">
        <f t="shared" si="10"/>
        <v>❌ Not on Best Plan</v>
      </c>
      <c r="W341" s="130" t="str">
        <f>IFERROR(_xlfn.XLOOKUP(TEXT(H341,"0000000000"),'📞 Call Tracker'!A$2:A$2000,'📞 Call Tracker'!B$2:B$2000,""),"")</f>
        <v>Michelle</v>
      </c>
      <c r="X341" s="96">
        <f>IFERROR(_xlfn.XLOOKUP(TEXT(H341,"0000000000"),'📞 Call Tracker'!A$2:A$2000,'📞 Call Tracker'!C$2:C$2000,""),"")</f>
        <v>46046</v>
      </c>
      <c r="Y341" s="95" t="str">
        <f>IFERROR(_xlfn.XLOOKUP(TEXT(H341,"0000000000"),'📞 Call Tracker'!A$2:A$2000,'📞 Call Tracker'!D$2:D$2000,""),"")</f>
        <v>YES</v>
      </c>
      <c r="Z341" s="95">
        <f>IFERROR(_xlfn.XLOOKUP(TEXT(H341,"0000000000"),'📞 Call Tracker'!A$2:A$2000,'📞 Call Tracker'!E$2:E$2000,""),"")</f>
        <v>0</v>
      </c>
      <c r="AA341" s="145">
        <f>IFERROR(_xlfn.XLOOKUP(TEXT(H341,"0000000000"),'📞 Call Tracker'!A$2:A$2000,'📞 Call Tracker'!F$2:F$2000,""),"")</f>
        <v>0</v>
      </c>
      <c r="AB341" s="132">
        <f t="shared" si="11"/>
        <v>99</v>
      </c>
      <c r="AC341" s="79"/>
    </row>
    <row r="342" spans="1:29" ht="20.100000000000001" customHeight="1">
      <c r="A342" s="91">
        <v>45903</v>
      </c>
      <c r="B342" s="92" t="str">
        <v>Chintalapuri</v>
      </c>
      <c r="C342" s="92" t="str">
        <v>Dinesh</v>
      </c>
      <c r="D342" s="92" t="str">
        <v>Phoenix</v>
      </c>
      <c r="E342" s="92">
        <v>85024</v>
      </c>
      <c r="F342" s="137" t="str">
        <v>Form letter</v>
      </c>
      <c r="G342" s="93" t="str">
        <v>https://images.edocket.azcc.gov/docketpdf/E000046204.pdf</v>
      </c>
      <c r="H342" s="150" t="s">
        <v>1381</v>
      </c>
      <c r="I342" s="114" t="str">
        <v>RCPw/REV47</v>
      </c>
      <c r="J342" s="94" t="str">
        <v>No</v>
      </c>
      <c r="K342" s="94" t="str">
        <v>No</v>
      </c>
      <c r="L342" s="137" t="str">
        <v>Yes</v>
      </c>
      <c r="M342" s="94" t="str">
        <v>No</v>
      </c>
      <c r="N342" s="134" t="str">
        <v>No</v>
      </c>
      <c r="O342" s="119" t="str">
        <v>Yes</v>
      </c>
      <c r="P342" s="92" t="str">
        <v>N</v>
      </c>
      <c r="Q342" s="91">
        <v>45967</v>
      </c>
      <c r="R342" s="140">
        <v>0</v>
      </c>
      <c r="S342" s="92">
        <v>0</v>
      </c>
      <c r="T342" s="92">
        <v>0</v>
      </c>
      <c r="U342" s="137">
        <v>0</v>
      </c>
      <c r="V342" s="126" t="str">
        <f t="shared" si="10"/>
        <v>✅ On Best Plan</v>
      </c>
      <c r="W342" s="130" t="str">
        <f>IFERROR(_xlfn.XLOOKUP(TEXT(H342,"0000000000"),'📞 Call Tracker'!A$2:A$2000,'📞 Call Tracker'!B$2:B$2000,""),"")</f>
        <v>Michelle</v>
      </c>
      <c r="X342" s="96">
        <f>IFERROR(_xlfn.XLOOKUP(TEXT(H342,"0000000000"),'📞 Call Tracker'!A$2:A$2000,'📞 Call Tracker'!C$2:C$2000,""),"")</f>
        <v>46046</v>
      </c>
      <c r="Y342" s="95" t="str">
        <f>IFERROR(_xlfn.XLOOKUP(TEXT(H342,"0000000000"),'📞 Call Tracker'!A$2:A$2000,'📞 Call Tracker'!D$2:D$2000,""),"")</f>
        <v>YES</v>
      </c>
      <c r="Z342" s="95">
        <f>IFERROR(_xlfn.XLOOKUP(TEXT(H342,"0000000000"),'📞 Call Tracker'!A$2:A$2000,'📞 Call Tracker'!E$2:E$2000,""),"")</f>
        <v>0</v>
      </c>
      <c r="AA342" s="145">
        <f>IFERROR(_xlfn.XLOOKUP(TEXT(H342,"0000000000"),'📞 Call Tracker'!A$2:A$2000,'📞 Call Tracker'!F$2:F$2000,""),"")</f>
        <v>0</v>
      </c>
      <c r="AB342" s="132">
        <f t="shared" si="11"/>
        <v>99</v>
      </c>
      <c r="AC342" s="79"/>
    </row>
    <row r="343" spans="1:29" ht="20.100000000000001" customHeight="1">
      <c r="A343" s="91">
        <v>45903</v>
      </c>
      <c r="B343" s="92" t="str">
        <v xml:space="preserve">Ram </v>
      </c>
      <c r="C343" s="92" t="str">
        <v>Ajit Kumar</v>
      </c>
      <c r="D343" s="92" t="str">
        <v>Phoenix</v>
      </c>
      <c r="E343" s="92">
        <v>85050</v>
      </c>
      <c r="F343" s="137" t="str">
        <v>Opposed</v>
      </c>
      <c r="G343" s="93" t="str">
        <v>https://images.edocket.azcc.gov/docketpdf/E000046204.pdf</v>
      </c>
      <c r="H343" s="150" t="s">
        <v>1385</v>
      </c>
      <c r="I343" s="114" t="str">
        <v>R3-47</v>
      </c>
      <c r="J343" s="94" t="str">
        <v>No</v>
      </c>
      <c r="K343" s="94" t="str">
        <v>No</v>
      </c>
      <c r="L343" s="137" t="str">
        <v>Yes</v>
      </c>
      <c r="M343" s="94" t="str">
        <v>No</v>
      </c>
      <c r="N343" s="134" t="str">
        <v>No</v>
      </c>
      <c r="O343" s="119" t="str">
        <v>Yes</v>
      </c>
      <c r="P343" s="92" t="str">
        <v>N</v>
      </c>
      <c r="Q343" s="91">
        <v>45966</v>
      </c>
      <c r="R343" s="140">
        <v>0</v>
      </c>
      <c r="S343" s="92">
        <v>0</v>
      </c>
      <c r="T343" s="92">
        <v>0</v>
      </c>
      <c r="U343" s="137">
        <v>0</v>
      </c>
      <c r="V343" s="126" t="str">
        <f t="shared" si="10"/>
        <v>✅ On Best Plan</v>
      </c>
      <c r="W343" s="130">
        <f>IFERROR(_xlfn.XLOOKUP(TEXT(H343,"0000000000"),'📞 Call Tracker'!A$2:A$2000,'📞 Call Tracker'!B$2:B$2000,""),"")</f>
        <v>0</v>
      </c>
      <c r="X343" s="96">
        <f>IFERROR(_xlfn.XLOOKUP(TEXT(H343,"0000000000"),'📞 Call Tracker'!A$2:A$2000,'📞 Call Tracker'!C$2:C$2000,""),"")</f>
        <v>0</v>
      </c>
      <c r="Y343" s="95">
        <f>IFERROR(_xlfn.XLOOKUP(TEXT(H343,"0000000000"),'📞 Call Tracker'!A$2:A$2000,'📞 Call Tracker'!D$2:D$2000,""),"")</f>
        <v>0</v>
      </c>
      <c r="Z343" s="95">
        <f>IFERROR(_xlfn.XLOOKUP(TEXT(H343,"0000000000"),'📞 Call Tracker'!A$2:A$2000,'📞 Call Tracker'!E$2:E$2000,""),"")</f>
        <v>0</v>
      </c>
      <c r="AA343" s="145">
        <f>IFERROR(_xlfn.XLOOKUP(TEXT(H343,"0000000000"),'📞 Call Tracker'!A$2:A$2000,'📞 Call Tracker'!F$2:F$2000,""),"")</f>
        <v>0</v>
      </c>
      <c r="AB343" s="132">
        <f t="shared" si="11"/>
        <v>99</v>
      </c>
      <c r="AC343" s="79"/>
    </row>
    <row r="344" spans="1:29" ht="20.100000000000001" customHeight="1">
      <c r="A344" s="91">
        <v>45903</v>
      </c>
      <c r="B344" s="92" t="str">
        <v>Jaycox</v>
      </c>
      <c r="C344" s="92" t="str">
        <v>Sharon</v>
      </c>
      <c r="D344" s="92" t="str">
        <v>Goodyear</v>
      </c>
      <c r="E344" s="92">
        <v>85338</v>
      </c>
      <c r="F344" s="137" t="str">
        <v>Opposed/Households struggling</v>
      </c>
      <c r="G344" s="93" t="str">
        <v>https://images.edocket.azcc.gov/docketpdf/E000046204.pdf</v>
      </c>
      <c r="H344" s="150" t="s">
        <v>1387</v>
      </c>
      <c r="I344" s="114" t="str">
        <v>R3-47</v>
      </c>
      <c r="J344" s="94" t="str">
        <v>No</v>
      </c>
      <c r="K344" s="94" t="str">
        <v>No</v>
      </c>
      <c r="L344" s="137" t="str">
        <v>Yes</v>
      </c>
      <c r="M344" s="94" t="str">
        <v>No</v>
      </c>
      <c r="N344" s="134" t="str">
        <v>No</v>
      </c>
      <c r="O344" s="119" t="str">
        <v>Yes</v>
      </c>
      <c r="P344" s="92" t="str">
        <v>N</v>
      </c>
      <c r="Q344" s="91">
        <v>45966</v>
      </c>
      <c r="R344" s="140">
        <v>0</v>
      </c>
      <c r="S344" s="92">
        <v>0</v>
      </c>
      <c r="T344" s="92">
        <v>0</v>
      </c>
      <c r="U344" s="137">
        <v>0</v>
      </c>
      <c r="V344" s="126" t="str">
        <f t="shared" si="10"/>
        <v>✅ On Best Plan</v>
      </c>
      <c r="W344" s="130" t="str">
        <f>IFERROR(_xlfn.XLOOKUP(TEXT(H344,"0000000000"),'📞 Call Tracker'!A$2:A$2000,'📞 Call Tracker'!B$2:B$2000,""),"")</f>
        <v>Michelle</v>
      </c>
      <c r="X344" s="96">
        <f>IFERROR(_xlfn.XLOOKUP(TEXT(H344,"0000000000"),'📞 Call Tracker'!A$2:A$2000,'📞 Call Tracker'!C$2:C$2000,""),"")</f>
        <v>46046</v>
      </c>
      <c r="Y344" s="95" t="str">
        <f>IFERROR(_xlfn.XLOOKUP(TEXT(H344,"0000000000"),'📞 Call Tracker'!A$2:A$2000,'📞 Call Tracker'!D$2:D$2000,""),"")</f>
        <v>NO</v>
      </c>
      <c r="Z344" s="95">
        <f>IFERROR(_xlfn.XLOOKUP(TEXT(H344,"0000000000"),'📞 Call Tracker'!A$2:A$2000,'📞 Call Tracker'!E$2:E$2000,""),"")</f>
        <v>0</v>
      </c>
      <c r="AA344" s="145">
        <f>IFERROR(_xlfn.XLOOKUP(TEXT(H344,"0000000000"),'📞 Call Tracker'!A$2:A$2000,'📞 Call Tracker'!F$2:F$2000,""),"")</f>
        <v>0</v>
      </c>
      <c r="AB344" s="132">
        <f t="shared" si="11"/>
        <v>99</v>
      </c>
      <c r="AC344" s="79"/>
    </row>
    <row r="345" spans="1:29" ht="20.100000000000001" customHeight="1">
      <c r="A345" s="91">
        <v>45903</v>
      </c>
      <c r="B345" s="92" t="str">
        <v>Noriega</v>
      </c>
      <c r="C345" s="92" t="str">
        <v>Mario</v>
      </c>
      <c r="D345" s="92" t="str">
        <v>Phoenix</v>
      </c>
      <c r="E345" s="92">
        <v>85013</v>
      </c>
      <c r="F345" s="137" t="str">
        <v>Opposed/pure greed</v>
      </c>
      <c r="G345" s="93" t="str">
        <v>https://images.edocket.azcc.gov/docketpdf/E000046204.pdf</v>
      </c>
      <c r="H345" s="150" t="s">
        <v>6665</v>
      </c>
      <c r="I345" s="114" t="str">
        <v>R-XS</v>
      </c>
      <c r="J345" s="94" t="str">
        <v>No</v>
      </c>
      <c r="K345" s="94" t="str">
        <v>No</v>
      </c>
      <c r="L345" s="137" t="str">
        <v>Yes</v>
      </c>
      <c r="M345" s="94" t="str">
        <v>No</v>
      </c>
      <c r="N345" s="134" t="str">
        <v>No</v>
      </c>
      <c r="O345" s="119" t="str">
        <v>Yes</v>
      </c>
      <c r="P345" s="92" t="str">
        <v>N</v>
      </c>
      <c r="Q345" s="91">
        <v>45966</v>
      </c>
      <c r="R345" s="140">
        <v>0</v>
      </c>
      <c r="S345" s="92">
        <v>0</v>
      </c>
      <c r="T345" s="92">
        <v>0</v>
      </c>
      <c r="U345" s="137">
        <v>0</v>
      </c>
      <c r="V345" s="126" t="str">
        <f t="shared" si="10"/>
        <v>✅ On Best Plan</v>
      </c>
      <c r="W345" s="130" t="str">
        <f>IFERROR(_xlfn.XLOOKUP(TEXT(H345,"0000000000"),'📞 Call Tracker'!A$2:A$2000,'📞 Call Tracker'!B$2:B$2000,""),"")</f>
        <v/>
      </c>
      <c r="X345" s="96" t="str">
        <f>IFERROR(_xlfn.XLOOKUP(TEXT(H345,"0000000000"),'📞 Call Tracker'!A$2:A$2000,'📞 Call Tracker'!C$2:C$2000,""),"")</f>
        <v/>
      </c>
      <c r="Y345" s="95" t="str">
        <f>IFERROR(_xlfn.XLOOKUP(TEXT(H345,"0000000000"),'📞 Call Tracker'!A$2:A$2000,'📞 Call Tracker'!D$2:D$2000,""),"")</f>
        <v/>
      </c>
      <c r="Z345" s="95" t="str">
        <f>IFERROR(_xlfn.XLOOKUP(TEXT(H345,"0000000000"),'📞 Call Tracker'!A$2:A$2000,'📞 Call Tracker'!E$2:E$2000,""),"")</f>
        <v/>
      </c>
      <c r="AA345" s="145" t="str">
        <f>IFERROR(_xlfn.XLOOKUP(TEXT(H345,"0000000000"),'📞 Call Tracker'!A$2:A$2000,'📞 Call Tracker'!F$2:F$2000,""),"")</f>
        <v/>
      </c>
      <c r="AB345" s="132">
        <f t="shared" si="11"/>
        <v>4</v>
      </c>
      <c r="AC345" s="79"/>
    </row>
    <row r="346" spans="1:29" ht="20.100000000000001" customHeight="1">
      <c r="A346" s="91">
        <v>45903</v>
      </c>
      <c r="B346" s="92" t="str">
        <v>Hogan</v>
      </c>
      <c r="C346" s="92" t="str">
        <v>Nicole</v>
      </c>
      <c r="D346" s="92" t="str">
        <v>Peoria</v>
      </c>
      <c r="E346" s="92">
        <v>85381</v>
      </c>
      <c r="F346" s="137" t="str">
        <v>Form letter</v>
      </c>
      <c r="G346" s="93" t="str">
        <v>https://images.edocket.azcc.gov/docketpdf/E000046204.pdf</v>
      </c>
      <c r="H346" s="150" t="s">
        <v>6666</v>
      </c>
      <c r="I346" s="114" t="str">
        <v>R3-47</v>
      </c>
      <c r="J346" s="94" t="str">
        <v>No</v>
      </c>
      <c r="K346" s="94" t="str">
        <v>No</v>
      </c>
      <c r="L346" s="137" t="str">
        <v>Yes</v>
      </c>
      <c r="M346" s="94" t="str">
        <v>No</v>
      </c>
      <c r="N346" s="134" t="str">
        <v>No</v>
      </c>
      <c r="O346" s="119" t="str">
        <v>Yes</v>
      </c>
      <c r="P346" s="92" t="str">
        <v>N</v>
      </c>
      <c r="Q346" s="91">
        <v>45966</v>
      </c>
      <c r="R346" s="140">
        <v>0</v>
      </c>
      <c r="S346" s="92">
        <v>0</v>
      </c>
      <c r="T346" s="92">
        <v>0</v>
      </c>
      <c r="U346" s="137">
        <v>0</v>
      </c>
      <c r="V346" s="126" t="str">
        <f t="shared" si="10"/>
        <v>✅ On Best Plan</v>
      </c>
      <c r="W346" s="130" t="str">
        <f>IFERROR(_xlfn.XLOOKUP(TEXT(H346,"0000000000"),'📞 Call Tracker'!A$2:A$2000,'📞 Call Tracker'!B$2:B$2000,""),"")</f>
        <v/>
      </c>
      <c r="X346" s="96" t="str">
        <f>IFERROR(_xlfn.XLOOKUP(TEXT(H346,"0000000000"),'📞 Call Tracker'!A$2:A$2000,'📞 Call Tracker'!C$2:C$2000,""),"")</f>
        <v/>
      </c>
      <c r="Y346" s="95" t="str">
        <f>IFERROR(_xlfn.XLOOKUP(TEXT(H346,"0000000000"),'📞 Call Tracker'!A$2:A$2000,'📞 Call Tracker'!D$2:D$2000,""),"")</f>
        <v/>
      </c>
      <c r="Z346" s="95" t="str">
        <f>IFERROR(_xlfn.XLOOKUP(TEXT(H346,"0000000000"),'📞 Call Tracker'!A$2:A$2000,'📞 Call Tracker'!E$2:E$2000,""),"")</f>
        <v/>
      </c>
      <c r="AA346" s="145" t="str">
        <f>IFERROR(_xlfn.XLOOKUP(TEXT(H346,"0000000000"),'📞 Call Tracker'!A$2:A$2000,'📞 Call Tracker'!F$2:F$2000,""),"")</f>
        <v/>
      </c>
      <c r="AB346" s="132">
        <f t="shared" si="11"/>
        <v>4</v>
      </c>
      <c r="AC346" s="79"/>
    </row>
    <row r="347" spans="1:29" ht="20.100000000000001" customHeight="1">
      <c r="A347" s="91">
        <v>45903</v>
      </c>
      <c r="B347" s="92" t="str">
        <v>Sonnentag</v>
      </c>
      <c r="C347" s="92" t="str">
        <v xml:space="preserve">Shawn </v>
      </c>
      <c r="D347" s="92" t="str">
        <v>Peeples Valley</v>
      </c>
      <c r="E347" s="92">
        <v>86332</v>
      </c>
      <c r="F347" s="137" t="str">
        <v>Opposed</v>
      </c>
      <c r="G347" s="93" t="str">
        <v>https://images.edocket.azcc.gov/docketpdf/E000046204.pdf</v>
      </c>
      <c r="H347" s="150" t="s">
        <v>6667</v>
      </c>
      <c r="I347" s="114" t="str">
        <v>EPR-6w/E-12</v>
      </c>
      <c r="J347" s="94" t="str">
        <v>No</v>
      </c>
      <c r="K347" s="94" t="str">
        <v>No</v>
      </c>
      <c r="L347" s="137" t="str">
        <v>Frozen Rate</v>
      </c>
      <c r="M347" s="94" t="str">
        <v>No</v>
      </c>
      <c r="N347" s="134" t="str">
        <v>No</v>
      </c>
      <c r="O347" s="119" t="str">
        <v>Yes</v>
      </c>
      <c r="P347" s="92" t="str">
        <v>N</v>
      </c>
      <c r="Q347" s="91">
        <v>45966</v>
      </c>
      <c r="R347" s="140">
        <v>0</v>
      </c>
      <c r="S347" s="92">
        <v>0</v>
      </c>
      <c r="T347" s="92">
        <v>0</v>
      </c>
      <c r="U347" s="137">
        <v>0</v>
      </c>
      <c r="V347" s="126" t="str">
        <f t="shared" si="10"/>
        <v>❄ Frozen Rate</v>
      </c>
      <c r="W347" s="130" t="str">
        <f>IFERROR(_xlfn.XLOOKUP(TEXT(H347,"0000000000"),'📞 Call Tracker'!A$2:A$2000,'📞 Call Tracker'!B$2:B$2000,""),"")</f>
        <v/>
      </c>
      <c r="X347" s="96" t="str">
        <f>IFERROR(_xlfn.XLOOKUP(TEXT(H347,"0000000000"),'📞 Call Tracker'!A$2:A$2000,'📞 Call Tracker'!C$2:C$2000,""),"")</f>
        <v/>
      </c>
      <c r="Y347" s="95" t="str">
        <f>IFERROR(_xlfn.XLOOKUP(TEXT(H347,"0000000000"),'📞 Call Tracker'!A$2:A$2000,'📞 Call Tracker'!D$2:D$2000,""),"")</f>
        <v/>
      </c>
      <c r="Z347" s="95" t="str">
        <f>IFERROR(_xlfn.XLOOKUP(TEXT(H347,"0000000000"),'📞 Call Tracker'!A$2:A$2000,'📞 Call Tracker'!E$2:E$2000,""),"")</f>
        <v/>
      </c>
      <c r="AA347" s="145" t="str">
        <f>IFERROR(_xlfn.XLOOKUP(TEXT(H347,"0000000000"),'📞 Call Tracker'!A$2:A$2000,'📞 Call Tracker'!F$2:F$2000,""),"")</f>
        <v/>
      </c>
      <c r="AB347" s="132">
        <f t="shared" si="11"/>
        <v>4</v>
      </c>
      <c r="AC347" s="79"/>
    </row>
    <row r="348" spans="1:29" ht="20.100000000000001" customHeight="1">
      <c r="A348" s="91">
        <v>45903</v>
      </c>
      <c r="B348" s="92" t="str">
        <v>Stenzel</v>
      </c>
      <c r="C348" s="92" t="str">
        <v>LeRoy</v>
      </c>
      <c r="D348" s="92" t="str">
        <v>Goodyear</v>
      </c>
      <c r="E348" s="92">
        <v>85395</v>
      </c>
      <c r="F348" s="137" t="str">
        <v>Opposed</v>
      </c>
      <c r="G348" s="93" t="str">
        <v>https://images.edocket.azcc.gov/docketpdf/E000046204.pdf</v>
      </c>
      <c r="H348" s="150" t="s">
        <v>6668</v>
      </c>
      <c r="I348" s="114" t="str">
        <v>RCPw/RTOUE47</v>
      </c>
      <c r="J348" s="94" t="str">
        <v>No</v>
      </c>
      <c r="K348" s="94" t="str">
        <v>No</v>
      </c>
      <c r="L348" s="137" t="str">
        <v>Yes</v>
      </c>
      <c r="M348" s="94" t="str">
        <v>No</v>
      </c>
      <c r="N348" s="134" t="str">
        <v>No</v>
      </c>
      <c r="O348" s="119" t="str">
        <v>Yes</v>
      </c>
      <c r="P348" s="92" t="str">
        <v>N</v>
      </c>
      <c r="Q348" s="91">
        <v>45966</v>
      </c>
      <c r="R348" s="140">
        <v>0</v>
      </c>
      <c r="S348" s="92">
        <v>0</v>
      </c>
      <c r="T348" s="92">
        <v>0</v>
      </c>
      <c r="U348" s="137">
        <v>0</v>
      </c>
      <c r="V348" s="126" t="str">
        <f t="shared" si="10"/>
        <v>✅ On Best Plan</v>
      </c>
      <c r="W348" s="130" t="str">
        <f>IFERROR(_xlfn.XLOOKUP(TEXT(H348,"0000000000"),'📞 Call Tracker'!A$2:A$2000,'📞 Call Tracker'!B$2:B$2000,""),"")</f>
        <v/>
      </c>
      <c r="X348" s="96" t="str">
        <f>IFERROR(_xlfn.XLOOKUP(TEXT(H348,"0000000000"),'📞 Call Tracker'!A$2:A$2000,'📞 Call Tracker'!C$2:C$2000,""),"")</f>
        <v/>
      </c>
      <c r="Y348" s="95" t="str">
        <f>IFERROR(_xlfn.XLOOKUP(TEXT(H348,"0000000000"),'📞 Call Tracker'!A$2:A$2000,'📞 Call Tracker'!D$2:D$2000,""),"")</f>
        <v/>
      </c>
      <c r="Z348" s="95" t="str">
        <f>IFERROR(_xlfn.XLOOKUP(TEXT(H348,"0000000000"),'📞 Call Tracker'!A$2:A$2000,'📞 Call Tracker'!E$2:E$2000,""),"")</f>
        <v/>
      </c>
      <c r="AA348" s="145" t="str">
        <f>IFERROR(_xlfn.XLOOKUP(TEXT(H348,"0000000000"),'📞 Call Tracker'!A$2:A$2000,'📞 Call Tracker'!F$2:F$2000,""),"")</f>
        <v/>
      </c>
      <c r="AB348" s="132">
        <f t="shared" si="11"/>
        <v>4</v>
      </c>
      <c r="AC348" s="79"/>
    </row>
    <row r="349" spans="1:29" ht="20.100000000000001" customHeight="1">
      <c r="A349" s="91">
        <v>45903</v>
      </c>
      <c r="B349" s="92" t="str">
        <v>Neukom</v>
      </c>
      <c r="C349" s="92" t="str">
        <v xml:space="preserve">David </v>
      </c>
      <c r="D349" s="92" t="str">
        <v>Goodyear</v>
      </c>
      <c r="E349" s="92">
        <v>85395</v>
      </c>
      <c r="F349" s="137" t="str">
        <v xml:space="preserve">Senior/Fixed Income </v>
      </c>
      <c r="G349" s="93" t="str">
        <v>https://images.edocket.azcc.gov/docketpdf/E000046204.pdf</v>
      </c>
      <c r="H349" s="150" t="s">
        <v>6669</v>
      </c>
      <c r="I349" s="114" t="str">
        <v>RTOUE47</v>
      </c>
      <c r="J349" s="94" t="str">
        <v>No</v>
      </c>
      <c r="K349" s="94" t="str">
        <v>No</v>
      </c>
      <c r="L349" s="137" t="str">
        <v>No MEP R3-47($173.42)</v>
      </c>
      <c r="M349" s="94" t="str">
        <v>No</v>
      </c>
      <c r="N349" s="134" t="str">
        <v>No</v>
      </c>
      <c r="O349" s="119" t="str">
        <v>Yes</v>
      </c>
      <c r="P349" s="92">
        <v>45936</v>
      </c>
      <c r="Q349" s="91">
        <v>45966</v>
      </c>
      <c r="R349" s="140" t="str">
        <v>10/6 Left VM</v>
      </c>
      <c r="S349" s="92">
        <v>0</v>
      </c>
      <c r="T349" s="92">
        <v>0</v>
      </c>
      <c r="U349" s="137">
        <v>0</v>
      </c>
      <c r="V349" s="126" t="str">
        <f t="shared" si="10"/>
        <v>❌ Not on Best Plan</v>
      </c>
      <c r="W349" s="130" t="str">
        <f>IFERROR(_xlfn.XLOOKUP(TEXT(H349,"0000000000"),'📞 Call Tracker'!A$2:A$2000,'📞 Call Tracker'!B$2:B$2000,""),"")</f>
        <v/>
      </c>
      <c r="X349" s="96" t="str">
        <f>IFERROR(_xlfn.XLOOKUP(TEXT(H349,"0000000000"),'📞 Call Tracker'!A$2:A$2000,'📞 Call Tracker'!C$2:C$2000,""),"")</f>
        <v/>
      </c>
      <c r="Y349" s="95" t="str">
        <f>IFERROR(_xlfn.XLOOKUP(TEXT(H349,"0000000000"),'📞 Call Tracker'!A$2:A$2000,'📞 Call Tracker'!D$2:D$2000,""),"")</f>
        <v/>
      </c>
      <c r="Z349" s="95" t="str">
        <f>IFERROR(_xlfn.XLOOKUP(TEXT(H349,"0000000000"),'📞 Call Tracker'!A$2:A$2000,'📞 Call Tracker'!E$2:E$2000,""),"")</f>
        <v/>
      </c>
      <c r="AA349" s="145" t="str">
        <f>IFERROR(_xlfn.XLOOKUP(TEXT(H349,"0000000000"),'📞 Call Tracker'!A$2:A$2000,'📞 Call Tracker'!F$2:F$2000,""),"")</f>
        <v/>
      </c>
      <c r="AB349" s="132">
        <f t="shared" si="11"/>
        <v>2</v>
      </c>
      <c r="AC349" s="79"/>
    </row>
    <row r="350" spans="1:29" ht="20.100000000000001" customHeight="1">
      <c r="A350" s="91">
        <v>45903</v>
      </c>
      <c r="B350" s="92" t="str">
        <v>Niehaus</v>
      </c>
      <c r="C350" s="92" t="str">
        <v>Brett</v>
      </c>
      <c r="D350" s="92" t="str">
        <v>Gilbert</v>
      </c>
      <c r="E350" s="92">
        <v>85234</v>
      </c>
      <c r="F350" s="137" t="str">
        <v>Form letter</v>
      </c>
      <c r="G350" s="93" t="str">
        <v>https://images.edocket.azcc.gov/docketpdf/E000046204.pdf</v>
      </c>
      <c r="H350" s="150" t="s">
        <v>6670</v>
      </c>
      <c r="I350" s="114" t="str">
        <v>RTOUE47</v>
      </c>
      <c r="J350" s="94" t="str">
        <v>No</v>
      </c>
      <c r="K350" s="94" t="str">
        <v>No</v>
      </c>
      <c r="L350" s="137" t="str">
        <v>No MEP R3-47($281.20)</v>
      </c>
      <c r="M350" s="94" t="str">
        <v>No</v>
      </c>
      <c r="N350" s="134" t="str">
        <v>No</v>
      </c>
      <c r="O350" s="119" t="str">
        <v>Yes</v>
      </c>
      <c r="P350" s="92">
        <v>45936</v>
      </c>
      <c r="Q350" s="91">
        <v>45966</v>
      </c>
      <c r="R350" s="140" t="str">
        <v>10/6 Left VM</v>
      </c>
      <c r="S350" s="92">
        <v>0</v>
      </c>
      <c r="T350" s="92">
        <v>0</v>
      </c>
      <c r="U350" s="137">
        <v>0</v>
      </c>
      <c r="V350" s="126" t="str">
        <f t="shared" si="10"/>
        <v>❌ Not on Best Plan</v>
      </c>
      <c r="W350" s="130" t="str">
        <f>IFERROR(_xlfn.XLOOKUP(TEXT(H350,"0000000000"),'📞 Call Tracker'!A$2:A$2000,'📞 Call Tracker'!B$2:B$2000,""),"")</f>
        <v/>
      </c>
      <c r="X350" s="96" t="str">
        <f>IFERROR(_xlfn.XLOOKUP(TEXT(H350,"0000000000"),'📞 Call Tracker'!A$2:A$2000,'📞 Call Tracker'!C$2:C$2000,""),"")</f>
        <v/>
      </c>
      <c r="Y350" s="95" t="str">
        <f>IFERROR(_xlfn.XLOOKUP(TEXT(H350,"0000000000"),'📞 Call Tracker'!A$2:A$2000,'📞 Call Tracker'!D$2:D$2000,""),"")</f>
        <v/>
      </c>
      <c r="Z350" s="95" t="str">
        <f>IFERROR(_xlfn.XLOOKUP(TEXT(H350,"0000000000"),'📞 Call Tracker'!A$2:A$2000,'📞 Call Tracker'!E$2:E$2000,""),"")</f>
        <v/>
      </c>
      <c r="AA350" s="145" t="str">
        <f>IFERROR(_xlfn.XLOOKUP(TEXT(H350,"0000000000"),'📞 Call Tracker'!A$2:A$2000,'📞 Call Tracker'!F$2:F$2000,""),"")</f>
        <v/>
      </c>
      <c r="AB350" s="132">
        <f t="shared" si="11"/>
        <v>2</v>
      </c>
      <c r="AC350" s="79"/>
    </row>
    <row r="351" spans="1:29" ht="20.100000000000001" customHeight="1">
      <c r="A351" s="91">
        <v>45903</v>
      </c>
      <c r="B351" s="92" t="str">
        <v>Carlson</v>
      </c>
      <c r="C351" s="92" t="str">
        <v>Lorri</v>
      </c>
      <c r="D351" s="92" t="str">
        <v>Prescott</v>
      </c>
      <c r="E351" s="92">
        <v>86304</v>
      </c>
      <c r="F351" s="137" t="str">
        <v>Opposed</v>
      </c>
      <c r="G351" s="93" t="str">
        <v>https://images.edocket.azcc.gov/docketpdf/E000046204.pdf</v>
      </c>
      <c r="H351" s="150" t="s">
        <v>6671</v>
      </c>
      <c r="I351" s="114" t="str">
        <v>R-XS</v>
      </c>
      <c r="J351" s="94" t="str">
        <v>No</v>
      </c>
      <c r="K351" s="94" t="str">
        <v>No</v>
      </c>
      <c r="L351" s="137" t="str">
        <v>Yes</v>
      </c>
      <c r="M351" s="94" t="str">
        <v>No</v>
      </c>
      <c r="N351" s="134" t="str">
        <v>No</v>
      </c>
      <c r="O351" s="119" t="str">
        <v>Yes</v>
      </c>
      <c r="P351" s="92" t="str">
        <v>N</v>
      </c>
      <c r="Q351" s="91">
        <v>45966</v>
      </c>
      <c r="R351" s="140">
        <v>0</v>
      </c>
      <c r="S351" s="92">
        <v>0</v>
      </c>
      <c r="T351" s="92">
        <v>0</v>
      </c>
      <c r="U351" s="137">
        <v>0</v>
      </c>
      <c r="V351" s="126" t="str">
        <f t="shared" si="10"/>
        <v>✅ On Best Plan</v>
      </c>
      <c r="W351" s="130" t="str">
        <f>IFERROR(_xlfn.XLOOKUP(TEXT(H351,"0000000000"),'📞 Call Tracker'!A$2:A$2000,'📞 Call Tracker'!B$2:B$2000,""),"")</f>
        <v/>
      </c>
      <c r="X351" s="96" t="str">
        <f>IFERROR(_xlfn.XLOOKUP(TEXT(H351,"0000000000"),'📞 Call Tracker'!A$2:A$2000,'📞 Call Tracker'!C$2:C$2000,""),"")</f>
        <v/>
      </c>
      <c r="Y351" s="95" t="str">
        <f>IFERROR(_xlfn.XLOOKUP(TEXT(H351,"0000000000"),'📞 Call Tracker'!A$2:A$2000,'📞 Call Tracker'!D$2:D$2000,""),"")</f>
        <v/>
      </c>
      <c r="Z351" s="95" t="str">
        <f>IFERROR(_xlfn.XLOOKUP(TEXT(H351,"0000000000"),'📞 Call Tracker'!A$2:A$2000,'📞 Call Tracker'!E$2:E$2000,""),"")</f>
        <v/>
      </c>
      <c r="AA351" s="145" t="str">
        <f>IFERROR(_xlfn.XLOOKUP(TEXT(H351,"0000000000"),'📞 Call Tracker'!A$2:A$2000,'📞 Call Tracker'!F$2:F$2000,""),"")</f>
        <v/>
      </c>
      <c r="AB351" s="132">
        <f t="shared" si="11"/>
        <v>4</v>
      </c>
      <c r="AC351" s="79"/>
    </row>
    <row r="352" spans="1:29" ht="20.100000000000001" customHeight="1">
      <c r="A352" s="91">
        <v>45903</v>
      </c>
      <c r="B352" s="92" t="str">
        <v>Sather</v>
      </c>
      <c r="C352" s="92" t="str">
        <v>Vance</v>
      </c>
      <c r="D352" s="92" t="str">
        <v>Goodyear</v>
      </c>
      <c r="E352" s="92">
        <v>85395</v>
      </c>
      <c r="F352" s="137" t="str">
        <v>Opposed</v>
      </c>
      <c r="G352" s="93" t="str">
        <v>https://images.edocket.azcc.gov/docketpdf/E000046204.pdf</v>
      </c>
      <c r="H352" s="150" t="s">
        <v>6672</v>
      </c>
      <c r="I352" s="114" t="str">
        <v>R-XS</v>
      </c>
      <c r="J352" s="94" t="str">
        <v>No</v>
      </c>
      <c r="K352" s="94" t="str">
        <v>No</v>
      </c>
      <c r="L352" s="137" t="str">
        <v>Yes</v>
      </c>
      <c r="M352" s="94" t="str">
        <v>No</v>
      </c>
      <c r="N352" s="134" t="str">
        <v>No</v>
      </c>
      <c r="O352" s="119" t="str">
        <v>Yes</v>
      </c>
      <c r="P352" s="92" t="str">
        <v>N</v>
      </c>
      <c r="Q352" s="91">
        <v>45966</v>
      </c>
      <c r="R352" s="140">
        <v>0</v>
      </c>
      <c r="S352" s="92">
        <v>0</v>
      </c>
      <c r="T352" s="92">
        <v>0</v>
      </c>
      <c r="U352" s="137">
        <v>0</v>
      </c>
      <c r="V352" s="126" t="str">
        <f t="shared" si="10"/>
        <v>✅ On Best Plan</v>
      </c>
      <c r="W352" s="130" t="str">
        <f>IFERROR(_xlfn.XLOOKUP(TEXT(H352,"0000000000"),'📞 Call Tracker'!A$2:A$2000,'📞 Call Tracker'!B$2:B$2000,""),"")</f>
        <v/>
      </c>
      <c r="X352" s="96" t="str">
        <f>IFERROR(_xlfn.XLOOKUP(TEXT(H352,"0000000000"),'📞 Call Tracker'!A$2:A$2000,'📞 Call Tracker'!C$2:C$2000,""),"")</f>
        <v/>
      </c>
      <c r="Y352" s="95" t="str">
        <f>IFERROR(_xlfn.XLOOKUP(TEXT(H352,"0000000000"),'📞 Call Tracker'!A$2:A$2000,'📞 Call Tracker'!D$2:D$2000,""),"")</f>
        <v/>
      </c>
      <c r="Z352" s="95" t="str">
        <f>IFERROR(_xlfn.XLOOKUP(TEXT(H352,"0000000000"),'📞 Call Tracker'!A$2:A$2000,'📞 Call Tracker'!E$2:E$2000,""),"")</f>
        <v/>
      </c>
      <c r="AA352" s="145" t="str">
        <f>IFERROR(_xlfn.XLOOKUP(TEXT(H352,"0000000000"),'📞 Call Tracker'!A$2:A$2000,'📞 Call Tracker'!F$2:F$2000,""),"")</f>
        <v/>
      </c>
      <c r="AB352" s="132">
        <f t="shared" si="11"/>
        <v>4</v>
      </c>
      <c r="AC352" s="79"/>
    </row>
    <row r="353" spans="1:29" ht="20.100000000000001" customHeight="1">
      <c r="A353" s="91">
        <v>45903</v>
      </c>
      <c r="B353" s="92" t="str">
        <v>Prather</v>
      </c>
      <c r="C353" s="92" t="str">
        <v>Renee</v>
      </c>
      <c r="D353" s="92" t="str">
        <v>Somerton</v>
      </c>
      <c r="E353" s="92">
        <v>85350</v>
      </c>
      <c r="F353" s="137" t="str">
        <v>Opposed</v>
      </c>
      <c r="G353" s="93" t="str">
        <v>https://images.edocket.azcc.gov/docketpdf/E000046204.pdf</v>
      </c>
      <c r="H353" s="150" t="s">
        <v>6673</v>
      </c>
      <c r="I353" s="114" t="str">
        <v>RCPw/RTOUE47</v>
      </c>
      <c r="J353" s="94" t="str">
        <v>Yes</v>
      </c>
      <c r="K353" s="94" t="str">
        <v>No</v>
      </c>
      <c r="L353" s="137" t="str">
        <v>Yes</v>
      </c>
      <c r="M353" s="94" t="str">
        <v>No</v>
      </c>
      <c r="N353" s="134" t="str">
        <v>No</v>
      </c>
      <c r="O353" s="119" t="str">
        <v>Yes</v>
      </c>
      <c r="P353" s="92" t="str">
        <v>N</v>
      </c>
      <c r="Q353" s="91">
        <v>45966</v>
      </c>
      <c r="R353" s="140">
        <v>0</v>
      </c>
      <c r="S353" s="92">
        <v>0</v>
      </c>
      <c r="T353" s="92">
        <v>0</v>
      </c>
      <c r="U353" s="137">
        <v>0</v>
      </c>
      <c r="V353" s="126" t="str">
        <f t="shared" si="10"/>
        <v>✅ On Best Plan</v>
      </c>
      <c r="W353" s="130" t="str">
        <f>IFERROR(_xlfn.XLOOKUP(TEXT(H353,"0000000000"),'📞 Call Tracker'!A$2:A$2000,'📞 Call Tracker'!B$2:B$2000,""),"")</f>
        <v/>
      </c>
      <c r="X353" s="96" t="str">
        <f>IFERROR(_xlfn.XLOOKUP(TEXT(H353,"0000000000"),'📞 Call Tracker'!A$2:A$2000,'📞 Call Tracker'!C$2:C$2000,""),"")</f>
        <v/>
      </c>
      <c r="Y353" s="95" t="str">
        <f>IFERROR(_xlfn.XLOOKUP(TEXT(H353,"0000000000"),'📞 Call Tracker'!A$2:A$2000,'📞 Call Tracker'!D$2:D$2000,""),"")</f>
        <v/>
      </c>
      <c r="Z353" s="95" t="str">
        <f>IFERROR(_xlfn.XLOOKUP(TEXT(H353,"0000000000"),'📞 Call Tracker'!A$2:A$2000,'📞 Call Tracker'!E$2:E$2000,""),"")</f>
        <v/>
      </c>
      <c r="AA353" s="145" t="str">
        <f>IFERROR(_xlfn.XLOOKUP(TEXT(H353,"0000000000"),'📞 Call Tracker'!A$2:A$2000,'📞 Call Tracker'!F$2:F$2000,""),"")</f>
        <v/>
      </c>
      <c r="AB353" s="132">
        <f t="shared" si="11"/>
        <v>4</v>
      </c>
      <c r="AC353" s="79"/>
    </row>
    <row r="354" spans="1:29" ht="20.100000000000001" customHeight="1">
      <c r="A354" s="91">
        <v>45903</v>
      </c>
      <c r="B354" s="92" t="str">
        <v>Maldonado</v>
      </c>
      <c r="C354" s="92" t="str">
        <v>Sebastian</v>
      </c>
      <c r="D354" s="92" t="str">
        <v>Glendale</v>
      </c>
      <c r="E354" s="92">
        <v>85308</v>
      </c>
      <c r="F354" s="137" t="str">
        <v>Form letter</v>
      </c>
      <c r="G354" s="93" t="str">
        <v>https://images.edocket.azcc.gov/docketpdf/E000046204.pdf</v>
      </c>
      <c r="H354" s="150" t="s">
        <v>6674</v>
      </c>
      <c r="I354" s="114" t="str">
        <v>R3-47</v>
      </c>
      <c r="J354" s="94" t="str">
        <v>No</v>
      </c>
      <c r="K354" s="94" t="str">
        <v>No</v>
      </c>
      <c r="L354" s="137" t="str">
        <v>No MEP R-BASIC($219.04)</v>
      </c>
      <c r="M354" s="94" t="str">
        <v>No</v>
      </c>
      <c r="N354" s="134" t="str">
        <v>No</v>
      </c>
      <c r="O354" s="119" t="str">
        <v>Yes</v>
      </c>
      <c r="P354" s="92">
        <v>0</v>
      </c>
      <c r="Q354" s="91">
        <v>45966</v>
      </c>
      <c r="R354" s="140">
        <v>0</v>
      </c>
      <c r="S354" s="92">
        <v>0</v>
      </c>
      <c r="T354" s="92">
        <v>0</v>
      </c>
      <c r="U354" s="137">
        <v>0</v>
      </c>
      <c r="V354" s="126" t="str">
        <f t="shared" si="10"/>
        <v>❌ Not on Best Plan</v>
      </c>
      <c r="W354" s="130" t="str">
        <f>IFERROR(_xlfn.XLOOKUP(TEXT(H354,"0000000000"),'📞 Call Tracker'!A$2:A$2000,'📞 Call Tracker'!B$2:B$2000,""),"")</f>
        <v/>
      </c>
      <c r="X354" s="96" t="str">
        <f>IFERROR(_xlfn.XLOOKUP(TEXT(H354,"0000000000"),'📞 Call Tracker'!A$2:A$2000,'📞 Call Tracker'!C$2:C$2000,""),"")</f>
        <v/>
      </c>
      <c r="Y354" s="95" t="str">
        <f>IFERROR(_xlfn.XLOOKUP(TEXT(H354,"0000000000"),'📞 Call Tracker'!A$2:A$2000,'📞 Call Tracker'!D$2:D$2000,""),"")</f>
        <v/>
      </c>
      <c r="Z354" s="95" t="str">
        <f>IFERROR(_xlfn.XLOOKUP(TEXT(H354,"0000000000"),'📞 Call Tracker'!A$2:A$2000,'📞 Call Tracker'!E$2:E$2000,""),"")</f>
        <v/>
      </c>
      <c r="AA354" s="145" t="str">
        <f>IFERROR(_xlfn.XLOOKUP(TEXT(H354,"0000000000"),'📞 Call Tracker'!A$2:A$2000,'📞 Call Tracker'!F$2:F$2000,""),"")</f>
        <v/>
      </c>
      <c r="AB354" s="132">
        <f t="shared" si="11"/>
        <v>2</v>
      </c>
      <c r="AC354" s="79"/>
    </row>
    <row r="355" spans="1:29" ht="20.100000000000001" customHeight="1">
      <c r="A355" s="91">
        <v>45903</v>
      </c>
      <c r="B355" s="92" t="str">
        <v>Anderson</v>
      </c>
      <c r="C355" s="92" t="str">
        <v>Sidney</v>
      </c>
      <c r="D355" s="92" t="str">
        <v>Goodyear</v>
      </c>
      <c r="E355" s="92">
        <v>85395</v>
      </c>
      <c r="F355" s="137" t="str">
        <v>Opposed</v>
      </c>
      <c r="G355" s="93" t="str">
        <v>https://images.edocket.azcc.gov/docketpdf/E000046204.pdf</v>
      </c>
      <c r="H355" s="150" t="s">
        <v>6675</v>
      </c>
      <c r="I355" s="114" t="str">
        <v>R-2 SOLAR PARTNER</v>
      </c>
      <c r="J355" s="94" t="str">
        <v>No</v>
      </c>
      <c r="K355" s="94" t="str">
        <v>No</v>
      </c>
      <c r="L355" s="137" t="str">
        <v>Frozen Rate</v>
      </c>
      <c r="M355" s="94" t="str">
        <v>No</v>
      </c>
      <c r="N355" s="134" t="str">
        <v>No</v>
      </c>
      <c r="O355" s="119" t="str">
        <v>Yes</v>
      </c>
      <c r="P355" s="92" t="str">
        <v>N</v>
      </c>
      <c r="Q355" s="91">
        <v>45966</v>
      </c>
      <c r="R355" s="140">
        <v>0</v>
      </c>
      <c r="S355" s="92">
        <v>0</v>
      </c>
      <c r="T355" s="92">
        <v>0</v>
      </c>
      <c r="U355" s="137">
        <v>0</v>
      </c>
      <c r="V355" s="126" t="str">
        <f t="shared" si="10"/>
        <v>❄ Frozen Rate</v>
      </c>
      <c r="W355" s="130" t="str">
        <f>IFERROR(_xlfn.XLOOKUP(TEXT(H355,"0000000000"),'📞 Call Tracker'!A$2:A$2000,'📞 Call Tracker'!B$2:B$2000,""),"")</f>
        <v/>
      </c>
      <c r="X355" s="96" t="str">
        <f>IFERROR(_xlfn.XLOOKUP(TEXT(H355,"0000000000"),'📞 Call Tracker'!A$2:A$2000,'📞 Call Tracker'!C$2:C$2000,""),"")</f>
        <v/>
      </c>
      <c r="Y355" s="95" t="str">
        <f>IFERROR(_xlfn.XLOOKUP(TEXT(H355,"0000000000"),'📞 Call Tracker'!A$2:A$2000,'📞 Call Tracker'!D$2:D$2000,""),"")</f>
        <v/>
      </c>
      <c r="Z355" s="95" t="str">
        <f>IFERROR(_xlfn.XLOOKUP(TEXT(H355,"0000000000"),'📞 Call Tracker'!A$2:A$2000,'📞 Call Tracker'!E$2:E$2000,""),"")</f>
        <v/>
      </c>
      <c r="AA355" s="145" t="str">
        <f>IFERROR(_xlfn.XLOOKUP(TEXT(H355,"0000000000"),'📞 Call Tracker'!A$2:A$2000,'📞 Call Tracker'!F$2:F$2000,""),"")</f>
        <v/>
      </c>
      <c r="AB355" s="132">
        <f t="shared" si="11"/>
        <v>4</v>
      </c>
      <c r="AC355" s="79"/>
    </row>
    <row r="356" spans="1:29" ht="20.100000000000001" customHeight="1">
      <c r="A356" s="91">
        <v>45903</v>
      </c>
      <c r="B356" s="92" t="str">
        <v>Benkert</v>
      </c>
      <c r="C356" s="92" t="str">
        <v>Jess</v>
      </c>
      <c r="D356" s="92" t="str">
        <v>Payson</v>
      </c>
      <c r="E356" s="92">
        <v>85541</v>
      </c>
      <c r="F356" s="137" t="str">
        <v>Form letter</v>
      </c>
      <c r="G356" s="93" t="str">
        <v>https://images.edocket.azcc.gov/docketpdf/E000046204.pdf</v>
      </c>
      <c r="H356" s="150" t="s">
        <v>6676</v>
      </c>
      <c r="I356" s="114" t="str">
        <v>R3-47</v>
      </c>
      <c r="J356" s="94" t="str">
        <v>No</v>
      </c>
      <c r="K356" s="94" t="str">
        <v>No</v>
      </c>
      <c r="L356" s="137" t="str">
        <v>Yes</v>
      </c>
      <c r="M356" s="94" t="str">
        <v>No</v>
      </c>
      <c r="N356" s="134" t="str">
        <v>No</v>
      </c>
      <c r="O356" s="119" t="str">
        <v>Yes</v>
      </c>
      <c r="P356" s="92" t="str">
        <v>N</v>
      </c>
      <c r="Q356" s="91">
        <v>45966</v>
      </c>
      <c r="R356" s="140">
        <v>0</v>
      </c>
      <c r="S356" s="92">
        <v>0</v>
      </c>
      <c r="T356" s="92">
        <v>0</v>
      </c>
      <c r="U356" s="137">
        <v>0</v>
      </c>
      <c r="V356" s="126" t="str">
        <f t="shared" si="10"/>
        <v>✅ On Best Plan</v>
      </c>
      <c r="W356" s="130" t="str">
        <f>IFERROR(_xlfn.XLOOKUP(TEXT(H356,"0000000000"),'📞 Call Tracker'!A$2:A$2000,'📞 Call Tracker'!B$2:B$2000,""),"")</f>
        <v/>
      </c>
      <c r="X356" s="96" t="str">
        <f>IFERROR(_xlfn.XLOOKUP(TEXT(H356,"0000000000"),'📞 Call Tracker'!A$2:A$2000,'📞 Call Tracker'!C$2:C$2000,""),"")</f>
        <v/>
      </c>
      <c r="Y356" s="95" t="str">
        <f>IFERROR(_xlfn.XLOOKUP(TEXT(H356,"0000000000"),'📞 Call Tracker'!A$2:A$2000,'📞 Call Tracker'!D$2:D$2000,""),"")</f>
        <v/>
      </c>
      <c r="Z356" s="95" t="str">
        <f>IFERROR(_xlfn.XLOOKUP(TEXT(H356,"0000000000"),'📞 Call Tracker'!A$2:A$2000,'📞 Call Tracker'!E$2:E$2000,""),"")</f>
        <v/>
      </c>
      <c r="AA356" s="145" t="str">
        <f>IFERROR(_xlfn.XLOOKUP(TEXT(H356,"0000000000"),'📞 Call Tracker'!A$2:A$2000,'📞 Call Tracker'!F$2:F$2000,""),"")</f>
        <v/>
      </c>
      <c r="AB356" s="132">
        <f t="shared" si="11"/>
        <v>4</v>
      </c>
      <c r="AC356" s="79"/>
    </row>
    <row r="357" spans="1:29" ht="20.100000000000001" customHeight="1">
      <c r="A357" s="91">
        <v>45903</v>
      </c>
      <c r="B357" s="92" t="str">
        <v>Lukson</v>
      </c>
      <c r="C357" s="92" t="str">
        <v>Fred &amp; Carolyn</v>
      </c>
      <c r="D357" s="92" t="str">
        <v>Goodyear</v>
      </c>
      <c r="E357" s="92">
        <v>85395</v>
      </c>
      <c r="F357" s="137" t="str">
        <v>Retired/Fixed income</v>
      </c>
      <c r="G357" s="93" t="str">
        <v>https://images.edocket.azcc.gov/docketpdf/E000046204.pdf</v>
      </c>
      <c r="H357" s="150" t="s">
        <v>6677</v>
      </c>
      <c r="I357" s="114" t="str">
        <v>EPR-6w/E-12</v>
      </c>
      <c r="J357" s="94" t="str">
        <v>No</v>
      </c>
      <c r="K357" s="94" t="str">
        <v>No</v>
      </c>
      <c r="L357" s="137" t="str">
        <v>Frozen Rate</v>
      </c>
      <c r="M357" s="94" t="str">
        <v>No</v>
      </c>
      <c r="N357" s="134" t="str">
        <v>No</v>
      </c>
      <c r="O357" s="119" t="str">
        <v>Yes</v>
      </c>
      <c r="P357" s="92" t="str">
        <v>N</v>
      </c>
      <c r="Q357" s="91">
        <v>45966</v>
      </c>
      <c r="R357" s="140">
        <v>0</v>
      </c>
      <c r="S357" s="92">
        <v>0</v>
      </c>
      <c r="T357" s="92">
        <v>0</v>
      </c>
      <c r="U357" s="137">
        <v>0</v>
      </c>
      <c r="V357" s="126" t="str">
        <f t="shared" si="10"/>
        <v>❄ Frozen Rate</v>
      </c>
      <c r="W357" s="130" t="str">
        <f>IFERROR(_xlfn.XLOOKUP(TEXT(H357,"0000000000"),'📞 Call Tracker'!A$2:A$2000,'📞 Call Tracker'!B$2:B$2000,""),"")</f>
        <v/>
      </c>
      <c r="X357" s="96" t="str">
        <f>IFERROR(_xlfn.XLOOKUP(TEXT(H357,"0000000000"),'📞 Call Tracker'!A$2:A$2000,'📞 Call Tracker'!C$2:C$2000,""),"")</f>
        <v/>
      </c>
      <c r="Y357" s="95" t="str">
        <f>IFERROR(_xlfn.XLOOKUP(TEXT(H357,"0000000000"),'📞 Call Tracker'!A$2:A$2000,'📞 Call Tracker'!D$2:D$2000,""),"")</f>
        <v/>
      </c>
      <c r="Z357" s="95" t="str">
        <f>IFERROR(_xlfn.XLOOKUP(TEXT(H357,"0000000000"),'📞 Call Tracker'!A$2:A$2000,'📞 Call Tracker'!E$2:E$2000,""),"")</f>
        <v/>
      </c>
      <c r="AA357" s="145" t="str">
        <f>IFERROR(_xlfn.XLOOKUP(TEXT(H357,"0000000000"),'📞 Call Tracker'!A$2:A$2000,'📞 Call Tracker'!F$2:F$2000,""),"")</f>
        <v/>
      </c>
      <c r="AB357" s="132">
        <f t="shared" si="11"/>
        <v>4</v>
      </c>
      <c r="AC357" s="79"/>
    </row>
    <row r="358" spans="1:29" ht="20.100000000000001" customHeight="1">
      <c r="A358" s="91">
        <v>45903</v>
      </c>
      <c r="B358" s="92" t="str">
        <v>Williams</v>
      </c>
      <c r="C358" s="92" t="str">
        <v>Nichole</v>
      </c>
      <c r="D358" s="92" t="str">
        <v>Avondale</v>
      </c>
      <c r="E358" s="92">
        <v>85392</v>
      </c>
      <c r="F358" s="137" t="str">
        <v>Opposed</v>
      </c>
      <c r="G358" s="93" t="str">
        <v>https://images.edocket.azcc.gov/docketpdf/E000046204.pdf</v>
      </c>
      <c r="H358" s="150" t="s">
        <v>6678</v>
      </c>
      <c r="I358" s="114" t="str">
        <v>RCPw/RTOUE47</v>
      </c>
      <c r="J358" s="94" t="str">
        <v>No</v>
      </c>
      <c r="K358" s="94" t="str">
        <v>No</v>
      </c>
      <c r="L358" s="137" t="str">
        <v>Y</v>
      </c>
      <c r="M358" s="94" t="str">
        <v>No</v>
      </c>
      <c r="N358" s="134" t="str">
        <v>No</v>
      </c>
      <c r="O358" s="119" t="str">
        <v>Yes</v>
      </c>
      <c r="P358" s="92" t="str">
        <v>N</v>
      </c>
      <c r="Q358" s="91">
        <v>45966</v>
      </c>
      <c r="R358" s="140">
        <v>0</v>
      </c>
      <c r="S358" s="92">
        <v>0</v>
      </c>
      <c r="T358" s="92">
        <v>0</v>
      </c>
      <c r="U358" s="137">
        <v>0</v>
      </c>
      <c r="V358" s="126" t="str">
        <f t="shared" si="10"/>
        <v>✅ On Best Plan</v>
      </c>
      <c r="W358" s="130" t="str">
        <f>IFERROR(_xlfn.XLOOKUP(TEXT(H358,"0000000000"),'📞 Call Tracker'!A$2:A$2000,'📞 Call Tracker'!B$2:B$2000,""),"")</f>
        <v/>
      </c>
      <c r="X358" s="96" t="str">
        <f>IFERROR(_xlfn.XLOOKUP(TEXT(H358,"0000000000"),'📞 Call Tracker'!A$2:A$2000,'📞 Call Tracker'!C$2:C$2000,""),"")</f>
        <v/>
      </c>
      <c r="Y358" s="95" t="str">
        <f>IFERROR(_xlfn.XLOOKUP(TEXT(H358,"0000000000"),'📞 Call Tracker'!A$2:A$2000,'📞 Call Tracker'!D$2:D$2000,""),"")</f>
        <v/>
      </c>
      <c r="Z358" s="95" t="str">
        <f>IFERROR(_xlfn.XLOOKUP(TEXT(H358,"0000000000"),'📞 Call Tracker'!A$2:A$2000,'📞 Call Tracker'!E$2:E$2000,""),"")</f>
        <v/>
      </c>
      <c r="AA358" s="145" t="str">
        <f>IFERROR(_xlfn.XLOOKUP(TEXT(H358,"0000000000"),'📞 Call Tracker'!A$2:A$2000,'📞 Call Tracker'!F$2:F$2000,""),"")</f>
        <v/>
      </c>
      <c r="AB358" s="132">
        <f t="shared" si="11"/>
        <v>4</v>
      </c>
      <c r="AC358" s="79"/>
    </row>
    <row r="359" spans="1:29" ht="20.100000000000001" customHeight="1">
      <c r="A359" s="91">
        <v>45903</v>
      </c>
      <c r="B359" s="92" t="str">
        <v>Malladi</v>
      </c>
      <c r="C359" s="92" t="str">
        <v>Ravindranath</v>
      </c>
      <c r="D359" s="92" t="str">
        <v>Phoenix</v>
      </c>
      <c r="E359" s="92">
        <v>85032</v>
      </c>
      <c r="F359" s="137" t="str">
        <v>Form letter</v>
      </c>
      <c r="G359" s="93" t="str">
        <v>https://images.edocket.azcc.gov/docketpdf/E000046204.pdf</v>
      </c>
      <c r="H359" s="150" t="s">
        <v>6679</v>
      </c>
      <c r="I359" s="114" t="str">
        <v>RCPw/R3-47</v>
      </c>
      <c r="J359" s="94" t="str">
        <v>No</v>
      </c>
      <c r="K359" s="94" t="str">
        <v>No</v>
      </c>
      <c r="L359" s="137" t="str">
        <v>Y</v>
      </c>
      <c r="M359" s="94" t="str">
        <v>No</v>
      </c>
      <c r="N359" s="134" t="str">
        <v>No</v>
      </c>
      <c r="O359" s="119" t="str">
        <v>Yes</v>
      </c>
      <c r="P359" s="92" t="str">
        <v>N</v>
      </c>
      <c r="Q359" s="91">
        <v>45966</v>
      </c>
      <c r="R359" s="140">
        <v>0</v>
      </c>
      <c r="S359" s="92">
        <v>0</v>
      </c>
      <c r="T359" s="92">
        <v>0</v>
      </c>
      <c r="U359" s="137">
        <v>0</v>
      </c>
      <c r="V359" s="126" t="str">
        <f t="shared" si="10"/>
        <v>✅ On Best Plan</v>
      </c>
      <c r="W359" s="130" t="str">
        <f>IFERROR(_xlfn.XLOOKUP(TEXT(H359,"0000000000"),'📞 Call Tracker'!A$2:A$2000,'📞 Call Tracker'!B$2:B$2000,""),"")</f>
        <v/>
      </c>
      <c r="X359" s="96" t="str">
        <f>IFERROR(_xlfn.XLOOKUP(TEXT(H359,"0000000000"),'📞 Call Tracker'!A$2:A$2000,'📞 Call Tracker'!C$2:C$2000,""),"")</f>
        <v/>
      </c>
      <c r="Y359" s="95" t="str">
        <f>IFERROR(_xlfn.XLOOKUP(TEXT(H359,"0000000000"),'📞 Call Tracker'!A$2:A$2000,'📞 Call Tracker'!D$2:D$2000,""),"")</f>
        <v/>
      </c>
      <c r="Z359" s="95" t="str">
        <f>IFERROR(_xlfn.XLOOKUP(TEXT(H359,"0000000000"),'📞 Call Tracker'!A$2:A$2000,'📞 Call Tracker'!E$2:E$2000,""),"")</f>
        <v/>
      </c>
      <c r="AA359" s="145" t="str">
        <f>IFERROR(_xlfn.XLOOKUP(TEXT(H359,"0000000000"),'📞 Call Tracker'!A$2:A$2000,'📞 Call Tracker'!F$2:F$2000,""),"")</f>
        <v/>
      </c>
      <c r="AB359" s="132">
        <f t="shared" si="11"/>
        <v>4</v>
      </c>
      <c r="AC359" s="79"/>
    </row>
    <row r="360" spans="1:29" ht="20.100000000000001" customHeight="1">
      <c r="A360" s="91">
        <v>45903</v>
      </c>
      <c r="B360" s="92" t="str">
        <v>Falkenberg</v>
      </c>
      <c r="C360" s="92" t="str">
        <v>Alexander</v>
      </c>
      <c r="D360" s="92" t="str">
        <v>Surprise</v>
      </c>
      <c r="E360" s="92">
        <v>85379</v>
      </c>
      <c r="F360" s="137" t="str">
        <v>Form letter</v>
      </c>
      <c r="G360" s="93" t="str">
        <v>https://images.edocket.azcc.gov/docketpdf/E000046206.pdf</v>
      </c>
      <c r="H360" s="150" t="s">
        <v>1431</v>
      </c>
      <c r="I360" s="114" t="str">
        <v>R-BASIC</v>
      </c>
      <c r="J360" s="94" t="str">
        <v>No</v>
      </c>
      <c r="K360" s="94" t="str">
        <v>No</v>
      </c>
      <c r="L360" s="137" t="str">
        <v>Yes</v>
      </c>
      <c r="M360" s="94" t="str">
        <v>No</v>
      </c>
      <c r="N360" s="134" t="str">
        <v>No</v>
      </c>
      <c r="O360" s="119" t="str">
        <v>Yes</v>
      </c>
      <c r="P360" s="92" t="str">
        <v>N</v>
      </c>
      <c r="Q360" s="91">
        <v>45966</v>
      </c>
      <c r="R360" s="140">
        <v>0</v>
      </c>
      <c r="S360" s="92">
        <v>0</v>
      </c>
      <c r="T360" s="92">
        <v>0</v>
      </c>
      <c r="U360" s="137">
        <v>0</v>
      </c>
      <c r="V360" s="126" t="str">
        <f t="shared" si="10"/>
        <v>✅ On Best Plan</v>
      </c>
      <c r="W360" s="130">
        <f>IFERROR(_xlfn.XLOOKUP(TEXT(H360,"0000000000"),'📞 Call Tracker'!A$2:A$2000,'📞 Call Tracker'!B$2:B$2000,""),"")</f>
        <v>0</v>
      </c>
      <c r="X360" s="96">
        <f>IFERROR(_xlfn.XLOOKUP(TEXT(H360,"0000000000"),'📞 Call Tracker'!A$2:A$2000,'📞 Call Tracker'!C$2:C$2000,""),"")</f>
        <v>0</v>
      </c>
      <c r="Y360" s="95">
        <f>IFERROR(_xlfn.XLOOKUP(TEXT(H360,"0000000000"),'📞 Call Tracker'!A$2:A$2000,'📞 Call Tracker'!D$2:D$2000,""),"")</f>
        <v>0</v>
      </c>
      <c r="Z360" s="95">
        <f>IFERROR(_xlfn.XLOOKUP(TEXT(H360,"0000000000"),'📞 Call Tracker'!A$2:A$2000,'📞 Call Tracker'!E$2:E$2000,""),"")</f>
        <v>0</v>
      </c>
      <c r="AA360" s="145">
        <f>IFERROR(_xlfn.XLOOKUP(TEXT(H360,"0000000000"),'📞 Call Tracker'!A$2:A$2000,'📞 Call Tracker'!F$2:F$2000,""),"")</f>
        <v>0</v>
      </c>
      <c r="AB360" s="132">
        <f t="shared" si="11"/>
        <v>99</v>
      </c>
      <c r="AC360" s="79"/>
    </row>
    <row r="361" spans="1:29" ht="20.100000000000001" customHeight="1">
      <c r="A361" s="91">
        <v>45903</v>
      </c>
      <c r="B361" s="92" t="str">
        <v>Bucklin</v>
      </c>
      <c r="C361" s="92" t="str">
        <v>Kathryn</v>
      </c>
      <c r="D361" s="92" t="str">
        <v>Avondale</v>
      </c>
      <c r="E361" s="92">
        <v>85392</v>
      </c>
      <c r="F361" s="137" t="str">
        <v>Opposed</v>
      </c>
      <c r="G361" s="93" t="str">
        <v>https://images.edocket.azcc.gov/docketpdf/E000046206.pdf</v>
      </c>
      <c r="H361" s="150" t="s">
        <v>1434</v>
      </c>
      <c r="I361" s="114" t="str">
        <v>R3-47</v>
      </c>
      <c r="J361" s="94" t="str">
        <v>No</v>
      </c>
      <c r="K361" s="94" t="str">
        <v>No</v>
      </c>
      <c r="L361" s="137" t="str">
        <v>Yes</v>
      </c>
      <c r="M361" s="94" t="str">
        <v>No</v>
      </c>
      <c r="N361" s="134" t="str">
        <v>No</v>
      </c>
      <c r="O361" s="119" t="str">
        <v>Yes</v>
      </c>
      <c r="P361" s="92" t="str">
        <v>N</v>
      </c>
      <c r="Q361" s="91">
        <v>45966</v>
      </c>
      <c r="R361" s="140">
        <v>0</v>
      </c>
      <c r="S361" s="92">
        <v>0</v>
      </c>
      <c r="T361" s="92">
        <v>0</v>
      </c>
      <c r="U361" s="137">
        <v>0</v>
      </c>
      <c r="V361" s="126" t="str">
        <f t="shared" si="10"/>
        <v>✅ On Best Plan</v>
      </c>
      <c r="W361" s="130">
        <f>IFERROR(_xlfn.XLOOKUP(TEXT(H361,"0000000000"),'📞 Call Tracker'!A$2:A$2000,'📞 Call Tracker'!B$2:B$2000,""),"")</f>
        <v>0</v>
      </c>
      <c r="X361" s="96">
        <f>IFERROR(_xlfn.XLOOKUP(TEXT(H361,"0000000000"),'📞 Call Tracker'!A$2:A$2000,'📞 Call Tracker'!C$2:C$2000,""),"")</f>
        <v>0</v>
      </c>
      <c r="Y361" s="95">
        <f>IFERROR(_xlfn.XLOOKUP(TEXT(H361,"0000000000"),'📞 Call Tracker'!A$2:A$2000,'📞 Call Tracker'!D$2:D$2000,""),"")</f>
        <v>0</v>
      </c>
      <c r="Z361" s="95">
        <f>IFERROR(_xlfn.XLOOKUP(TEXT(H361,"0000000000"),'📞 Call Tracker'!A$2:A$2000,'📞 Call Tracker'!E$2:E$2000,""),"")</f>
        <v>0</v>
      </c>
      <c r="AA361" s="145">
        <f>IFERROR(_xlfn.XLOOKUP(TEXT(H361,"0000000000"),'📞 Call Tracker'!A$2:A$2000,'📞 Call Tracker'!F$2:F$2000,""),"")</f>
        <v>0</v>
      </c>
      <c r="AB361" s="132">
        <f t="shared" si="11"/>
        <v>99</v>
      </c>
      <c r="AC361" s="79"/>
    </row>
    <row r="362" spans="1:29" ht="20.100000000000001" customHeight="1">
      <c r="A362" s="91">
        <v>45903</v>
      </c>
      <c r="B362" s="92" t="str">
        <v>Nordhaugen</v>
      </c>
      <c r="C362" s="92" t="str">
        <v>Kristian</v>
      </c>
      <c r="D362" s="92" t="str">
        <v>Phoenix</v>
      </c>
      <c r="E362" s="92">
        <v>85345</v>
      </c>
      <c r="F362" s="137" t="str">
        <v>Opposed</v>
      </c>
      <c r="G362" s="93" t="str">
        <v>https://images.edocket.azcc.gov/docketpdf/E000046206.pdf</v>
      </c>
      <c r="H362" s="150" t="s">
        <v>1438</v>
      </c>
      <c r="I362" s="114" t="str">
        <v>R-XS</v>
      </c>
      <c r="J362" s="94" t="str">
        <v>No</v>
      </c>
      <c r="K362" s="94" t="str">
        <v>No</v>
      </c>
      <c r="L362" s="137" t="str">
        <v>No MEP R3-47($65.32)</v>
      </c>
      <c r="M362" s="94" t="str">
        <v>No</v>
      </c>
      <c r="N362" s="134" t="str">
        <v>No</v>
      </c>
      <c r="O362" s="119" t="str">
        <v>Yes</v>
      </c>
      <c r="P362" s="92" t="str">
        <v>N</v>
      </c>
      <c r="Q362" s="91">
        <v>45966</v>
      </c>
      <c r="R362" s="140">
        <v>0</v>
      </c>
      <c r="S362" s="92">
        <v>0</v>
      </c>
      <c r="T362" s="92">
        <v>0</v>
      </c>
      <c r="U362" s="137">
        <v>0</v>
      </c>
      <c r="V362" s="126" t="str">
        <f t="shared" si="10"/>
        <v>❌ Not on Best Plan</v>
      </c>
      <c r="W362" s="130">
        <f>IFERROR(_xlfn.XLOOKUP(TEXT(H362,"0000000000"),'📞 Call Tracker'!A$2:A$2000,'📞 Call Tracker'!B$2:B$2000,""),"")</f>
        <v>0</v>
      </c>
      <c r="X362" s="96">
        <f>IFERROR(_xlfn.XLOOKUP(TEXT(H362,"0000000000"),'📞 Call Tracker'!A$2:A$2000,'📞 Call Tracker'!C$2:C$2000,""),"")</f>
        <v>0</v>
      </c>
      <c r="Y362" s="95">
        <f>IFERROR(_xlfn.XLOOKUP(TEXT(H362,"0000000000"),'📞 Call Tracker'!A$2:A$2000,'📞 Call Tracker'!D$2:D$2000,""),"")</f>
        <v>0</v>
      </c>
      <c r="Z362" s="95">
        <f>IFERROR(_xlfn.XLOOKUP(TEXT(H362,"0000000000"),'📞 Call Tracker'!A$2:A$2000,'📞 Call Tracker'!E$2:E$2000,""),"")</f>
        <v>0</v>
      </c>
      <c r="AA362" s="145">
        <f>IFERROR(_xlfn.XLOOKUP(TEXT(H362,"0000000000"),'📞 Call Tracker'!A$2:A$2000,'📞 Call Tracker'!F$2:F$2000,""),"")</f>
        <v>0</v>
      </c>
      <c r="AB362" s="132">
        <f t="shared" si="11"/>
        <v>99</v>
      </c>
      <c r="AC362" s="79"/>
    </row>
    <row r="363" spans="1:29" ht="20.100000000000001" customHeight="1">
      <c r="A363" s="91">
        <v>45903</v>
      </c>
      <c r="B363" s="92" t="str">
        <v>Tridle</v>
      </c>
      <c r="C363" s="92" t="str">
        <v>Michelle</v>
      </c>
      <c r="D363" s="92" t="str">
        <v>Goodyear</v>
      </c>
      <c r="E363" s="92">
        <v>85338</v>
      </c>
      <c r="F363" s="137" t="str">
        <v>Opposed/fixed income</v>
      </c>
      <c r="G363" s="93" t="str">
        <v>https://images.edocket.azcc.gov/docketpdf/E000046206.pdf</v>
      </c>
      <c r="H363" s="150" t="s">
        <v>6680</v>
      </c>
      <c r="I363" s="114" t="str">
        <v>R3-47</v>
      </c>
      <c r="J363" s="94" t="str">
        <v>No</v>
      </c>
      <c r="K363" s="94" t="str">
        <v>No</v>
      </c>
      <c r="L363" s="137" t="str">
        <v>Yes</v>
      </c>
      <c r="M363" s="94" t="str">
        <v>No</v>
      </c>
      <c r="N363" s="134" t="str">
        <v>No</v>
      </c>
      <c r="O363" s="119" t="str">
        <v>Yes</v>
      </c>
      <c r="P363" s="92" t="str">
        <v>N</v>
      </c>
      <c r="Q363" s="91">
        <v>45966</v>
      </c>
      <c r="R363" s="140">
        <v>0</v>
      </c>
      <c r="S363" s="92">
        <v>0</v>
      </c>
      <c r="T363" s="92">
        <v>0</v>
      </c>
      <c r="U363" s="137">
        <v>0</v>
      </c>
      <c r="V363" s="126" t="str">
        <f t="shared" si="10"/>
        <v>✅ On Best Plan</v>
      </c>
      <c r="W363" s="130" t="str">
        <f>IFERROR(_xlfn.XLOOKUP(TEXT(H363,"0000000000"),'📞 Call Tracker'!A$2:A$2000,'📞 Call Tracker'!B$2:B$2000,""),"")</f>
        <v/>
      </c>
      <c r="X363" s="96" t="str">
        <f>IFERROR(_xlfn.XLOOKUP(TEXT(H363,"0000000000"),'📞 Call Tracker'!A$2:A$2000,'📞 Call Tracker'!C$2:C$2000,""),"")</f>
        <v/>
      </c>
      <c r="Y363" s="95" t="str">
        <f>IFERROR(_xlfn.XLOOKUP(TEXT(H363,"0000000000"),'📞 Call Tracker'!A$2:A$2000,'📞 Call Tracker'!D$2:D$2000,""),"")</f>
        <v/>
      </c>
      <c r="Z363" s="95" t="str">
        <f>IFERROR(_xlfn.XLOOKUP(TEXT(H363,"0000000000"),'📞 Call Tracker'!A$2:A$2000,'📞 Call Tracker'!E$2:E$2000,""),"")</f>
        <v/>
      </c>
      <c r="AA363" s="145" t="str">
        <f>IFERROR(_xlfn.XLOOKUP(TEXT(H363,"0000000000"),'📞 Call Tracker'!A$2:A$2000,'📞 Call Tracker'!F$2:F$2000,""),"")</f>
        <v/>
      </c>
      <c r="AB363" s="132">
        <f t="shared" si="11"/>
        <v>4</v>
      </c>
      <c r="AC363" s="79"/>
    </row>
    <row r="364" spans="1:29" ht="20.100000000000001" customHeight="1">
      <c r="A364" s="91">
        <v>45903</v>
      </c>
      <c r="B364" s="92" t="str">
        <v>Adler</v>
      </c>
      <c r="C364" s="92" t="str">
        <v>Cameron</v>
      </c>
      <c r="D364" s="92" t="str">
        <v>Scottsdale</v>
      </c>
      <c r="E364" s="92">
        <v>85254</v>
      </c>
      <c r="F364" s="137" t="str">
        <v>Outlandish/Opposed</v>
      </c>
      <c r="G364" s="93" t="str">
        <v>https://images.edocket.azcc.gov/docketpdf/E000046206.pdf</v>
      </c>
      <c r="H364" s="150" t="s">
        <v>6681</v>
      </c>
      <c r="I364" s="114" t="str">
        <v>RCPw/RTOUE47</v>
      </c>
      <c r="J364" s="94" t="str">
        <v>No</v>
      </c>
      <c r="K364" s="94" t="str">
        <v>No</v>
      </c>
      <c r="L364" s="137" t="str">
        <v>Yes</v>
      </c>
      <c r="M364" s="94" t="str">
        <v>No</v>
      </c>
      <c r="N364" s="134" t="str">
        <v>No</v>
      </c>
      <c r="O364" s="119" t="str">
        <v>Yes</v>
      </c>
      <c r="P364" s="92" t="str">
        <v>N</v>
      </c>
      <c r="Q364" s="91">
        <v>45966</v>
      </c>
      <c r="R364" s="140">
        <v>0</v>
      </c>
      <c r="S364" s="92">
        <v>0</v>
      </c>
      <c r="T364" s="92">
        <v>0</v>
      </c>
      <c r="U364" s="137">
        <v>0</v>
      </c>
      <c r="V364" s="126" t="str">
        <f t="shared" si="10"/>
        <v>✅ On Best Plan</v>
      </c>
      <c r="W364" s="130" t="str">
        <f>IFERROR(_xlfn.XLOOKUP(TEXT(H364,"0000000000"),'📞 Call Tracker'!A$2:A$2000,'📞 Call Tracker'!B$2:B$2000,""),"")</f>
        <v/>
      </c>
      <c r="X364" s="96" t="str">
        <f>IFERROR(_xlfn.XLOOKUP(TEXT(H364,"0000000000"),'📞 Call Tracker'!A$2:A$2000,'📞 Call Tracker'!C$2:C$2000,""),"")</f>
        <v/>
      </c>
      <c r="Y364" s="95" t="str">
        <f>IFERROR(_xlfn.XLOOKUP(TEXT(H364,"0000000000"),'📞 Call Tracker'!A$2:A$2000,'📞 Call Tracker'!D$2:D$2000,""),"")</f>
        <v/>
      </c>
      <c r="Z364" s="95" t="str">
        <f>IFERROR(_xlfn.XLOOKUP(TEXT(H364,"0000000000"),'📞 Call Tracker'!A$2:A$2000,'📞 Call Tracker'!E$2:E$2000,""),"")</f>
        <v/>
      </c>
      <c r="AA364" s="145" t="str">
        <f>IFERROR(_xlfn.XLOOKUP(TEXT(H364,"0000000000"),'📞 Call Tracker'!A$2:A$2000,'📞 Call Tracker'!F$2:F$2000,""),"")</f>
        <v/>
      </c>
      <c r="AB364" s="132">
        <f t="shared" si="11"/>
        <v>4</v>
      </c>
      <c r="AC364" s="79"/>
    </row>
    <row r="365" spans="1:29" ht="20.100000000000001" customHeight="1">
      <c r="A365" s="91">
        <v>45903</v>
      </c>
      <c r="B365" s="92" t="str">
        <v>Hollander</v>
      </c>
      <c r="C365" s="92" t="str">
        <v>Zachary</v>
      </c>
      <c r="D365" s="92" t="str">
        <v>Prescott</v>
      </c>
      <c r="E365" s="92">
        <v>86305</v>
      </c>
      <c r="F365" s="137" t="str">
        <v>Opposed</v>
      </c>
      <c r="G365" s="93" t="str">
        <v>https://images.edocket.azcc.gov/docketpdf/E000046206.pdf</v>
      </c>
      <c r="H365" s="150" t="s">
        <v>6147</v>
      </c>
      <c r="I365" s="114" t="str">
        <v>RTOUE47</v>
      </c>
      <c r="J365" s="94" t="str">
        <v>No</v>
      </c>
      <c r="K365" s="94" t="str">
        <v>No</v>
      </c>
      <c r="L365" s="137" t="str">
        <v>No MEP R3-47($10.54)</v>
      </c>
      <c r="M365" s="94" t="str">
        <v>No</v>
      </c>
      <c r="N365" s="134" t="str">
        <v>No</v>
      </c>
      <c r="O365" s="119" t="str">
        <v>Yes</v>
      </c>
      <c r="P365" s="92" t="str">
        <v>N</v>
      </c>
      <c r="Q365" s="91">
        <v>45966</v>
      </c>
      <c r="R365" s="140">
        <v>0</v>
      </c>
      <c r="S365" s="92">
        <v>0</v>
      </c>
      <c r="T365" s="92">
        <v>0</v>
      </c>
      <c r="U365" s="137">
        <v>0</v>
      </c>
      <c r="V365" s="126" t="str">
        <f t="shared" si="10"/>
        <v>❌ Not on Best Plan</v>
      </c>
      <c r="W365" s="130" t="str">
        <f>IFERROR(_xlfn.XLOOKUP(TEXT(H365,"0000000000"),'📞 Call Tracker'!A$2:A$2000,'📞 Call Tracker'!B$2:B$2000,""),"")</f>
        <v>Michelle</v>
      </c>
      <c r="X365" s="96">
        <f>IFERROR(_xlfn.XLOOKUP(TEXT(H365,"0000000000"),'📞 Call Tracker'!A$2:A$2000,'📞 Call Tracker'!C$2:C$2000,""),"")</f>
        <v>46074</v>
      </c>
      <c r="Y365" s="95" t="str">
        <f>IFERROR(_xlfn.XLOOKUP(TEXT(H365,"0000000000"),'📞 Call Tracker'!A$2:A$2000,'📞 Call Tracker'!D$2:D$2000,""),"")</f>
        <v>NO</v>
      </c>
      <c r="Z365" s="95" t="str">
        <f>IFERROR(_xlfn.XLOOKUP(TEXT(H365,"0000000000"),'📞 Call Tracker'!A$2:A$2000,'📞 Call Tracker'!E$2:E$2000,""),"")</f>
        <v>General Education</v>
      </c>
      <c r="AA365" s="145" t="str">
        <f>IFERROR(_xlfn.XLOOKUP(TEXT(H365,"0000000000"),'📞 Call Tracker'!A$2:A$2000,'📞 Call Tracker'!F$2:F$2000,""),"")</f>
        <v>SET UP BB $123</v>
      </c>
      <c r="AB365" s="132">
        <f t="shared" si="11"/>
        <v>99</v>
      </c>
      <c r="AC365" s="79"/>
    </row>
    <row r="366" spans="1:29" ht="20.100000000000001" customHeight="1">
      <c r="A366" s="91">
        <v>45903</v>
      </c>
      <c r="B366" s="92" t="str">
        <v>Horta</v>
      </c>
      <c r="C366" s="92" t="str">
        <v>Emilio</v>
      </c>
      <c r="D366" s="92" t="str">
        <v>Prescott</v>
      </c>
      <c r="E366" s="92">
        <v>86303</v>
      </c>
      <c r="F366" s="137" t="str">
        <v>Form letter</v>
      </c>
      <c r="G366" s="93" t="str">
        <v>https://images.edocket.azcc.gov/docketpdf/E000046206.pdf</v>
      </c>
      <c r="H366" s="150" t="s">
        <v>6682</v>
      </c>
      <c r="I366" s="114" t="str">
        <v>R-XS</v>
      </c>
      <c r="J366" s="94" t="str">
        <v>No</v>
      </c>
      <c r="K366" s="94" t="str">
        <v>No</v>
      </c>
      <c r="L366" s="137" t="str">
        <v>Yes</v>
      </c>
      <c r="M366" s="94" t="str">
        <v>No</v>
      </c>
      <c r="N366" s="134" t="str">
        <v>No</v>
      </c>
      <c r="O366" s="119" t="str">
        <v>Yes</v>
      </c>
      <c r="P366" s="92" t="str">
        <v>N</v>
      </c>
      <c r="Q366" s="91">
        <v>45966</v>
      </c>
      <c r="R366" s="140">
        <v>0</v>
      </c>
      <c r="S366" s="92">
        <v>0</v>
      </c>
      <c r="T366" s="92">
        <v>0</v>
      </c>
      <c r="U366" s="137">
        <v>0</v>
      </c>
      <c r="V366" s="126" t="str">
        <f t="shared" si="10"/>
        <v>✅ On Best Plan</v>
      </c>
      <c r="W366" s="130" t="str">
        <f>IFERROR(_xlfn.XLOOKUP(TEXT(H366,"0000000000"),'📞 Call Tracker'!A$2:A$2000,'📞 Call Tracker'!B$2:B$2000,""),"")</f>
        <v/>
      </c>
      <c r="X366" s="96" t="str">
        <f>IFERROR(_xlfn.XLOOKUP(TEXT(H366,"0000000000"),'📞 Call Tracker'!A$2:A$2000,'📞 Call Tracker'!C$2:C$2000,""),"")</f>
        <v/>
      </c>
      <c r="Y366" s="95" t="str">
        <f>IFERROR(_xlfn.XLOOKUP(TEXT(H366,"0000000000"),'📞 Call Tracker'!A$2:A$2000,'📞 Call Tracker'!D$2:D$2000,""),"")</f>
        <v/>
      </c>
      <c r="Z366" s="95" t="str">
        <f>IFERROR(_xlfn.XLOOKUP(TEXT(H366,"0000000000"),'📞 Call Tracker'!A$2:A$2000,'📞 Call Tracker'!E$2:E$2000,""),"")</f>
        <v/>
      </c>
      <c r="AA366" s="145" t="str">
        <f>IFERROR(_xlfn.XLOOKUP(TEXT(H366,"0000000000"),'📞 Call Tracker'!A$2:A$2000,'📞 Call Tracker'!F$2:F$2000,""),"")</f>
        <v/>
      </c>
      <c r="AB366" s="132">
        <f t="shared" si="11"/>
        <v>4</v>
      </c>
      <c r="AC366" s="79"/>
    </row>
    <row r="367" spans="1:29" ht="20.100000000000001" customHeight="1">
      <c r="A367" s="91">
        <v>45903</v>
      </c>
      <c r="B367" s="92" t="str">
        <v>Tremblay</v>
      </c>
      <c r="C367" s="92" t="str">
        <v>Michelle</v>
      </c>
      <c r="D367" s="92" t="str">
        <v>Phoenix</v>
      </c>
      <c r="E367" s="92">
        <v>85020</v>
      </c>
      <c r="F367" s="137" t="str">
        <v>Opposed</v>
      </c>
      <c r="G367" s="93" t="str">
        <v>https://images.edocket.azcc.gov/docketpdf/E000046206.pdf</v>
      </c>
      <c r="H367" s="150" t="s">
        <v>6683</v>
      </c>
      <c r="I367" s="114" t="str">
        <v>RTOUE47</v>
      </c>
      <c r="J367" s="94" t="str">
        <v>No</v>
      </c>
      <c r="K367" s="94" t="str">
        <v>No</v>
      </c>
      <c r="L367" s="137" t="str">
        <v>No MEP R-XS ($209.15)</v>
      </c>
      <c r="M367" s="94" t="str">
        <v>No</v>
      </c>
      <c r="N367" s="134" t="str">
        <v>No</v>
      </c>
      <c r="O367" s="119" t="str">
        <v>Yes</v>
      </c>
      <c r="P367" s="92">
        <v>45940</v>
      </c>
      <c r="Q367" s="91">
        <v>45966</v>
      </c>
      <c r="R367" s="140" t="str">
        <v xml:space="preserve">10/10 - Spoke to customer about MEP - will review online before deciding to switch </v>
      </c>
      <c r="S367" s="92">
        <v>0</v>
      </c>
      <c r="T367" s="92">
        <v>0</v>
      </c>
      <c r="U367" s="137">
        <v>0</v>
      </c>
      <c r="V367" s="126" t="str">
        <f t="shared" si="10"/>
        <v>❌ Not on Best Plan</v>
      </c>
      <c r="W367" s="130" t="str">
        <f>IFERROR(_xlfn.XLOOKUP(TEXT(H367,"0000000000"),'📞 Call Tracker'!A$2:A$2000,'📞 Call Tracker'!B$2:B$2000,""),"")</f>
        <v/>
      </c>
      <c r="X367" s="96" t="str">
        <f>IFERROR(_xlfn.XLOOKUP(TEXT(H367,"0000000000"),'📞 Call Tracker'!A$2:A$2000,'📞 Call Tracker'!C$2:C$2000,""),"")</f>
        <v/>
      </c>
      <c r="Y367" s="95" t="str">
        <f>IFERROR(_xlfn.XLOOKUP(TEXT(H367,"0000000000"),'📞 Call Tracker'!A$2:A$2000,'📞 Call Tracker'!D$2:D$2000,""),"")</f>
        <v/>
      </c>
      <c r="Z367" s="95" t="str">
        <f>IFERROR(_xlfn.XLOOKUP(TEXT(H367,"0000000000"),'📞 Call Tracker'!A$2:A$2000,'📞 Call Tracker'!E$2:E$2000,""),"")</f>
        <v/>
      </c>
      <c r="AA367" s="145" t="str">
        <f>IFERROR(_xlfn.XLOOKUP(TEXT(H367,"0000000000"),'📞 Call Tracker'!A$2:A$2000,'📞 Call Tracker'!F$2:F$2000,""),"")</f>
        <v/>
      </c>
      <c r="AB367" s="132">
        <f t="shared" si="11"/>
        <v>2</v>
      </c>
      <c r="AC367" s="79"/>
    </row>
    <row r="368" spans="1:29" ht="20.100000000000001" customHeight="1">
      <c r="A368" s="91">
        <v>45903</v>
      </c>
      <c r="B368" s="92" t="str">
        <v>Skiff</v>
      </c>
      <c r="C368" s="92" t="str">
        <v>Alaura</v>
      </c>
      <c r="D368" s="92" t="str">
        <v>Phoenix</v>
      </c>
      <c r="E368" s="92">
        <v>85029</v>
      </c>
      <c r="F368" s="137" t="str">
        <v>Opposed, just had a rate increase</v>
      </c>
      <c r="G368" s="93" t="str">
        <v>https://images.edocket.azcc.gov/docketpdf/E000046206.pdf</v>
      </c>
      <c r="H368" s="150" t="s">
        <v>6684</v>
      </c>
      <c r="I368" s="114" t="str">
        <v>EPR-6w/ET-2</v>
      </c>
      <c r="J368" s="94" t="str">
        <v>No</v>
      </c>
      <c r="K368" s="94" t="str">
        <v>No</v>
      </c>
      <c r="L368" s="137" t="str">
        <v>Frozen Rate</v>
      </c>
      <c r="M368" s="94" t="str">
        <v>No</v>
      </c>
      <c r="N368" s="134" t="str">
        <v>No</v>
      </c>
      <c r="O368" s="119" t="str">
        <v>Yes</v>
      </c>
      <c r="P368" s="92" t="str">
        <v>N</v>
      </c>
      <c r="Q368" s="91">
        <v>45966</v>
      </c>
      <c r="R368" s="140">
        <v>0</v>
      </c>
      <c r="S368" s="92">
        <v>0</v>
      </c>
      <c r="T368" s="92">
        <v>0</v>
      </c>
      <c r="U368" s="137">
        <v>0</v>
      </c>
      <c r="V368" s="126" t="str">
        <f t="shared" si="10"/>
        <v>❄ Frozen Rate</v>
      </c>
      <c r="W368" s="130" t="str">
        <f>IFERROR(_xlfn.XLOOKUP(TEXT(H368,"0000000000"),'📞 Call Tracker'!A$2:A$2000,'📞 Call Tracker'!B$2:B$2000,""),"")</f>
        <v/>
      </c>
      <c r="X368" s="96" t="str">
        <f>IFERROR(_xlfn.XLOOKUP(TEXT(H368,"0000000000"),'📞 Call Tracker'!A$2:A$2000,'📞 Call Tracker'!C$2:C$2000,""),"")</f>
        <v/>
      </c>
      <c r="Y368" s="95" t="str">
        <f>IFERROR(_xlfn.XLOOKUP(TEXT(H368,"0000000000"),'📞 Call Tracker'!A$2:A$2000,'📞 Call Tracker'!D$2:D$2000,""),"")</f>
        <v/>
      </c>
      <c r="Z368" s="95" t="str">
        <f>IFERROR(_xlfn.XLOOKUP(TEXT(H368,"0000000000"),'📞 Call Tracker'!A$2:A$2000,'📞 Call Tracker'!E$2:E$2000,""),"")</f>
        <v/>
      </c>
      <c r="AA368" s="145" t="str">
        <f>IFERROR(_xlfn.XLOOKUP(TEXT(H368,"0000000000"),'📞 Call Tracker'!A$2:A$2000,'📞 Call Tracker'!F$2:F$2000,""),"")</f>
        <v/>
      </c>
      <c r="AB368" s="132">
        <f t="shared" si="11"/>
        <v>4</v>
      </c>
      <c r="AC368" s="79"/>
    </row>
    <row r="369" spans="1:29" ht="20.100000000000001" customHeight="1">
      <c r="A369" s="91">
        <v>45903</v>
      </c>
      <c r="B369" s="92" t="str">
        <v>DeFilippo</v>
      </c>
      <c r="C369" s="92" t="str">
        <v>Michele</v>
      </c>
      <c r="D369" s="92" t="str">
        <v>Phoenix</v>
      </c>
      <c r="E369" s="92">
        <v>85014</v>
      </c>
      <c r="F369" s="137" t="str">
        <v>Opposed</v>
      </c>
      <c r="G369" s="93" t="str">
        <v>https://images.edocket.azcc.gov/docketpdf/E000046206.pdf</v>
      </c>
      <c r="H369" s="150" t="s">
        <v>6685</v>
      </c>
      <c r="I369" s="114" t="str">
        <v>R-2</v>
      </c>
      <c r="J369" s="94" t="str">
        <v>No</v>
      </c>
      <c r="K369" s="94" t="str">
        <v>No</v>
      </c>
      <c r="L369" s="137" t="str">
        <v>Frozen Rate</v>
      </c>
      <c r="M369" s="94" t="str">
        <v>No</v>
      </c>
      <c r="N369" s="134" t="str">
        <v>No</v>
      </c>
      <c r="O369" s="119" t="str">
        <v>Yes</v>
      </c>
      <c r="P369" s="92" t="str">
        <v>N</v>
      </c>
      <c r="Q369" s="91">
        <v>45966</v>
      </c>
      <c r="R369" s="140">
        <v>0</v>
      </c>
      <c r="S369" s="92">
        <v>0</v>
      </c>
      <c r="T369" s="92">
        <v>0</v>
      </c>
      <c r="U369" s="137">
        <v>0</v>
      </c>
      <c r="V369" s="126" t="str">
        <f t="shared" si="10"/>
        <v>❄ Frozen Rate</v>
      </c>
      <c r="W369" s="130" t="str">
        <f>IFERROR(_xlfn.XLOOKUP(TEXT(H369,"0000000000"),'📞 Call Tracker'!A$2:A$2000,'📞 Call Tracker'!B$2:B$2000,""),"")</f>
        <v/>
      </c>
      <c r="X369" s="96" t="str">
        <f>IFERROR(_xlfn.XLOOKUP(TEXT(H369,"0000000000"),'📞 Call Tracker'!A$2:A$2000,'📞 Call Tracker'!C$2:C$2000,""),"")</f>
        <v/>
      </c>
      <c r="Y369" s="95" t="str">
        <f>IFERROR(_xlfn.XLOOKUP(TEXT(H369,"0000000000"),'📞 Call Tracker'!A$2:A$2000,'📞 Call Tracker'!D$2:D$2000,""),"")</f>
        <v/>
      </c>
      <c r="Z369" s="95" t="str">
        <f>IFERROR(_xlfn.XLOOKUP(TEXT(H369,"0000000000"),'📞 Call Tracker'!A$2:A$2000,'📞 Call Tracker'!E$2:E$2000,""),"")</f>
        <v/>
      </c>
      <c r="AA369" s="145" t="str">
        <f>IFERROR(_xlfn.XLOOKUP(TEXT(H369,"0000000000"),'📞 Call Tracker'!A$2:A$2000,'📞 Call Tracker'!F$2:F$2000,""),"")</f>
        <v/>
      </c>
      <c r="AB369" s="132">
        <f t="shared" si="11"/>
        <v>4</v>
      </c>
      <c r="AC369" s="79"/>
    </row>
    <row r="370" spans="1:29" ht="20.100000000000001" customHeight="1">
      <c r="A370" s="91">
        <v>45903</v>
      </c>
      <c r="B370" s="92" t="str">
        <v>Householder</v>
      </c>
      <c r="C370" s="92" t="str">
        <v>Stephanie</v>
      </c>
      <c r="D370" s="92" t="str">
        <v>Phoenix</v>
      </c>
      <c r="E370" s="92">
        <v>85053</v>
      </c>
      <c r="F370" s="137" t="str">
        <v>Too high of an increase</v>
      </c>
      <c r="G370" s="93" t="str">
        <v>https://images.edocket.azcc.gov/docketpdf/E000046206.pdf</v>
      </c>
      <c r="H370" s="150" t="s">
        <v>6686</v>
      </c>
      <c r="I370" s="114" t="str">
        <v>R3-47</v>
      </c>
      <c r="J370" s="94" t="str">
        <v>No</v>
      </c>
      <c r="K370" s="94" t="str">
        <v>No</v>
      </c>
      <c r="L370" s="137" t="str">
        <v>No MEP R-BASIC($60.78)</v>
      </c>
      <c r="M370" s="94" t="str">
        <v>No</v>
      </c>
      <c r="N370" s="134" t="str">
        <v>No</v>
      </c>
      <c r="O370" s="119" t="str">
        <v>Yes</v>
      </c>
      <c r="P370" s="92" t="str">
        <v>N</v>
      </c>
      <c r="Q370" s="91">
        <v>45966</v>
      </c>
      <c r="R370" s="140">
        <v>0</v>
      </c>
      <c r="S370" s="92">
        <v>0</v>
      </c>
      <c r="T370" s="92">
        <v>0</v>
      </c>
      <c r="U370" s="137">
        <v>0</v>
      </c>
      <c r="V370" s="126" t="str">
        <f t="shared" si="10"/>
        <v>❌ Not on Best Plan</v>
      </c>
      <c r="W370" s="130" t="str">
        <f>IFERROR(_xlfn.XLOOKUP(TEXT(H370,"0000000000"),'📞 Call Tracker'!A$2:A$2000,'📞 Call Tracker'!B$2:B$2000,""),"")</f>
        <v/>
      </c>
      <c r="X370" s="96" t="str">
        <f>IFERROR(_xlfn.XLOOKUP(TEXT(H370,"0000000000"),'📞 Call Tracker'!A$2:A$2000,'📞 Call Tracker'!C$2:C$2000,""),"")</f>
        <v/>
      </c>
      <c r="Y370" s="95" t="str">
        <f>IFERROR(_xlfn.XLOOKUP(TEXT(H370,"0000000000"),'📞 Call Tracker'!A$2:A$2000,'📞 Call Tracker'!D$2:D$2000,""),"")</f>
        <v/>
      </c>
      <c r="Z370" s="95" t="str">
        <f>IFERROR(_xlfn.XLOOKUP(TEXT(H370,"0000000000"),'📞 Call Tracker'!A$2:A$2000,'📞 Call Tracker'!E$2:E$2000,""),"")</f>
        <v/>
      </c>
      <c r="AA370" s="145" t="str">
        <f>IFERROR(_xlfn.XLOOKUP(TEXT(H370,"0000000000"),'📞 Call Tracker'!A$2:A$2000,'📞 Call Tracker'!F$2:F$2000,""),"")</f>
        <v/>
      </c>
      <c r="AB370" s="132">
        <f t="shared" si="11"/>
        <v>2</v>
      </c>
      <c r="AC370" s="79"/>
    </row>
    <row r="371" spans="1:29" ht="20.100000000000001" customHeight="1">
      <c r="A371" s="91">
        <v>45903</v>
      </c>
      <c r="B371" s="92" t="str">
        <v>Krogmann</v>
      </c>
      <c r="C371" s="92" t="str">
        <v>Rachael</v>
      </c>
      <c r="D371" s="92" t="str">
        <v>Phoenix</v>
      </c>
      <c r="E371" s="92">
        <v>85085</v>
      </c>
      <c r="F371" s="137" t="str">
        <v>Opposed</v>
      </c>
      <c r="G371" s="93" t="str">
        <v>https://images.edocket.azcc.gov/docketpdf/E000046206.pdf</v>
      </c>
      <c r="H371" s="150" t="s">
        <v>6015</v>
      </c>
      <c r="I371" s="114" t="str">
        <v>EPR-6w/ET-2</v>
      </c>
      <c r="J371" s="94" t="str">
        <v>No</v>
      </c>
      <c r="K371" s="94" t="str">
        <v>No</v>
      </c>
      <c r="L371" s="137" t="str">
        <v>Frozen Rate</v>
      </c>
      <c r="M371" s="94" t="str">
        <v>No</v>
      </c>
      <c r="N371" s="134" t="str">
        <v>No</v>
      </c>
      <c r="O371" s="119" t="str">
        <v>Yes</v>
      </c>
      <c r="P371" s="92" t="str">
        <v>N</v>
      </c>
      <c r="Q371" s="91">
        <v>45966</v>
      </c>
      <c r="R371" s="140">
        <v>0</v>
      </c>
      <c r="S371" s="92">
        <v>0</v>
      </c>
      <c r="T371" s="92">
        <v>0</v>
      </c>
      <c r="U371" s="137">
        <v>0</v>
      </c>
      <c r="V371" s="126" t="str">
        <f t="shared" si="10"/>
        <v>❄ Frozen Rate</v>
      </c>
      <c r="W371" s="130" t="str">
        <f>IFERROR(_xlfn.XLOOKUP(TEXT(H371,"0000000000"),'📞 Call Tracker'!A$2:A$2000,'📞 Call Tracker'!B$2:B$2000,""),"")</f>
        <v>Michelle</v>
      </c>
      <c r="X371" s="96">
        <f>IFERROR(_xlfn.XLOOKUP(TEXT(H371,"0000000000"),'📞 Call Tracker'!A$2:A$2000,'📞 Call Tracker'!C$2:C$2000,""),"")</f>
        <v>46046</v>
      </c>
      <c r="Y371" s="95" t="str">
        <f>IFERROR(_xlfn.XLOOKUP(TEXT(H371,"0000000000"),'📞 Call Tracker'!A$2:A$2000,'📞 Call Tracker'!D$2:D$2000,""),"")</f>
        <v>NO</v>
      </c>
      <c r="Z371" s="95" t="str">
        <f>IFERROR(_xlfn.XLOOKUP(TEXT(H371,"0000000000"),'📞 Call Tracker'!A$2:A$2000,'📞 Call Tracker'!E$2:E$2000,""),"")</f>
        <v>Rate Change</v>
      </c>
      <c r="AA371" s="145">
        <f>IFERROR(_xlfn.XLOOKUP(TEXT(H371,"0000000000"),'📞 Call Tracker'!A$2:A$2000,'📞 Call Tracker'!F$2:F$2000,""),"")</f>
        <v>0</v>
      </c>
      <c r="AB371" s="132">
        <f t="shared" si="11"/>
        <v>99</v>
      </c>
      <c r="AC371" s="79"/>
    </row>
    <row r="372" spans="1:29" ht="20.100000000000001" customHeight="1">
      <c r="A372" s="91">
        <v>45903</v>
      </c>
      <c r="B372" s="92" t="str">
        <v>Smith</v>
      </c>
      <c r="C372" s="92" t="str">
        <v>Marvella</v>
      </c>
      <c r="D372" s="92" t="str">
        <v>Litchfield Park</v>
      </c>
      <c r="E372" s="92">
        <v>85340</v>
      </c>
      <c r="F372" s="137" t="str">
        <v xml:space="preserve">Fixed income </v>
      </c>
      <c r="G372" s="93" t="str">
        <v>https://images.edocket.azcc.gov/docketpdf/E000046206.pdf</v>
      </c>
      <c r="H372" s="150" t="s">
        <v>6687</v>
      </c>
      <c r="I372" s="114" t="str">
        <v>R3-47</v>
      </c>
      <c r="J372" s="94" t="str">
        <v>No</v>
      </c>
      <c r="K372" s="94" t="str">
        <v>No</v>
      </c>
      <c r="L372" s="137" t="str">
        <v>Yes</v>
      </c>
      <c r="M372" s="94" t="str">
        <v>No</v>
      </c>
      <c r="N372" s="134" t="str">
        <v>No</v>
      </c>
      <c r="O372" s="119" t="str">
        <v>Yes</v>
      </c>
      <c r="P372" s="92" t="str">
        <v>N</v>
      </c>
      <c r="Q372" s="91">
        <v>45966</v>
      </c>
      <c r="R372" s="140">
        <v>0</v>
      </c>
      <c r="S372" s="92">
        <v>0</v>
      </c>
      <c r="T372" s="92">
        <v>0</v>
      </c>
      <c r="U372" s="137">
        <v>0</v>
      </c>
      <c r="V372" s="126" t="str">
        <f t="shared" si="10"/>
        <v>✅ On Best Plan</v>
      </c>
      <c r="W372" s="130" t="str">
        <f>IFERROR(_xlfn.XLOOKUP(TEXT(H372,"0000000000"),'📞 Call Tracker'!A$2:A$2000,'📞 Call Tracker'!B$2:B$2000,""),"")</f>
        <v/>
      </c>
      <c r="X372" s="96" t="str">
        <f>IFERROR(_xlfn.XLOOKUP(TEXT(H372,"0000000000"),'📞 Call Tracker'!A$2:A$2000,'📞 Call Tracker'!C$2:C$2000,""),"")</f>
        <v/>
      </c>
      <c r="Y372" s="95" t="str">
        <f>IFERROR(_xlfn.XLOOKUP(TEXT(H372,"0000000000"),'📞 Call Tracker'!A$2:A$2000,'📞 Call Tracker'!D$2:D$2000,""),"")</f>
        <v/>
      </c>
      <c r="Z372" s="95" t="str">
        <f>IFERROR(_xlfn.XLOOKUP(TEXT(H372,"0000000000"),'📞 Call Tracker'!A$2:A$2000,'📞 Call Tracker'!E$2:E$2000,""),"")</f>
        <v/>
      </c>
      <c r="AA372" s="145" t="str">
        <f>IFERROR(_xlfn.XLOOKUP(TEXT(H372,"0000000000"),'📞 Call Tracker'!A$2:A$2000,'📞 Call Tracker'!F$2:F$2000,""),"")</f>
        <v/>
      </c>
      <c r="AB372" s="132">
        <f t="shared" si="11"/>
        <v>4</v>
      </c>
      <c r="AC372" s="79"/>
    </row>
    <row r="373" spans="1:29" ht="20.100000000000001" customHeight="1">
      <c r="A373" s="91">
        <v>45903</v>
      </c>
      <c r="B373" s="92" t="str">
        <v>Springer</v>
      </c>
      <c r="C373" s="92" t="str">
        <v>John</v>
      </c>
      <c r="D373" s="92" t="str">
        <v>Goodyear</v>
      </c>
      <c r="E373" s="92">
        <v>85338</v>
      </c>
      <c r="F373" s="137" t="str">
        <v>Opposed</v>
      </c>
      <c r="G373" s="93" t="str">
        <v>https://images.edocket.azcc.gov/docketpdf/E000046206.pdf</v>
      </c>
      <c r="H373" s="150" t="s">
        <v>6192</v>
      </c>
      <c r="I373" s="114" t="str">
        <v>EPR-6w/ET-2</v>
      </c>
      <c r="J373" s="94" t="str">
        <v>No</v>
      </c>
      <c r="K373" s="94" t="str">
        <v>No</v>
      </c>
      <c r="L373" s="137" t="str">
        <v>Frozen Rate</v>
      </c>
      <c r="M373" s="94" t="str">
        <v>Yes</v>
      </c>
      <c r="N373" s="134">
        <v>102.79</v>
      </c>
      <c r="O373" s="119" t="str">
        <v>Yes</v>
      </c>
      <c r="P373" s="92" t="str">
        <v>N</v>
      </c>
      <c r="Q373" s="91">
        <v>45966</v>
      </c>
      <c r="R373" s="140">
        <v>0</v>
      </c>
      <c r="S373" s="92">
        <v>0</v>
      </c>
      <c r="T373" s="92">
        <v>0</v>
      </c>
      <c r="U373" s="137">
        <v>0</v>
      </c>
      <c r="V373" s="126" t="str">
        <f t="shared" si="10"/>
        <v>❄ Frozen Rate</v>
      </c>
      <c r="W373" s="130">
        <f>IFERROR(_xlfn.XLOOKUP(TEXT(H373,"0000000000"),'📞 Call Tracker'!A$2:A$2000,'📞 Call Tracker'!B$2:B$2000,""),"")</f>
        <v>0</v>
      </c>
      <c r="X373" s="96">
        <f>IFERROR(_xlfn.XLOOKUP(TEXT(H373,"0000000000"),'📞 Call Tracker'!A$2:A$2000,'📞 Call Tracker'!C$2:C$2000,""),"")</f>
        <v>0</v>
      </c>
      <c r="Y373" s="95">
        <f>IFERROR(_xlfn.XLOOKUP(TEXT(H373,"0000000000"),'📞 Call Tracker'!A$2:A$2000,'📞 Call Tracker'!D$2:D$2000,""),"")</f>
        <v>0</v>
      </c>
      <c r="Z373" s="95">
        <f>IFERROR(_xlfn.XLOOKUP(TEXT(H373,"0000000000"),'📞 Call Tracker'!A$2:A$2000,'📞 Call Tracker'!E$2:E$2000,""),"")</f>
        <v>0</v>
      </c>
      <c r="AA373" s="145">
        <f>IFERROR(_xlfn.XLOOKUP(TEXT(H373,"0000000000"),'📞 Call Tracker'!A$2:A$2000,'📞 Call Tracker'!F$2:F$2000,""),"")</f>
        <v>0</v>
      </c>
      <c r="AB373" s="132">
        <f t="shared" si="11"/>
        <v>99</v>
      </c>
      <c r="AC373" s="79"/>
    </row>
    <row r="374" spans="1:29" ht="20.100000000000001" customHeight="1">
      <c r="A374" s="91">
        <v>45903</v>
      </c>
      <c r="B374" s="92" t="str">
        <v>Gillihan</v>
      </c>
      <c r="C374" s="92" t="str">
        <v>Julie</v>
      </c>
      <c r="D374" s="92" t="str">
        <v>Phoenix</v>
      </c>
      <c r="E374" s="92">
        <v>85028</v>
      </c>
      <c r="F374" s="137" t="str">
        <v>Form letter</v>
      </c>
      <c r="G374" s="93" t="str">
        <v>https://images.edocket.azcc.gov/docketpdf/E000046206.pdf</v>
      </c>
      <c r="H374" s="150" t="s">
        <v>6688</v>
      </c>
      <c r="I374" s="114" t="str">
        <v>EPR-6w/ET-2</v>
      </c>
      <c r="J374" s="94" t="str">
        <v>No</v>
      </c>
      <c r="K374" s="94" t="str">
        <v>No</v>
      </c>
      <c r="L374" s="137" t="str">
        <v>Frozen Rate</v>
      </c>
      <c r="M374" s="94" t="str">
        <v>No</v>
      </c>
      <c r="N374" s="134" t="str">
        <v>No</v>
      </c>
      <c r="O374" s="119" t="str">
        <v>Yes</v>
      </c>
      <c r="P374" s="92" t="str">
        <v>N</v>
      </c>
      <c r="Q374" s="91">
        <v>45966</v>
      </c>
      <c r="R374" s="140">
        <v>0</v>
      </c>
      <c r="S374" s="92">
        <v>0</v>
      </c>
      <c r="T374" s="92">
        <v>0</v>
      </c>
      <c r="U374" s="137">
        <v>0</v>
      </c>
      <c r="V374" s="126" t="str">
        <f t="shared" si="10"/>
        <v>❄ Frozen Rate</v>
      </c>
      <c r="W374" s="130" t="str">
        <f>IFERROR(_xlfn.XLOOKUP(TEXT(H374,"0000000000"),'📞 Call Tracker'!A$2:A$2000,'📞 Call Tracker'!B$2:B$2000,""),"")</f>
        <v/>
      </c>
      <c r="X374" s="96" t="str">
        <f>IFERROR(_xlfn.XLOOKUP(TEXT(H374,"0000000000"),'📞 Call Tracker'!A$2:A$2000,'📞 Call Tracker'!C$2:C$2000,""),"")</f>
        <v/>
      </c>
      <c r="Y374" s="95" t="str">
        <f>IFERROR(_xlfn.XLOOKUP(TEXT(H374,"0000000000"),'📞 Call Tracker'!A$2:A$2000,'📞 Call Tracker'!D$2:D$2000,""),"")</f>
        <v/>
      </c>
      <c r="Z374" s="95" t="str">
        <f>IFERROR(_xlfn.XLOOKUP(TEXT(H374,"0000000000"),'📞 Call Tracker'!A$2:A$2000,'📞 Call Tracker'!E$2:E$2000,""),"")</f>
        <v/>
      </c>
      <c r="AA374" s="145" t="str">
        <f>IFERROR(_xlfn.XLOOKUP(TEXT(H374,"0000000000"),'📞 Call Tracker'!A$2:A$2000,'📞 Call Tracker'!F$2:F$2000,""),"")</f>
        <v/>
      </c>
      <c r="AB374" s="132">
        <f t="shared" si="11"/>
        <v>4</v>
      </c>
      <c r="AC374" s="79"/>
    </row>
    <row r="375" spans="1:29" ht="20.100000000000001" customHeight="1">
      <c r="A375" s="91">
        <v>45903</v>
      </c>
      <c r="B375" s="92" t="str">
        <v>John</v>
      </c>
      <c r="C375" s="92" t="str">
        <v>Frances</v>
      </c>
      <c r="D375" s="92" t="str">
        <v>Scottsdale</v>
      </c>
      <c r="E375" s="92">
        <v>85260</v>
      </c>
      <c r="F375" s="137" t="str">
        <v>Opposed</v>
      </c>
      <c r="G375" s="93" t="str">
        <v>https://images.edocket.azcc.gov/docketpdf/E000046206.pdf</v>
      </c>
      <c r="H375" s="150" t="s">
        <v>6689</v>
      </c>
      <c r="I375" s="114" t="str">
        <v>R3-47</v>
      </c>
      <c r="J375" s="94" t="str">
        <v>No</v>
      </c>
      <c r="K375" s="94" t="str">
        <v>No</v>
      </c>
      <c r="L375" s="137" t="str">
        <v>Yes</v>
      </c>
      <c r="M375" s="94" t="str">
        <v>No</v>
      </c>
      <c r="N375" s="134" t="str">
        <v>No</v>
      </c>
      <c r="O375" s="119" t="str">
        <v>Yes</v>
      </c>
      <c r="P375" s="92" t="str">
        <v>N</v>
      </c>
      <c r="Q375" s="91">
        <v>45966</v>
      </c>
      <c r="R375" s="140">
        <v>0</v>
      </c>
      <c r="S375" s="92">
        <v>0</v>
      </c>
      <c r="T375" s="92">
        <v>0</v>
      </c>
      <c r="U375" s="137">
        <v>0</v>
      </c>
      <c r="V375" s="126" t="str">
        <f t="shared" si="10"/>
        <v>✅ On Best Plan</v>
      </c>
      <c r="W375" s="130" t="str">
        <f>IFERROR(_xlfn.XLOOKUP(TEXT(H375,"0000000000"),'📞 Call Tracker'!A$2:A$2000,'📞 Call Tracker'!B$2:B$2000,""),"")</f>
        <v/>
      </c>
      <c r="X375" s="96" t="str">
        <f>IFERROR(_xlfn.XLOOKUP(TEXT(H375,"0000000000"),'📞 Call Tracker'!A$2:A$2000,'📞 Call Tracker'!C$2:C$2000,""),"")</f>
        <v/>
      </c>
      <c r="Y375" s="95" t="str">
        <f>IFERROR(_xlfn.XLOOKUP(TEXT(H375,"0000000000"),'📞 Call Tracker'!A$2:A$2000,'📞 Call Tracker'!D$2:D$2000,""),"")</f>
        <v/>
      </c>
      <c r="Z375" s="95" t="str">
        <f>IFERROR(_xlfn.XLOOKUP(TEXT(H375,"0000000000"),'📞 Call Tracker'!A$2:A$2000,'📞 Call Tracker'!E$2:E$2000,""),"")</f>
        <v/>
      </c>
      <c r="AA375" s="145" t="str">
        <f>IFERROR(_xlfn.XLOOKUP(TEXT(H375,"0000000000"),'📞 Call Tracker'!A$2:A$2000,'📞 Call Tracker'!F$2:F$2000,""),"")</f>
        <v/>
      </c>
      <c r="AB375" s="132">
        <f t="shared" si="11"/>
        <v>4</v>
      </c>
      <c r="AC375" s="79"/>
    </row>
    <row r="376" spans="1:29" ht="20.100000000000001" customHeight="1">
      <c r="A376" s="91">
        <v>45903</v>
      </c>
      <c r="B376" s="92" t="str">
        <v>Srinivasan</v>
      </c>
      <c r="C376" s="92" t="str">
        <v>Karthikeyan</v>
      </c>
      <c r="D376" s="92" t="str">
        <v>Peoria</v>
      </c>
      <c r="E376" s="92">
        <v>85383</v>
      </c>
      <c r="F376" s="137" t="str">
        <v>Form letter</v>
      </c>
      <c r="G376" s="93" t="str">
        <v>https://images.edocket.azcc.gov/docketpdf/E000046206.pdf</v>
      </c>
      <c r="H376" s="150" t="s">
        <v>479</v>
      </c>
      <c r="I376" s="114" t="str">
        <v>R-BASICL</v>
      </c>
      <c r="J376" s="94" t="str">
        <v>No</v>
      </c>
      <c r="K376" s="94" t="str">
        <v>No</v>
      </c>
      <c r="L376" s="137" t="str">
        <v>No MEP R3-47($156.54)</v>
      </c>
      <c r="M376" s="94" t="str">
        <v>No</v>
      </c>
      <c r="N376" s="134" t="str">
        <v>No</v>
      </c>
      <c r="O376" s="119" t="str">
        <v>Yes</v>
      </c>
      <c r="P376" s="92" t="str">
        <v>N</v>
      </c>
      <c r="Q376" s="91">
        <v>45966</v>
      </c>
      <c r="R376" s="140" t="str">
        <v>10/9 - Account  has already been changed to MEP before call was made</v>
      </c>
      <c r="S376" s="92">
        <v>0</v>
      </c>
      <c r="T376" s="92">
        <v>0</v>
      </c>
      <c r="U376" s="137">
        <v>0</v>
      </c>
      <c r="V376" s="126" t="str">
        <f t="shared" si="10"/>
        <v>❌ Not on Best Plan</v>
      </c>
      <c r="W376" s="130" t="str">
        <f>IFERROR(_xlfn.XLOOKUP(TEXT(H376,"0000000000"),'📞 Call Tracker'!A$2:A$2000,'📞 Call Tracker'!B$2:B$2000,""),"")</f>
        <v>Joaquin</v>
      </c>
      <c r="X376" s="96">
        <f>IFERROR(_xlfn.XLOOKUP(TEXT(H376,"0000000000"),'📞 Call Tracker'!A$2:A$2000,'📞 Call Tracker'!C$2:C$2000,""),"")</f>
        <v>46011</v>
      </c>
      <c r="Y376" s="95" t="str">
        <f>IFERROR(_xlfn.XLOOKUP(TEXT(H376,"0000000000"),'📞 Call Tracker'!A$2:A$2000,'📞 Call Tracker'!D$2:D$2000,""),"")</f>
        <v>YES</v>
      </c>
      <c r="Z376" s="95">
        <f>IFERROR(_xlfn.XLOOKUP(TEXT(H376,"0000000000"),'📞 Call Tracker'!A$2:A$2000,'📞 Call Tracker'!E$2:E$2000,""),"")</f>
        <v>0</v>
      </c>
      <c r="AA376" s="145" t="str">
        <f>IFERROR(_xlfn.XLOOKUP(TEXT(H376,"0000000000"),'📞 Call Tracker'!A$2:A$2000,'📞 Call Tracker'!F$2:F$2000,""),"")</f>
        <v>TIME OF USE PLAN WITH DEMAND BEST PLAN</v>
      </c>
      <c r="AB376" s="132">
        <f t="shared" si="11"/>
        <v>99</v>
      </c>
      <c r="AC376" s="79"/>
    </row>
    <row r="377" spans="1:29" ht="20.100000000000001" customHeight="1">
      <c r="A377" s="91">
        <v>45903</v>
      </c>
      <c r="B377" s="92" t="str">
        <v>Fox</v>
      </c>
      <c r="C377" s="92" t="str">
        <v>Noah</v>
      </c>
      <c r="D377" s="92" t="str">
        <v>Peoria</v>
      </c>
      <c r="E377" s="92">
        <v>85382</v>
      </c>
      <c r="F377" s="137" t="str">
        <v>Form letter</v>
      </c>
      <c r="G377" s="93" t="str">
        <v>https://images.edocket.azcc.gov/docketpdf/E000046206.pdf</v>
      </c>
      <c r="H377" s="150" t="s">
        <v>6690</v>
      </c>
      <c r="I377" s="114" t="str">
        <v>R-XS</v>
      </c>
      <c r="J377" s="94" t="str">
        <v>No</v>
      </c>
      <c r="K377" s="94" t="str">
        <v>No</v>
      </c>
      <c r="L377" s="137" t="str">
        <v>Yes</v>
      </c>
      <c r="M377" s="94" t="str">
        <v>No</v>
      </c>
      <c r="N377" s="134" t="str">
        <v>No</v>
      </c>
      <c r="O377" s="119" t="str">
        <v>Yes</v>
      </c>
      <c r="P377" s="92" t="str">
        <v>N</v>
      </c>
      <c r="Q377" s="91">
        <v>45966</v>
      </c>
      <c r="R377" s="140">
        <v>0</v>
      </c>
      <c r="S377" s="92">
        <v>0</v>
      </c>
      <c r="T377" s="92">
        <v>0</v>
      </c>
      <c r="U377" s="137">
        <v>0</v>
      </c>
      <c r="V377" s="126" t="str">
        <f t="shared" si="10"/>
        <v>✅ On Best Plan</v>
      </c>
      <c r="W377" s="130" t="str">
        <f>IFERROR(_xlfn.XLOOKUP(TEXT(H377,"0000000000"),'📞 Call Tracker'!A$2:A$2000,'📞 Call Tracker'!B$2:B$2000,""),"")</f>
        <v/>
      </c>
      <c r="X377" s="96" t="str">
        <f>IFERROR(_xlfn.XLOOKUP(TEXT(H377,"0000000000"),'📞 Call Tracker'!A$2:A$2000,'📞 Call Tracker'!C$2:C$2000,""),"")</f>
        <v/>
      </c>
      <c r="Y377" s="95" t="str">
        <f>IFERROR(_xlfn.XLOOKUP(TEXT(H377,"0000000000"),'📞 Call Tracker'!A$2:A$2000,'📞 Call Tracker'!D$2:D$2000,""),"")</f>
        <v/>
      </c>
      <c r="Z377" s="95" t="str">
        <f>IFERROR(_xlfn.XLOOKUP(TEXT(H377,"0000000000"),'📞 Call Tracker'!A$2:A$2000,'📞 Call Tracker'!E$2:E$2000,""),"")</f>
        <v/>
      </c>
      <c r="AA377" s="145" t="str">
        <f>IFERROR(_xlfn.XLOOKUP(TEXT(H377,"0000000000"),'📞 Call Tracker'!A$2:A$2000,'📞 Call Tracker'!F$2:F$2000,""),"")</f>
        <v/>
      </c>
      <c r="AB377" s="132">
        <f t="shared" si="11"/>
        <v>4</v>
      </c>
      <c r="AC377" s="79"/>
    </row>
    <row r="378" spans="1:29" ht="20.100000000000001" customHeight="1">
      <c r="A378" s="91">
        <v>45903</v>
      </c>
      <c r="B378" s="92" t="str">
        <v>Ahern</v>
      </c>
      <c r="C378" s="92" t="str">
        <v>Devin</v>
      </c>
      <c r="D378" s="92" t="str">
        <v>Peoria</v>
      </c>
      <c r="E378" s="92">
        <v>85345</v>
      </c>
      <c r="F378" s="137" t="str">
        <v>Opposed</v>
      </c>
      <c r="G378" s="93" t="str">
        <v>https://images.edocket.azcc.gov/docketpdf/E000046206.pdf</v>
      </c>
      <c r="H378" s="150" t="s">
        <v>6691</v>
      </c>
      <c r="I378" s="114" t="str">
        <v>R3-47</v>
      </c>
      <c r="J378" s="94" t="str">
        <v>No</v>
      </c>
      <c r="K378" s="94" t="str">
        <v>No</v>
      </c>
      <c r="L378" s="137" t="str">
        <v>Yes</v>
      </c>
      <c r="M378" s="94" t="str">
        <v>No</v>
      </c>
      <c r="N378" s="134" t="str">
        <v>No</v>
      </c>
      <c r="O378" s="119" t="str">
        <v>Yes</v>
      </c>
      <c r="P378" s="92" t="str">
        <v>N</v>
      </c>
      <c r="Q378" s="91">
        <v>45966</v>
      </c>
      <c r="R378" s="140">
        <v>0</v>
      </c>
      <c r="S378" s="92">
        <v>0</v>
      </c>
      <c r="T378" s="92">
        <v>0</v>
      </c>
      <c r="U378" s="137">
        <v>0</v>
      </c>
      <c r="V378" s="126" t="str">
        <f t="shared" si="10"/>
        <v>✅ On Best Plan</v>
      </c>
      <c r="W378" s="130" t="str">
        <f>IFERROR(_xlfn.XLOOKUP(TEXT(H378,"0000000000"),'📞 Call Tracker'!A$2:A$2000,'📞 Call Tracker'!B$2:B$2000,""),"")</f>
        <v/>
      </c>
      <c r="X378" s="96" t="str">
        <f>IFERROR(_xlfn.XLOOKUP(TEXT(H378,"0000000000"),'📞 Call Tracker'!A$2:A$2000,'📞 Call Tracker'!C$2:C$2000,""),"")</f>
        <v/>
      </c>
      <c r="Y378" s="95" t="str">
        <f>IFERROR(_xlfn.XLOOKUP(TEXT(H378,"0000000000"),'📞 Call Tracker'!A$2:A$2000,'📞 Call Tracker'!D$2:D$2000,""),"")</f>
        <v/>
      </c>
      <c r="Z378" s="95" t="str">
        <f>IFERROR(_xlfn.XLOOKUP(TEXT(H378,"0000000000"),'📞 Call Tracker'!A$2:A$2000,'📞 Call Tracker'!E$2:E$2000,""),"")</f>
        <v/>
      </c>
      <c r="AA378" s="145" t="str">
        <f>IFERROR(_xlfn.XLOOKUP(TEXT(H378,"0000000000"),'📞 Call Tracker'!A$2:A$2000,'📞 Call Tracker'!F$2:F$2000,""),"")</f>
        <v/>
      </c>
      <c r="AB378" s="132">
        <f t="shared" si="11"/>
        <v>4</v>
      </c>
      <c r="AC378" s="79"/>
    </row>
    <row r="379" spans="1:29" ht="20.100000000000001" customHeight="1">
      <c r="A379" s="91">
        <v>45903</v>
      </c>
      <c r="B379" s="92" t="str">
        <v>Parsons</v>
      </c>
      <c r="C379" s="92" t="str">
        <v>John</v>
      </c>
      <c r="D379" s="92" t="str">
        <v>Prescott Valley</v>
      </c>
      <c r="E379" s="92">
        <v>86315</v>
      </c>
      <c r="F379" s="137" t="str">
        <v>Opposed</v>
      </c>
      <c r="G379" s="93" t="str">
        <v>https://images.edocket.azcc.gov/docketpdf/E000046206.pdf</v>
      </c>
      <c r="H379" s="150" t="s">
        <v>6692</v>
      </c>
      <c r="I379" s="114" t="str">
        <v>RCPw/RTOUE47</v>
      </c>
      <c r="J379" s="94" t="str">
        <v>No</v>
      </c>
      <c r="K379" s="94" t="str">
        <v>No</v>
      </c>
      <c r="L379" s="137" t="str">
        <v>Yes</v>
      </c>
      <c r="M379" s="94" t="str">
        <v>Yes</v>
      </c>
      <c r="N379" s="134">
        <v>105.18</v>
      </c>
      <c r="O379" s="119" t="str">
        <v>Yes</v>
      </c>
      <c r="P379" s="92" t="str">
        <v>N</v>
      </c>
      <c r="Q379" s="91">
        <v>45966</v>
      </c>
      <c r="R379" s="140">
        <v>0</v>
      </c>
      <c r="S379" s="92">
        <v>0</v>
      </c>
      <c r="T379" s="92">
        <v>0</v>
      </c>
      <c r="U379" s="137">
        <v>0</v>
      </c>
      <c r="V379" s="126" t="str">
        <f t="shared" si="10"/>
        <v>✅ On Best Plan</v>
      </c>
      <c r="W379" s="130" t="str">
        <f>IFERROR(_xlfn.XLOOKUP(TEXT(H379,"0000000000"),'📞 Call Tracker'!A$2:A$2000,'📞 Call Tracker'!B$2:B$2000,""),"")</f>
        <v/>
      </c>
      <c r="X379" s="96" t="str">
        <f>IFERROR(_xlfn.XLOOKUP(TEXT(H379,"0000000000"),'📞 Call Tracker'!A$2:A$2000,'📞 Call Tracker'!C$2:C$2000,""),"")</f>
        <v/>
      </c>
      <c r="Y379" s="95" t="str">
        <f>IFERROR(_xlfn.XLOOKUP(TEXT(H379,"0000000000"),'📞 Call Tracker'!A$2:A$2000,'📞 Call Tracker'!D$2:D$2000,""),"")</f>
        <v/>
      </c>
      <c r="Z379" s="95" t="str">
        <f>IFERROR(_xlfn.XLOOKUP(TEXT(H379,"0000000000"),'📞 Call Tracker'!A$2:A$2000,'📞 Call Tracker'!E$2:E$2000,""),"")</f>
        <v/>
      </c>
      <c r="AA379" s="145" t="str">
        <f>IFERROR(_xlfn.XLOOKUP(TEXT(H379,"0000000000"),'📞 Call Tracker'!A$2:A$2000,'📞 Call Tracker'!F$2:F$2000,""),"")</f>
        <v/>
      </c>
      <c r="AB379" s="132">
        <f t="shared" si="11"/>
        <v>3</v>
      </c>
      <c r="AC379" s="79"/>
    </row>
    <row r="380" spans="1:29" ht="20.100000000000001" customHeight="1">
      <c r="A380" s="91">
        <v>45904</v>
      </c>
      <c r="B380" s="92" t="str">
        <v>Gervasio</v>
      </c>
      <c r="C380" s="92" t="str">
        <v>Pedro</v>
      </c>
      <c r="D380" s="92" t="str">
        <v>Scottsdale</v>
      </c>
      <c r="E380" s="92">
        <v>85251</v>
      </c>
      <c r="F380" s="137" t="str">
        <v>Opposed/fixed income</v>
      </c>
      <c r="G380" s="93" t="str">
        <v>https://images.edocket.azcc.gov/docketpdf/E000046206.pdf</v>
      </c>
      <c r="H380" s="150" t="s">
        <v>6693</v>
      </c>
      <c r="I380" s="114" t="str">
        <v>R-XS</v>
      </c>
      <c r="J380" s="94" t="str">
        <v>No</v>
      </c>
      <c r="K380" s="94" t="str">
        <v>No</v>
      </c>
      <c r="L380" s="137" t="str">
        <v>Yes</v>
      </c>
      <c r="M380" s="94" t="str">
        <v>No</v>
      </c>
      <c r="N380" s="134" t="str">
        <v>No</v>
      </c>
      <c r="O380" s="119" t="str">
        <v>Yes</v>
      </c>
      <c r="P380" s="92" t="str">
        <v>N</v>
      </c>
      <c r="Q380" s="91">
        <v>45966</v>
      </c>
      <c r="R380" s="140">
        <v>0</v>
      </c>
      <c r="S380" s="92">
        <v>0</v>
      </c>
      <c r="T380" s="92">
        <v>0</v>
      </c>
      <c r="U380" s="137">
        <v>0</v>
      </c>
      <c r="V380" s="126" t="str">
        <f t="shared" si="10"/>
        <v>✅ On Best Plan</v>
      </c>
      <c r="W380" s="130" t="str">
        <f>IFERROR(_xlfn.XLOOKUP(TEXT(H380,"0000000000"),'📞 Call Tracker'!A$2:A$2000,'📞 Call Tracker'!B$2:B$2000,""),"")</f>
        <v/>
      </c>
      <c r="X380" s="96" t="str">
        <f>IFERROR(_xlfn.XLOOKUP(TEXT(H380,"0000000000"),'📞 Call Tracker'!A$2:A$2000,'📞 Call Tracker'!C$2:C$2000,""),"")</f>
        <v/>
      </c>
      <c r="Y380" s="95" t="str">
        <f>IFERROR(_xlfn.XLOOKUP(TEXT(H380,"0000000000"),'📞 Call Tracker'!A$2:A$2000,'📞 Call Tracker'!D$2:D$2000,""),"")</f>
        <v/>
      </c>
      <c r="Z380" s="95" t="str">
        <f>IFERROR(_xlfn.XLOOKUP(TEXT(H380,"0000000000"),'📞 Call Tracker'!A$2:A$2000,'📞 Call Tracker'!E$2:E$2000,""),"")</f>
        <v/>
      </c>
      <c r="AA380" s="145" t="str">
        <f>IFERROR(_xlfn.XLOOKUP(TEXT(H380,"0000000000"),'📞 Call Tracker'!A$2:A$2000,'📞 Call Tracker'!F$2:F$2000,""),"")</f>
        <v/>
      </c>
      <c r="AB380" s="132">
        <f t="shared" si="11"/>
        <v>4</v>
      </c>
      <c r="AC380" s="79"/>
    </row>
    <row r="381" spans="1:29" ht="20.100000000000001" customHeight="1">
      <c r="A381" s="91">
        <v>45904</v>
      </c>
      <c r="B381" s="92" t="str">
        <v>Aboud</v>
      </c>
      <c r="C381" s="92" t="str">
        <v>Suzanne</v>
      </c>
      <c r="D381" s="92" t="str">
        <v>Surprise</v>
      </c>
      <c r="E381" s="92">
        <v>85387</v>
      </c>
      <c r="F381" s="137" t="str">
        <v>Opposed</v>
      </c>
      <c r="G381" s="93" t="str">
        <v>https://images.edocket.azcc.gov/docketpdf/E000046206.pdf</v>
      </c>
      <c r="H381" s="150" t="s">
        <v>6694</v>
      </c>
      <c r="I381" s="114" t="str">
        <v>R-2</v>
      </c>
      <c r="J381" s="94" t="str">
        <v>No</v>
      </c>
      <c r="K381" s="94" t="str">
        <v>No</v>
      </c>
      <c r="L381" s="137" t="str">
        <v>Frozen Rate</v>
      </c>
      <c r="M381" s="94" t="str">
        <v>No</v>
      </c>
      <c r="N381" s="134" t="str">
        <v>No</v>
      </c>
      <c r="O381" s="119" t="str">
        <v>Yes</v>
      </c>
      <c r="P381" s="92" t="str">
        <v>N</v>
      </c>
      <c r="Q381" s="91">
        <v>45966</v>
      </c>
      <c r="R381" s="140">
        <v>0</v>
      </c>
      <c r="S381" s="92">
        <v>0</v>
      </c>
      <c r="T381" s="92">
        <v>0</v>
      </c>
      <c r="U381" s="137">
        <v>0</v>
      </c>
      <c r="V381" s="126" t="str">
        <f t="shared" si="10"/>
        <v>❄ Frozen Rate</v>
      </c>
      <c r="W381" s="130" t="str">
        <f>IFERROR(_xlfn.XLOOKUP(TEXT(H381,"0000000000"),'📞 Call Tracker'!A$2:A$2000,'📞 Call Tracker'!B$2:B$2000,""),"")</f>
        <v/>
      </c>
      <c r="X381" s="96" t="str">
        <f>IFERROR(_xlfn.XLOOKUP(TEXT(H381,"0000000000"),'📞 Call Tracker'!A$2:A$2000,'📞 Call Tracker'!C$2:C$2000,""),"")</f>
        <v/>
      </c>
      <c r="Y381" s="95" t="str">
        <f>IFERROR(_xlfn.XLOOKUP(TEXT(H381,"0000000000"),'📞 Call Tracker'!A$2:A$2000,'📞 Call Tracker'!D$2:D$2000,""),"")</f>
        <v/>
      </c>
      <c r="Z381" s="95" t="str">
        <f>IFERROR(_xlfn.XLOOKUP(TEXT(H381,"0000000000"),'📞 Call Tracker'!A$2:A$2000,'📞 Call Tracker'!E$2:E$2000,""),"")</f>
        <v/>
      </c>
      <c r="AA381" s="145" t="str">
        <f>IFERROR(_xlfn.XLOOKUP(TEXT(H381,"0000000000"),'📞 Call Tracker'!A$2:A$2000,'📞 Call Tracker'!F$2:F$2000,""),"")</f>
        <v/>
      </c>
      <c r="AB381" s="132">
        <f t="shared" si="11"/>
        <v>4</v>
      </c>
      <c r="AC381" s="79"/>
    </row>
    <row r="382" spans="1:29" ht="20.100000000000001" customHeight="1">
      <c r="A382" s="91">
        <v>45904</v>
      </c>
      <c r="B382" s="92" t="str">
        <v>Pederson</v>
      </c>
      <c r="C382" s="92" t="str">
        <v>Halie</v>
      </c>
      <c r="D382" s="92" t="str">
        <v>Prescott Valley</v>
      </c>
      <c r="E382" s="92">
        <v>86314</v>
      </c>
      <c r="F382" s="137" t="str">
        <v>Form letter</v>
      </c>
      <c r="G382" s="93" t="str">
        <v>https://images.edocket.azcc.gov/docketpdf/E000046206.pdf</v>
      </c>
      <c r="H382" s="150" t="s">
        <v>6695</v>
      </c>
      <c r="I382" s="114" t="str">
        <v>R-XS</v>
      </c>
      <c r="J382" s="94" t="str">
        <v>No</v>
      </c>
      <c r="K382" s="94" t="str">
        <v>No</v>
      </c>
      <c r="L382" s="137" t="str">
        <v>Yes</v>
      </c>
      <c r="M382" s="94" t="str">
        <v>No</v>
      </c>
      <c r="N382" s="134" t="str">
        <v>No</v>
      </c>
      <c r="O382" s="119" t="str">
        <v>Yes</v>
      </c>
      <c r="P382" s="92" t="str">
        <v>N</v>
      </c>
      <c r="Q382" s="91">
        <v>45966</v>
      </c>
      <c r="R382" s="140">
        <v>0</v>
      </c>
      <c r="S382" s="92">
        <v>0</v>
      </c>
      <c r="T382" s="92">
        <v>0</v>
      </c>
      <c r="U382" s="137">
        <v>0</v>
      </c>
      <c r="V382" s="126" t="str">
        <f t="shared" si="10"/>
        <v>✅ On Best Plan</v>
      </c>
      <c r="W382" s="130" t="str">
        <f>IFERROR(_xlfn.XLOOKUP(TEXT(H382,"0000000000"),'📞 Call Tracker'!A$2:A$2000,'📞 Call Tracker'!B$2:B$2000,""),"")</f>
        <v/>
      </c>
      <c r="X382" s="96" t="str">
        <f>IFERROR(_xlfn.XLOOKUP(TEXT(H382,"0000000000"),'📞 Call Tracker'!A$2:A$2000,'📞 Call Tracker'!C$2:C$2000,""),"")</f>
        <v/>
      </c>
      <c r="Y382" s="95" t="str">
        <f>IFERROR(_xlfn.XLOOKUP(TEXT(H382,"0000000000"),'📞 Call Tracker'!A$2:A$2000,'📞 Call Tracker'!D$2:D$2000,""),"")</f>
        <v/>
      </c>
      <c r="Z382" s="95" t="str">
        <f>IFERROR(_xlfn.XLOOKUP(TEXT(H382,"0000000000"),'📞 Call Tracker'!A$2:A$2000,'📞 Call Tracker'!E$2:E$2000,""),"")</f>
        <v/>
      </c>
      <c r="AA382" s="145" t="str">
        <f>IFERROR(_xlfn.XLOOKUP(TEXT(H382,"0000000000"),'📞 Call Tracker'!A$2:A$2000,'📞 Call Tracker'!F$2:F$2000,""),"")</f>
        <v/>
      </c>
      <c r="AB382" s="132">
        <f t="shared" si="11"/>
        <v>4</v>
      </c>
      <c r="AC382" s="79"/>
    </row>
    <row r="383" spans="1:29" ht="20.100000000000001" customHeight="1">
      <c r="A383" s="91">
        <v>45904</v>
      </c>
      <c r="B383" s="92" t="str">
        <v>Stinson</v>
      </c>
      <c r="C383" s="92" t="str">
        <v>Laurel</v>
      </c>
      <c r="D383" s="92" t="str">
        <v>Litchfield Park</v>
      </c>
      <c r="E383" s="92">
        <v>85340</v>
      </c>
      <c r="F383" s="137" t="str">
        <v>Opposed</v>
      </c>
      <c r="G383" s="93" t="str">
        <v>https://images.edocket.azcc.gov/docketpdf/E000046206.pdf</v>
      </c>
      <c r="H383" s="150" t="s">
        <v>6696</v>
      </c>
      <c r="I383" s="114" t="str">
        <v>R-2</v>
      </c>
      <c r="J383" s="94" t="str">
        <v>Yes</v>
      </c>
      <c r="K383" s="94" t="str">
        <v>No</v>
      </c>
      <c r="L383" s="137" t="str">
        <v>Frozen Rate</v>
      </c>
      <c r="M383" s="94" t="str">
        <v>Yes</v>
      </c>
      <c r="N383" s="134">
        <v>1106.1300000000001</v>
      </c>
      <c r="O383" s="119" t="str">
        <v>Yes</v>
      </c>
      <c r="P383" s="92">
        <v>0</v>
      </c>
      <c r="Q383" s="91">
        <v>45966</v>
      </c>
      <c r="R383" s="140" t="str">
        <v>Assistance</v>
      </c>
      <c r="S383" s="92">
        <v>0</v>
      </c>
      <c r="T383" s="92">
        <v>0</v>
      </c>
      <c r="U383" s="137">
        <v>0</v>
      </c>
      <c r="V383" s="126" t="str">
        <f t="shared" si="10"/>
        <v>❄ Frozen Rate</v>
      </c>
      <c r="W383" s="130" t="str">
        <f>IFERROR(_xlfn.XLOOKUP(TEXT(H383,"0000000000"),'📞 Call Tracker'!A$2:A$2000,'📞 Call Tracker'!B$2:B$2000,""),"")</f>
        <v/>
      </c>
      <c r="X383" s="96" t="str">
        <f>IFERROR(_xlfn.XLOOKUP(TEXT(H383,"0000000000"),'📞 Call Tracker'!A$2:A$2000,'📞 Call Tracker'!C$2:C$2000,""),"")</f>
        <v/>
      </c>
      <c r="Y383" s="95" t="str">
        <f>IFERROR(_xlfn.XLOOKUP(TEXT(H383,"0000000000"),'📞 Call Tracker'!A$2:A$2000,'📞 Call Tracker'!D$2:D$2000,""),"")</f>
        <v/>
      </c>
      <c r="Z383" s="95" t="str">
        <f>IFERROR(_xlfn.XLOOKUP(TEXT(H383,"0000000000"),'📞 Call Tracker'!A$2:A$2000,'📞 Call Tracker'!E$2:E$2000,""),"")</f>
        <v/>
      </c>
      <c r="AA383" s="145" t="str">
        <f>IFERROR(_xlfn.XLOOKUP(TEXT(H383,"0000000000"),'📞 Call Tracker'!A$2:A$2000,'📞 Call Tracker'!F$2:F$2000,""),"")</f>
        <v/>
      </c>
      <c r="AB383" s="132">
        <f t="shared" si="11"/>
        <v>3</v>
      </c>
      <c r="AC383" s="79"/>
    </row>
    <row r="384" spans="1:29" ht="20.100000000000001" customHeight="1">
      <c r="A384" s="91">
        <v>45904</v>
      </c>
      <c r="B384" s="92" t="str">
        <v>Rebert</v>
      </c>
      <c r="C384" s="92" t="str">
        <v>Jonathan</v>
      </c>
      <c r="D384" s="92" t="str">
        <v>Chandler</v>
      </c>
      <c r="E384" s="92">
        <v>85225</v>
      </c>
      <c r="F384" s="137" t="str">
        <v>Form letter</v>
      </c>
      <c r="G384" s="93" t="str">
        <v>https://images.edocket.azcc.gov/docketpdf/E000046206.pdf</v>
      </c>
      <c r="H384" s="150" t="s">
        <v>6697</v>
      </c>
      <c r="I384" s="114" t="str">
        <v>R3-47</v>
      </c>
      <c r="J384" s="94" t="str">
        <v>No</v>
      </c>
      <c r="K384" s="94" t="str">
        <v>No</v>
      </c>
      <c r="L384" s="137" t="str">
        <v>No MEP R-XS( $250.58)</v>
      </c>
      <c r="M384" s="94" t="str">
        <v>No</v>
      </c>
      <c r="N384" s="134" t="str">
        <v>No</v>
      </c>
      <c r="O384" s="119" t="str">
        <v>Yes</v>
      </c>
      <c r="P384" s="92">
        <v>45936</v>
      </c>
      <c r="Q384" s="91">
        <v>45966</v>
      </c>
      <c r="R384" s="140" t="str">
        <v>10/6 Left VM</v>
      </c>
      <c r="S384" s="92">
        <v>0</v>
      </c>
      <c r="T384" s="92">
        <v>0</v>
      </c>
      <c r="U384" s="137">
        <v>0</v>
      </c>
      <c r="V384" s="126" t="str">
        <f t="shared" si="10"/>
        <v>❌ Not on Best Plan</v>
      </c>
      <c r="W384" s="130" t="str">
        <f>IFERROR(_xlfn.XLOOKUP(TEXT(H384,"0000000000"),'📞 Call Tracker'!A$2:A$2000,'📞 Call Tracker'!B$2:B$2000,""),"")</f>
        <v/>
      </c>
      <c r="X384" s="96" t="str">
        <f>IFERROR(_xlfn.XLOOKUP(TEXT(H384,"0000000000"),'📞 Call Tracker'!A$2:A$2000,'📞 Call Tracker'!C$2:C$2000,""),"")</f>
        <v/>
      </c>
      <c r="Y384" s="95" t="str">
        <f>IFERROR(_xlfn.XLOOKUP(TEXT(H384,"0000000000"),'📞 Call Tracker'!A$2:A$2000,'📞 Call Tracker'!D$2:D$2000,""),"")</f>
        <v/>
      </c>
      <c r="Z384" s="95" t="str">
        <f>IFERROR(_xlfn.XLOOKUP(TEXT(H384,"0000000000"),'📞 Call Tracker'!A$2:A$2000,'📞 Call Tracker'!E$2:E$2000,""),"")</f>
        <v/>
      </c>
      <c r="AA384" s="145" t="str">
        <f>IFERROR(_xlfn.XLOOKUP(TEXT(H384,"0000000000"),'📞 Call Tracker'!A$2:A$2000,'📞 Call Tracker'!F$2:F$2000,""),"")</f>
        <v/>
      </c>
      <c r="AB384" s="132">
        <f t="shared" si="11"/>
        <v>2</v>
      </c>
      <c r="AC384" s="79"/>
    </row>
    <row r="385" spans="1:29" ht="20.100000000000001" customHeight="1">
      <c r="A385" s="91">
        <v>45904</v>
      </c>
      <c r="B385" s="92" t="str">
        <v>Gram</v>
      </c>
      <c r="C385" s="92" t="str">
        <v>Ken</v>
      </c>
      <c r="D385" s="92" t="str">
        <v>Scottsdale</v>
      </c>
      <c r="E385" s="92">
        <v>85260</v>
      </c>
      <c r="F385" s="137" t="str">
        <v>Opposed</v>
      </c>
      <c r="G385" s="93" t="str">
        <v>https://images.edocket.azcc.gov/docketpdf/E000046206.pdf</v>
      </c>
      <c r="H385" s="150" t="s">
        <v>6698</v>
      </c>
      <c r="I385" s="114" t="str">
        <v>Multiple SAs</v>
      </c>
      <c r="J385" s="94" t="str">
        <v>No</v>
      </c>
      <c r="K385" s="94" t="str">
        <v>No</v>
      </c>
      <c r="L385" s="137" t="str">
        <v>Yes</v>
      </c>
      <c r="M385" s="94" t="str">
        <v>No</v>
      </c>
      <c r="N385" s="134" t="str">
        <v>No</v>
      </c>
      <c r="O385" s="119" t="str">
        <v>Yes</v>
      </c>
      <c r="P385" s="92" t="str">
        <v>N</v>
      </c>
      <c r="Q385" s="91">
        <v>45966</v>
      </c>
      <c r="R385" s="140">
        <v>0</v>
      </c>
      <c r="S385" s="92">
        <v>0</v>
      </c>
      <c r="T385" s="92">
        <v>0</v>
      </c>
      <c r="U385" s="137">
        <v>0</v>
      </c>
      <c r="V385" s="126" t="str">
        <f t="shared" si="10"/>
        <v>✅ On Best Plan</v>
      </c>
      <c r="W385" s="130" t="str">
        <f>IFERROR(_xlfn.XLOOKUP(TEXT(H385,"0000000000"),'📞 Call Tracker'!A$2:A$2000,'📞 Call Tracker'!B$2:B$2000,""),"")</f>
        <v/>
      </c>
      <c r="X385" s="96" t="str">
        <f>IFERROR(_xlfn.XLOOKUP(TEXT(H385,"0000000000"),'📞 Call Tracker'!A$2:A$2000,'📞 Call Tracker'!C$2:C$2000,""),"")</f>
        <v/>
      </c>
      <c r="Y385" s="95" t="str">
        <f>IFERROR(_xlfn.XLOOKUP(TEXT(H385,"0000000000"),'📞 Call Tracker'!A$2:A$2000,'📞 Call Tracker'!D$2:D$2000,""),"")</f>
        <v/>
      </c>
      <c r="Z385" s="95" t="str">
        <f>IFERROR(_xlfn.XLOOKUP(TEXT(H385,"0000000000"),'📞 Call Tracker'!A$2:A$2000,'📞 Call Tracker'!E$2:E$2000,""),"")</f>
        <v/>
      </c>
      <c r="AA385" s="145" t="str">
        <f>IFERROR(_xlfn.XLOOKUP(TEXT(H385,"0000000000"),'📞 Call Tracker'!A$2:A$2000,'📞 Call Tracker'!F$2:F$2000,""),"")</f>
        <v/>
      </c>
      <c r="AB385" s="132">
        <f t="shared" si="11"/>
        <v>4</v>
      </c>
      <c r="AC385" s="79"/>
    </row>
    <row r="386" spans="1:29" ht="20.100000000000001" customHeight="1">
      <c r="A386" s="91">
        <v>45904</v>
      </c>
      <c r="B386" s="92" t="str">
        <v>Marshall</v>
      </c>
      <c r="C386" s="92" t="str">
        <v>Allen</v>
      </c>
      <c r="D386" s="92" t="str">
        <v>Goodyear</v>
      </c>
      <c r="E386" s="92">
        <v>85338</v>
      </c>
      <c r="F386" s="137" t="str">
        <v>Opposed</v>
      </c>
      <c r="G386" s="93" t="str">
        <v>https://images.edocket.azcc.gov/docketpdf/E000046206.pdf</v>
      </c>
      <c r="H386" s="150" t="s">
        <v>6699</v>
      </c>
      <c r="I386" s="114" t="str">
        <v>R-BASICL</v>
      </c>
      <c r="J386" s="94" t="str">
        <v>No</v>
      </c>
      <c r="K386" s="94" t="str">
        <v>No</v>
      </c>
      <c r="L386" s="137" t="str">
        <v>No MEP R3-47($36.70)</v>
      </c>
      <c r="M386" s="94" t="str">
        <v>No</v>
      </c>
      <c r="N386" s="134" t="str">
        <v>No</v>
      </c>
      <c r="O386" s="119" t="str">
        <v>Yes</v>
      </c>
      <c r="P386" s="92" t="str">
        <v>N</v>
      </c>
      <c r="Q386" s="91">
        <v>45966</v>
      </c>
      <c r="R386" s="140">
        <v>0</v>
      </c>
      <c r="S386" s="92">
        <v>0</v>
      </c>
      <c r="T386" s="92">
        <v>0</v>
      </c>
      <c r="U386" s="137">
        <v>0</v>
      </c>
      <c r="V386" s="126" t="str">
        <f t="shared" si="10"/>
        <v>❌ Not on Best Plan</v>
      </c>
      <c r="W386" s="130" t="str">
        <f>IFERROR(_xlfn.XLOOKUP(TEXT(H386,"0000000000"),'📞 Call Tracker'!A$2:A$2000,'📞 Call Tracker'!B$2:B$2000,""),"")</f>
        <v/>
      </c>
      <c r="X386" s="96" t="str">
        <f>IFERROR(_xlfn.XLOOKUP(TEXT(H386,"0000000000"),'📞 Call Tracker'!A$2:A$2000,'📞 Call Tracker'!C$2:C$2000,""),"")</f>
        <v/>
      </c>
      <c r="Y386" s="95" t="str">
        <f>IFERROR(_xlfn.XLOOKUP(TEXT(H386,"0000000000"),'📞 Call Tracker'!A$2:A$2000,'📞 Call Tracker'!D$2:D$2000,""),"")</f>
        <v/>
      </c>
      <c r="Z386" s="95" t="str">
        <f>IFERROR(_xlfn.XLOOKUP(TEXT(H386,"0000000000"),'📞 Call Tracker'!A$2:A$2000,'📞 Call Tracker'!E$2:E$2000,""),"")</f>
        <v/>
      </c>
      <c r="AA386" s="145" t="str">
        <f>IFERROR(_xlfn.XLOOKUP(TEXT(H386,"0000000000"),'📞 Call Tracker'!A$2:A$2000,'📞 Call Tracker'!F$2:F$2000,""),"")</f>
        <v/>
      </c>
      <c r="AB386" s="132">
        <f t="shared" si="11"/>
        <v>2</v>
      </c>
      <c r="AC386" s="79"/>
    </row>
    <row r="387" spans="1:29" ht="20.100000000000001" customHeight="1">
      <c r="A387" s="91">
        <v>45904</v>
      </c>
      <c r="B387" s="92" t="str">
        <v>Liddell</v>
      </c>
      <c r="C387" s="92" t="str">
        <v>Lianne</v>
      </c>
      <c r="D387" s="92" t="str">
        <v>Phoenix</v>
      </c>
      <c r="E387" s="92">
        <v>85016</v>
      </c>
      <c r="F387" s="137" t="str">
        <v>Form letter</v>
      </c>
      <c r="G387" s="93" t="str">
        <v>https://images.edocket.azcc.gov/docketpdf/E000046206.pdf</v>
      </c>
      <c r="H387" s="150" t="s">
        <v>6193</v>
      </c>
      <c r="I387" s="114" t="str">
        <v>RCPw/RTOUE47</v>
      </c>
      <c r="J387" s="94" t="str">
        <v>No</v>
      </c>
      <c r="K387" s="94" t="str">
        <v>Yes</v>
      </c>
      <c r="L387" s="137" t="str">
        <v>Yes</v>
      </c>
      <c r="M387" s="94" t="str">
        <v>No</v>
      </c>
      <c r="N387" s="134" t="str">
        <v>No</v>
      </c>
      <c r="O387" s="119" t="str">
        <v>Yes</v>
      </c>
      <c r="P387" s="92" t="str">
        <v>N</v>
      </c>
      <c r="Q387" s="91">
        <v>45966</v>
      </c>
      <c r="R387" s="140">
        <v>0</v>
      </c>
      <c r="S387" s="92">
        <v>0</v>
      </c>
      <c r="T387" s="92">
        <v>0</v>
      </c>
      <c r="U387" s="137">
        <v>0</v>
      </c>
      <c r="V387" s="126" t="str">
        <f t="shared" ref="V387:V450" si="12">IF(OR(LEFT(TRIM(L387),3)="Yes",TRIM(L387)="Y"),"✅ On Best Plan",IF(OR(L387="Frozen Rate",L387="Frozen Plan"),"❄ Frozen Rate",IF(OR(L387="Not able to Compare",L387="Info Not Avail",L387="NA",L387=""),"⚠ Unknown","❌ Not on Best Plan")))</f>
        <v>✅ On Best Plan</v>
      </c>
      <c r="W387" s="130">
        <f>IFERROR(_xlfn.XLOOKUP(TEXT(H387,"0000000000"),'📞 Call Tracker'!A$2:A$2000,'📞 Call Tracker'!B$2:B$2000,""),"")</f>
        <v>0</v>
      </c>
      <c r="X387" s="96">
        <f>IFERROR(_xlfn.XLOOKUP(TEXT(H387,"0000000000"),'📞 Call Tracker'!A$2:A$2000,'📞 Call Tracker'!C$2:C$2000,""),"")</f>
        <v>0</v>
      </c>
      <c r="Y387" s="95">
        <f>IFERROR(_xlfn.XLOOKUP(TEXT(H387,"0000000000"),'📞 Call Tracker'!A$2:A$2000,'📞 Call Tracker'!D$2:D$2000,""),"")</f>
        <v>0</v>
      </c>
      <c r="Z387" s="95">
        <f>IFERROR(_xlfn.XLOOKUP(TEXT(H387,"0000000000"),'📞 Call Tracker'!A$2:A$2000,'📞 Call Tracker'!E$2:E$2000,""),"")</f>
        <v>0</v>
      </c>
      <c r="AA387" s="145">
        <f>IFERROR(_xlfn.XLOOKUP(TEXT(H387,"0000000000"),'📞 Call Tracker'!A$2:A$2000,'📞 Call Tracker'!F$2:F$2000,""),"")</f>
        <v>0</v>
      </c>
      <c r="AB387" s="132">
        <f t="shared" ref="AB387:AB450" si="13">IF(OR(H387="",X387&lt;&gt;""),99,IF(AND(NOT(OR(LEFT(TRIM(L387),3)="Yes",TRIM(L387)="Y",L387="Frozen Rate",L387="Frozen Plan",L387="Not able to Compare",L387="Info Not Avail",L387="NA",L387="")),AND(N387&lt;&gt;"No",N387&lt;&gt;"")),1,IF(NOT(OR(LEFT(TRIM(L387),3)="Yes",TRIM(L387)="Y",L387="Frozen Rate",L387="Frozen Plan",L387="Not able to Compare",L387="Info Not Avail",L387="NA",L387="")),2,IF(AND(N387&lt;&gt;"No",N387&lt;&gt;""),3,4))))</f>
        <v>99</v>
      </c>
      <c r="AC387" s="79"/>
    </row>
    <row r="388" spans="1:29" ht="20.100000000000001" customHeight="1">
      <c r="A388" s="91">
        <v>45904</v>
      </c>
      <c r="B388" s="92" t="str">
        <v>Rees</v>
      </c>
      <c r="C388" s="92" t="str">
        <v>Evan</v>
      </c>
      <c r="D388" s="92" t="str">
        <v>Phoenix</v>
      </c>
      <c r="E388" s="92">
        <v>85020</v>
      </c>
      <c r="F388" s="137" t="str">
        <v>Form letter</v>
      </c>
      <c r="G388" s="93" t="str">
        <v>https://images.edocket.azcc.gov/docketpdf/E000046206.pdf</v>
      </c>
      <c r="H388" s="150" t="s">
        <v>6700</v>
      </c>
      <c r="I388" s="114" t="str">
        <v>R-XS</v>
      </c>
      <c r="J388" s="94" t="str">
        <v>No</v>
      </c>
      <c r="K388" s="94" t="str">
        <v>No</v>
      </c>
      <c r="L388" s="137" t="str">
        <v>Yes</v>
      </c>
      <c r="M388" s="94" t="str">
        <v>No</v>
      </c>
      <c r="N388" s="134" t="str">
        <v>No</v>
      </c>
      <c r="O388" s="119" t="str">
        <v>Yes</v>
      </c>
      <c r="P388" s="92" t="str">
        <v>N</v>
      </c>
      <c r="Q388" s="91">
        <v>45966</v>
      </c>
      <c r="R388" s="140">
        <v>0</v>
      </c>
      <c r="S388" s="92">
        <v>0</v>
      </c>
      <c r="T388" s="92">
        <v>0</v>
      </c>
      <c r="U388" s="137">
        <v>0</v>
      </c>
      <c r="V388" s="126" t="str">
        <f t="shared" si="12"/>
        <v>✅ On Best Plan</v>
      </c>
      <c r="W388" s="130" t="str">
        <f>IFERROR(_xlfn.XLOOKUP(TEXT(H388,"0000000000"),'📞 Call Tracker'!A$2:A$2000,'📞 Call Tracker'!B$2:B$2000,""),"")</f>
        <v/>
      </c>
      <c r="X388" s="96" t="str">
        <f>IFERROR(_xlfn.XLOOKUP(TEXT(H388,"0000000000"),'📞 Call Tracker'!A$2:A$2000,'📞 Call Tracker'!C$2:C$2000,""),"")</f>
        <v/>
      </c>
      <c r="Y388" s="95" t="str">
        <f>IFERROR(_xlfn.XLOOKUP(TEXT(H388,"0000000000"),'📞 Call Tracker'!A$2:A$2000,'📞 Call Tracker'!D$2:D$2000,""),"")</f>
        <v/>
      </c>
      <c r="Z388" s="95" t="str">
        <f>IFERROR(_xlfn.XLOOKUP(TEXT(H388,"0000000000"),'📞 Call Tracker'!A$2:A$2000,'📞 Call Tracker'!E$2:E$2000,""),"")</f>
        <v/>
      </c>
      <c r="AA388" s="145" t="str">
        <f>IFERROR(_xlfn.XLOOKUP(TEXT(H388,"0000000000"),'📞 Call Tracker'!A$2:A$2000,'📞 Call Tracker'!F$2:F$2000,""),"")</f>
        <v/>
      </c>
      <c r="AB388" s="132">
        <f t="shared" si="13"/>
        <v>4</v>
      </c>
      <c r="AC388" s="79"/>
    </row>
    <row r="389" spans="1:29" ht="20.100000000000001" customHeight="1">
      <c r="A389" s="91">
        <v>45904</v>
      </c>
      <c r="B389" s="92" t="str">
        <v>Vestal</v>
      </c>
      <c r="C389" s="92" t="str">
        <v>Allen</v>
      </c>
      <c r="D389" s="92" t="str">
        <v xml:space="preserve">Sun City </v>
      </c>
      <c r="E389" s="92">
        <v>85373</v>
      </c>
      <c r="F389" s="137" t="str">
        <v>Form letter</v>
      </c>
      <c r="G389" s="93" t="str">
        <v>https://images.edocket.azcc.gov/docketpdf/E000046206.pdf</v>
      </c>
      <c r="H389" s="150" t="s">
        <v>6540</v>
      </c>
      <c r="I389" s="114" t="str">
        <v>EPR-6w/ET-2</v>
      </c>
      <c r="J389" s="94" t="str">
        <v>No</v>
      </c>
      <c r="K389" s="94" t="str">
        <v>No</v>
      </c>
      <c r="L389" s="137" t="str">
        <v>Frozen Rate</v>
      </c>
      <c r="M389" s="94" t="str">
        <v>No</v>
      </c>
      <c r="N389" s="134" t="str">
        <v>No</v>
      </c>
      <c r="O389" s="119" t="str">
        <v>Yes</v>
      </c>
      <c r="P389" s="92" t="str">
        <v>N</v>
      </c>
      <c r="Q389" s="91">
        <v>45966</v>
      </c>
      <c r="R389" s="140">
        <v>0</v>
      </c>
      <c r="S389" s="92">
        <v>0</v>
      </c>
      <c r="T389" s="92">
        <v>0</v>
      </c>
      <c r="U389" s="137">
        <v>0</v>
      </c>
      <c r="V389" s="126" t="str">
        <f t="shared" si="12"/>
        <v>❄ Frozen Rate</v>
      </c>
      <c r="W389" s="130" t="str">
        <f>IFERROR(_xlfn.XLOOKUP(TEXT(H389,"0000000000"),'📞 Call Tracker'!A$2:A$2000,'📞 Call Tracker'!B$2:B$2000,""),"")</f>
        <v>Michelle</v>
      </c>
      <c r="X389" s="96">
        <f>IFERROR(_xlfn.XLOOKUP(TEXT(H389,"0000000000"),'📞 Call Tracker'!A$2:A$2000,'📞 Call Tracker'!C$2:C$2000,""),"")</f>
        <v>45997</v>
      </c>
      <c r="Y389" s="95" t="str">
        <f>IFERROR(_xlfn.XLOOKUP(TEXT(H389,"0000000000"),'📞 Call Tracker'!A$2:A$2000,'📞 Call Tracker'!D$2:D$2000,""),"")</f>
        <v>YES</v>
      </c>
      <c r="Z389" s="95">
        <f>IFERROR(_xlfn.XLOOKUP(TEXT(H389,"0000000000"),'📞 Call Tracker'!A$2:A$2000,'📞 Call Tracker'!E$2:E$2000,""),"")</f>
        <v>0</v>
      </c>
      <c r="AA389" s="145" t="str">
        <f>IFERROR(_xlfn.XLOOKUP(TEXT(H389,"0000000000"),'📞 Call Tracker'!A$2:A$2000,'📞 Call Tracker'!F$2:F$2000,""),"")</f>
        <v>SOLAR, PA</v>
      </c>
      <c r="AB389" s="132">
        <f t="shared" si="13"/>
        <v>99</v>
      </c>
      <c r="AC389" s="79"/>
    </row>
    <row r="390" spans="1:29" ht="20.100000000000001" customHeight="1">
      <c r="A390" s="91">
        <v>45904</v>
      </c>
      <c r="B390" s="92" t="str">
        <v>Robinson</v>
      </c>
      <c r="C390" s="92" t="str">
        <v>Carter</v>
      </c>
      <c r="D390" s="92" t="str">
        <v>Glendale</v>
      </c>
      <c r="E390" s="92">
        <v>85306</v>
      </c>
      <c r="F390" s="137" t="str">
        <v>Opposed, usage is not high, it is normal in AZ extreme climate</v>
      </c>
      <c r="G390" s="93" t="str">
        <v>https://images.edocket.azcc.gov/docketpdf/E000046206.pdf</v>
      </c>
      <c r="H390" s="150" t="s">
        <v>6194</v>
      </c>
      <c r="I390" s="114" t="str">
        <v>R-BASICL</v>
      </c>
      <c r="J390" s="94" t="str">
        <v>No</v>
      </c>
      <c r="K390" s="94" t="str">
        <v>No</v>
      </c>
      <c r="L390" s="137" t="str">
        <v>No MEP R3-47 ($888.73)</v>
      </c>
      <c r="M390" s="94" t="str">
        <v>No</v>
      </c>
      <c r="N390" s="134" t="str">
        <v>No</v>
      </c>
      <c r="O390" s="119" t="str">
        <v>Yes</v>
      </c>
      <c r="P390" s="92">
        <v>45936</v>
      </c>
      <c r="Q390" s="91">
        <v>45966</v>
      </c>
      <c r="R390" s="140" t="str">
        <v>10/6 Left VM</v>
      </c>
      <c r="S390" s="92">
        <v>0</v>
      </c>
      <c r="T390" s="92">
        <v>0</v>
      </c>
      <c r="U390" s="137">
        <v>0</v>
      </c>
      <c r="V390" s="126" t="str">
        <f t="shared" si="12"/>
        <v>❌ Not on Best Plan</v>
      </c>
      <c r="W390" s="130">
        <f>IFERROR(_xlfn.XLOOKUP(TEXT(H390,"0000000000"),'📞 Call Tracker'!A$2:A$2000,'📞 Call Tracker'!B$2:B$2000,""),"")</f>
        <v>0</v>
      </c>
      <c r="X390" s="96">
        <f>IFERROR(_xlfn.XLOOKUP(TEXT(H390,"0000000000"),'📞 Call Tracker'!A$2:A$2000,'📞 Call Tracker'!C$2:C$2000,""),"")</f>
        <v>0</v>
      </c>
      <c r="Y390" s="95">
        <f>IFERROR(_xlfn.XLOOKUP(TEXT(H390,"0000000000"),'📞 Call Tracker'!A$2:A$2000,'📞 Call Tracker'!D$2:D$2000,""),"")</f>
        <v>0</v>
      </c>
      <c r="Z390" s="95">
        <f>IFERROR(_xlfn.XLOOKUP(TEXT(H390,"0000000000"),'📞 Call Tracker'!A$2:A$2000,'📞 Call Tracker'!E$2:E$2000,""),"")</f>
        <v>0</v>
      </c>
      <c r="AA390" s="145">
        <f>IFERROR(_xlfn.XLOOKUP(TEXT(H390,"0000000000"),'📞 Call Tracker'!A$2:A$2000,'📞 Call Tracker'!F$2:F$2000,""),"")</f>
        <v>0</v>
      </c>
      <c r="AB390" s="132">
        <f t="shared" si="13"/>
        <v>99</v>
      </c>
      <c r="AC390" s="79"/>
    </row>
    <row r="391" spans="1:29" ht="20.100000000000001" customHeight="1">
      <c r="A391" s="91">
        <v>45904</v>
      </c>
      <c r="B391" s="92" t="str">
        <v>Coble</v>
      </c>
      <c r="C391" s="92" t="str">
        <v>Kevin</v>
      </c>
      <c r="D391" s="92" t="str">
        <v>Scottsdale</v>
      </c>
      <c r="E391" s="92">
        <v>85258</v>
      </c>
      <c r="F391" s="137" t="str">
        <v>Opposed</v>
      </c>
      <c r="G391" s="93" t="str">
        <v>https://images.edocket.azcc.gov/docketpdf/E000046198.pdf</v>
      </c>
      <c r="H391" s="150" t="s">
        <v>6016</v>
      </c>
      <c r="I391" s="114" t="str">
        <v>R-BASIC</v>
      </c>
      <c r="J391" s="94" t="str">
        <v>No</v>
      </c>
      <c r="K391" s="94" t="str">
        <v>No</v>
      </c>
      <c r="L391" s="137" t="str">
        <v>Yes</v>
      </c>
      <c r="M391" s="94" t="str">
        <v>No</v>
      </c>
      <c r="N391" s="134" t="str">
        <v>No</v>
      </c>
      <c r="O391" s="119" t="str">
        <v>Yes</v>
      </c>
      <c r="P391" s="92" t="str">
        <v>N</v>
      </c>
      <c r="Q391" s="91">
        <v>45966</v>
      </c>
      <c r="R391" s="140">
        <v>0</v>
      </c>
      <c r="S391" s="92">
        <v>0</v>
      </c>
      <c r="T391" s="92">
        <v>0</v>
      </c>
      <c r="U391" s="137">
        <v>0</v>
      </c>
      <c r="V391" s="126" t="str">
        <f t="shared" si="12"/>
        <v>✅ On Best Plan</v>
      </c>
      <c r="W391" s="130" t="str">
        <f>IFERROR(_xlfn.XLOOKUP(TEXT(H391,"0000000000"),'📞 Call Tracker'!A$2:A$2000,'📞 Call Tracker'!B$2:B$2000,""),"")</f>
        <v>Michelle</v>
      </c>
      <c r="X391" s="96">
        <f>IFERROR(_xlfn.XLOOKUP(TEXT(H391,"0000000000"),'📞 Call Tracker'!A$2:A$2000,'📞 Call Tracker'!C$2:C$2000,""),"")</f>
        <v>46046</v>
      </c>
      <c r="Y391" s="95" t="str">
        <f>IFERROR(_xlfn.XLOOKUP(TEXT(H391,"0000000000"),'📞 Call Tracker'!A$2:A$2000,'📞 Call Tracker'!D$2:D$2000,""),"")</f>
        <v>NO</v>
      </c>
      <c r="Z391" s="95">
        <f>IFERROR(_xlfn.XLOOKUP(TEXT(H391,"0000000000"),'📞 Call Tracker'!A$2:A$2000,'📞 Call Tracker'!E$2:E$2000,""),"")</f>
        <v>0</v>
      </c>
      <c r="AA391" s="145" t="str">
        <f>IFERROR(_xlfn.XLOOKUP(TEXT(H391,"0000000000"),'📞 Call Tracker'!A$2:A$2000,'📞 Call Tracker'!F$2:F$2000,""),"")</f>
        <v>UNHAPPY WITH THE RATE INCREASE CASE</v>
      </c>
      <c r="AB391" s="132">
        <f t="shared" si="13"/>
        <v>99</v>
      </c>
      <c r="AC391" s="79"/>
    </row>
    <row r="392" spans="1:29" ht="20.100000000000001" customHeight="1">
      <c r="A392" s="91">
        <v>45904</v>
      </c>
      <c r="B392" s="92" t="str">
        <v>Woehl</v>
      </c>
      <c r="C392" s="92" t="str">
        <v>Timothy</v>
      </c>
      <c r="D392" s="92" t="str">
        <v>Scottsdale</v>
      </c>
      <c r="E392" s="92">
        <v>85258</v>
      </c>
      <c r="F392" s="137" t="str">
        <v>Opposed</v>
      </c>
      <c r="G392" s="93" t="str">
        <v>https://images.edocket.azcc.gov/docketpdf/E000046196.pdf</v>
      </c>
      <c r="H392" s="150" t="s">
        <v>6195</v>
      </c>
      <c r="I392" s="114" t="str">
        <v>RTOUE47</v>
      </c>
      <c r="J392" s="94" t="str">
        <v>No</v>
      </c>
      <c r="K392" s="94" t="str">
        <v>No</v>
      </c>
      <c r="L392" s="137" t="str">
        <v>No MEP R3-47(630.50)</v>
      </c>
      <c r="M392" s="94" t="str">
        <v>No</v>
      </c>
      <c r="N392" s="134" t="str">
        <v>No</v>
      </c>
      <c r="O392" s="119" t="str">
        <v>Yes</v>
      </c>
      <c r="P392" s="92">
        <v>45936</v>
      </c>
      <c r="Q392" s="91">
        <v>45966</v>
      </c>
      <c r="R392" s="140" t="str">
        <v>10/6 Left VM</v>
      </c>
      <c r="S392" s="92">
        <v>0</v>
      </c>
      <c r="T392" s="92">
        <v>0</v>
      </c>
      <c r="U392" s="137">
        <v>0</v>
      </c>
      <c r="V392" s="126" t="str">
        <f t="shared" si="12"/>
        <v>❌ Not on Best Plan</v>
      </c>
      <c r="W392" s="130">
        <f>IFERROR(_xlfn.XLOOKUP(TEXT(H392,"0000000000"),'📞 Call Tracker'!A$2:A$2000,'📞 Call Tracker'!B$2:B$2000,""),"")</f>
        <v>0</v>
      </c>
      <c r="X392" s="96">
        <f>IFERROR(_xlfn.XLOOKUP(TEXT(H392,"0000000000"),'📞 Call Tracker'!A$2:A$2000,'📞 Call Tracker'!C$2:C$2000,""),"")</f>
        <v>0</v>
      </c>
      <c r="Y392" s="95">
        <f>IFERROR(_xlfn.XLOOKUP(TEXT(H392,"0000000000"),'📞 Call Tracker'!A$2:A$2000,'📞 Call Tracker'!D$2:D$2000,""),"")</f>
        <v>0</v>
      </c>
      <c r="Z392" s="95">
        <f>IFERROR(_xlfn.XLOOKUP(TEXT(H392,"0000000000"),'📞 Call Tracker'!A$2:A$2000,'📞 Call Tracker'!E$2:E$2000,""),"")</f>
        <v>0</v>
      </c>
      <c r="AA392" s="145">
        <f>IFERROR(_xlfn.XLOOKUP(TEXT(H392,"0000000000"),'📞 Call Tracker'!A$2:A$2000,'📞 Call Tracker'!F$2:F$2000,""),"")</f>
        <v>0</v>
      </c>
      <c r="AB392" s="132">
        <f t="shared" si="13"/>
        <v>99</v>
      </c>
      <c r="AC392" s="79"/>
    </row>
    <row r="393" spans="1:29" ht="20.100000000000001" customHeight="1">
      <c r="A393" s="91">
        <v>45904</v>
      </c>
      <c r="B393" s="92" t="str">
        <v>McLeod</v>
      </c>
      <c r="C393" s="92" t="str">
        <v>Lee</v>
      </c>
      <c r="D393" s="92" t="str">
        <v>Hereford</v>
      </c>
      <c r="E393" s="92">
        <v>85615</v>
      </c>
      <c r="F393" s="137" t="str">
        <v>Opposed</v>
      </c>
      <c r="G393" s="93" t="str">
        <v>https://images.edocket.azcc.gov/docketpdf/E000046196.pdf</v>
      </c>
      <c r="H393" s="150" t="s">
        <v>6196</v>
      </c>
      <c r="I393" s="114" t="str">
        <v>R-2</v>
      </c>
      <c r="J393" s="94" t="str">
        <v>Yes</v>
      </c>
      <c r="K393" s="94" t="str">
        <v>No</v>
      </c>
      <c r="L393" s="137" t="str">
        <v>Frozen Rate</v>
      </c>
      <c r="M393" s="94" t="str">
        <v>No</v>
      </c>
      <c r="N393" s="134" t="str">
        <v>No</v>
      </c>
      <c r="O393" s="119" t="str">
        <v>Yes</v>
      </c>
      <c r="P393" s="92" t="str">
        <v>N</v>
      </c>
      <c r="Q393" s="91">
        <v>45966</v>
      </c>
      <c r="R393" s="140">
        <v>0</v>
      </c>
      <c r="S393" s="92">
        <v>0</v>
      </c>
      <c r="T393" s="92">
        <v>0</v>
      </c>
      <c r="U393" s="137">
        <v>0</v>
      </c>
      <c r="V393" s="126" t="str">
        <f t="shared" si="12"/>
        <v>❄ Frozen Rate</v>
      </c>
      <c r="W393" s="130">
        <f>IFERROR(_xlfn.XLOOKUP(TEXT(H393,"0000000000"),'📞 Call Tracker'!A$2:A$2000,'📞 Call Tracker'!B$2:B$2000,""),"")</f>
        <v>0</v>
      </c>
      <c r="X393" s="96">
        <f>IFERROR(_xlfn.XLOOKUP(TEXT(H393,"0000000000"),'📞 Call Tracker'!A$2:A$2000,'📞 Call Tracker'!C$2:C$2000,""),"")</f>
        <v>0</v>
      </c>
      <c r="Y393" s="95">
        <f>IFERROR(_xlfn.XLOOKUP(TEXT(H393,"0000000000"),'📞 Call Tracker'!A$2:A$2000,'📞 Call Tracker'!D$2:D$2000,""),"")</f>
        <v>0</v>
      </c>
      <c r="Z393" s="95">
        <f>IFERROR(_xlfn.XLOOKUP(TEXT(H393,"0000000000"),'📞 Call Tracker'!A$2:A$2000,'📞 Call Tracker'!E$2:E$2000,""),"")</f>
        <v>0</v>
      </c>
      <c r="AA393" s="145">
        <f>IFERROR(_xlfn.XLOOKUP(TEXT(H393,"0000000000"),'📞 Call Tracker'!A$2:A$2000,'📞 Call Tracker'!F$2:F$2000,""),"")</f>
        <v>0</v>
      </c>
      <c r="AB393" s="132">
        <f t="shared" si="13"/>
        <v>99</v>
      </c>
      <c r="AC393" s="79"/>
    </row>
    <row r="394" spans="1:29" ht="20.100000000000001" customHeight="1">
      <c r="A394" s="91">
        <v>45905</v>
      </c>
      <c r="B394" s="92" t="str">
        <v>Carpenter</v>
      </c>
      <c r="C394" s="92" t="str">
        <v>Bonny</v>
      </c>
      <c r="D394" s="92" t="str">
        <v>Goodyear</v>
      </c>
      <c r="E394" s="92">
        <v>85395</v>
      </c>
      <c r="F394" s="137" t="str">
        <v>Out of hand</v>
      </c>
      <c r="G394" s="93" t="str">
        <v>https://images.edocket.azcc.gov/docketpdf/E000046230.pdf</v>
      </c>
      <c r="H394" s="150" t="s">
        <v>6197</v>
      </c>
      <c r="I394" s="114" t="str">
        <v>EPR-6w/ET-2</v>
      </c>
      <c r="J394" s="94" t="str">
        <v>No</v>
      </c>
      <c r="K394" s="94" t="str">
        <v>No</v>
      </c>
      <c r="L394" s="137" t="str">
        <v>Frozen Rate</v>
      </c>
      <c r="M394" s="94" t="str">
        <v>No</v>
      </c>
      <c r="N394" s="134" t="str">
        <v>No</v>
      </c>
      <c r="O394" s="119" t="str">
        <v>Yes</v>
      </c>
      <c r="P394" s="92" t="str">
        <v>N</v>
      </c>
      <c r="Q394" s="91">
        <v>45966</v>
      </c>
      <c r="R394" s="140">
        <v>0</v>
      </c>
      <c r="S394" s="92">
        <v>0</v>
      </c>
      <c r="T394" s="92">
        <v>0</v>
      </c>
      <c r="U394" s="137">
        <v>0</v>
      </c>
      <c r="V394" s="126" t="str">
        <f t="shared" si="12"/>
        <v>❄ Frozen Rate</v>
      </c>
      <c r="W394" s="130">
        <f>IFERROR(_xlfn.XLOOKUP(TEXT(H394,"0000000000"),'📞 Call Tracker'!A$2:A$2000,'📞 Call Tracker'!B$2:B$2000,""),"")</f>
        <v>0</v>
      </c>
      <c r="X394" s="96">
        <f>IFERROR(_xlfn.XLOOKUP(TEXT(H394,"0000000000"),'📞 Call Tracker'!A$2:A$2000,'📞 Call Tracker'!C$2:C$2000,""),"")</f>
        <v>0</v>
      </c>
      <c r="Y394" s="95">
        <f>IFERROR(_xlfn.XLOOKUP(TEXT(H394,"0000000000"),'📞 Call Tracker'!A$2:A$2000,'📞 Call Tracker'!D$2:D$2000,""),"")</f>
        <v>0</v>
      </c>
      <c r="Z394" s="95">
        <f>IFERROR(_xlfn.XLOOKUP(TEXT(H394,"0000000000"),'📞 Call Tracker'!A$2:A$2000,'📞 Call Tracker'!E$2:E$2000,""),"")</f>
        <v>0</v>
      </c>
      <c r="AA394" s="145">
        <f>IFERROR(_xlfn.XLOOKUP(TEXT(H394,"0000000000"),'📞 Call Tracker'!A$2:A$2000,'📞 Call Tracker'!F$2:F$2000,""),"")</f>
        <v>0</v>
      </c>
      <c r="AB394" s="132">
        <f t="shared" si="13"/>
        <v>99</v>
      </c>
      <c r="AC394" s="79"/>
    </row>
    <row r="395" spans="1:29" ht="20.100000000000001" customHeight="1">
      <c r="A395" s="91">
        <v>45905</v>
      </c>
      <c r="B395" s="92" t="str">
        <v>Delaney</v>
      </c>
      <c r="C395" s="92" t="str">
        <v>Amy</v>
      </c>
      <c r="D395" s="92" t="str">
        <v>Phoenix</v>
      </c>
      <c r="E395" s="92">
        <v>85028</v>
      </c>
      <c r="F395" s="137" t="str">
        <v>Form letter</v>
      </c>
      <c r="G395" s="93" t="str">
        <v>https://images.edocket.azcc.gov/docketpdf/E000046230.pdf</v>
      </c>
      <c r="H395" s="150" t="s">
        <v>6017</v>
      </c>
      <c r="I395" s="114" t="str">
        <v>RTOUE47</v>
      </c>
      <c r="J395" s="94" t="str">
        <v>No</v>
      </c>
      <c r="K395" s="94" t="str">
        <v>No</v>
      </c>
      <c r="L395" s="137" t="str">
        <v>No MEP R-BASIC(110.71)</v>
      </c>
      <c r="M395" s="94" t="str">
        <v>No</v>
      </c>
      <c r="N395" s="134" t="str">
        <v>No</v>
      </c>
      <c r="O395" s="119" t="str">
        <v>Yes</v>
      </c>
      <c r="P395" s="92">
        <v>45936</v>
      </c>
      <c r="Q395" s="91">
        <v>45966</v>
      </c>
      <c r="R395" s="140" t="str">
        <v>10/06/2025 left VM</v>
      </c>
      <c r="S395" s="92">
        <v>0</v>
      </c>
      <c r="T395" s="92">
        <v>0</v>
      </c>
      <c r="U395" s="137">
        <v>0</v>
      </c>
      <c r="V395" s="126" t="str">
        <f t="shared" si="12"/>
        <v>❌ Not on Best Plan</v>
      </c>
      <c r="W395" s="130" t="str">
        <f>IFERROR(_xlfn.XLOOKUP(TEXT(H395,"0000000000"),'📞 Call Tracker'!A$2:A$2000,'📞 Call Tracker'!B$2:B$2000,""),"")</f>
        <v>Michelle</v>
      </c>
      <c r="X395" s="96">
        <f>IFERROR(_xlfn.XLOOKUP(TEXT(H395,"0000000000"),'📞 Call Tracker'!A$2:A$2000,'📞 Call Tracker'!C$2:C$2000,""),"")</f>
        <v>46046</v>
      </c>
      <c r="Y395" s="95" t="str">
        <f>IFERROR(_xlfn.XLOOKUP(TEXT(H395,"0000000000"),'📞 Call Tracker'!A$2:A$2000,'📞 Call Tracker'!D$2:D$2000,""),"")</f>
        <v>YES</v>
      </c>
      <c r="Z395" s="95">
        <f>IFERROR(_xlfn.XLOOKUP(TEXT(H395,"0000000000"),'📞 Call Tracker'!A$2:A$2000,'📞 Call Tracker'!E$2:E$2000,""),"")</f>
        <v>0</v>
      </c>
      <c r="AA395" s="145">
        <f>IFERROR(_xlfn.XLOOKUP(TEXT(H395,"0000000000"),'📞 Call Tracker'!A$2:A$2000,'📞 Call Tracker'!F$2:F$2000,""),"")</f>
        <v>0</v>
      </c>
      <c r="AB395" s="132">
        <f t="shared" si="13"/>
        <v>99</v>
      </c>
      <c r="AC395" s="79"/>
    </row>
    <row r="396" spans="1:29" ht="20.100000000000001" customHeight="1">
      <c r="A396" s="91">
        <v>45905</v>
      </c>
      <c r="B396" s="92" t="str">
        <v>Price</v>
      </c>
      <c r="C396" s="92" t="str">
        <v>Shannon</v>
      </c>
      <c r="D396" s="92" t="str">
        <v>Phoenix</v>
      </c>
      <c r="E396" s="92">
        <v>85008</v>
      </c>
      <c r="F396" s="137" t="str">
        <v>Form letter</v>
      </c>
      <c r="G396" s="93" t="str">
        <v>https://images.edocket.azcc.gov/docketpdf/E000046230.pdf</v>
      </c>
      <c r="H396" s="150" t="s">
        <v>6198</v>
      </c>
      <c r="I396" s="114" t="str">
        <v>R3-47</v>
      </c>
      <c r="J396" s="94" t="str">
        <v>Yes</v>
      </c>
      <c r="K396" s="94" t="str">
        <v>No</v>
      </c>
      <c r="L396" s="137" t="str">
        <v>No MEP R-BASIC(31.45)</v>
      </c>
      <c r="M396" s="94" t="str">
        <v>Yes</v>
      </c>
      <c r="N396" s="134">
        <v>487.48</v>
      </c>
      <c r="O396" s="119" t="str">
        <v>Yes</v>
      </c>
      <c r="P396" s="92">
        <v>0</v>
      </c>
      <c r="Q396" s="91">
        <v>45966</v>
      </c>
      <c r="R396" s="140" t="str">
        <v>Assistance?</v>
      </c>
      <c r="S396" s="92">
        <v>0</v>
      </c>
      <c r="T396" s="92">
        <v>0</v>
      </c>
      <c r="U396" s="137">
        <v>0</v>
      </c>
      <c r="V396" s="126" t="str">
        <f t="shared" si="12"/>
        <v>❌ Not on Best Plan</v>
      </c>
      <c r="W396" s="130">
        <f>IFERROR(_xlfn.XLOOKUP(TEXT(H396,"0000000000"),'📞 Call Tracker'!A$2:A$2000,'📞 Call Tracker'!B$2:B$2000,""),"")</f>
        <v>0</v>
      </c>
      <c r="X396" s="96">
        <f>IFERROR(_xlfn.XLOOKUP(TEXT(H396,"0000000000"),'📞 Call Tracker'!A$2:A$2000,'📞 Call Tracker'!C$2:C$2000,""),"")</f>
        <v>0</v>
      </c>
      <c r="Y396" s="95">
        <f>IFERROR(_xlfn.XLOOKUP(TEXT(H396,"0000000000"),'📞 Call Tracker'!A$2:A$2000,'📞 Call Tracker'!D$2:D$2000,""),"")</f>
        <v>0</v>
      </c>
      <c r="Z396" s="95">
        <f>IFERROR(_xlfn.XLOOKUP(TEXT(H396,"0000000000"),'📞 Call Tracker'!A$2:A$2000,'📞 Call Tracker'!E$2:E$2000,""),"")</f>
        <v>0</v>
      </c>
      <c r="AA396" s="145">
        <f>IFERROR(_xlfn.XLOOKUP(TEXT(H396,"0000000000"),'📞 Call Tracker'!A$2:A$2000,'📞 Call Tracker'!F$2:F$2000,""),"")</f>
        <v>0</v>
      </c>
      <c r="AB396" s="132">
        <f t="shared" si="13"/>
        <v>99</v>
      </c>
      <c r="AC396" s="79"/>
    </row>
    <row r="397" spans="1:29" ht="20.100000000000001" customHeight="1">
      <c r="A397" s="91">
        <v>45905</v>
      </c>
      <c r="B397" s="92" t="str">
        <v>Votypka</v>
      </c>
      <c r="C397" s="92" t="str">
        <v>Lindsay</v>
      </c>
      <c r="D397" s="92" t="str">
        <v>Scottsdale</v>
      </c>
      <c r="E397" s="92">
        <v>85260</v>
      </c>
      <c r="F397" s="137" t="str">
        <v>Form letter</v>
      </c>
      <c r="G397" s="93" t="str">
        <v>https://images.edocket.azcc.gov/docketpdf/E000046230.pdf</v>
      </c>
      <c r="H397" s="150" t="s">
        <v>6018</v>
      </c>
      <c r="I397" s="114" t="str">
        <v>RTOUE47</v>
      </c>
      <c r="J397" s="94" t="str">
        <v>No</v>
      </c>
      <c r="K397" s="94" t="str">
        <v>No</v>
      </c>
      <c r="L397" s="137" t="str">
        <v>No MEP R-BASIC($19.26)</v>
      </c>
      <c r="M397" s="94" t="str">
        <v>No</v>
      </c>
      <c r="N397" s="134" t="str">
        <v>No</v>
      </c>
      <c r="O397" s="119" t="str">
        <v>Yes</v>
      </c>
      <c r="P397" s="92" t="str">
        <v>N</v>
      </c>
      <c r="Q397" s="91">
        <v>45966</v>
      </c>
      <c r="R397" s="140">
        <v>0</v>
      </c>
      <c r="S397" s="92">
        <v>0</v>
      </c>
      <c r="T397" s="92">
        <v>0</v>
      </c>
      <c r="U397" s="137">
        <v>0</v>
      </c>
      <c r="V397" s="126" t="str">
        <f t="shared" si="12"/>
        <v>❌ Not on Best Plan</v>
      </c>
      <c r="W397" s="130" t="str">
        <f>IFERROR(_xlfn.XLOOKUP(TEXT(H397,"0000000000"),'📞 Call Tracker'!A$2:A$2000,'📞 Call Tracker'!B$2:B$2000,""),"")</f>
        <v>Joaquin</v>
      </c>
      <c r="X397" s="96">
        <f>IFERROR(_xlfn.XLOOKUP(TEXT(H397,"0000000000"),'📞 Call Tracker'!A$2:A$2000,'📞 Call Tracker'!C$2:C$2000,""),"")</f>
        <v>46060</v>
      </c>
      <c r="Y397" s="95" t="str">
        <f>IFERROR(_xlfn.XLOOKUP(TEXT(H397,"0000000000"),'📞 Call Tracker'!A$2:A$2000,'📞 Call Tracker'!D$2:D$2000,""),"")</f>
        <v>YES</v>
      </c>
      <c r="Z397" s="95">
        <f>IFERROR(_xlfn.XLOOKUP(TEXT(H397,"0000000000"),'📞 Call Tracker'!A$2:A$2000,'📞 Call Tracker'!E$2:E$2000,""),"")</f>
        <v>0</v>
      </c>
      <c r="AA397" s="145" t="str">
        <f>IFERROR(_xlfn.XLOOKUP(TEXT(H397,"0000000000"),'📞 Call Tracker'!A$2:A$2000,'📞 Call Tracker'!F$2:F$2000,""),"")</f>
        <v>LEFT V-M</v>
      </c>
      <c r="AB397" s="132">
        <f t="shared" si="13"/>
        <v>99</v>
      </c>
      <c r="AC397" s="79"/>
    </row>
    <row r="398" spans="1:29" ht="20.100000000000001" customHeight="1">
      <c r="A398" s="91">
        <v>45905</v>
      </c>
      <c r="B398" s="92" t="str">
        <v>Glanzer</v>
      </c>
      <c r="C398" s="92" t="str">
        <v>Addison</v>
      </c>
      <c r="D398" s="92" t="str">
        <v>Phoenix</v>
      </c>
      <c r="E398" s="92">
        <v>85013</v>
      </c>
      <c r="F398" s="137" t="str">
        <v>Facing financial hardship</v>
      </c>
      <c r="G398" s="93" t="str">
        <v>https://images.edocket.azcc.gov/docketpdf/E000046230.pdf</v>
      </c>
      <c r="H398" s="150" t="s">
        <v>6199</v>
      </c>
      <c r="I398" s="114" t="str">
        <v>R3-47</v>
      </c>
      <c r="J398" s="94" t="str">
        <v>No</v>
      </c>
      <c r="K398" s="94" t="str">
        <v>No</v>
      </c>
      <c r="L398" s="137" t="str">
        <v>Yes</v>
      </c>
      <c r="M398" s="94" t="str">
        <v>No</v>
      </c>
      <c r="N398" s="134" t="str">
        <v>No</v>
      </c>
      <c r="O398" s="119" t="str">
        <v>Yes</v>
      </c>
      <c r="P398" s="92" t="str">
        <v>N</v>
      </c>
      <c r="Q398" s="91">
        <v>45966</v>
      </c>
      <c r="R398" s="140">
        <v>0</v>
      </c>
      <c r="S398" s="92">
        <v>0</v>
      </c>
      <c r="T398" s="92">
        <v>0</v>
      </c>
      <c r="U398" s="137">
        <v>0</v>
      </c>
      <c r="V398" s="126" t="str">
        <f t="shared" si="12"/>
        <v>✅ On Best Plan</v>
      </c>
      <c r="W398" s="130">
        <f>IFERROR(_xlfn.XLOOKUP(TEXT(H398,"0000000000"),'📞 Call Tracker'!A$2:A$2000,'📞 Call Tracker'!B$2:B$2000,""),"")</f>
        <v>0</v>
      </c>
      <c r="X398" s="96">
        <f>IFERROR(_xlfn.XLOOKUP(TEXT(H398,"0000000000"),'📞 Call Tracker'!A$2:A$2000,'📞 Call Tracker'!C$2:C$2000,""),"")</f>
        <v>0</v>
      </c>
      <c r="Y398" s="95">
        <f>IFERROR(_xlfn.XLOOKUP(TEXT(H398,"0000000000"),'📞 Call Tracker'!A$2:A$2000,'📞 Call Tracker'!D$2:D$2000,""),"")</f>
        <v>0</v>
      </c>
      <c r="Z398" s="95">
        <f>IFERROR(_xlfn.XLOOKUP(TEXT(H398,"0000000000"),'📞 Call Tracker'!A$2:A$2000,'📞 Call Tracker'!E$2:E$2000,""),"")</f>
        <v>0</v>
      </c>
      <c r="AA398" s="145">
        <f>IFERROR(_xlfn.XLOOKUP(TEXT(H398,"0000000000"),'📞 Call Tracker'!A$2:A$2000,'📞 Call Tracker'!F$2:F$2000,""),"")</f>
        <v>0</v>
      </c>
      <c r="AB398" s="132">
        <f t="shared" si="13"/>
        <v>99</v>
      </c>
      <c r="AC398" s="79"/>
    </row>
    <row r="399" spans="1:29" ht="20.100000000000001" customHeight="1">
      <c r="A399" s="91">
        <v>45905</v>
      </c>
      <c r="B399" s="92" t="str">
        <v>Sundarachar</v>
      </c>
      <c r="C399" s="92" t="str">
        <v>Hema</v>
      </c>
      <c r="D399" s="92" t="str">
        <v>Tempe</v>
      </c>
      <c r="E399" s="92">
        <v>85281</v>
      </c>
      <c r="F399" s="137" t="str">
        <v>Form letter</v>
      </c>
      <c r="G399" s="93" t="str">
        <v>https://images.edocket.azcc.gov/docketpdf/E000046230.pdf</v>
      </c>
      <c r="H399" s="150" t="s">
        <v>6200</v>
      </c>
      <c r="I399" s="114" t="str">
        <v>RTOUE47</v>
      </c>
      <c r="J399" s="94" t="str">
        <v>No</v>
      </c>
      <c r="K399" s="94" t="str">
        <v>No</v>
      </c>
      <c r="L399" s="137" t="str">
        <v>No MEP R3-47(3.29)</v>
      </c>
      <c r="M399" s="94" t="str">
        <v>No</v>
      </c>
      <c r="N399" s="134" t="str">
        <v>No</v>
      </c>
      <c r="O399" s="119" t="str">
        <v>Yes</v>
      </c>
      <c r="P399" s="92" t="str">
        <v>N</v>
      </c>
      <c r="Q399" s="91">
        <v>45966</v>
      </c>
      <c r="R399" s="140">
        <v>0</v>
      </c>
      <c r="S399" s="92">
        <v>0</v>
      </c>
      <c r="T399" s="92">
        <v>0</v>
      </c>
      <c r="U399" s="137">
        <v>0</v>
      </c>
      <c r="V399" s="126" t="str">
        <f t="shared" si="12"/>
        <v>❌ Not on Best Plan</v>
      </c>
      <c r="W399" s="130">
        <f>IFERROR(_xlfn.XLOOKUP(TEXT(H399,"0000000000"),'📞 Call Tracker'!A$2:A$2000,'📞 Call Tracker'!B$2:B$2000,""),"")</f>
        <v>0</v>
      </c>
      <c r="X399" s="96">
        <f>IFERROR(_xlfn.XLOOKUP(TEXT(H399,"0000000000"),'📞 Call Tracker'!A$2:A$2000,'📞 Call Tracker'!C$2:C$2000,""),"")</f>
        <v>0</v>
      </c>
      <c r="Y399" s="95">
        <f>IFERROR(_xlfn.XLOOKUP(TEXT(H399,"0000000000"),'📞 Call Tracker'!A$2:A$2000,'📞 Call Tracker'!D$2:D$2000,""),"")</f>
        <v>0</v>
      </c>
      <c r="Z399" s="95">
        <f>IFERROR(_xlfn.XLOOKUP(TEXT(H399,"0000000000"),'📞 Call Tracker'!A$2:A$2000,'📞 Call Tracker'!E$2:E$2000,""),"")</f>
        <v>0</v>
      </c>
      <c r="AA399" s="145">
        <f>IFERROR(_xlfn.XLOOKUP(TEXT(H399,"0000000000"),'📞 Call Tracker'!A$2:A$2000,'📞 Call Tracker'!F$2:F$2000,""),"")</f>
        <v>0</v>
      </c>
      <c r="AB399" s="132">
        <f t="shared" si="13"/>
        <v>99</v>
      </c>
      <c r="AC399" s="79"/>
    </row>
    <row r="400" spans="1:29" ht="20.100000000000001" customHeight="1">
      <c r="A400" s="91">
        <v>45905</v>
      </c>
      <c r="B400" s="92" t="str">
        <v>Stecker</v>
      </c>
      <c r="C400" s="92" t="str">
        <v>Stacey</v>
      </c>
      <c r="D400" s="92" t="str">
        <v>Phoenix</v>
      </c>
      <c r="E400" s="92">
        <v>85083</v>
      </c>
      <c r="F400" s="137" t="str">
        <v>Opposed</v>
      </c>
      <c r="G400" s="93" t="str">
        <v>https://images.edocket.azcc.gov/docketpdf/E000046230.pdf</v>
      </c>
      <c r="H400" s="150" t="s">
        <v>6019</v>
      </c>
      <c r="I400" s="114" t="str">
        <v>RCPw/R3-47</v>
      </c>
      <c r="J400" s="94" t="str">
        <v>No</v>
      </c>
      <c r="K400" s="94" t="str">
        <v>No</v>
      </c>
      <c r="L400" s="137" t="str">
        <v>Yes</v>
      </c>
      <c r="M400" s="94" t="str">
        <v>No</v>
      </c>
      <c r="N400" s="134" t="str">
        <v>No</v>
      </c>
      <c r="O400" s="119" t="str">
        <v>Yes</v>
      </c>
      <c r="P400" s="92" t="str">
        <v>N</v>
      </c>
      <c r="Q400" s="91">
        <v>45966</v>
      </c>
      <c r="R400" s="140">
        <v>0</v>
      </c>
      <c r="S400" s="92">
        <v>0</v>
      </c>
      <c r="T400" s="92">
        <v>0</v>
      </c>
      <c r="U400" s="137">
        <v>0</v>
      </c>
      <c r="V400" s="126" t="str">
        <f t="shared" si="12"/>
        <v>✅ On Best Plan</v>
      </c>
      <c r="W400" s="130" t="str">
        <f>IFERROR(_xlfn.XLOOKUP(TEXT(H400,"0000000000"),'📞 Call Tracker'!A$2:A$2000,'📞 Call Tracker'!B$2:B$2000,""),"")</f>
        <v>Michelle</v>
      </c>
      <c r="X400" s="96">
        <f>IFERROR(_xlfn.XLOOKUP(TEXT(H400,"0000000000"),'📞 Call Tracker'!A$2:A$2000,'📞 Call Tracker'!C$2:C$2000,""),"")</f>
        <v>46060</v>
      </c>
      <c r="Y400" s="95" t="str">
        <f>IFERROR(_xlfn.XLOOKUP(TEXT(H400,"0000000000"),'📞 Call Tracker'!A$2:A$2000,'📞 Call Tracker'!D$2:D$2000,""),"")</f>
        <v>YES</v>
      </c>
      <c r="Z400" s="95">
        <f>IFERROR(_xlfn.XLOOKUP(TEXT(H400,"0000000000"),'📞 Call Tracker'!A$2:A$2000,'📞 Call Tracker'!E$2:E$2000,""),"")</f>
        <v>0</v>
      </c>
      <c r="AA400" s="145">
        <f>IFERROR(_xlfn.XLOOKUP(TEXT(H400,"0000000000"),'📞 Call Tracker'!A$2:A$2000,'📞 Call Tracker'!F$2:F$2000,""),"")</f>
        <v>0</v>
      </c>
      <c r="AB400" s="132">
        <f t="shared" si="13"/>
        <v>99</v>
      </c>
      <c r="AC400" s="79"/>
    </row>
    <row r="401" spans="1:29" ht="20.100000000000001" customHeight="1">
      <c r="A401" s="91">
        <v>45905</v>
      </c>
      <c r="B401" s="92" t="str">
        <v>Wallace</v>
      </c>
      <c r="C401" s="92" t="str">
        <v>Joshua</v>
      </c>
      <c r="D401" s="92" t="str">
        <v>Phoenix</v>
      </c>
      <c r="E401" s="92">
        <v>85032</v>
      </c>
      <c r="F401" s="137" t="str">
        <v>Form letter</v>
      </c>
      <c r="G401" s="93" t="str">
        <v>https://images.edocket.azcc.gov/docketpdf/E000046230.pdf</v>
      </c>
      <c r="H401" s="150" t="s">
        <v>5999</v>
      </c>
      <c r="I401" s="114" t="str">
        <v>RTOUE47</v>
      </c>
      <c r="J401" s="94" t="str">
        <v>No</v>
      </c>
      <c r="K401" s="94" t="str">
        <v>No</v>
      </c>
      <c r="L401" s="137" t="str">
        <v>Yes</v>
      </c>
      <c r="M401" s="94" t="str">
        <v>No</v>
      </c>
      <c r="N401" s="134" t="str">
        <v>No</v>
      </c>
      <c r="O401" s="119" t="str">
        <v>Yes</v>
      </c>
      <c r="P401" s="92" t="str">
        <v>N</v>
      </c>
      <c r="Q401" s="91">
        <v>45966</v>
      </c>
      <c r="R401" s="140">
        <v>0</v>
      </c>
      <c r="S401" s="92">
        <v>0</v>
      </c>
      <c r="T401" s="92">
        <v>0</v>
      </c>
      <c r="U401" s="137">
        <v>0</v>
      </c>
      <c r="V401" s="126" t="str">
        <f t="shared" si="12"/>
        <v>✅ On Best Plan</v>
      </c>
      <c r="W401" s="130" t="str">
        <f>IFERROR(_xlfn.XLOOKUP(TEXT(H401,"0000000000"),'📞 Call Tracker'!A$2:A$2000,'📞 Call Tracker'!B$2:B$2000,""),"")</f>
        <v>Michelle</v>
      </c>
      <c r="X401" s="96">
        <f>IFERROR(_xlfn.XLOOKUP(TEXT(H401,"0000000000"),'📞 Call Tracker'!A$2:A$2000,'📞 Call Tracker'!C$2:C$2000,""),"")</f>
        <v>46046</v>
      </c>
      <c r="Y401" s="95" t="str">
        <f>IFERROR(_xlfn.XLOOKUP(TEXT(H401,"0000000000"),'📞 Call Tracker'!A$2:A$2000,'📞 Call Tracker'!D$2:D$2000,""),"")</f>
        <v>NO</v>
      </c>
      <c r="Z401" s="95" t="str">
        <f>IFERROR(_xlfn.XLOOKUP(TEXT(H401,"0000000000"),'📞 Call Tracker'!A$2:A$2000,'📞 Call Tracker'!E$2:E$2000,""),"")</f>
        <v>Utility Assistance</v>
      </c>
      <c r="AA401" s="145">
        <f>IFERROR(_xlfn.XLOOKUP(TEXT(H401,"0000000000"),'📞 Call Tracker'!A$2:A$2000,'📞 Call Tracker'!F$2:F$2000,""),"")</f>
        <v>0</v>
      </c>
      <c r="AB401" s="132">
        <f t="shared" si="13"/>
        <v>99</v>
      </c>
      <c r="AC401" s="79"/>
    </row>
    <row r="402" spans="1:29" ht="20.100000000000001" customHeight="1">
      <c r="A402" s="91">
        <v>45905</v>
      </c>
      <c r="B402" s="92" t="str">
        <v>Short</v>
      </c>
      <c r="C402" s="92" t="str">
        <v>Gregory</v>
      </c>
      <c r="D402" s="92" t="str">
        <v>Surprise</v>
      </c>
      <c r="E402" s="92">
        <v>85388</v>
      </c>
      <c r="F402" s="137" t="str">
        <v>Form letter</v>
      </c>
      <c r="G402" s="93" t="str">
        <v>https://images.edocket.azcc.gov/docketpdf/E000046230.pdf</v>
      </c>
      <c r="H402" s="150" t="s">
        <v>6020</v>
      </c>
      <c r="I402" s="114" t="str">
        <v>R3-47</v>
      </c>
      <c r="J402" s="94" t="str">
        <v>No</v>
      </c>
      <c r="K402" s="94" t="str">
        <v>No</v>
      </c>
      <c r="L402" s="137" t="str">
        <v>Yes</v>
      </c>
      <c r="M402" s="94" t="str">
        <v>No</v>
      </c>
      <c r="N402" s="134" t="str">
        <v>No</v>
      </c>
      <c r="O402" s="119" t="str">
        <v>Yes</v>
      </c>
      <c r="P402" s="92" t="str">
        <v>N</v>
      </c>
      <c r="Q402" s="91">
        <v>45966</v>
      </c>
      <c r="R402" s="140">
        <v>0</v>
      </c>
      <c r="S402" s="92">
        <v>0</v>
      </c>
      <c r="T402" s="92">
        <v>0</v>
      </c>
      <c r="U402" s="137">
        <v>0</v>
      </c>
      <c r="V402" s="126" t="str">
        <f t="shared" si="12"/>
        <v>✅ On Best Plan</v>
      </c>
      <c r="W402" s="130" t="str">
        <f>IFERROR(_xlfn.XLOOKUP(TEXT(H402,"0000000000"),'📞 Call Tracker'!A$2:A$2000,'📞 Call Tracker'!B$2:B$2000,""),"")</f>
        <v>Michelle</v>
      </c>
      <c r="X402" s="96">
        <f>IFERROR(_xlfn.XLOOKUP(TEXT(H402,"0000000000"),'📞 Call Tracker'!A$2:A$2000,'📞 Call Tracker'!C$2:C$2000,""),"")</f>
        <v>46046</v>
      </c>
      <c r="Y402" s="95" t="str">
        <f>IFERROR(_xlfn.XLOOKUP(TEXT(H402,"0000000000"),'📞 Call Tracker'!A$2:A$2000,'📞 Call Tracker'!D$2:D$2000,""),"")</f>
        <v>NO</v>
      </c>
      <c r="Z402" s="95">
        <f>IFERROR(_xlfn.XLOOKUP(TEXT(H402,"0000000000"),'📞 Call Tracker'!A$2:A$2000,'📞 Call Tracker'!E$2:E$2000,""),"")</f>
        <v>0</v>
      </c>
      <c r="AA402" s="145" t="str">
        <f>IFERROR(_xlfn.XLOOKUP(TEXT(H402,"0000000000"),'📞 Call Tracker'!A$2:A$2000,'📞 Call Tracker'!F$2:F$2000,""),"")</f>
        <v>NUMBER DISCONNECTED</v>
      </c>
      <c r="AB402" s="132">
        <f t="shared" si="13"/>
        <v>99</v>
      </c>
      <c r="AC402" s="79"/>
    </row>
    <row r="403" spans="1:29" ht="20.100000000000001" customHeight="1">
      <c r="A403" s="91">
        <v>45905</v>
      </c>
      <c r="B403" s="92" t="str">
        <v>Flam</v>
      </c>
      <c r="C403" s="92" t="str">
        <v>Sara</v>
      </c>
      <c r="D403" s="92" t="str">
        <v>Gilbert</v>
      </c>
      <c r="E403" s="92">
        <v>85233</v>
      </c>
      <c r="F403" s="137" t="str">
        <v>Opposed</v>
      </c>
      <c r="G403" s="93" t="str">
        <v>https://images.edocket.azcc.gov/docketpdf/E000046230.pdf</v>
      </c>
      <c r="H403" s="150" t="s">
        <v>6201</v>
      </c>
      <c r="I403" s="114" t="str">
        <v>R3-47</v>
      </c>
      <c r="J403" s="94" t="str">
        <v>No</v>
      </c>
      <c r="K403" s="94" t="str">
        <v>No</v>
      </c>
      <c r="L403" s="137" t="str">
        <v>Yes</v>
      </c>
      <c r="M403" s="94" t="str">
        <v>No</v>
      </c>
      <c r="N403" s="134" t="str">
        <v>No</v>
      </c>
      <c r="O403" s="119" t="str">
        <v>Yes</v>
      </c>
      <c r="P403" s="92" t="str">
        <v>N</v>
      </c>
      <c r="Q403" s="91">
        <v>45966</v>
      </c>
      <c r="R403" s="140">
        <v>0</v>
      </c>
      <c r="S403" s="92">
        <v>0</v>
      </c>
      <c r="T403" s="92">
        <v>0</v>
      </c>
      <c r="U403" s="137">
        <v>0</v>
      </c>
      <c r="V403" s="126" t="str">
        <f t="shared" si="12"/>
        <v>✅ On Best Plan</v>
      </c>
      <c r="W403" s="130">
        <f>IFERROR(_xlfn.XLOOKUP(TEXT(H403,"0000000000"),'📞 Call Tracker'!A$2:A$2000,'📞 Call Tracker'!B$2:B$2000,""),"")</f>
        <v>0</v>
      </c>
      <c r="X403" s="96">
        <f>IFERROR(_xlfn.XLOOKUP(TEXT(H403,"0000000000"),'📞 Call Tracker'!A$2:A$2000,'📞 Call Tracker'!C$2:C$2000,""),"")</f>
        <v>0</v>
      </c>
      <c r="Y403" s="95">
        <f>IFERROR(_xlfn.XLOOKUP(TEXT(H403,"0000000000"),'📞 Call Tracker'!A$2:A$2000,'📞 Call Tracker'!D$2:D$2000,""),"")</f>
        <v>0</v>
      </c>
      <c r="Z403" s="95">
        <f>IFERROR(_xlfn.XLOOKUP(TEXT(H403,"0000000000"),'📞 Call Tracker'!A$2:A$2000,'📞 Call Tracker'!E$2:E$2000,""),"")</f>
        <v>0</v>
      </c>
      <c r="AA403" s="145">
        <f>IFERROR(_xlfn.XLOOKUP(TEXT(H403,"0000000000"),'📞 Call Tracker'!A$2:A$2000,'📞 Call Tracker'!F$2:F$2000,""),"")</f>
        <v>0</v>
      </c>
      <c r="AB403" s="132">
        <f t="shared" si="13"/>
        <v>99</v>
      </c>
      <c r="AC403" s="79"/>
    </row>
    <row r="404" spans="1:29" ht="20.100000000000001" customHeight="1">
      <c r="A404" s="91">
        <v>45905</v>
      </c>
      <c r="B404" s="92" t="str">
        <v>Laszczak</v>
      </c>
      <c r="C404" s="92" t="str">
        <v>Lauren</v>
      </c>
      <c r="D404" s="92" t="str">
        <v>Phoenix</v>
      </c>
      <c r="E404" s="92">
        <v>85020</v>
      </c>
      <c r="F404" s="137" t="str">
        <v>Form letter</v>
      </c>
      <c r="G404" s="93" t="str">
        <v>https://images.edocket.azcc.gov/docketpdf/E000046230.pdf</v>
      </c>
      <c r="H404" s="150" t="s">
        <v>1559</v>
      </c>
      <c r="I404" s="114" t="str">
        <v>RTOUE47</v>
      </c>
      <c r="J404" s="94" t="str">
        <v>No</v>
      </c>
      <c r="K404" s="94" t="str">
        <v>No</v>
      </c>
      <c r="L404" s="137" t="str">
        <v>No R-XS($56.43)</v>
      </c>
      <c r="M404" s="94" t="str">
        <v>No</v>
      </c>
      <c r="N404" s="134" t="str">
        <v>No</v>
      </c>
      <c r="O404" s="119" t="str">
        <v>Yes</v>
      </c>
      <c r="P404" s="92" t="str">
        <v>N</v>
      </c>
      <c r="Q404" s="91">
        <v>45966</v>
      </c>
      <c r="R404" s="140">
        <v>0</v>
      </c>
      <c r="S404" s="92">
        <v>0</v>
      </c>
      <c r="T404" s="92">
        <v>0</v>
      </c>
      <c r="U404" s="137">
        <v>0</v>
      </c>
      <c r="V404" s="126" t="str">
        <f t="shared" si="12"/>
        <v>❌ Not on Best Plan</v>
      </c>
      <c r="W404" s="130" t="str">
        <f>IFERROR(_xlfn.XLOOKUP(TEXT(H404,"0000000000"),'📞 Call Tracker'!A$2:A$2000,'📞 Call Tracker'!B$2:B$2000,""),"")</f>
        <v>Michelle</v>
      </c>
      <c r="X404" s="96">
        <f>IFERROR(_xlfn.XLOOKUP(TEXT(H404,"0000000000"),'📞 Call Tracker'!A$2:A$2000,'📞 Call Tracker'!C$2:C$2000,""),"")</f>
        <v>46060</v>
      </c>
      <c r="Y404" s="95" t="str">
        <f>IFERROR(_xlfn.XLOOKUP(TEXT(H404,"0000000000"),'📞 Call Tracker'!A$2:A$2000,'📞 Call Tracker'!D$2:D$2000,""),"")</f>
        <v>NO</v>
      </c>
      <c r="Z404" s="95">
        <f>IFERROR(_xlfn.XLOOKUP(TEXT(H404,"0000000000"),'📞 Call Tracker'!A$2:A$2000,'📞 Call Tracker'!E$2:E$2000,""),"")</f>
        <v>0</v>
      </c>
      <c r="AA404" s="145" t="str">
        <f>IFERROR(_xlfn.XLOOKUP(TEXT(H404,"0000000000"),'📞 Call Tracker'!A$2:A$2000,'📞 Call Tracker'!F$2:F$2000,""),"")</f>
        <v>COULD NOT LEAVE MESSAGE, VM NOT SET UP</v>
      </c>
      <c r="AB404" s="132">
        <f t="shared" si="13"/>
        <v>99</v>
      </c>
      <c r="AC404" s="79"/>
    </row>
    <row r="405" spans="1:29" ht="20.100000000000001" customHeight="1">
      <c r="A405" s="91">
        <v>45905</v>
      </c>
      <c r="B405" s="92" t="str">
        <v>Blocker</v>
      </c>
      <c r="C405" s="92" t="str">
        <v>Nicholas</v>
      </c>
      <c r="D405" s="92" t="str">
        <v>Surprise</v>
      </c>
      <c r="E405" s="92">
        <v>85387</v>
      </c>
      <c r="F405" s="137" t="str">
        <v>Form letter</v>
      </c>
      <c r="G405" s="93" t="str">
        <v>https://images.edocket.azcc.gov/docketpdf/E000046230.pdf</v>
      </c>
      <c r="H405" s="150" t="s">
        <v>6202</v>
      </c>
      <c r="I405" s="114" t="str">
        <v>RTOUE47</v>
      </c>
      <c r="J405" s="94" t="str">
        <v>No</v>
      </c>
      <c r="K405" s="94" t="str">
        <v>No</v>
      </c>
      <c r="L405" s="137" t="str">
        <v>No MEP R3-47(439.76)</v>
      </c>
      <c r="M405" s="94" t="str">
        <v>No</v>
      </c>
      <c r="N405" s="134" t="str">
        <v>No</v>
      </c>
      <c r="O405" s="119" t="str">
        <v>Yes</v>
      </c>
      <c r="P405" s="92">
        <v>45936</v>
      </c>
      <c r="Q405" s="91">
        <v>45966</v>
      </c>
      <c r="R405" s="140" t="str">
        <v>COR will review with his wife before changing the rate plan - 11/3 Customer initiated rate change</v>
      </c>
      <c r="S405" s="92">
        <v>0</v>
      </c>
      <c r="T405" s="92">
        <v>0</v>
      </c>
      <c r="U405" s="137">
        <v>0</v>
      </c>
      <c r="V405" s="126" t="str">
        <f t="shared" si="12"/>
        <v>❌ Not on Best Plan</v>
      </c>
      <c r="W405" s="130">
        <f>IFERROR(_xlfn.XLOOKUP(TEXT(H405,"0000000000"),'📞 Call Tracker'!A$2:A$2000,'📞 Call Tracker'!B$2:B$2000,""),"")</f>
        <v>0</v>
      </c>
      <c r="X405" s="96">
        <f>IFERROR(_xlfn.XLOOKUP(TEXT(H405,"0000000000"),'📞 Call Tracker'!A$2:A$2000,'📞 Call Tracker'!C$2:C$2000,""),"")</f>
        <v>0</v>
      </c>
      <c r="Y405" s="95">
        <f>IFERROR(_xlfn.XLOOKUP(TEXT(H405,"0000000000"),'📞 Call Tracker'!A$2:A$2000,'📞 Call Tracker'!D$2:D$2000,""),"")</f>
        <v>0</v>
      </c>
      <c r="Z405" s="95">
        <f>IFERROR(_xlfn.XLOOKUP(TEXT(H405,"0000000000"),'📞 Call Tracker'!A$2:A$2000,'📞 Call Tracker'!E$2:E$2000,""),"")</f>
        <v>0</v>
      </c>
      <c r="AA405" s="145">
        <f>IFERROR(_xlfn.XLOOKUP(TEXT(H405,"0000000000"),'📞 Call Tracker'!A$2:A$2000,'📞 Call Tracker'!F$2:F$2000,""),"")</f>
        <v>0</v>
      </c>
      <c r="AB405" s="132">
        <f t="shared" si="13"/>
        <v>99</v>
      </c>
      <c r="AC405" s="79"/>
    </row>
    <row r="406" spans="1:29" ht="20.100000000000001" customHeight="1">
      <c r="A406" s="91">
        <v>45905</v>
      </c>
      <c r="B406" s="92" t="str">
        <v>Kwon</v>
      </c>
      <c r="C406" s="92" t="str">
        <v>Grace</v>
      </c>
      <c r="D406" s="92" t="str">
        <v>Phoenix</v>
      </c>
      <c r="E406" s="92">
        <v>85024</v>
      </c>
      <c r="F406" s="137" t="str">
        <v>Form letter</v>
      </c>
      <c r="G406" s="93" t="str">
        <v>https://images.edocket.azcc.gov/docketpdf/E000046230.pdf</v>
      </c>
      <c r="H406" s="150" t="s">
        <v>6203</v>
      </c>
      <c r="I406" s="114" t="str">
        <v>R3-47</v>
      </c>
      <c r="J406" s="94" t="str">
        <v>No</v>
      </c>
      <c r="K406" s="94" t="str">
        <v>No</v>
      </c>
      <c r="L406" s="137" t="str">
        <v>Yes</v>
      </c>
      <c r="M406" s="94" t="str">
        <v>No</v>
      </c>
      <c r="N406" s="134" t="str">
        <v>No</v>
      </c>
      <c r="O406" s="119" t="str">
        <v>Yes</v>
      </c>
      <c r="P406" s="92" t="str">
        <v>N</v>
      </c>
      <c r="Q406" s="91">
        <v>45966</v>
      </c>
      <c r="R406" s="140">
        <v>0</v>
      </c>
      <c r="S406" s="92">
        <v>0</v>
      </c>
      <c r="T406" s="92">
        <v>0</v>
      </c>
      <c r="U406" s="137">
        <v>0</v>
      </c>
      <c r="V406" s="126" t="str">
        <f t="shared" si="12"/>
        <v>✅ On Best Plan</v>
      </c>
      <c r="W406" s="130">
        <f>IFERROR(_xlfn.XLOOKUP(TEXT(H406,"0000000000"),'📞 Call Tracker'!A$2:A$2000,'📞 Call Tracker'!B$2:B$2000,""),"")</f>
        <v>0</v>
      </c>
      <c r="X406" s="96">
        <f>IFERROR(_xlfn.XLOOKUP(TEXT(H406,"0000000000"),'📞 Call Tracker'!A$2:A$2000,'📞 Call Tracker'!C$2:C$2000,""),"")</f>
        <v>0</v>
      </c>
      <c r="Y406" s="95">
        <f>IFERROR(_xlfn.XLOOKUP(TEXT(H406,"0000000000"),'📞 Call Tracker'!A$2:A$2000,'📞 Call Tracker'!D$2:D$2000,""),"")</f>
        <v>0</v>
      </c>
      <c r="Z406" s="95">
        <f>IFERROR(_xlfn.XLOOKUP(TEXT(H406,"0000000000"),'📞 Call Tracker'!A$2:A$2000,'📞 Call Tracker'!E$2:E$2000,""),"")</f>
        <v>0</v>
      </c>
      <c r="AA406" s="145">
        <f>IFERROR(_xlfn.XLOOKUP(TEXT(H406,"0000000000"),'📞 Call Tracker'!A$2:A$2000,'📞 Call Tracker'!F$2:F$2000,""),"")</f>
        <v>0</v>
      </c>
      <c r="AB406" s="132">
        <f t="shared" si="13"/>
        <v>99</v>
      </c>
      <c r="AC406" s="79"/>
    </row>
    <row r="407" spans="1:29" ht="20.100000000000001" customHeight="1">
      <c r="A407" s="91">
        <v>45905</v>
      </c>
      <c r="B407" s="92" t="str">
        <v>Sacrison</v>
      </c>
      <c r="C407" s="92" t="str">
        <v>Robert</v>
      </c>
      <c r="D407" s="92" t="str">
        <v>Avondale</v>
      </c>
      <c r="E407" s="92">
        <v>85392</v>
      </c>
      <c r="F407" s="137" t="str">
        <v>Opposed</v>
      </c>
      <c r="G407" s="93" t="str">
        <v>https://images.edocket.azcc.gov/docketpdf/E000046230.pdf</v>
      </c>
      <c r="H407" s="150" t="s">
        <v>6204</v>
      </c>
      <c r="I407" s="114" t="str">
        <v>RTOUE47</v>
      </c>
      <c r="J407" s="94" t="str">
        <v>No</v>
      </c>
      <c r="K407" s="94" t="str">
        <v>No</v>
      </c>
      <c r="L407" s="137" t="str">
        <v>No MEP R3-47($221.11)</v>
      </c>
      <c r="M407" s="94" t="str">
        <v>No</v>
      </c>
      <c r="N407" s="134" t="str">
        <v>No</v>
      </c>
      <c r="O407" s="119" t="str">
        <v>Yes</v>
      </c>
      <c r="P407" s="92">
        <v>45936</v>
      </c>
      <c r="Q407" s="91">
        <v>45966</v>
      </c>
      <c r="R407" s="140" t="str">
        <v>10/06/2025 left VM</v>
      </c>
      <c r="S407" s="92">
        <v>0</v>
      </c>
      <c r="T407" s="92">
        <v>0</v>
      </c>
      <c r="U407" s="137">
        <v>0</v>
      </c>
      <c r="V407" s="126" t="str">
        <f t="shared" si="12"/>
        <v>❌ Not on Best Plan</v>
      </c>
      <c r="W407" s="130">
        <f>IFERROR(_xlfn.XLOOKUP(TEXT(H407,"0000000000"),'📞 Call Tracker'!A$2:A$2000,'📞 Call Tracker'!B$2:B$2000,""),"")</f>
        <v>0</v>
      </c>
      <c r="X407" s="96">
        <f>IFERROR(_xlfn.XLOOKUP(TEXT(H407,"0000000000"),'📞 Call Tracker'!A$2:A$2000,'📞 Call Tracker'!C$2:C$2000,""),"")</f>
        <v>0</v>
      </c>
      <c r="Y407" s="95">
        <f>IFERROR(_xlfn.XLOOKUP(TEXT(H407,"0000000000"),'📞 Call Tracker'!A$2:A$2000,'📞 Call Tracker'!D$2:D$2000,""),"")</f>
        <v>0</v>
      </c>
      <c r="Z407" s="95">
        <f>IFERROR(_xlfn.XLOOKUP(TEXT(H407,"0000000000"),'📞 Call Tracker'!A$2:A$2000,'📞 Call Tracker'!E$2:E$2000,""),"")</f>
        <v>0</v>
      </c>
      <c r="AA407" s="145">
        <f>IFERROR(_xlfn.XLOOKUP(TEXT(H407,"0000000000"),'📞 Call Tracker'!A$2:A$2000,'📞 Call Tracker'!F$2:F$2000,""),"")</f>
        <v>0</v>
      </c>
      <c r="AB407" s="132">
        <f t="shared" si="13"/>
        <v>99</v>
      </c>
      <c r="AC407" s="79"/>
    </row>
    <row r="408" spans="1:29" ht="20.100000000000001" customHeight="1">
      <c r="A408" s="91">
        <v>45905</v>
      </c>
      <c r="B408" s="92" t="str">
        <v>Hernandez</v>
      </c>
      <c r="C408" s="92" t="str">
        <v>Cathy</v>
      </c>
      <c r="D408" s="92" t="str">
        <v>Goodyear</v>
      </c>
      <c r="E408" s="92">
        <v>85338</v>
      </c>
      <c r="F408" s="137" t="str">
        <v xml:space="preserve">Monopoly,  </v>
      </c>
      <c r="G408" s="93" t="str">
        <v>https://images.edocket.azcc.gov/docketpdf/E000046230.pdf</v>
      </c>
      <c r="H408" s="150" t="s">
        <v>6205</v>
      </c>
      <c r="I408" s="114" t="str">
        <v>R3-47</v>
      </c>
      <c r="J408" s="94" t="str">
        <v>No</v>
      </c>
      <c r="K408" s="94" t="str">
        <v>No</v>
      </c>
      <c r="L408" s="137" t="str">
        <v>Yes</v>
      </c>
      <c r="M408" s="94" t="str">
        <v>No</v>
      </c>
      <c r="N408" s="134" t="str">
        <v>No</v>
      </c>
      <c r="O408" s="119" t="str">
        <v>Yes</v>
      </c>
      <c r="P408" s="92" t="str">
        <v>N</v>
      </c>
      <c r="Q408" s="91">
        <v>45966</v>
      </c>
      <c r="R408" s="140">
        <v>0</v>
      </c>
      <c r="S408" s="92">
        <v>0</v>
      </c>
      <c r="T408" s="92">
        <v>0</v>
      </c>
      <c r="U408" s="137">
        <v>0</v>
      </c>
      <c r="V408" s="126" t="str">
        <f t="shared" si="12"/>
        <v>✅ On Best Plan</v>
      </c>
      <c r="W408" s="130">
        <f>IFERROR(_xlfn.XLOOKUP(TEXT(H408,"0000000000"),'📞 Call Tracker'!A$2:A$2000,'📞 Call Tracker'!B$2:B$2000,""),"")</f>
        <v>0</v>
      </c>
      <c r="X408" s="96">
        <f>IFERROR(_xlfn.XLOOKUP(TEXT(H408,"0000000000"),'📞 Call Tracker'!A$2:A$2000,'📞 Call Tracker'!C$2:C$2000,""),"")</f>
        <v>0</v>
      </c>
      <c r="Y408" s="95">
        <f>IFERROR(_xlfn.XLOOKUP(TEXT(H408,"0000000000"),'📞 Call Tracker'!A$2:A$2000,'📞 Call Tracker'!D$2:D$2000,""),"")</f>
        <v>0</v>
      </c>
      <c r="Z408" s="95">
        <f>IFERROR(_xlfn.XLOOKUP(TEXT(H408,"0000000000"),'📞 Call Tracker'!A$2:A$2000,'📞 Call Tracker'!E$2:E$2000,""),"")</f>
        <v>0</v>
      </c>
      <c r="AA408" s="145">
        <f>IFERROR(_xlfn.XLOOKUP(TEXT(H408,"0000000000"),'📞 Call Tracker'!A$2:A$2000,'📞 Call Tracker'!F$2:F$2000,""),"")</f>
        <v>0</v>
      </c>
      <c r="AB408" s="132">
        <f t="shared" si="13"/>
        <v>99</v>
      </c>
      <c r="AC408" s="79"/>
    </row>
    <row r="409" spans="1:29" ht="20.100000000000001" customHeight="1">
      <c r="A409" s="91">
        <v>45905</v>
      </c>
      <c r="B409" s="92" t="str">
        <v>Pierce</v>
      </c>
      <c r="C409" s="92" t="str">
        <v>Coleen</v>
      </c>
      <c r="D409" s="92" t="str">
        <v>Goodyear</v>
      </c>
      <c r="E409" s="92">
        <v>85338</v>
      </c>
      <c r="F409" s="137" t="str">
        <v xml:space="preserve">Senior/Fixed Income </v>
      </c>
      <c r="G409" s="93" t="str">
        <v>https://images.edocket.azcc.gov/docketpdf/E000046230.pdf</v>
      </c>
      <c r="H409" s="150" t="s">
        <v>6021</v>
      </c>
      <c r="I409" s="114" t="str">
        <v>EPR-6w/ET-2</v>
      </c>
      <c r="J409" s="94" t="str">
        <v>No</v>
      </c>
      <c r="K409" s="94" t="str">
        <v>No</v>
      </c>
      <c r="L409" s="137" t="str">
        <v>Frozen Rate</v>
      </c>
      <c r="M409" s="94" t="str">
        <v>No</v>
      </c>
      <c r="N409" s="134" t="str">
        <v>No</v>
      </c>
      <c r="O409" s="119" t="str">
        <v>Yes</v>
      </c>
      <c r="P409" s="92" t="str">
        <v>N</v>
      </c>
      <c r="Q409" s="91">
        <v>45966</v>
      </c>
      <c r="R409" s="140">
        <v>0</v>
      </c>
      <c r="S409" s="92">
        <v>0</v>
      </c>
      <c r="T409" s="92">
        <v>0</v>
      </c>
      <c r="U409" s="137">
        <v>0</v>
      </c>
      <c r="V409" s="126" t="str">
        <f t="shared" si="12"/>
        <v>❄ Frozen Rate</v>
      </c>
      <c r="W409" s="130" t="str">
        <f>IFERROR(_xlfn.XLOOKUP(TEXT(H409,"0000000000"),'📞 Call Tracker'!A$2:A$2000,'📞 Call Tracker'!B$2:B$2000,""),"")</f>
        <v>Michelle</v>
      </c>
      <c r="X409" s="96">
        <f>IFERROR(_xlfn.XLOOKUP(TEXT(H409,"0000000000"),'📞 Call Tracker'!A$2:A$2000,'📞 Call Tracker'!C$2:C$2000,""),"")</f>
        <v>46046</v>
      </c>
      <c r="Y409" s="95" t="str">
        <f>IFERROR(_xlfn.XLOOKUP(TEXT(H409,"0000000000"),'📞 Call Tracker'!A$2:A$2000,'📞 Call Tracker'!D$2:D$2000,""),"")</f>
        <v>YES</v>
      </c>
      <c r="Z409" s="95">
        <f>IFERROR(_xlfn.XLOOKUP(TEXT(H409,"0000000000"),'📞 Call Tracker'!A$2:A$2000,'📞 Call Tracker'!E$2:E$2000,""),"")</f>
        <v>0</v>
      </c>
      <c r="AA409" s="145">
        <f>IFERROR(_xlfn.XLOOKUP(TEXT(H409,"0000000000"),'📞 Call Tracker'!A$2:A$2000,'📞 Call Tracker'!F$2:F$2000,""),"")</f>
        <v>0</v>
      </c>
      <c r="AB409" s="132">
        <f t="shared" si="13"/>
        <v>99</v>
      </c>
      <c r="AC409" s="79"/>
    </row>
    <row r="410" spans="1:29" ht="20.100000000000001" customHeight="1">
      <c r="A410" s="91">
        <v>45905</v>
      </c>
      <c r="B410" s="92" t="str">
        <v>Sedillo</v>
      </c>
      <c r="C410" s="92" t="str">
        <v>Sidney</v>
      </c>
      <c r="D410" s="92" t="str">
        <v>Chandler</v>
      </c>
      <c r="E410" s="92">
        <v>85225</v>
      </c>
      <c r="F410" s="137" t="str">
        <v>Form letter</v>
      </c>
      <c r="G410" s="93" t="str">
        <v>https://images.edocket.azcc.gov/docketpdf/E000046230.pdf</v>
      </c>
      <c r="H410" s="150" t="s">
        <v>6022</v>
      </c>
      <c r="I410" s="114" t="str">
        <v>R3-47</v>
      </c>
      <c r="J410" s="94" t="str">
        <v>Yes</v>
      </c>
      <c r="K410" s="94" t="str">
        <v>No</v>
      </c>
      <c r="L410" s="137" t="str">
        <v>NO MEP R-BASICL ($75.86)</v>
      </c>
      <c r="M410" s="94" t="str">
        <v>No</v>
      </c>
      <c r="N410" s="134" t="str">
        <v>No</v>
      </c>
      <c r="O410" s="119" t="str">
        <v>Yes</v>
      </c>
      <c r="P410" s="92" t="str">
        <v>N</v>
      </c>
      <c r="Q410" s="91">
        <v>45966</v>
      </c>
      <c r="R410" s="140">
        <v>0</v>
      </c>
      <c r="S410" s="92">
        <v>0</v>
      </c>
      <c r="T410" s="92">
        <v>0</v>
      </c>
      <c r="U410" s="137">
        <v>0</v>
      </c>
      <c r="V410" s="126" t="str">
        <f t="shared" si="12"/>
        <v>❌ Not on Best Plan</v>
      </c>
      <c r="W410" s="130" t="str">
        <f>IFERROR(_xlfn.XLOOKUP(TEXT(H410,"0000000000"),'📞 Call Tracker'!A$2:A$2000,'📞 Call Tracker'!B$2:B$2000,""),"")</f>
        <v>Michelle</v>
      </c>
      <c r="X410" s="96">
        <f>IFERROR(_xlfn.XLOOKUP(TEXT(H410,"0000000000"),'📞 Call Tracker'!A$2:A$2000,'📞 Call Tracker'!C$2:C$2000,""),"")</f>
        <v>46060</v>
      </c>
      <c r="Y410" s="95" t="str">
        <f>IFERROR(_xlfn.XLOOKUP(TEXT(H410,"0000000000"),'📞 Call Tracker'!A$2:A$2000,'📞 Call Tracker'!D$2:D$2000,""),"")</f>
        <v>YES</v>
      </c>
      <c r="Z410" s="95">
        <f>IFERROR(_xlfn.XLOOKUP(TEXT(H410,"0000000000"),'📞 Call Tracker'!A$2:A$2000,'📞 Call Tracker'!E$2:E$2000,""),"")</f>
        <v>0</v>
      </c>
      <c r="AA410" s="145">
        <f>IFERROR(_xlfn.XLOOKUP(TEXT(H410,"0000000000"),'📞 Call Tracker'!A$2:A$2000,'📞 Call Tracker'!F$2:F$2000,""),"")</f>
        <v>0</v>
      </c>
      <c r="AB410" s="132">
        <f t="shared" si="13"/>
        <v>99</v>
      </c>
      <c r="AC410" s="79"/>
    </row>
    <row r="411" spans="1:29" ht="20.100000000000001" customHeight="1">
      <c r="A411" s="91">
        <v>45905</v>
      </c>
      <c r="B411" s="92" t="str">
        <v>Wallace</v>
      </c>
      <c r="C411" s="92" t="str">
        <v>Justin</v>
      </c>
      <c r="D411" s="92" t="str">
        <v>Scottsdale</v>
      </c>
      <c r="E411" s="92">
        <v>85254</v>
      </c>
      <c r="F411" s="137" t="str">
        <v>Form letter</v>
      </c>
      <c r="G411" s="93" t="str">
        <v>https://images.edocket.azcc.gov/docketpdf/E000046230.pdf</v>
      </c>
      <c r="H411" s="150" t="s">
        <v>6206</v>
      </c>
      <c r="I411" s="114" t="str">
        <v>R3-47</v>
      </c>
      <c r="J411" s="94" t="str">
        <v>No</v>
      </c>
      <c r="K411" s="94" t="str">
        <v>No</v>
      </c>
      <c r="L411" s="137" t="str">
        <v>Yes</v>
      </c>
      <c r="M411" s="94" t="str">
        <v>No</v>
      </c>
      <c r="N411" s="134" t="str">
        <v>No</v>
      </c>
      <c r="O411" s="119" t="str">
        <v>Yes</v>
      </c>
      <c r="P411" s="92" t="str">
        <v>N</v>
      </c>
      <c r="Q411" s="91">
        <v>45966</v>
      </c>
      <c r="R411" s="140">
        <v>0</v>
      </c>
      <c r="S411" s="92">
        <v>0</v>
      </c>
      <c r="T411" s="92">
        <v>0</v>
      </c>
      <c r="U411" s="137">
        <v>0</v>
      </c>
      <c r="V411" s="126" t="str">
        <f t="shared" si="12"/>
        <v>✅ On Best Plan</v>
      </c>
      <c r="W411" s="130">
        <f>IFERROR(_xlfn.XLOOKUP(TEXT(H411,"0000000000"),'📞 Call Tracker'!A$2:A$2000,'📞 Call Tracker'!B$2:B$2000,""),"")</f>
        <v>0</v>
      </c>
      <c r="X411" s="96">
        <f>IFERROR(_xlfn.XLOOKUP(TEXT(H411,"0000000000"),'📞 Call Tracker'!A$2:A$2000,'📞 Call Tracker'!C$2:C$2000,""),"")</f>
        <v>0</v>
      </c>
      <c r="Y411" s="95">
        <f>IFERROR(_xlfn.XLOOKUP(TEXT(H411,"0000000000"),'📞 Call Tracker'!A$2:A$2000,'📞 Call Tracker'!D$2:D$2000,""),"")</f>
        <v>0</v>
      </c>
      <c r="Z411" s="95">
        <f>IFERROR(_xlfn.XLOOKUP(TEXT(H411,"0000000000"),'📞 Call Tracker'!A$2:A$2000,'📞 Call Tracker'!E$2:E$2000,""),"")</f>
        <v>0</v>
      </c>
      <c r="AA411" s="145">
        <f>IFERROR(_xlfn.XLOOKUP(TEXT(H411,"0000000000"),'📞 Call Tracker'!A$2:A$2000,'📞 Call Tracker'!F$2:F$2000,""),"")</f>
        <v>0</v>
      </c>
      <c r="AB411" s="132">
        <f t="shared" si="13"/>
        <v>99</v>
      </c>
      <c r="AC411" s="79"/>
    </row>
    <row r="412" spans="1:29" ht="20.100000000000001" customHeight="1">
      <c r="A412" s="91">
        <v>45905</v>
      </c>
      <c r="B412" s="92" t="str">
        <v>Roe</v>
      </c>
      <c r="C412" s="92" t="str">
        <v>Sandy</v>
      </c>
      <c r="D412" s="92" t="str">
        <v>Goodyear</v>
      </c>
      <c r="E412" s="92">
        <v>85395</v>
      </c>
      <c r="F412" s="137" t="str">
        <v>Opposed</v>
      </c>
      <c r="G412" s="93" t="str">
        <v>https://images.edocket.azcc.gov/docketpdf/E000046230.pdf</v>
      </c>
      <c r="H412" s="150" t="s">
        <v>6701</v>
      </c>
      <c r="I412" s="114" t="str">
        <v>R-XS</v>
      </c>
      <c r="J412" s="94" t="str">
        <v>No</v>
      </c>
      <c r="K412" s="94" t="str">
        <v>No</v>
      </c>
      <c r="L412" s="137" t="str">
        <v>Yes</v>
      </c>
      <c r="M412" s="94" t="str">
        <v>No</v>
      </c>
      <c r="N412" s="134" t="str">
        <v>No</v>
      </c>
      <c r="O412" s="119" t="str">
        <v>Yes</v>
      </c>
      <c r="P412" s="92" t="str">
        <v>N</v>
      </c>
      <c r="Q412" s="91">
        <v>45966</v>
      </c>
      <c r="R412" s="140">
        <v>0</v>
      </c>
      <c r="S412" s="92">
        <v>0</v>
      </c>
      <c r="T412" s="92">
        <v>0</v>
      </c>
      <c r="U412" s="137">
        <v>0</v>
      </c>
      <c r="V412" s="126" t="str">
        <f t="shared" si="12"/>
        <v>✅ On Best Plan</v>
      </c>
      <c r="W412" s="130" t="str">
        <f>IFERROR(_xlfn.XLOOKUP(TEXT(H412,"0000000000"),'📞 Call Tracker'!A$2:A$2000,'📞 Call Tracker'!B$2:B$2000,""),"")</f>
        <v/>
      </c>
      <c r="X412" s="96" t="str">
        <f>IFERROR(_xlfn.XLOOKUP(TEXT(H412,"0000000000"),'📞 Call Tracker'!A$2:A$2000,'📞 Call Tracker'!C$2:C$2000,""),"")</f>
        <v/>
      </c>
      <c r="Y412" s="95" t="str">
        <f>IFERROR(_xlfn.XLOOKUP(TEXT(H412,"0000000000"),'📞 Call Tracker'!A$2:A$2000,'📞 Call Tracker'!D$2:D$2000,""),"")</f>
        <v/>
      </c>
      <c r="Z412" s="95" t="str">
        <f>IFERROR(_xlfn.XLOOKUP(TEXT(H412,"0000000000"),'📞 Call Tracker'!A$2:A$2000,'📞 Call Tracker'!E$2:E$2000,""),"")</f>
        <v/>
      </c>
      <c r="AA412" s="145" t="str">
        <f>IFERROR(_xlfn.XLOOKUP(TEXT(H412,"0000000000"),'📞 Call Tracker'!A$2:A$2000,'📞 Call Tracker'!F$2:F$2000,""),"")</f>
        <v/>
      </c>
      <c r="AB412" s="132">
        <f t="shared" si="13"/>
        <v>4</v>
      </c>
      <c r="AC412" s="79"/>
    </row>
    <row r="413" spans="1:29" ht="20.100000000000001" customHeight="1">
      <c r="A413" s="91">
        <v>45905</v>
      </c>
      <c r="B413" s="92" t="str">
        <v>Richey</v>
      </c>
      <c r="C413" s="92" t="str">
        <v>Sean</v>
      </c>
      <c r="D413" s="92" t="str">
        <v>Phoenix</v>
      </c>
      <c r="E413" s="92">
        <v>85028</v>
      </c>
      <c r="F413" s="137" t="str">
        <v>Getting ridiculous</v>
      </c>
      <c r="G413" s="93" t="str">
        <v>https://images.edocket.azcc.gov/docketpdf/E000046230.pdf</v>
      </c>
      <c r="H413" s="150" t="s">
        <v>6207</v>
      </c>
      <c r="I413" s="114" t="str">
        <v>R3-47</v>
      </c>
      <c r="J413" s="94" t="str">
        <v>Yes</v>
      </c>
      <c r="K413" s="94" t="str">
        <v>No</v>
      </c>
      <c r="L413" s="137" t="str">
        <v>Yes</v>
      </c>
      <c r="M413" s="94" t="str">
        <v>Yes</v>
      </c>
      <c r="N413" s="134">
        <v>414.43</v>
      </c>
      <c r="O413" s="119" t="str">
        <v>Yes</v>
      </c>
      <c r="P413" s="92">
        <v>0</v>
      </c>
      <c r="Q413" s="91">
        <v>45966</v>
      </c>
      <c r="R413" s="140" t="str">
        <v>Assistance?</v>
      </c>
      <c r="S413" s="92">
        <v>0</v>
      </c>
      <c r="T413" s="92">
        <v>0</v>
      </c>
      <c r="U413" s="137">
        <v>0</v>
      </c>
      <c r="V413" s="126" t="str">
        <f t="shared" si="12"/>
        <v>✅ On Best Plan</v>
      </c>
      <c r="W413" s="130">
        <f>IFERROR(_xlfn.XLOOKUP(TEXT(H413,"0000000000"),'📞 Call Tracker'!A$2:A$2000,'📞 Call Tracker'!B$2:B$2000,""),"")</f>
        <v>0</v>
      </c>
      <c r="X413" s="96">
        <f>IFERROR(_xlfn.XLOOKUP(TEXT(H413,"0000000000"),'📞 Call Tracker'!A$2:A$2000,'📞 Call Tracker'!C$2:C$2000,""),"")</f>
        <v>0</v>
      </c>
      <c r="Y413" s="95">
        <f>IFERROR(_xlfn.XLOOKUP(TEXT(H413,"0000000000"),'📞 Call Tracker'!A$2:A$2000,'📞 Call Tracker'!D$2:D$2000,""),"")</f>
        <v>0</v>
      </c>
      <c r="Z413" s="95">
        <f>IFERROR(_xlfn.XLOOKUP(TEXT(H413,"0000000000"),'📞 Call Tracker'!A$2:A$2000,'📞 Call Tracker'!E$2:E$2000,""),"")</f>
        <v>0</v>
      </c>
      <c r="AA413" s="145">
        <f>IFERROR(_xlfn.XLOOKUP(TEXT(H413,"0000000000"),'📞 Call Tracker'!A$2:A$2000,'📞 Call Tracker'!F$2:F$2000,""),"")</f>
        <v>0</v>
      </c>
      <c r="AB413" s="132">
        <f t="shared" si="13"/>
        <v>99</v>
      </c>
      <c r="AC413" s="79"/>
    </row>
    <row r="414" spans="1:29" ht="20.100000000000001" customHeight="1">
      <c r="A414" s="91">
        <v>45905</v>
      </c>
      <c r="B414" s="92" t="str">
        <v>Esman</v>
      </c>
      <c r="C414" s="92" t="str">
        <v>Dava</v>
      </c>
      <c r="D414" s="92" t="str">
        <v>Goodyear</v>
      </c>
      <c r="E414" s="92">
        <v>85395</v>
      </c>
      <c r="F414" s="137" t="str">
        <v>Unfair and discriminatory</v>
      </c>
      <c r="G414" s="93" t="str">
        <v>https://images.edocket.azcc.gov/docketpdf/E000046230.pdf</v>
      </c>
      <c r="H414" s="150" t="s">
        <v>6208</v>
      </c>
      <c r="I414" s="114" t="str">
        <v>RTOUE47</v>
      </c>
      <c r="J414" s="94" t="str">
        <v>No</v>
      </c>
      <c r="K414" s="94" t="str">
        <v>No</v>
      </c>
      <c r="L414" s="137" t="str">
        <v>Yes</v>
      </c>
      <c r="M414" s="94" t="str">
        <v>No</v>
      </c>
      <c r="N414" s="134" t="str">
        <v>No</v>
      </c>
      <c r="O414" s="119" t="str">
        <v>Yes</v>
      </c>
      <c r="P414" s="92" t="str">
        <v>N</v>
      </c>
      <c r="Q414" s="91">
        <v>45966</v>
      </c>
      <c r="R414" s="140">
        <v>0</v>
      </c>
      <c r="S414" s="92">
        <v>0</v>
      </c>
      <c r="T414" s="92">
        <v>0</v>
      </c>
      <c r="U414" s="137">
        <v>0</v>
      </c>
      <c r="V414" s="126" t="str">
        <f t="shared" si="12"/>
        <v>✅ On Best Plan</v>
      </c>
      <c r="W414" s="130">
        <f>IFERROR(_xlfn.XLOOKUP(TEXT(H414,"0000000000"),'📞 Call Tracker'!A$2:A$2000,'📞 Call Tracker'!B$2:B$2000,""),"")</f>
        <v>0</v>
      </c>
      <c r="X414" s="96">
        <f>IFERROR(_xlfn.XLOOKUP(TEXT(H414,"0000000000"),'📞 Call Tracker'!A$2:A$2000,'📞 Call Tracker'!C$2:C$2000,""),"")</f>
        <v>0</v>
      </c>
      <c r="Y414" s="95">
        <f>IFERROR(_xlfn.XLOOKUP(TEXT(H414,"0000000000"),'📞 Call Tracker'!A$2:A$2000,'📞 Call Tracker'!D$2:D$2000,""),"")</f>
        <v>0</v>
      </c>
      <c r="Z414" s="95">
        <f>IFERROR(_xlfn.XLOOKUP(TEXT(H414,"0000000000"),'📞 Call Tracker'!A$2:A$2000,'📞 Call Tracker'!E$2:E$2000,""),"")</f>
        <v>0</v>
      </c>
      <c r="AA414" s="145">
        <f>IFERROR(_xlfn.XLOOKUP(TEXT(H414,"0000000000"),'📞 Call Tracker'!A$2:A$2000,'📞 Call Tracker'!F$2:F$2000,""),"")</f>
        <v>0</v>
      </c>
      <c r="AB414" s="132">
        <f t="shared" si="13"/>
        <v>99</v>
      </c>
      <c r="AC414" s="79"/>
    </row>
    <row r="415" spans="1:29" ht="20.100000000000001" customHeight="1">
      <c r="A415" s="91">
        <v>45905</v>
      </c>
      <c r="B415" s="92" t="str">
        <v xml:space="preserve">He </v>
      </c>
      <c r="C415" s="92" t="str">
        <v>Luke</v>
      </c>
      <c r="D415" s="92" t="str">
        <v>Phoenix</v>
      </c>
      <c r="E415" s="92">
        <v>85032</v>
      </c>
      <c r="F415" s="137" t="str">
        <v>Form letter</v>
      </c>
      <c r="G415" s="93" t="str">
        <v>https://images.edocket.azcc.gov/docketpdf/E000046230.pdf</v>
      </c>
      <c r="H415" s="150" t="s">
        <v>1586</v>
      </c>
      <c r="I415" s="114" t="str">
        <v>R3-47</v>
      </c>
      <c r="J415" s="94" t="str">
        <v>No</v>
      </c>
      <c r="K415" s="94" t="str">
        <v>No</v>
      </c>
      <c r="L415" s="137" t="str">
        <v>Yes</v>
      </c>
      <c r="M415" s="94" t="str">
        <v>No</v>
      </c>
      <c r="N415" s="134" t="str">
        <v>No</v>
      </c>
      <c r="O415" s="119" t="str">
        <v>Yes</v>
      </c>
      <c r="P415" s="92" t="str">
        <v>N</v>
      </c>
      <c r="Q415" s="91">
        <v>45966</v>
      </c>
      <c r="R415" s="140">
        <v>0</v>
      </c>
      <c r="S415" s="92">
        <v>0</v>
      </c>
      <c r="T415" s="92">
        <v>0</v>
      </c>
      <c r="U415" s="137">
        <v>0</v>
      </c>
      <c r="V415" s="126" t="str">
        <f t="shared" si="12"/>
        <v>✅ On Best Plan</v>
      </c>
      <c r="W415" s="130" t="str">
        <f>IFERROR(_xlfn.XLOOKUP(TEXT(H415,"0000000000"),'📞 Call Tracker'!A$2:A$2000,'📞 Call Tracker'!B$2:B$2000,""),"")</f>
        <v>Michelle</v>
      </c>
      <c r="X415" s="96">
        <f>IFERROR(_xlfn.XLOOKUP(TEXT(H415,"0000000000"),'📞 Call Tracker'!A$2:A$2000,'📞 Call Tracker'!C$2:C$2000,""),"")</f>
        <v>46053</v>
      </c>
      <c r="Y415" s="95" t="str">
        <f>IFERROR(_xlfn.XLOOKUP(TEXT(H415,"0000000000"),'📞 Call Tracker'!A$2:A$2000,'📞 Call Tracker'!D$2:D$2000,""),"")</f>
        <v>YES</v>
      </c>
      <c r="Z415" s="95">
        <f>IFERROR(_xlfn.XLOOKUP(TEXT(H415,"0000000000"),'📞 Call Tracker'!A$2:A$2000,'📞 Call Tracker'!E$2:E$2000,""),"")</f>
        <v>0</v>
      </c>
      <c r="AA415" s="145">
        <f>IFERROR(_xlfn.XLOOKUP(TEXT(H415,"0000000000"),'📞 Call Tracker'!A$2:A$2000,'📞 Call Tracker'!F$2:F$2000,""),"")</f>
        <v>0</v>
      </c>
      <c r="AB415" s="132">
        <f t="shared" si="13"/>
        <v>99</v>
      </c>
      <c r="AC415" s="79"/>
    </row>
    <row r="416" spans="1:29" ht="20.100000000000001" customHeight="1">
      <c r="A416" s="91">
        <v>45905</v>
      </c>
      <c r="B416" s="92" t="str">
        <v>Duensing</v>
      </c>
      <c r="C416" s="92" t="str">
        <v>Alan</v>
      </c>
      <c r="D416" s="92" t="str">
        <v>Goodyear</v>
      </c>
      <c r="E416" s="92">
        <v>85395</v>
      </c>
      <c r="F416" s="137" t="str">
        <v>Opposed</v>
      </c>
      <c r="G416" s="93" t="str">
        <v>https://images.edocket.azcc.gov/docketpdf/E000046230.pdf</v>
      </c>
      <c r="H416" s="150" t="s">
        <v>6702</v>
      </c>
      <c r="I416" s="114" t="str">
        <v>R3-47</v>
      </c>
      <c r="J416" s="94" t="str">
        <v>No</v>
      </c>
      <c r="K416" s="94" t="str">
        <v>No</v>
      </c>
      <c r="L416" s="137" t="str">
        <v>Yes</v>
      </c>
      <c r="M416" s="94" t="str">
        <v>No</v>
      </c>
      <c r="N416" s="134" t="str">
        <v>No</v>
      </c>
      <c r="O416" s="119" t="str">
        <v>Yes</v>
      </c>
      <c r="P416" s="92" t="str">
        <v>N</v>
      </c>
      <c r="Q416" s="91">
        <v>45966</v>
      </c>
      <c r="R416" s="140">
        <v>0</v>
      </c>
      <c r="S416" s="92">
        <v>0</v>
      </c>
      <c r="T416" s="92">
        <v>0</v>
      </c>
      <c r="U416" s="137">
        <v>0</v>
      </c>
      <c r="V416" s="126" t="str">
        <f t="shared" si="12"/>
        <v>✅ On Best Plan</v>
      </c>
      <c r="W416" s="130" t="str">
        <f>IFERROR(_xlfn.XLOOKUP(TEXT(H416,"0000000000"),'📞 Call Tracker'!A$2:A$2000,'📞 Call Tracker'!B$2:B$2000,""),"")</f>
        <v/>
      </c>
      <c r="X416" s="96" t="str">
        <f>IFERROR(_xlfn.XLOOKUP(TEXT(H416,"0000000000"),'📞 Call Tracker'!A$2:A$2000,'📞 Call Tracker'!C$2:C$2000,""),"")</f>
        <v/>
      </c>
      <c r="Y416" s="95" t="str">
        <f>IFERROR(_xlfn.XLOOKUP(TEXT(H416,"0000000000"),'📞 Call Tracker'!A$2:A$2000,'📞 Call Tracker'!D$2:D$2000,""),"")</f>
        <v/>
      </c>
      <c r="Z416" s="95" t="str">
        <f>IFERROR(_xlfn.XLOOKUP(TEXT(H416,"0000000000"),'📞 Call Tracker'!A$2:A$2000,'📞 Call Tracker'!E$2:E$2000,""),"")</f>
        <v/>
      </c>
      <c r="AA416" s="145" t="str">
        <f>IFERROR(_xlfn.XLOOKUP(TEXT(H416,"0000000000"),'📞 Call Tracker'!A$2:A$2000,'📞 Call Tracker'!F$2:F$2000,""),"")</f>
        <v/>
      </c>
      <c r="AB416" s="132">
        <f t="shared" si="13"/>
        <v>4</v>
      </c>
      <c r="AC416" s="79"/>
    </row>
    <row r="417" spans="1:29" ht="20.100000000000001" customHeight="1">
      <c r="A417" s="91">
        <v>45905</v>
      </c>
      <c r="B417" s="92" t="str">
        <v>Day</v>
      </c>
      <c r="C417" s="92" t="str">
        <v>Ravyn</v>
      </c>
      <c r="D417" s="92" t="str">
        <v>Scottsdale</v>
      </c>
      <c r="E417" s="92">
        <v>85254</v>
      </c>
      <c r="F417" s="137" t="str">
        <v>Opposed</v>
      </c>
      <c r="G417" s="93" t="str">
        <v>https://images.edocket.azcc.gov/docketpdf/E000046230.pdf</v>
      </c>
      <c r="H417" s="150" t="s">
        <v>6209</v>
      </c>
      <c r="I417" s="114" t="str">
        <v>R3-47</v>
      </c>
      <c r="J417" s="94" t="str">
        <v>No</v>
      </c>
      <c r="K417" s="94" t="str">
        <v>No</v>
      </c>
      <c r="L417" s="137" t="str">
        <v>Yes</v>
      </c>
      <c r="M417" s="94" t="str">
        <v>No</v>
      </c>
      <c r="N417" s="134" t="str">
        <v>No</v>
      </c>
      <c r="O417" s="119" t="str">
        <v>Yes</v>
      </c>
      <c r="P417" s="92" t="str">
        <v>N</v>
      </c>
      <c r="Q417" s="91">
        <v>45966</v>
      </c>
      <c r="R417" s="140">
        <v>0</v>
      </c>
      <c r="S417" s="92">
        <v>0</v>
      </c>
      <c r="T417" s="92">
        <v>0</v>
      </c>
      <c r="U417" s="137">
        <v>0</v>
      </c>
      <c r="V417" s="126" t="str">
        <f t="shared" si="12"/>
        <v>✅ On Best Plan</v>
      </c>
      <c r="W417" s="130">
        <f>IFERROR(_xlfn.XLOOKUP(TEXT(H417,"0000000000"),'📞 Call Tracker'!A$2:A$2000,'📞 Call Tracker'!B$2:B$2000,""),"")</f>
        <v>0</v>
      </c>
      <c r="X417" s="96">
        <f>IFERROR(_xlfn.XLOOKUP(TEXT(H417,"0000000000"),'📞 Call Tracker'!A$2:A$2000,'📞 Call Tracker'!C$2:C$2000,""),"")</f>
        <v>0</v>
      </c>
      <c r="Y417" s="95">
        <f>IFERROR(_xlfn.XLOOKUP(TEXT(H417,"0000000000"),'📞 Call Tracker'!A$2:A$2000,'📞 Call Tracker'!D$2:D$2000,""),"")</f>
        <v>0</v>
      </c>
      <c r="Z417" s="95">
        <f>IFERROR(_xlfn.XLOOKUP(TEXT(H417,"0000000000"),'📞 Call Tracker'!A$2:A$2000,'📞 Call Tracker'!E$2:E$2000,""),"")</f>
        <v>0</v>
      </c>
      <c r="AA417" s="145">
        <f>IFERROR(_xlfn.XLOOKUP(TEXT(H417,"0000000000"),'📞 Call Tracker'!A$2:A$2000,'📞 Call Tracker'!F$2:F$2000,""),"")</f>
        <v>0</v>
      </c>
      <c r="AB417" s="132">
        <f t="shared" si="13"/>
        <v>99</v>
      </c>
      <c r="AC417" s="79"/>
    </row>
    <row r="418" spans="1:29" ht="20.100000000000001" customHeight="1">
      <c r="A418" s="91">
        <v>45905</v>
      </c>
      <c r="B418" s="92" t="str">
        <v>Petersen</v>
      </c>
      <c r="C418" s="92" t="str">
        <v>Larry</v>
      </c>
      <c r="D418" s="92" t="str">
        <v>Goodyear</v>
      </c>
      <c r="E418" s="92">
        <v>85395</v>
      </c>
      <c r="F418" s="137" t="str">
        <v>Opposed</v>
      </c>
      <c r="G418" s="93" t="str">
        <v>https://images.edocket.azcc.gov/docketpdf/E000046230.pdf</v>
      </c>
      <c r="H418" s="150" t="s">
        <v>6148</v>
      </c>
      <c r="I418" s="114" t="str">
        <v>EPR-6w/ET-1</v>
      </c>
      <c r="J418" s="94" t="str">
        <v>No</v>
      </c>
      <c r="K418" s="94" t="str">
        <v>No</v>
      </c>
      <c r="L418" s="137" t="str">
        <v>Frozen Rate</v>
      </c>
      <c r="M418" s="94" t="str">
        <v>No</v>
      </c>
      <c r="N418" s="134" t="str">
        <v>No</v>
      </c>
      <c r="O418" s="119" t="str">
        <v>Yes</v>
      </c>
      <c r="P418" s="92" t="str">
        <v>N</v>
      </c>
      <c r="Q418" s="91">
        <v>45966</v>
      </c>
      <c r="R418" s="140">
        <v>0</v>
      </c>
      <c r="S418" s="92">
        <v>0</v>
      </c>
      <c r="T418" s="92">
        <v>0</v>
      </c>
      <c r="U418" s="137">
        <v>0</v>
      </c>
      <c r="V418" s="126" t="str">
        <f t="shared" si="12"/>
        <v>❄ Frozen Rate</v>
      </c>
      <c r="W418" s="130" t="str">
        <f>IFERROR(_xlfn.XLOOKUP(TEXT(H418,"0000000000"),'📞 Call Tracker'!A$2:A$2000,'📞 Call Tracker'!B$2:B$2000,""),"")</f>
        <v>Michelle</v>
      </c>
      <c r="X418" s="96">
        <f>IFERROR(_xlfn.XLOOKUP(TEXT(H418,"0000000000"),'📞 Call Tracker'!A$2:A$2000,'📞 Call Tracker'!C$2:C$2000,""),"")</f>
        <v>46053</v>
      </c>
      <c r="Y418" s="95" t="str">
        <f>IFERROR(_xlfn.XLOOKUP(TEXT(H418,"0000000000"),'📞 Call Tracker'!A$2:A$2000,'📞 Call Tracker'!D$2:D$2000,""),"")</f>
        <v>NO</v>
      </c>
      <c r="Z418" s="95">
        <f>IFERROR(_xlfn.XLOOKUP(TEXT(H418,"0000000000"),'📞 Call Tracker'!A$2:A$2000,'📞 Call Tracker'!E$2:E$2000,""),"")</f>
        <v>0</v>
      </c>
      <c r="AA418" s="145" t="str">
        <f>IFERROR(_xlfn.XLOOKUP(TEXT(H418,"0000000000"),'📞 Call Tracker'!A$2:A$2000,'📞 Call Tracker'!F$2:F$2000,""),"")</f>
        <v>VM NOT SET UP</v>
      </c>
      <c r="AB418" s="132">
        <f t="shared" si="13"/>
        <v>99</v>
      </c>
      <c r="AC418" s="79"/>
    </row>
    <row r="419" spans="1:29" ht="20.100000000000001" customHeight="1">
      <c r="A419" s="91">
        <v>45905</v>
      </c>
      <c r="B419" s="92" t="str">
        <v>Mahony</v>
      </c>
      <c r="C419" s="92" t="str">
        <v>Monica</v>
      </c>
      <c r="D419" s="92" t="str">
        <v>Scottsdale</v>
      </c>
      <c r="E419" s="92">
        <v>85255</v>
      </c>
      <c r="F419" s="137" t="str">
        <v>Opposed</v>
      </c>
      <c r="G419" s="93" t="str">
        <v>https://images.edocket.azcc.gov/docketpdf/E000046230.pdf</v>
      </c>
      <c r="H419" s="150" t="s">
        <v>6210</v>
      </c>
      <c r="I419" s="114" t="str">
        <v>R3-47</v>
      </c>
      <c r="J419" s="94" t="str">
        <v>No</v>
      </c>
      <c r="K419" s="94" t="str">
        <v>No</v>
      </c>
      <c r="L419" s="137" t="str">
        <v>Yes</v>
      </c>
      <c r="M419" s="94" t="str">
        <v>No</v>
      </c>
      <c r="N419" s="134" t="str">
        <v>No</v>
      </c>
      <c r="O419" s="119" t="str">
        <v>Yes</v>
      </c>
      <c r="P419" s="92" t="str">
        <v>N</v>
      </c>
      <c r="Q419" s="91">
        <v>45966</v>
      </c>
      <c r="R419" s="140">
        <v>0</v>
      </c>
      <c r="S419" s="92">
        <v>0</v>
      </c>
      <c r="T419" s="92">
        <v>0</v>
      </c>
      <c r="U419" s="137">
        <v>0</v>
      </c>
      <c r="V419" s="126" t="str">
        <f t="shared" si="12"/>
        <v>✅ On Best Plan</v>
      </c>
      <c r="W419" s="130">
        <f>IFERROR(_xlfn.XLOOKUP(TEXT(H419,"0000000000"),'📞 Call Tracker'!A$2:A$2000,'📞 Call Tracker'!B$2:B$2000,""),"")</f>
        <v>0</v>
      </c>
      <c r="X419" s="96">
        <f>IFERROR(_xlfn.XLOOKUP(TEXT(H419,"0000000000"),'📞 Call Tracker'!A$2:A$2000,'📞 Call Tracker'!C$2:C$2000,""),"")</f>
        <v>0</v>
      </c>
      <c r="Y419" s="95">
        <f>IFERROR(_xlfn.XLOOKUP(TEXT(H419,"0000000000"),'📞 Call Tracker'!A$2:A$2000,'📞 Call Tracker'!D$2:D$2000,""),"")</f>
        <v>0</v>
      </c>
      <c r="Z419" s="95">
        <f>IFERROR(_xlfn.XLOOKUP(TEXT(H419,"0000000000"),'📞 Call Tracker'!A$2:A$2000,'📞 Call Tracker'!E$2:E$2000,""),"")</f>
        <v>0</v>
      </c>
      <c r="AA419" s="145">
        <f>IFERROR(_xlfn.XLOOKUP(TEXT(H419,"0000000000"),'📞 Call Tracker'!A$2:A$2000,'📞 Call Tracker'!F$2:F$2000,""),"")</f>
        <v>0</v>
      </c>
      <c r="AB419" s="132">
        <f t="shared" si="13"/>
        <v>99</v>
      </c>
      <c r="AC419" s="79"/>
    </row>
    <row r="420" spans="1:29" ht="20.100000000000001" customHeight="1">
      <c r="A420" s="91">
        <v>45905</v>
      </c>
      <c r="B420" s="92" t="str">
        <v>Briney</v>
      </c>
      <c r="C420" s="92" t="str">
        <v>Dave</v>
      </c>
      <c r="D420" s="92" t="str">
        <v>Phoenix</v>
      </c>
      <c r="E420" s="92">
        <v>85018</v>
      </c>
      <c r="F420" s="137" t="str">
        <v>Form letter</v>
      </c>
      <c r="G420" s="93" t="str">
        <v>https://images.edocket.azcc.gov/docketpdf/E000046230.pdf</v>
      </c>
      <c r="H420" s="150" t="s">
        <v>6211</v>
      </c>
      <c r="I420" s="114" t="str">
        <v>R3-47</v>
      </c>
      <c r="J420" s="94" t="str">
        <v>No</v>
      </c>
      <c r="K420" s="94" t="str">
        <v>No</v>
      </c>
      <c r="L420" s="137" t="str">
        <v>Yes</v>
      </c>
      <c r="M420" s="94" t="str">
        <v>No</v>
      </c>
      <c r="N420" s="134" t="str">
        <v>No</v>
      </c>
      <c r="O420" s="119" t="str">
        <v>Yes</v>
      </c>
      <c r="P420" s="92" t="str">
        <v>N</v>
      </c>
      <c r="Q420" s="91">
        <v>45966</v>
      </c>
      <c r="R420" s="140">
        <v>0</v>
      </c>
      <c r="S420" s="92">
        <v>0</v>
      </c>
      <c r="T420" s="92">
        <v>0</v>
      </c>
      <c r="U420" s="137">
        <v>0</v>
      </c>
      <c r="V420" s="126" t="str">
        <f t="shared" si="12"/>
        <v>✅ On Best Plan</v>
      </c>
      <c r="W420" s="130">
        <f>IFERROR(_xlfn.XLOOKUP(TEXT(H420,"0000000000"),'📞 Call Tracker'!A$2:A$2000,'📞 Call Tracker'!B$2:B$2000,""),"")</f>
        <v>0</v>
      </c>
      <c r="X420" s="96">
        <f>IFERROR(_xlfn.XLOOKUP(TEXT(H420,"0000000000"),'📞 Call Tracker'!A$2:A$2000,'📞 Call Tracker'!C$2:C$2000,""),"")</f>
        <v>0</v>
      </c>
      <c r="Y420" s="95">
        <f>IFERROR(_xlfn.XLOOKUP(TEXT(H420,"0000000000"),'📞 Call Tracker'!A$2:A$2000,'📞 Call Tracker'!D$2:D$2000,""),"")</f>
        <v>0</v>
      </c>
      <c r="Z420" s="95">
        <f>IFERROR(_xlfn.XLOOKUP(TEXT(H420,"0000000000"),'📞 Call Tracker'!A$2:A$2000,'📞 Call Tracker'!E$2:E$2000,""),"")</f>
        <v>0</v>
      </c>
      <c r="AA420" s="145">
        <f>IFERROR(_xlfn.XLOOKUP(TEXT(H420,"0000000000"),'📞 Call Tracker'!A$2:A$2000,'📞 Call Tracker'!F$2:F$2000,""),"")</f>
        <v>0</v>
      </c>
      <c r="AB420" s="132">
        <f t="shared" si="13"/>
        <v>99</v>
      </c>
      <c r="AC420" s="79"/>
    </row>
    <row r="421" spans="1:29" ht="20.100000000000001" customHeight="1">
      <c r="A421" s="91">
        <v>45905</v>
      </c>
      <c r="B421" s="92" t="str">
        <v>Torres</v>
      </c>
      <c r="C421" s="92" t="str">
        <v>Daniel</v>
      </c>
      <c r="D421" s="92" t="str">
        <v>Phoenix</v>
      </c>
      <c r="E421" s="92">
        <v>85007</v>
      </c>
      <c r="F421" s="137" t="str">
        <v>Form letter</v>
      </c>
      <c r="G421" s="93" t="str">
        <v>https://images.edocket.azcc.gov/docketpdf/E000046230.pdf</v>
      </c>
      <c r="H421" s="150" t="s">
        <v>6212</v>
      </c>
      <c r="I421" s="114" t="str">
        <v>RTOUE47</v>
      </c>
      <c r="J421" s="94" t="str">
        <v>No</v>
      </c>
      <c r="K421" s="94" t="str">
        <v>No</v>
      </c>
      <c r="L421" s="137" t="str">
        <v>No MEP R3-47($82.55)</v>
      </c>
      <c r="M421" s="94" t="str">
        <v>No</v>
      </c>
      <c r="N421" s="134" t="str">
        <v>No</v>
      </c>
      <c r="O421" s="119" t="str">
        <v>Yes</v>
      </c>
      <c r="P421" s="92" t="str">
        <v>N</v>
      </c>
      <c r="Q421" s="91">
        <v>45966</v>
      </c>
      <c r="R421" s="140">
        <v>0</v>
      </c>
      <c r="S421" s="92">
        <v>0</v>
      </c>
      <c r="T421" s="92">
        <v>0</v>
      </c>
      <c r="U421" s="137">
        <v>0</v>
      </c>
      <c r="V421" s="126" t="str">
        <f t="shared" si="12"/>
        <v>❌ Not on Best Plan</v>
      </c>
      <c r="W421" s="130">
        <f>IFERROR(_xlfn.XLOOKUP(TEXT(H421,"0000000000"),'📞 Call Tracker'!A$2:A$2000,'📞 Call Tracker'!B$2:B$2000,""),"")</f>
        <v>0</v>
      </c>
      <c r="X421" s="96">
        <f>IFERROR(_xlfn.XLOOKUP(TEXT(H421,"0000000000"),'📞 Call Tracker'!A$2:A$2000,'📞 Call Tracker'!C$2:C$2000,""),"")</f>
        <v>0</v>
      </c>
      <c r="Y421" s="95">
        <f>IFERROR(_xlfn.XLOOKUP(TEXT(H421,"0000000000"),'📞 Call Tracker'!A$2:A$2000,'📞 Call Tracker'!D$2:D$2000,""),"")</f>
        <v>0</v>
      </c>
      <c r="Z421" s="95">
        <f>IFERROR(_xlfn.XLOOKUP(TEXT(H421,"0000000000"),'📞 Call Tracker'!A$2:A$2000,'📞 Call Tracker'!E$2:E$2000,""),"")</f>
        <v>0</v>
      </c>
      <c r="AA421" s="145">
        <f>IFERROR(_xlfn.XLOOKUP(TEXT(H421,"0000000000"),'📞 Call Tracker'!A$2:A$2000,'📞 Call Tracker'!F$2:F$2000,""),"")</f>
        <v>0</v>
      </c>
      <c r="AB421" s="132">
        <f t="shared" si="13"/>
        <v>99</v>
      </c>
      <c r="AC421" s="79"/>
    </row>
    <row r="422" spans="1:29" ht="20.100000000000001" customHeight="1">
      <c r="A422" s="91">
        <v>45905</v>
      </c>
      <c r="B422" s="92" t="str">
        <v>Nabity</v>
      </c>
      <c r="C422" s="92" t="str">
        <v>Mariah</v>
      </c>
      <c r="D422" s="92" t="str">
        <v>Yuma</v>
      </c>
      <c r="E422" s="92">
        <v>85365</v>
      </c>
      <c r="F422" s="137" t="str">
        <v>Form letter</v>
      </c>
      <c r="G422" s="93" t="str">
        <v>https://images.edocket.azcc.gov/docketpdf/E000046230.pdf</v>
      </c>
      <c r="H422" s="150" t="s">
        <v>6213</v>
      </c>
      <c r="I422" s="114" t="str">
        <v>R-BASIC</v>
      </c>
      <c r="J422" s="94" t="str">
        <v>No</v>
      </c>
      <c r="K422" s="94" t="str">
        <v>No</v>
      </c>
      <c r="L422" s="137" t="str">
        <v>Yes</v>
      </c>
      <c r="M422" s="94" t="str">
        <v>No</v>
      </c>
      <c r="N422" s="134" t="str">
        <v>No</v>
      </c>
      <c r="O422" s="119" t="str">
        <v>Yes</v>
      </c>
      <c r="P422" s="92" t="str">
        <v>N</v>
      </c>
      <c r="Q422" s="91">
        <v>45966</v>
      </c>
      <c r="R422" s="140">
        <v>0</v>
      </c>
      <c r="S422" s="92">
        <v>0</v>
      </c>
      <c r="T422" s="92">
        <v>0</v>
      </c>
      <c r="U422" s="137">
        <v>0</v>
      </c>
      <c r="V422" s="126" t="str">
        <f t="shared" si="12"/>
        <v>✅ On Best Plan</v>
      </c>
      <c r="W422" s="130">
        <f>IFERROR(_xlfn.XLOOKUP(TEXT(H422,"0000000000"),'📞 Call Tracker'!A$2:A$2000,'📞 Call Tracker'!B$2:B$2000,""),"")</f>
        <v>0</v>
      </c>
      <c r="X422" s="96">
        <f>IFERROR(_xlfn.XLOOKUP(TEXT(H422,"0000000000"),'📞 Call Tracker'!A$2:A$2000,'📞 Call Tracker'!C$2:C$2000,""),"")</f>
        <v>0</v>
      </c>
      <c r="Y422" s="95">
        <f>IFERROR(_xlfn.XLOOKUP(TEXT(H422,"0000000000"),'📞 Call Tracker'!A$2:A$2000,'📞 Call Tracker'!D$2:D$2000,""),"")</f>
        <v>0</v>
      </c>
      <c r="Z422" s="95">
        <f>IFERROR(_xlfn.XLOOKUP(TEXT(H422,"0000000000"),'📞 Call Tracker'!A$2:A$2000,'📞 Call Tracker'!E$2:E$2000,""),"")</f>
        <v>0</v>
      </c>
      <c r="AA422" s="145">
        <f>IFERROR(_xlfn.XLOOKUP(TEXT(H422,"0000000000"),'📞 Call Tracker'!A$2:A$2000,'📞 Call Tracker'!F$2:F$2000,""),"")</f>
        <v>0</v>
      </c>
      <c r="AB422" s="132">
        <f t="shared" si="13"/>
        <v>99</v>
      </c>
      <c r="AC422" s="79"/>
    </row>
    <row r="423" spans="1:29" ht="20.100000000000001" customHeight="1">
      <c r="A423" s="91">
        <v>45905</v>
      </c>
      <c r="B423" s="92" t="str">
        <v>Thomas</v>
      </c>
      <c r="C423" s="92" t="str">
        <v>Shaun</v>
      </c>
      <c r="D423" s="92" t="str">
        <v>Payson</v>
      </c>
      <c r="E423" s="92">
        <v>85541</v>
      </c>
      <c r="F423" s="137" t="str">
        <v>Opposed</v>
      </c>
      <c r="G423" s="93" t="str">
        <v>https://images.edocket.azcc.gov/docketpdf/E000046230.pdf</v>
      </c>
      <c r="H423" s="150" t="s">
        <v>6214</v>
      </c>
      <c r="I423" s="114" t="str">
        <v>RTOUE47</v>
      </c>
      <c r="J423" s="94" t="str">
        <v>No</v>
      </c>
      <c r="K423" s="94" t="str">
        <v>No</v>
      </c>
      <c r="L423" s="137" t="str">
        <v>No MEP R-XS ($43.07)</v>
      </c>
      <c r="M423" s="94" t="str">
        <v>No</v>
      </c>
      <c r="N423" s="134" t="str">
        <v>No</v>
      </c>
      <c r="O423" s="119" t="str">
        <v>Yes</v>
      </c>
      <c r="P423" s="92" t="str">
        <v>N</v>
      </c>
      <c r="Q423" s="91">
        <v>45966</v>
      </c>
      <c r="R423" s="140">
        <v>0</v>
      </c>
      <c r="S423" s="92">
        <v>0</v>
      </c>
      <c r="T423" s="92">
        <v>0</v>
      </c>
      <c r="U423" s="137">
        <v>0</v>
      </c>
      <c r="V423" s="126" t="str">
        <f t="shared" si="12"/>
        <v>❌ Not on Best Plan</v>
      </c>
      <c r="W423" s="130">
        <f>IFERROR(_xlfn.XLOOKUP(TEXT(H423,"0000000000"),'📞 Call Tracker'!A$2:A$2000,'📞 Call Tracker'!B$2:B$2000,""),"")</f>
        <v>0</v>
      </c>
      <c r="X423" s="96">
        <f>IFERROR(_xlfn.XLOOKUP(TEXT(H423,"0000000000"),'📞 Call Tracker'!A$2:A$2000,'📞 Call Tracker'!C$2:C$2000,""),"")</f>
        <v>0</v>
      </c>
      <c r="Y423" s="95">
        <f>IFERROR(_xlfn.XLOOKUP(TEXT(H423,"0000000000"),'📞 Call Tracker'!A$2:A$2000,'📞 Call Tracker'!D$2:D$2000,""),"")</f>
        <v>0</v>
      </c>
      <c r="Z423" s="95">
        <f>IFERROR(_xlfn.XLOOKUP(TEXT(H423,"0000000000"),'📞 Call Tracker'!A$2:A$2000,'📞 Call Tracker'!E$2:E$2000,""),"")</f>
        <v>0</v>
      </c>
      <c r="AA423" s="145">
        <f>IFERROR(_xlfn.XLOOKUP(TEXT(H423,"0000000000"),'📞 Call Tracker'!A$2:A$2000,'📞 Call Tracker'!F$2:F$2000,""),"")</f>
        <v>0</v>
      </c>
      <c r="AB423" s="132">
        <f t="shared" si="13"/>
        <v>99</v>
      </c>
      <c r="AC423" s="79"/>
    </row>
    <row r="424" spans="1:29" ht="20.100000000000001" customHeight="1">
      <c r="A424" s="91">
        <v>45905</v>
      </c>
      <c r="B424" s="92" t="str">
        <v>Lund</v>
      </c>
      <c r="C424" s="92" t="str">
        <v>Jason</v>
      </c>
      <c r="D424" s="92" t="str">
        <v>Phoenix</v>
      </c>
      <c r="E424" s="92">
        <v>85028</v>
      </c>
      <c r="F424" s="137" t="str">
        <v>Form letter</v>
      </c>
      <c r="G424" s="93" t="str">
        <v>https://images.edocket.azcc.gov/docketpdf/E000046230.pdf</v>
      </c>
      <c r="H424" s="150" t="s">
        <v>6215</v>
      </c>
      <c r="I424" s="114" t="str">
        <v>R-2</v>
      </c>
      <c r="J424" s="94" t="str">
        <v>No</v>
      </c>
      <c r="K424" s="94" t="str">
        <v>No</v>
      </c>
      <c r="L424" s="137" t="str">
        <v>Frozen Rate</v>
      </c>
      <c r="M424" s="94" t="str">
        <v>No</v>
      </c>
      <c r="N424" s="134" t="str">
        <v>No</v>
      </c>
      <c r="O424" s="119" t="str">
        <v>Yes</v>
      </c>
      <c r="P424" s="92" t="str">
        <v>N</v>
      </c>
      <c r="Q424" s="91">
        <v>45966</v>
      </c>
      <c r="R424" s="140">
        <v>0</v>
      </c>
      <c r="S424" s="92">
        <v>0</v>
      </c>
      <c r="T424" s="92">
        <v>0</v>
      </c>
      <c r="U424" s="137">
        <v>0</v>
      </c>
      <c r="V424" s="126" t="str">
        <f t="shared" si="12"/>
        <v>❄ Frozen Rate</v>
      </c>
      <c r="W424" s="130">
        <f>IFERROR(_xlfn.XLOOKUP(TEXT(H424,"0000000000"),'📞 Call Tracker'!A$2:A$2000,'📞 Call Tracker'!B$2:B$2000,""),"")</f>
        <v>0</v>
      </c>
      <c r="X424" s="96">
        <f>IFERROR(_xlfn.XLOOKUP(TEXT(H424,"0000000000"),'📞 Call Tracker'!A$2:A$2000,'📞 Call Tracker'!C$2:C$2000,""),"")</f>
        <v>0</v>
      </c>
      <c r="Y424" s="95">
        <f>IFERROR(_xlfn.XLOOKUP(TEXT(H424,"0000000000"),'📞 Call Tracker'!A$2:A$2000,'📞 Call Tracker'!D$2:D$2000,""),"")</f>
        <v>0</v>
      </c>
      <c r="Z424" s="95">
        <f>IFERROR(_xlfn.XLOOKUP(TEXT(H424,"0000000000"),'📞 Call Tracker'!A$2:A$2000,'📞 Call Tracker'!E$2:E$2000,""),"")</f>
        <v>0</v>
      </c>
      <c r="AA424" s="145">
        <f>IFERROR(_xlfn.XLOOKUP(TEXT(H424,"0000000000"),'📞 Call Tracker'!A$2:A$2000,'📞 Call Tracker'!F$2:F$2000,""),"")</f>
        <v>0</v>
      </c>
      <c r="AB424" s="132">
        <f t="shared" si="13"/>
        <v>99</v>
      </c>
      <c r="AC424" s="79"/>
    </row>
    <row r="425" spans="1:29" ht="20.100000000000001" customHeight="1">
      <c r="A425" s="91">
        <v>45905</v>
      </c>
      <c r="B425" s="92" t="str">
        <v>Scheigert</v>
      </c>
      <c r="C425" s="92" t="str">
        <v>Rebecca</v>
      </c>
      <c r="D425" s="92" t="str">
        <v>Phoenix</v>
      </c>
      <c r="E425" s="92">
        <v>85083</v>
      </c>
      <c r="F425" s="137" t="str">
        <v>Form letter</v>
      </c>
      <c r="G425" s="93" t="str">
        <v>https://images.edocket.azcc.gov/docketpdf/E000046230.pdf</v>
      </c>
      <c r="H425" s="150" t="s">
        <v>6216</v>
      </c>
      <c r="I425" s="114" t="str">
        <v>R-BASICL</v>
      </c>
      <c r="J425" s="94" t="str">
        <v>No</v>
      </c>
      <c r="K425" s="94" t="str">
        <v>No</v>
      </c>
      <c r="L425" s="137" t="str">
        <v>Yes</v>
      </c>
      <c r="M425" s="94" t="str">
        <v>No</v>
      </c>
      <c r="N425" s="134" t="str">
        <v>No</v>
      </c>
      <c r="O425" s="119" t="str">
        <v>Yes</v>
      </c>
      <c r="P425" s="92" t="str">
        <v>N</v>
      </c>
      <c r="Q425" s="91">
        <v>45966</v>
      </c>
      <c r="R425" s="140">
        <v>0</v>
      </c>
      <c r="S425" s="92">
        <v>0</v>
      </c>
      <c r="T425" s="92">
        <v>0</v>
      </c>
      <c r="U425" s="137">
        <v>0</v>
      </c>
      <c r="V425" s="126" t="str">
        <f t="shared" si="12"/>
        <v>✅ On Best Plan</v>
      </c>
      <c r="W425" s="130">
        <f>IFERROR(_xlfn.XLOOKUP(TEXT(H425,"0000000000"),'📞 Call Tracker'!A$2:A$2000,'📞 Call Tracker'!B$2:B$2000,""),"")</f>
        <v>0</v>
      </c>
      <c r="X425" s="96">
        <f>IFERROR(_xlfn.XLOOKUP(TEXT(H425,"0000000000"),'📞 Call Tracker'!A$2:A$2000,'📞 Call Tracker'!C$2:C$2000,""),"")</f>
        <v>0</v>
      </c>
      <c r="Y425" s="95">
        <f>IFERROR(_xlfn.XLOOKUP(TEXT(H425,"0000000000"),'📞 Call Tracker'!A$2:A$2000,'📞 Call Tracker'!D$2:D$2000,""),"")</f>
        <v>0</v>
      </c>
      <c r="Z425" s="95">
        <f>IFERROR(_xlfn.XLOOKUP(TEXT(H425,"0000000000"),'📞 Call Tracker'!A$2:A$2000,'📞 Call Tracker'!E$2:E$2000,""),"")</f>
        <v>0</v>
      </c>
      <c r="AA425" s="145">
        <f>IFERROR(_xlfn.XLOOKUP(TEXT(H425,"0000000000"),'📞 Call Tracker'!A$2:A$2000,'📞 Call Tracker'!F$2:F$2000,""),"")</f>
        <v>0</v>
      </c>
      <c r="AB425" s="132">
        <f t="shared" si="13"/>
        <v>99</v>
      </c>
      <c r="AC425" s="79"/>
    </row>
    <row r="426" spans="1:29" ht="20.100000000000001" customHeight="1">
      <c r="A426" s="91">
        <v>45905</v>
      </c>
      <c r="B426" s="92" t="str">
        <v>Turner-Warren</v>
      </c>
      <c r="C426" s="92" t="str">
        <v>Tenneh</v>
      </c>
      <c r="D426" s="92" t="str">
        <v>Phoenix</v>
      </c>
      <c r="E426" s="92">
        <v>85032</v>
      </c>
      <c r="F426" s="137" t="str">
        <v>Opposed</v>
      </c>
      <c r="G426" s="93" t="str">
        <v>https://images.edocket.azcc.gov/docketpdf/E000046230.pdf</v>
      </c>
      <c r="H426" s="150" t="s">
        <v>6023</v>
      </c>
      <c r="I426" s="114" t="str">
        <v>R-BASIC</v>
      </c>
      <c r="J426" s="94" t="str">
        <v>No</v>
      </c>
      <c r="K426" s="94" t="str">
        <v>No</v>
      </c>
      <c r="L426" s="137" t="str">
        <v>Yes</v>
      </c>
      <c r="M426" s="94" t="str">
        <v>No</v>
      </c>
      <c r="N426" s="134" t="str">
        <v>No</v>
      </c>
      <c r="O426" s="119" t="str">
        <v>Yes</v>
      </c>
      <c r="P426" s="92" t="str">
        <v>N</v>
      </c>
      <c r="Q426" s="91">
        <v>45966</v>
      </c>
      <c r="R426" s="140">
        <v>0</v>
      </c>
      <c r="S426" s="92">
        <v>0</v>
      </c>
      <c r="T426" s="92">
        <v>0</v>
      </c>
      <c r="U426" s="137">
        <v>0</v>
      </c>
      <c r="V426" s="126" t="str">
        <f t="shared" si="12"/>
        <v>✅ On Best Plan</v>
      </c>
      <c r="W426" s="130" t="str">
        <f>IFERROR(_xlfn.XLOOKUP(TEXT(H426,"0000000000"),'📞 Call Tracker'!A$2:A$2000,'📞 Call Tracker'!B$2:B$2000,""),"")</f>
        <v>Michelle</v>
      </c>
      <c r="X426" s="96">
        <f>IFERROR(_xlfn.XLOOKUP(TEXT(H426,"0000000000"),'📞 Call Tracker'!A$2:A$2000,'📞 Call Tracker'!C$2:C$2000,""),"")</f>
        <v>46053</v>
      </c>
      <c r="Y426" s="95" t="str">
        <f>IFERROR(_xlfn.XLOOKUP(TEXT(H426,"0000000000"),'📞 Call Tracker'!A$2:A$2000,'📞 Call Tracker'!D$2:D$2000,""),"")</f>
        <v>YES</v>
      </c>
      <c r="Z426" s="95">
        <f>IFERROR(_xlfn.XLOOKUP(TEXT(H426,"0000000000"),'📞 Call Tracker'!A$2:A$2000,'📞 Call Tracker'!E$2:E$2000,""),"")</f>
        <v>0</v>
      </c>
      <c r="AA426" s="145">
        <f>IFERROR(_xlfn.XLOOKUP(TEXT(H426,"0000000000"),'📞 Call Tracker'!A$2:A$2000,'📞 Call Tracker'!F$2:F$2000,""),"")</f>
        <v>0</v>
      </c>
      <c r="AB426" s="132">
        <f t="shared" si="13"/>
        <v>99</v>
      </c>
      <c r="AC426" s="79"/>
    </row>
    <row r="427" spans="1:29" ht="20.100000000000001" customHeight="1">
      <c r="A427" s="91">
        <v>45905</v>
      </c>
      <c r="B427" s="92" t="str">
        <v>Zeman</v>
      </c>
      <c r="C427" s="92" t="str">
        <v>Cher</v>
      </c>
      <c r="D427" s="92" t="str">
        <v>Goodyear</v>
      </c>
      <c r="E427" s="92">
        <v>85395</v>
      </c>
      <c r="F427" s="137" t="str">
        <v>Opposed</v>
      </c>
      <c r="G427" s="93" t="str">
        <v>https://images.edocket.azcc.gov/docketpdf/E000046230.pdf</v>
      </c>
      <c r="H427" s="150" t="s">
        <v>6217</v>
      </c>
      <c r="I427" s="114" t="str">
        <v>EPR-6w/ET-2</v>
      </c>
      <c r="J427" s="94" t="str">
        <v>No</v>
      </c>
      <c r="K427" s="94" t="str">
        <v>No</v>
      </c>
      <c r="L427" s="137" t="str">
        <v>Frozen Rate</v>
      </c>
      <c r="M427" s="94" t="str">
        <v>No</v>
      </c>
      <c r="N427" s="134" t="str">
        <v>No</v>
      </c>
      <c r="O427" s="119" t="str">
        <v>Yes</v>
      </c>
      <c r="P427" s="92" t="str">
        <v>N</v>
      </c>
      <c r="Q427" s="91">
        <v>45966</v>
      </c>
      <c r="R427" s="140">
        <v>0</v>
      </c>
      <c r="S427" s="92">
        <v>0</v>
      </c>
      <c r="T427" s="92">
        <v>0</v>
      </c>
      <c r="U427" s="137">
        <v>0</v>
      </c>
      <c r="V427" s="126" t="str">
        <f t="shared" si="12"/>
        <v>❄ Frozen Rate</v>
      </c>
      <c r="W427" s="130">
        <f>IFERROR(_xlfn.XLOOKUP(TEXT(H427,"0000000000"),'📞 Call Tracker'!A$2:A$2000,'📞 Call Tracker'!B$2:B$2000,""),"")</f>
        <v>0</v>
      </c>
      <c r="X427" s="96">
        <f>IFERROR(_xlfn.XLOOKUP(TEXT(H427,"0000000000"),'📞 Call Tracker'!A$2:A$2000,'📞 Call Tracker'!C$2:C$2000,""),"")</f>
        <v>0</v>
      </c>
      <c r="Y427" s="95">
        <f>IFERROR(_xlfn.XLOOKUP(TEXT(H427,"0000000000"),'📞 Call Tracker'!A$2:A$2000,'📞 Call Tracker'!D$2:D$2000,""),"")</f>
        <v>0</v>
      </c>
      <c r="Z427" s="95">
        <f>IFERROR(_xlfn.XLOOKUP(TEXT(H427,"0000000000"),'📞 Call Tracker'!A$2:A$2000,'📞 Call Tracker'!E$2:E$2000,""),"")</f>
        <v>0</v>
      </c>
      <c r="AA427" s="145">
        <f>IFERROR(_xlfn.XLOOKUP(TEXT(H427,"0000000000"),'📞 Call Tracker'!A$2:A$2000,'📞 Call Tracker'!F$2:F$2000,""),"")</f>
        <v>0</v>
      </c>
      <c r="AB427" s="132">
        <f t="shared" si="13"/>
        <v>99</v>
      </c>
      <c r="AC427" s="79"/>
    </row>
    <row r="428" spans="1:29" ht="20.100000000000001" customHeight="1">
      <c r="A428" s="91">
        <v>45905</v>
      </c>
      <c r="B428" s="92" t="str">
        <v>Scheele</v>
      </c>
      <c r="C428" s="92" t="str">
        <v>Samuel</v>
      </c>
      <c r="D428" s="92" t="str">
        <v>Chandler</v>
      </c>
      <c r="E428" s="92">
        <v>85225</v>
      </c>
      <c r="F428" s="137" t="str">
        <v>Form letter</v>
      </c>
      <c r="G428" s="93" t="str">
        <v>https://images.edocket.azcc.gov/docketpdf/E000046230.pdf</v>
      </c>
      <c r="H428" s="150" t="s">
        <v>6024</v>
      </c>
      <c r="I428" s="114" t="str">
        <v>R-XS</v>
      </c>
      <c r="J428" s="94" t="str">
        <v>No</v>
      </c>
      <c r="K428" s="94" t="str">
        <v>No</v>
      </c>
      <c r="L428" s="137" t="str">
        <v>Yes</v>
      </c>
      <c r="M428" s="94" t="str">
        <v>No</v>
      </c>
      <c r="N428" s="134" t="str">
        <v>No</v>
      </c>
      <c r="O428" s="119" t="str">
        <v>Yes</v>
      </c>
      <c r="P428" s="92" t="str">
        <v>N</v>
      </c>
      <c r="Q428" s="91">
        <v>45966</v>
      </c>
      <c r="R428" s="140">
        <v>0</v>
      </c>
      <c r="S428" s="92">
        <v>0</v>
      </c>
      <c r="T428" s="92">
        <v>0</v>
      </c>
      <c r="U428" s="137">
        <v>0</v>
      </c>
      <c r="V428" s="126" t="str">
        <f t="shared" si="12"/>
        <v>✅ On Best Plan</v>
      </c>
      <c r="W428" s="130" t="str">
        <f>IFERROR(_xlfn.XLOOKUP(TEXT(H428,"0000000000"),'📞 Call Tracker'!A$2:A$2000,'📞 Call Tracker'!B$2:B$2000,""),"")</f>
        <v>Michelle</v>
      </c>
      <c r="X428" s="96">
        <f>IFERROR(_xlfn.XLOOKUP(TEXT(H428,"0000000000"),'📞 Call Tracker'!A$2:A$2000,'📞 Call Tracker'!C$2:C$2000,""),"")</f>
        <v>46053</v>
      </c>
      <c r="Y428" s="95" t="str">
        <f>IFERROR(_xlfn.XLOOKUP(TEXT(H428,"0000000000"),'📞 Call Tracker'!A$2:A$2000,'📞 Call Tracker'!D$2:D$2000,""),"")</f>
        <v>YES</v>
      </c>
      <c r="Z428" s="95">
        <f>IFERROR(_xlfn.XLOOKUP(TEXT(H428,"0000000000"),'📞 Call Tracker'!A$2:A$2000,'📞 Call Tracker'!E$2:E$2000,""),"")</f>
        <v>0</v>
      </c>
      <c r="AA428" s="145">
        <f>IFERROR(_xlfn.XLOOKUP(TEXT(H428,"0000000000"),'📞 Call Tracker'!A$2:A$2000,'📞 Call Tracker'!F$2:F$2000,""),"")</f>
        <v>0</v>
      </c>
      <c r="AB428" s="132">
        <f t="shared" si="13"/>
        <v>99</v>
      </c>
      <c r="AC428" s="79"/>
    </row>
    <row r="429" spans="1:29" ht="20.100000000000001" customHeight="1">
      <c r="A429" s="91">
        <v>45905</v>
      </c>
      <c r="B429" s="92" t="str">
        <v>Geiger</v>
      </c>
      <c r="C429" s="92" t="str">
        <v>William</v>
      </c>
      <c r="D429" s="92" t="str">
        <v>Casa Grande</v>
      </c>
      <c r="E429" s="92">
        <v>85194</v>
      </c>
      <c r="F429" s="137" t="str">
        <v xml:space="preserve">Opposed </v>
      </c>
      <c r="G429" s="93" t="str">
        <v>https://images.edocket.azcc.gov/docketpdf/E000046230.pdf</v>
      </c>
      <c r="H429" s="150" t="s">
        <v>6218</v>
      </c>
      <c r="I429" s="114" t="str">
        <v>R3-47</v>
      </c>
      <c r="J429" s="94" t="str">
        <v>No</v>
      </c>
      <c r="K429" s="94" t="str">
        <v>No</v>
      </c>
      <c r="L429" s="137" t="str">
        <v>Yes</v>
      </c>
      <c r="M429" s="94" t="str">
        <v>No</v>
      </c>
      <c r="N429" s="134" t="str">
        <v>No</v>
      </c>
      <c r="O429" s="119" t="str">
        <v>Yes</v>
      </c>
      <c r="P429" s="92" t="str">
        <v>N</v>
      </c>
      <c r="Q429" s="91">
        <v>45966</v>
      </c>
      <c r="R429" s="140">
        <v>0</v>
      </c>
      <c r="S429" s="92">
        <v>0</v>
      </c>
      <c r="T429" s="92">
        <v>0</v>
      </c>
      <c r="U429" s="137">
        <v>0</v>
      </c>
      <c r="V429" s="126" t="str">
        <f t="shared" si="12"/>
        <v>✅ On Best Plan</v>
      </c>
      <c r="W429" s="130">
        <f>IFERROR(_xlfn.XLOOKUP(TEXT(H429,"0000000000"),'📞 Call Tracker'!A$2:A$2000,'📞 Call Tracker'!B$2:B$2000,""),"")</f>
        <v>0</v>
      </c>
      <c r="X429" s="96">
        <f>IFERROR(_xlfn.XLOOKUP(TEXT(H429,"0000000000"),'📞 Call Tracker'!A$2:A$2000,'📞 Call Tracker'!C$2:C$2000,""),"")</f>
        <v>0</v>
      </c>
      <c r="Y429" s="95">
        <f>IFERROR(_xlfn.XLOOKUP(TEXT(H429,"0000000000"),'📞 Call Tracker'!A$2:A$2000,'📞 Call Tracker'!D$2:D$2000,""),"")</f>
        <v>0</v>
      </c>
      <c r="Z429" s="95">
        <f>IFERROR(_xlfn.XLOOKUP(TEXT(H429,"0000000000"),'📞 Call Tracker'!A$2:A$2000,'📞 Call Tracker'!E$2:E$2000,""),"")</f>
        <v>0</v>
      </c>
      <c r="AA429" s="145">
        <f>IFERROR(_xlfn.XLOOKUP(TEXT(H429,"0000000000"),'📞 Call Tracker'!A$2:A$2000,'📞 Call Tracker'!F$2:F$2000,""),"")</f>
        <v>0</v>
      </c>
      <c r="AB429" s="132">
        <f t="shared" si="13"/>
        <v>99</v>
      </c>
      <c r="AC429" s="79"/>
    </row>
    <row r="430" spans="1:29" ht="20.100000000000001" customHeight="1">
      <c r="A430" s="91">
        <v>45905</v>
      </c>
      <c r="B430" s="92" t="str">
        <v xml:space="preserve">Singh </v>
      </c>
      <c r="C430" s="92" t="str">
        <v>Soni</v>
      </c>
      <c r="D430" s="92" t="str">
        <v>Phoenix</v>
      </c>
      <c r="E430" s="92">
        <v>85024</v>
      </c>
      <c r="F430" s="137" t="str">
        <v>Too high already, opposed</v>
      </c>
      <c r="G430" s="93" t="str">
        <v>https://images.edocket.azcc.gov/docketpdf/E000046230.pdf</v>
      </c>
      <c r="H430" s="150" t="s">
        <v>6219</v>
      </c>
      <c r="I430" s="114" t="str">
        <v>R3-47</v>
      </c>
      <c r="J430" s="94" t="str">
        <v>No</v>
      </c>
      <c r="K430" s="94" t="str">
        <v>No</v>
      </c>
      <c r="L430" s="137" t="str">
        <v>Yes</v>
      </c>
      <c r="M430" s="94" t="str">
        <v>No</v>
      </c>
      <c r="N430" s="134" t="str">
        <v>No</v>
      </c>
      <c r="O430" s="119" t="str">
        <v>Yes</v>
      </c>
      <c r="P430" s="92" t="str">
        <v>N</v>
      </c>
      <c r="Q430" s="91">
        <v>45966</v>
      </c>
      <c r="R430" s="140">
        <v>0</v>
      </c>
      <c r="S430" s="92">
        <v>0</v>
      </c>
      <c r="T430" s="92">
        <v>0</v>
      </c>
      <c r="U430" s="137">
        <v>0</v>
      </c>
      <c r="V430" s="126" t="str">
        <f t="shared" si="12"/>
        <v>✅ On Best Plan</v>
      </c>
      <c r="W430" s="130">
        <f>IFERROR(_xlfn.XLOOKUP(TEXT(H430,"0000000000"),'📞 Call Tracker'!A$2:A$2000,'📞 Call Tracker'!B$2:B$2000,""),"")</f>
        <v>0</v>
      </c>
      <c r="X430" s="96">
        <f>IFERROR(_xlfn.XLOOKUP(TEXT(H430,"0000000000"),'📞 Call Tracker'!A$2:A$2000,'📞 Call Tracker'!C$2:C$2000,""),"")</f>
        <v>0</v>
      </c>
      <c r="Y430" s="95">
        <f>IFERROR(_xlfn.XLOOKUP(TEXT(H430,"0000000000"),'📞 Call Tracker'!A$2:A$2000,'📞 Call Tracker'!D$2:D$2000,""),"")</f>
        <v>0</v>
      </c>
      <c r="Z430" s="95">
        <f>IFERROR(_xlfn.XLOOKUP(TEXT(H430,"0000000000"),'📞 Call Tracker'!A$2:A$2000,'📞 Call Tracker'!E$2:E$2000,""),"")</f>
        <v>0</v>
      </c>
      <c r="AA430" s="145">
        <f>IFERROR(_xlfn.XLOOKUP(TEXT(H430,"0000000000"),'📞 Call Tracker'!A$2:A$2000,'📞 Call Tracker'!F$2:F$2000,""),"")</f>
        <v>0</v>
      </c>
      <c r="AB430" s="132">
        <f t="shared" si="13"/>
        <v>99</v>
      </c>
      <c r="AC430" s="79"/>
    </row>
    <row r="431" spans="1:29" ht="20.100000000000001" customHeight="1">
      <c r="A431" s="91">
        <v>45905</v>
      </c>
      <c r="B431" s="92" t="str">
        <v>Pratik</v>
      </c>
      <c r="C431" s="92" t="str">
        <v>Rahul</v>
      </c>
      <c r="D431" s="92" t="str">
        <v>Phoenix</v>
      </c>
      <c r="E431" s="92">
        <v>85022</v>
      </c>
      <c r="F431" s="137" t="str">
        <v>Form letter</v>
      </c>
      <c r="G431" s="93" t="str">
        <v>https://images.edocket.azcc.gov/docketpdf/E000046230.pdf</v>
      </c>
      <c r="H431" s="150" t="s">
        <v>6703</v>
      </c>
      <c r="I431" s="114" t="str">
        <v>R3-47</v>
      </c>
      <c r="J431" s="94" t="str">
        <v>No</v>
      </c>
      <c r="K431" s="94" t="str">
        <v>No</v>
      </c>
      <c r="L431" s="137" t="str">
        <v>Yes</v>
      </c>
      <c r="M431" s="94" t="str">
        <v>No</v>
      </c>
      <c r="N431" s="134" t="str">
        <v>No</v>
      </c>
      <c r="O431" s="119" t="str">
        <v>Yes</v>
      </c>
      <c r="P431" s="92" t="str">
        <v>N</v>
      </c>
      <c r="Q431" s="91">
        <v>45966</v>
      </c>
      <c r="R431" s="140">
        <v>0</v>
      </c>
      <c r="S431" s="92">
        <v>0</v>
      </c>
      <c r="T431" s="92">
        <v>0</v>
      </c>
      <c r="U431" s="137">
        <v>0</v>
      </c>
      <c r="V431" s="126" t="str">
        <f t="shared" si="12"/>
        <v>✅ On Best Plan</v>
      </c>
      <c r="W431" s="130" t="str">
        <f>IFERROR(_xlfn.XLOOKUP(TEXT(H431,"0000000000"),'📞 Call Tracker'!A$2:A$2000,'📞 Call Tracker'!B$2:B$2000,""),"")</f>
        <v/>
      </c>
      <c r="X431" s="96" t="str">
        <f>IFERROR(_xlfn.XLOOKUP(TEXT(H431,"0000000000"),'📞 Call Tracker'!A$2:A$2000,'📞 Call Tracker'!C$2:C$2000,""),"")</f>
        <v/>
      </c>
      <c r="Y431" s="95" t="str">
        <f>IFERROR(_xlfn.XLOOKUP(TEXT(H431,"0000000000"),'📞 Call Tracker'!A$2:A$2000,'📞 Call Tracker'!D$2:D$2000,""),"")</f>
        <v/>
      </c>
      <c r="Z431" s="95" t="str">
        <f>IFERROR(_xlfn.XLOOKUP(TEXT(H431,"0000000000"),'📞 Call Tracker'!A$2:A$2000,'📞 Call Tracker'!E$2:E$2000,""),"")</f>
        <v/>
      </c>
      <c r="AA431" s="145" t="str">
        <f>IFERROR(_xlfn.XLOOKUP(TEXT(H431,"0000000000"),'📞 Call Tracker'!A$2:A$2000,'📞 Call Tracker'!F$2:F$2000,""),"")</f>
        <v/>
      </c>
      <c r="AB431" s="132">
        <f t="shared" si="13"/>
        <v>4</v>
      </c>
      <c r="AC431" s="79"/>
    </row>
    <row r="432" spans="1:29" ht="20.100000000000001" customHeight="1">
      <c r="A432" s="91">
        <v>45905</v>
      </c>
      <c r="B432" s="92" t="str">
        <v>Bodempudi</v>
      </c>
      <c r="C432" s="92" t="str">
        <v>Vinod</v>
      </c>
      <c r="D432" s="92" t="str">
        <v>Peoria</v>
      </c>
      <c r="E432" s="92">
        <v>85383</v>
      </c>
      <c r="F432" s="137" t="str">
        <v>Form letter</v>
      </c>
      <c r="G432" s="93" t="str">
        <v>https://images.edocket.azcc.gov/docketpdf/E000046230.pdf</v>
      </c>
      <c r="H432" s="150" t="s">
        <v>6704</v>
      </c>
      <c r="I432" s="114" t="str">
        <v>RTOUE47</v>
      </c>
      <c r="J432" s="94" t="str">
        <v>No</v>
      </c>
      <c r="K432" s="94" t="str">
        <v>No</v>
      </c>
      <c r="L432" s="137" t="str">
        <v>Yes</v>
      </c>
      <c r="M432" s="94" t="str">
        <v>No</v>
      </c>
      <c r="N432" s="134" t="str">
        <v>No</v>
      </c>
      <c r="O432" s="119" t="str">
        <v>Yes</v>
      </c>
      <c r="P432" s="92" t="str">
        <v>N</v>
      </c>
      <c r="Q432" s="91">
        <v>45966</v>
      </c>
      <c r="R432" s="140">
        <v>0</v>
      </c>
      <c r="S432" s="92">
        <v>0</v>
      </c>
      <c r="T432" s="92">
        <v>0</v>
      </c>
      <c r="U432" s="137">
        <v>0</v>
      </c>
      <c r="V432" s="126" t="str">
        <f t="shared" si="12"/>
        <v>✅ On Best Plan</v>
      </c>
      <c r="W432" s="130" t="str">
        <f>IFERROR(_xlfn.XLOOKUP(TEXT(H432,"0000000000"),'📞 Call Tracker'!A$2:A$2000,'📞 Call Tracker'!B$2:B$2000,""),"")</f>
        <v/>
      </c>
      <c r="X432" s="96" t="str">
        <f>IFERROR(_xlfn.XLOOKUP(TEXT(H432,"0000000000"),'📞 Call Tracker'!A$2:A$2000,'📞 Call Tracker'!C$2:C$2000,""),"")</f>
        <v/>
      </c>
      <c r="Y432" s="95" t="str">
        <f>IFERROR(_xlfn.XLOOKUP(TEXT(H432,"0000000000"),'📞 Call Tracker'!A$2:A$2000,'📞 Call Tracker'!D$2:D$2000,""),"")</f>
        <v/>
      </c>
      <c r="Z432" s="95" t="str">
        <f>IFERROR(_xlfn.XLOOKUP(TEXT(H432,"0000000000"),'📞 Call Tracker'!A$2:A$2000,'📞 Call Tracker'!E$2:E$2000,""),"")</f>
        <v/>
      </c>
      <c r="AA432" s="145" t="str">
        <f>IFERROR(_xlfn.XLOOKUP(TEXT(H432,"0000000000"),'📞 Call Tracker'!A$2:A$2000,'📞 Call Tracker'!F$2:F$2000,""),"")</f>
        <v/>
      </c>
      <c r="AB432" s="132">
        <f t="shared" si="13"/>
        <v>4</v>
      </c>
      <c r="AC432" s="79"/>
    </row>
    <row r="433" spans="1:29" ht="20.100000000000001" customHeight="1">
      <c r="A433" s="91">
        <v>45905</v>
      </c>
      <c r="B433" s="92" t="str">
        <v>Nelson</v>
      </c>
      <c r="C433" s="92" t="str">
        <v>Corianne</v>
      </c>
      <c r="D433" s="92" t="str">
        <v>Phoenix</v>
      </c>
      <c r="E433" s="92">
        <v>85007</v>
      </c>
      <c r="F433" s="137" t="str">
        <v>Form letter</v>
      </c>
      <c r="G433" s="93" t="str">
        <v>https://images.edocket.azcc.gov/docketpdf/E000046230.pdf</v>
      </c>
      <c r="H433" s="150" t="s">
        <v>6220</v>
      </c>
      <c r="I433" s="114" t="str">
        <v>R3-47</v>
      </c>
      <c r="J433" s="94" t="str">
        <v>No</v>
      </c>
      <c r="K433" s="94" t="str">
        <v>No</v>
      </c>
      <c r="L433" s="137" t="str">
        <v>Yes</v>
      </c>
      <c r="M433" s="94" t="str">
        <v>No</v>
      </c>
      <c r="N433" s="134" t="str">
        <v>No</v>
      </c>
      <c r="O433" s="119" t="str">
        <v>Yes</v>
      </c>
      <c r="P433" s="92" t="str">
        <v>N</v>
      </c>
      <c r="Q433" s="91">
        <v>45966</v>
      </c>
      <c r="R433" s="140">
        <v>0</v>
      </c>
      <c r="S433" s="92">
        <v>0</v>
      </c>
      <c r="T433" s="92">
        <v>0</v>
      </c>
      <c r="U433" s="137">
        <v>0</v>
      </c>
      <c r="V433" s="126" t="str">
        <f t="shared" si="12"/>
        <v>✅ On Best Plan</v>
      </c>
      <c r="W433" s="130">
        <f>IFERROR(_xlfn.XLOOKUP(TEXT(H433,"0000000000"),'📞 Call Tracker'!A$2:A$2000,'📞 Call Tracker'!B$2:B$2000,""),"")</f>
        <v>0</v>
      </c>
      <c r="X433" s="96">
        <f>IFERROR(_xlfn.XLOOKUP(TEXT(H433,"0000000000"),'📞 Call Tracker'!A$2:A$2000,'📞 Call Tracker'!C$2:C$2000,""),"")</f>
        <v>0</v>
      </c>
      <c r="Y433" s="95">
        <f>IFERROR(_xlfn.XLOOKUP(TEXT(H433,"0000000000"),'📞 Call Tracker'!A$2:A$2000,'📞 Call Tracker'!D$2:D$2000,""),"")</f>
        <v>0</v>
      </c>
      <c r="Z433" s="95">
        <f>IFERROR(_xlfn.XLOOKUP(TEXT(H433,"0000000000"),'📞 Call Tracker'!A$2:A$2000,'📞 Call Tracker'!E$2:E$2000,""),"")</f>
        <v>0</v>
      </c>
      <c r="AA433" s="145">
        <f>IFERROR(_xlfn.XLOOKUP(TEXT(H433,"0000000000"),'📞 Call Tracker'!A$2:A$2000,'📞 Call Tracker'!F$2:F$2000,""),"")</f>
        <v>0</v>
      </c>
      <c r="AB433" s="132">
        <f t="shared" si="13"/>
        <v>99</v>
      </c>
      <c r="AC433" s="79"/>
    </row>
    <row r="434" spans="1:29" ht="20.100000000000001" customHeight="1">
      <c r="A434" s="91">
        <v>45905</v>
      </c>
      <c r="B434" s="92" t="str">
        <v>Syring</v>
      </c>
      <c r="C434" s="92" t="str">
        <v>Lani</v>
      </c>
      <c r="D434" s="92" t="str">
        <v>Surprise</v>
      </c>
      <c r="E434" s="92">
        <v>85379</v>
      </c>
      <c r="F434" s="137" t="str">
        <v>Form letter</v>
      </c>
      <c r="G434" s="93" t="str">
        <v>https://images.edocket.azcc.gov/docketpdf/E000046230.pdf</v>
      </c>
      <c r="H434" s="150" t="s">
        <v>6221</v>
      </c>
      <c r="I434" s="114" t="str">
        <v>RTOUE47</v>
      </c>
      <c r="J434" s="94" t="str">
        <v>No</v>
      </c>
      <c r="K434" s="94" t="str">
        <v>No</v>
      </c>
      <c r="L434" s="137" t="str">
        <v>Yes</v>
      </c>
      <c r="M434" s="94" t="str">
        <v>Yes</v>
      </c>
      <c r="N434" s="134">
        <v>436.03</v>
      </c>
      <c r="O434" s="119" t="str">
        <v>Yes</v>
      </c>
      <c r="P434" s="92" t="str">
        <v>N</v>
      </c>
      <c r="Q434" s="91">
        <v>45966</v>
      </c>
      <c r="R434" s="140">
        <v>0</v>
      </c>
      <c r="S434" s="92">
        <v>0</v>
      </c>
      <c r="T434" s="92">
        <v>0</v>
      </c>
      <c r="U434" s="137">
        <v>0</v>
      </c>
      <c r="V434" s="126" t="str">
        <f t="shared" si="12"/>
        <v>✅ On Best Plan</v>
      </c>
      <c r="W434" s="130">
        <f>IFERROR(_xlfn.XLOOKUP(TEXT(H434,"0000000000"),'📞 Call Tracker'!A$2:A$2000,'📞 Call Tracker'!B$2:B$2000,""),"")</f>
        <v>0</v>
      </c>
      <c r="X434" s="96">
        <f>IFERROR(_xlfn.XLOOKUP(TEXT(H434,"0000000000"),'📞 Call Tracker'!A$2:A$2000,'📞 Call Tracker'!C$2:C$2000,""),"")</f>
        <v>0</v>
      </c>
      <c r="Y434" s="95">
        <f>IFERROR(_xlfn.XLOOKUP(TEXT(H434,"0000000000"),'📞 Call Tracker'!A$2:A$2000,'📞 Call Tracker'!D$2:D$2000,""),"")</f>
        <v>0</v>
      </c>
      <c r="Z434" s="95">
        <f>IFERROR(_xlfn.XLOOKUP(TEXT(H434,"0000000000"),'📞 Call Tracker'!A$2:A$2000,'📞 Call Tracker'!E$2:E$2000,""),"")</f>
        <v>0</v>
      </c>
      <c r="AA434" s="145">
        <f>IFERROR(_xlfn.XLOOKUP(TEXT(H434,"0000000000"),'📞 Call Tracker'!A$2:A$2000,'📞 Call Tracker'!F$2:F$2000,""),"")</f>
        <v>0</v>
      </c>
      <c r="AB434" s="132">
        <f t="shared" si="13"/>
        <v>99</v>
      </c>
      <c r="AC434" s="79"/>
    </row>
    <row r="435" spans="1:29" ht="20.100000000000001" customHeight="1">
      <c r="A435" s="91">
        <v>45905</v>
      </c>
      <c r="B435" s="92" t="str">
        <v>Van Marter</v>
      </c>
      <c r="C435" s="92" t="str">
        <v>Charles</v>
      </c>
      <c r="D435" s="92" t="str">
        <v>Goodyear</v>
      </c>
      <c r="E435" s="92">
        <v>85395</v>
      </c>
      <c r="F435" s="137" t="str">
        <v>Opposed</v>
      </c>
      <c r="G435" s="93" t="str">
        <v>https://images.edocket.azcc.gov/docketpdf/E000046230.pdf</v>
      </c>
      <c r="H435" s="150" t="s">
        <v>6222</v>
      </c>
      <c r="I435" s="114" t="str">
        <v>R3-47</v>
      </c>
      <c r="J435" s="94" t="str">
        <v>No</v>
      </c>
      <c r="K435" s="94" t="str">
        <v>No</v>
      </c>
      <c r="L435" s="137" t="str">
        <v>Yes</v>
      </c>
      <c r="M435" s="94" t="str">
        <v>No</v>
      </c>
      <c r="N435" s="134" t="str">
        <v>No</v>
      </c>
      <c r="O435" s="119" t="str">
        <v>Yes</v>
      </c>
      <c r="P435" s="92" t="str">
        <v>N</v>
      </c>
      <c r="Q435" s="91">
        <v>45966</v>
      </c>
      <c r="R435" s="140">
        <v>0</v>
      </c>
      <c r="S435" s="92">
        <v>0</v>
      </c>
      <c r="T435" s="92">
        <v>0</v>
      </c>
      <c r="U435" s="137">
        <v>0</v>
      </c>
      <c r="V435" s="126" t="str">
        <f t="shared" si="12"/>
        <v>✅ On Best Plan</v>
      </c>
      <c r="W435" s="130">
        <f>IFERROR(_xlfn.XLOOKUP(TEXT(H435,"0000000000"),'📞 Call Tracker'!A$2:A$2000,'📞 Call Tracker'!B$2:B$2000,""),"")</f>
        <v>0</v>
      </c>
      <c r="X435" s="96">
        <f>IFERROR(_xlfn.XLOOKUP(TEXT(H435,"0000000000"),'📞 Call Tracker'!A$2:A$2000,'📞 Call Tracker'!C$2:C$2000,""),"")</f>
        <v>0</v>
      </c>
      <c r="Y435" s="95">
        <f>IFERROR(_xlfn.XLOOKUP(TEXT(H435,"0000000000"),'📞 Call Tracker'!A$2:A$2000,'📞 Call Tracker'!D$2:D$2000,""),"")</f>
        <v>0</v>
      </c>
      <c r="Z435" s="95">
        <f>IFERROR(_xlfn.XLOOKUP(TEXT(H435,"0000000000"),'📞 Call Tracker'!A$2:A$2000,'📞 Call Tracker'!E$2:E$2000,""),"")</f>
        <v>0</v>
      </c>
      <c r="AA435" s="145">
        <f>IFERROR(_xlfn.XLOOKUP(TEXT(H435,"0000000000"),'📞 Call Tracker'!A$2:A$2000,'📞 Call Tracker'!F$2:F$2000,""),"")</f>
        <v>0</v>
      </c>
      <c r="AB435" s="132">
        <f t="shared" si="13"/>
        <v>99</v>
      </c>
      <c r="AC435" s="79"/>
    </row>
    <row r="436" spans="1:29" ht="20.100000000000001" customHeight="1">
      <c r="A436" s="91">
        <v>45905</v>
      </c>
      <c r="B436" s="92" t="str">
        <v>Gulotta</v>
      </c>
      <c r="C436" s="92" t="str">
        <v>Nicholas</v>
      </c>
      <c r="D436" s="92" t="str">
        <v>Tempe</v>
      </c>
      <c r="E436" s="92">
        <v>85288</v>
      </c>
      <c r="F436" s="137" t="str">
        <v>Form letter</v>
      </c>
      <c r="G436" s="93" t="str">
        <v>https://images.edocket.azcc.gov/docketpdf/E000046230.pdf</v>
      </c>
      <c r="H436" s="150" t="s">
        <v>6223</v>
      </c>
      <c r="I436" s="114" t="str">
        <v>R-XS</v>
      </c>
      <c r="J436" s="94" t="str">
        <v>No</v>
      </c>
      <c r="K436" s="94" t="str">
        <v>No</v>
      </c>
      <c r="L436" s="137" t="str">
        <v>Yes</v>
      </c>
      <c r="M436" s="94" t="str">
        <v>No</v>
      </c>
      <c r="N436" s="134" t="str">
        <v>No</v>
      </c>
      <c r="O436" s="119" t="str">
        <v>Yes</v>
      </c>
      <c r="P436" s="92" t="str">
        <v>N</v>
      </c>
      <c r="Q436" s="91">
        <v>45966</v>
      </c>
      <c r="R436" s="140">
        <v>0</v>
      </c>
      <c r="S436" s="92">
        <v>0</v>
      </c>
      <c r="T436" s="92">
        <v>0</v>
      </c>
      <c r="U436" s="137">
        <v>0</v>
      </c>
      <c r="V436" s="126" t="str">
        <f t="shared" si="12"/>
        <v>✅ On Best Plan</v>
      </c>
      <c r="W436" s="130">
        <f>IFERROR(_xlfn.XLOOKUP(TEXT(H436,"0000000000"),'📞 Call Tracker'!A$2:A$2000,'📞 Call Tracker'!B$2:B$2000,""),"")</f>
        <v>0</v>
      </c>
      <c r="X436" s="96">
        <f>IFERROR(_xlfn.XLOOKUP(TEXT(H436,"0000000000"),'📞 Call Tracker'!A$2:A$2000,'📞 Call Tracker'!C$2:C$2000,""),"")</f>
        <v>0</v>
      </c>
      <c r="Y436" s="95">
        <f>IFERROR(_xlfn.XLOOKUP(TEXT(H436,"0000000000"),'📞 Call Tracker'!A$2:A$2000,'📞 Call Tracker'!D$2:D$2000,""),"")</f>
        <v>0</v>
      </c>
      <c r="Z436" s="95">
        <f>IFERROR(_xlfn.XLOOKUP(TEXT(H436,"0000000000"),'📞 Call Tracker'!A$2:A$2000,'📞 Call Tracker'!E$2:E$2000,""),"")</f>
        <v>0</v>
      </c>
      <c r="AA436" s="145">
        <f>IFERROR(_xlfn.XLOOKUP(TEXT(H436,"0000000000"),'📞 Call Tracker'!A$2:A$2000,'📞 Call Tracker'!F$2:F$2000,""),"")</f>
        <v>0</v>
      </c>
      <c r="AB436" s="132">
        <f t="shared" si="13"/>
        <v>99</v>
      </c>
      <c r="AC436" s="79"/>
    </row>
    <row r="437" spans="1:29" ht="20.100000000000001" customHeight="1">
      <c r="A437" s="91">
        <v>45905</v>
      </c>
      <c r="B437" s="92" t="str">
        <v>Caballero Sosa</v>
      </c>
      <c r="C437" s="92" t="str">
        <v>Gabriel</v>
      </c>
      <c r="D437" s="92" t="str">
        <v>Phoenix</v>
      </c>
      <c r="E437" s="92">
        <v>85053</v>
      </c>
      <c r="F437" s="137" t="str">
        <v>Form letter</v>
      </c>
      <c r="G437" s="93" t="str">
        <v>https://images.edocket.azcc.gov/docketpdf/E000046230.pdf</v>
      </c>
      <c r="H437" s="150" t="s">
        <v>6224</v>
      </c>
      <c r="I437" s="114" t="str">
        <v>R-XS</v>
      </c>
      <c r="J437" s="94" t="str">
        <v>No</v>
      </c>
      <c r="K437" s="94" t="str">
        <v>No</v>
      </c>
      <c r="L437" s="137" t="str">
        <v>Yes</v>
      </c>
      <c r="M437" s="94" t="str">
        <v>No</v>
      </c>
      <c r="N437" s="134" t="str">
        <v>No</v>
      </c>
      <c r="O437" s="119" t="str">
        <v>Yes</v>
      </c>
      <c r="P437" s="92" t="str">
        <v>N</v>
      </c>
      <c r="Q437" s="91">
        <v>45966</v>
      </c>
      <c r="R437" s="140">
        <v>0</v>
      </c>
      <c r="S437" s="92">
        <v>0</v>
      </c>
      <c r="T437" s="92">
        <v>0</v>
      </c>
      <c r="U437" s="137">
        <v>0</v>
      </c>
      <c r="V437" s="126" t="str">
        <f t="shared" si="12"/>
        <v>✅ On Best Plan</v>
      </c>
      <c r="W437" s="130">
        <f>IFERROR(_xlfn.XLOOKUP(TEXT(H437,"0000000000"),'📞 Call Tracker'!A$2:A$2000,'📞 Call Tracker'!B$2:B$2000,""),"")</f>
        <v>0</v>
      </c>
      <c r="X437" s="96">
        <f>IFERROR(_xlfn.XLOOKUP(TEXT(H437,"0000000000"),'📞 Call Tracker'!A$2:A$2000,'📞 Call Tracker'!C$2:C$2000,""),"")</f>
        <v>0</v>
      </c>
      <c r="Y437" s="95">
        <f>IFERROR(_xlfn.XLOOKUP(TEXT(H437,"0000000000"),'📞 Call Tracker'!A$2:A$2000,'📞 Call Tracker'!D$2:D$2000,""),"")</f>
        <v>0</v>
      </c>
      <c r="Z437" s="95">
        <f>IFERROR(_xlfn.XLOOKUP(TEXT(H437,"0000000000"),'📞 Call Tracker'!A$2:A$2000,'📞 Call Tracker'!E$2:E$2000,""),"")</f>
        <v>0</v>
      </c>
      <c r="AA437" s="145">
        <f>IFERROR(_xlfn.XLOOKUP(TEXT(H437,"0000000000"),'📞 Call Tracker'!A$2:A$2000,'📞 Call Tracker'!F$2:F$2000,""),"")</f>
        <v>0</v>
      </c>
      <c r="AB437" s="132">
        <f t="shared" si="13"/>
        <v>99</v>
      </c>
      <c r="AC437" s="79"/>
    </row>
    <row r="438" spans="1:29" ht="20.100000000000001" customHeight="1">
      <c r="A438" s="91">
        <v>45905</v>
      </c>
      <c r="B438" s="92" t="str">
        <v>Harrison</v>
      </c>
      <c r="C438" s="92" t="str">
        <v>Chelsie</v>
      </c>
      <c r="D438" s="92" t="str">
        <v>Cottonwood</v>
      </c>
      <c r="E438" s="92">
        <v>86326</v>
      </c>
      <c r="F438" s="137" t="str">
        <v>Detrimental to our financial stability</v>
      </c>
      <c r="G438" s="93" t="str">
        <v>https://images.edocket.azcc.gov/docketpdf/E000046230.pdf</v>
      </c>
      <c r="H438" s="150" t="s">
        <v>6225</v>
      </c>
      <c r="I438" s="114" t="str">
        <v>R-XS</v>
      </c>
      <c r="J438" s="94" t="str">
        <v>Yes</v>
      </c>
      <c r="K438" s="94" t="str">
        <v>No</v>
      </c>
      <c r="L438" s="137" t="str">
        <v>Yes</v>
      </c>
      <c r="M438" s="94" t="str">
        <v>No</v>
      </c>
      <c r="N438" s="134" t="str">
        <v>No</v>
      </c>
      <c r="O438" s="119" t="str">
        <v>Yes</v>
      </c>
      <c r="P438" s="92" t="str">
        <v>N</v>
      </c>
      <c r="Q438" s="91">
        <v>45966</v>
      </c>
      <c r="R438" s="140">
        <v>0</v>
      </c>
      <c r="S438" s="92">
        <v>0</v>
      </c>
      <c r="T438" s="92">
        <v>0</v>
      </c>
      <c r="U438" s="137">
        <v>0</v>
      </c>
      <c r="V438" s="126" t="str">
        <f t="shared" si="12"/>
        <v>✅ On Best Plan</v>
      </c>
      <c r="W438" s="130">
        <f>IFERROR(_xlfn.XLOOKUP(TEXT(H438,"0000000000"),'📞 Call Tracker'!A$2:A$2000,'📞 Call Tracker'!B$2:B$2000,""),"")</f>
        <v>0</v>
      </c>
      <c r="X438" s="96">
        <f>IFERROR(_xlfn.XLOOKUP(TEXT(H438,"0000000000"),'📞 Call Tracker'!A$2:A$2000,'📞 Call Tracker'!C$2:C$2000,""),"")</f>
        <v>0</v>
      </c>
      <c r="Y438" s="95">
        <f>IFERROR(_xlfn.XLOOKUP(TEXT(H438,"0000000000"),'📞 Call Tracker'!A$2:A$2000,'📞 Call Tracker'!D$2:D$2000,""),"")</f>
        <v>0</v>
      </c>
      <c r="Z438" s="95">
        <f>IFERROR(_xlfn.XLOOKUP(TEXT(H438,"0000000000"),'📞 Call Tracker'!A$2:A$2000,'📞 Call Tracker'!E$2:E$2000,""),"")</f>
        <v>0</v>
      </c>
      <c r="AA438" s="145">
        <f>IFERROR(_xlfn.XLOOKUP(TEXT(H438,"0000000000"),'📞 Call Tracker'!A$2:A$2000,'📞 Call Tracker'!F$2:F$2000,""),"")</f>
        <v>0</v>
      </c>
      <c r="AB438" s="132">
        <f t="shared" si="13"/>
        <v>99</v>
      </c>
      <c r="AC438" s="79"/>
    </row>
    <row r="439" spans="1:29" ht="20.100000000000001" customHeight="1">
      <c r="A439" s="91">
        <v>45905</v>
      </c>
      <c r="B439" s="92" t="str">
        <v>Berry</v>
      </c>
      <c r="C439" s="92" t="str">
        <v>Mason</v>
      </c>
      <c r="D439" s="92" t="str">
        <v>Phoenix</v>
      </c>
      <c r="E439" s="92">
        <v>85083</v>
      </c>
      <c r="F439" s="137" t="str">
        <v>Form letter</v>
      </c>
      <c r="G439" s="93" t="str">
        <v>https://images.edocket.azcc.gov/docketpdf/E000046230.pdf</v>
      </c>
      <c r="H439" s="150" t="s">
        <v>6149</v>
      </c>
      <c r="I439" s="114" t="str">
        <v>RTOUE47</v>
      </c>
      <c r="J439" s="94" t="str">
        <v>No</v>
      </c>
      <c r="K439" s="94" t="str">
        <v>No</v>
      </c>
      <c r="L439" s="137" t="str">
        <v>No MEP R3-47 ($90.56)</v>
      </c>
      <c r="M439" s="94" t="str">
        <v>No</v>
      </c>
      <c r="N439" s="134" t="str">
        <v>No</v>
      </c>
      <c r="O439" s="119" t="str">
        <v>Yes</v>
      </c>
      <c r="P439" s="92" t="str">
        <v>N</v>
      </c>
      <c r="Q439" s="91">
        <v>45966</v>
      </c>
      <c r="R439" s="140">
        <v>0</v>
      </c>
      <c r="S439" s="92">
        <v>0</v>
      </c>
      <c r="T439" s="92">
        <v>0</v>
      </c>
      <c r="U439" s="137">
        <v>0</v>
      </c>
      <c r="V439" s="126" t="str">
        <f t="shared" si="12"/>
        <v>❌ Not on Best Plan</v>
      </c>
      <c r="W439" s="130" t="str">
        <f>IFERROR(_xlfn.XLOOKUP(TEXT(H439,"0000000000"),'📞 Call Tracker'!A$2:A$2000,'📞 Call Tracker'!B$2:B$2000,""),"")</f>
        <v>Michelle</v>
      </c>
      <c r="X439" s="96">
        <f>IFERROR(_xlfn.XLOOKUP(TEXT(H439,"0000000000"),'📞 Call Tracker'!A$2:A$2000,'📞 Call Tracker'!C$2:C$2000,""),"")</f>
        <v>45997</v>
      </c>
      <c r="Y439" s="95" t="str">
        <f>IFERROR(_xlfn.XLOOKUP(TEXT(H439,"0000000000"),'📞 Call Tracker'!A$2:A$2000,'📞 Call Tracker'!D$2:D$2000,""),"")</f>
        <v>YES</v>
      </c>
      <c r="Z439" s="95">
        <f>IFERROR(_xlfn.XLOOKUP(TEXT(H439,"0000000000"),'📞 Call Tracker'!A$2:A$2000,'📞 Call Tracker'!E$2:E$2000,""),"")</f>
        <v>0</v>
      </c>
      <c r="AA439" s="145" t="str">
        <f>IFERROR(_xlfn.XLOOKUP(TEXT(H439,"0000000000"),'📞 Call Tracker'!A$2:A$2000,'📞 Call Tracker'!F$2:F$2000,""),"")</f>
        <v>SOLAR ACCT</v>
      </c>
      <c r="AB439" s="132">
        <f t="shared" si="13"/>
        <v>99</v>
      </c>
      <c r="AC439" s="79"/>
    </row>
    <row r="440" spans="1:29" ht="20.100000000000001" customHeight="1">
      <c r="A440" s="91">
        <v>45905</v>
      </c>
      <c r="B440" s="92" t="str">
        <v>Bartley</v>
      </c>
      <c r="C440" s="92" t="str">
        <v>Leslie</v>
      </c>
      <c r="D440" s="92" t="str">
        <v>Goodyear</v>
      </c>
      <c r="E440" s="92">
        <v>85395</v>
      </c>
      <c r="F440" s="137" t="str">
        <v xml:space="preserve">Unfair  </v>
      </c>
      <c r="G440" s="93" t="str">
        <v>https://images.edocket.azcc.gov/docketpdf/E000046230.pdf</v>
      </c>
      <c r="H440" s="150" t="s">
        <v>6226</v>
      </c>
      <c r="I440" s="114" t="str">
        <v>Multiple SAs</v>
      </c>
      <c r="J440" s="94" t="str">
        <v>No</v>
      </c>
      <c r="K440" s="94" t="str">
        <v>No</v>
      </c>
      <c r="L440" s="137" t="str">
        <v>Yes</v>
      </c>
      <c r="M440" s="94" t="str">
        <v>No</v>
      </c>
      <c r="N440" s="134" t="str">
        <v>No</v>
      </c>
      <c r="O440" s="119" t="str">
        <v>Yes</v>
      </c>
      <c r="P440" s="92" t="str">
        <v>N</v>
      </c>
      <c r="Q440" s="91">
        <v>45966</v>
      </c>
      <c r="R440" s="140">
        <v>0</v>
      </c>
      <c r="S440" s="92">
        <v>0</v>
      </c>
      <c r="T440" s="92">
        <v>0</v>
      </c>
      <c r="U440" s="137">
        <v>0</v>
      </c>
      <c r="V440" s="126" t="str">
        <f t="shared" si="12"/>
        <v>✅ On Best Plan</v>
      </c>
      <c r="W440" s="130">
        <f>IFERROR(_xlfn.XLOOKUP(TEXT(H440,"0000000000"),'📞 Call Tracker'!A$2:A$2000,'📞 Call Tracker'!B$2:B$2000,""),"")</f>
        <v>0</v>
      </c>
      <c r="X440" s="96">
        <f>IFERROR(_xlfn.XLOOKUP(TEXT(H440,"0000000000"),'📞 Call Tracker'!A$2:A$2000,'📞 Call Tracker'!C$2:C$2000,""),"")</f>
        <v>0</v>
      </c>
      <c r="Y440" s="95">
        <f>IFERROR(_xlfn.XLOOKUP(TEXT(H440,"0000000000"),'📞 Call Tracker'!A$2:A$2000,'📞 Call Tracker'!D$2:D$2000,""),"")</f>
        <v>0</v>
      </c>
      <c r="Z440" s="95">
        <f>IFERROR(_xlfn.XLOOKUP(TEXT(H440,"0000000000"),'📞 Call Tracker'!A$2:A$2000,'📞 Call Tracker'!E$2:E$2000,""),"")</f>
        <v>0</v>
      </c>
      <c r="AA440" s="145">
        <f>IFERROR(_xlfn.XLOOKUP(TEXT(H440,"0000000000"),'📞 Call Tracker'!A$2:A$2000,'📞 Call Tracker'!F$2:F$2000,""),"")</f>
        <v>0</v>
      </c>
      <c r="AB440" s="132">
        <f t="shared" si="13"/>
        <v>99</v>
      </c>
      <c r="AC440" s="79"/>
    </row>
    <row r="441" spans="1:29" ht="20.100000000000001" customHeight="1">
      <c r="A441" s="91">
        <v>45905</v>
      </c>
      <c r="B441" s="92" t="str">
        <v>Lawson</v>
      </c>
      <c r="C441" s="92" t="str">
        <v>Candace</v>
      </c>
      <c r="D441" s="92" t="str">
        <v>Goodyear</v>
      </c>
      <c r="E441" s="92">
        <v>85395</v>
      </c>
      <c r="F441" s="137" t="str">
        <v>Opposed</v>
      </c>
      <c r="G441" s="93" t="str">
        <v>https://images.edocket.azcc.gov/docketpdf/E000046230.pdf</v>
      </c>
      <c r="H441" s="150" t="s">
        <v>6227</v>
      </c>
      <c r="I441" s="114" t="str">
        <v>EPR-6w/E-12</v>
      </c>
      <c r="J441" s="94" t="str">
        <v>No</v>
      </c>
      <c r="K441" s="94" t="str">
        <v>No</v>
      </c>
      <c r="L441" s="137" t="str">
        <v>Frozen Rate</v>
      </c>
      <c r="M441" s="94" t="str">
        <v>No</v>
      </c>
      <c r="N441" s="134" t="str">
        <v>No</v>
      </c>
      <c r="O441" s="119" t="str">
        <v>Yes</v>
      </c>
      <c r="P441" s="92" t="str">
        <v>N</v>
      </c>
      <c r="Q441" s="91">
        <v>45966</v>
      </c>
      <c r="R441" s="140">
        <v>0</v>
      </c>
      <c r="S441" s="92">
        <v>0</v>
      </c>
      <c r="T441" s="92">
        <v>0</v>
      </c>
      <c r="U441" s="137">
        <v>0</v>
      </c>
      <c r="V441" s="126" t="str">
        <f t="shared" si="12"/>
        <v>❄ Frozen Rate</v>
      </c>
      <c r="W441" s="130">
        <f>IFERROR(_xlfn.XLOOKUP(TEXT(H441,"0000000000"),'📞 Call Tracker'!A$2:A$2000,'📞 Call Tracker'!B$2:B$2000,""),"")</f>
        <v>0</v>
      </c>
      <c r="X441" s="96">
        <f>IFERROR(_xlfn.XLOOKUP(TEXT(H441,"0000000000"),'📞 Call Tracker'!A$2:A$2000,'📞 Call Tracker'!C$2:C$2000,""),"")</f>
        <v>0</v>
      </c>
      <c r="Y441" s="95">
        <f>IFERROR(_xlfn.XLOOKUP(TEXT(H441,"0000000000"),'📞 Call Tracker'!A$2:A$2000,'📞 Call Tracker'!D$2:D$2000,""),"")</f>
        <v>0</v>
      </c>
      <c r="Z441" s="95">
        <f>IFERROR(_xlfn.XLOOKUP(TEXT(H441,"0000000000"),'📞 Call Tracker'!A$2:A$2000,'📞 Call Tracker'!E$2:E$2000,""),"")</f>
        <v>0</v>
      </c>
      <c r="AA441" s="145">
        <f>IFERROR(_xlfn.XLOOKUP(TEXT(H441,"0000000000"),'📞 Call Tracker'!A$2:A$2000,'📞 Call Tracker'!F$2:F$2000,""),"")</f>
        <v>0</v>
      </c>
      <c r="AB441" s="132">
        <f t="shared" si="13"/>
        <v>99</v>
      </c>
      <c r="AC441" s="79"/>
    </row>
    <row r="442" spans="1:29" ht="20.100000000000001" customHeight="1">
      <c r="A442" s="91">
        <v>45905</v>
      </c>
      <c r="B442" s="92" t="str">
        <v>Ficarra</v>
      </c>
      <c r="C442" s="92" t="str">
        <v>Gregory</v>
      </c>
      <c r="D442" s="92" t="str">
        <v>Glendale</v>
      </c>
      <c r="E442" s="92">
        <v>85308</v>
      </c>
      <c r="F442" s="137" t="str">
        <v>Form letter</v>
      </c>
      <c r="G442" s="93" t="str">
        <v>https://images.edocket.azcc.gov/docketpdf/E000046230.pdf</v>
      </c>
      <c r="H442" s="150" t="s">
        <v>6228</v>
      </c>
      <c r="I442" s="114" t="str">
        <v>RTOUE47</v>
      </c>
      <c r="J442" s="94" t="str">
        <v>No</v>
      </c>
      <c r="K442" s="94" t="str">
        <v>No</v>
      </c>
      <c r="L442" s="137" t="str">
        <v>No MEP R-XS ($58.00)</v>
      </c>
      <c r="M442" s="94" t="str">
        <v>No</v>
      </c>
      <c r="N442" s="134" t="str">
        <v>No</v>
      </c>
      <c r="O442" s="119" t="str">
        <v>Yes</v>
      </c>
      <c r="P442" s="92" t="str">
        <v>N</v>
      </c>
      <c r="Q442" s="91">
        <v>45966</v>
      </c>
      <c r="R442" s="140">
        <v>0</v>
      </c>
      <c r="S442" s="92">
        <v>0</v>
      </c>
      <c r="T442" s="92">
        <v>0</v>
      </c>
      <c r="U442" s="137">
        <v>0</v>
      </c>
      <c r="V442" s="126" t="str">
        <f t="shared" si="12"/>
        <v>❌ Not on Best Plan</v>
      </c>
      <c r="W442" s="130">
        <f>IFERROR(_xlfn.XLOOKUP(TEXT(H442,"0000000000"),'📞 Call Tracker'!A$2:A$2000,'📞 Call Tracker'!B$2:B$2000,""),"")</f>
        <v>0</v>
      </c>
      <c r="X442" s="96">
        <f>IFERROR(_xlfn.XLOOKUP(TEXT(H442,"0000000000"),'📞 Call Tracker'!A$2:A$2000,'📞 Call Tracker'!C$2:C$2000,""),"")</f>
        <v>0</v>
      </c>
      <c r="Y442" s="95">
        <f>IFERROR(_xlfn.XLOOKUP(TEXT(H442,"0000000000"),'📞 Call Tracker'!A$2:A$2000,'📞 Call Tracker'!D$2:D$2000,""),"")</f>
        <v>0</v>
      </c>
      <c r="Z442" s="95">
        <f>IFERROR(_xlfn.XLOOKUP(TEXT(H442,"0000000000"),'📞 Call Tracker'!A$2:A$2000,'📞 Call Tracker'!E$2:E$2000,""),"")</f>
        <v>0</v>
      </c>
      <c r="AA442" s="145">
        <f>IFERROR(_xlfn.XLOOKUP(TEXT(H442,"0000000000"),'📞 Call Tracker'!A$2:A$2000,'📞 Call Tracker'!F$2:F$2000,""),"")</f>
        <v>0</v>
      </c>
      <c r="AB442" s="132">
        <f t="shared" si="13"/>
        <v>99</v>
      </c>
      <c r="AC442" s="79"/>
    </row>
    <row r="443" spans="1:29" ht="20.100000000000001" customHeight="1">
      <c r="A443" s="91">
        <v>45905</v>
      </c>
      <c r="B443" s="92" t="str">
        <v>Ramos</v>
      </c>
      <c r="C443" s="92" t="str">
        <v>Pedro</v>
      </c>
      <c r="D443" s="92" t="str">
        <v>Yuma</v>
      </c>
      <c r="E443" s="92">
        <v>85365</v>
      </c>
      <c r="F443" s="137" t="str">
        <v xml:space="preserve">Senior/Fixed Income </v>
      </c>
      <c r="G443" s="93" t="str">
        <v>https://images.edocket.azcc.gov/docketpdf/E000046230.pdf</v>
      </c>
      <c r="H443" s="150" t="s">
        <v>6229</v>
      </c>
      <c r="I443" s="114" t="str">
        <v>R-BASICL</v>
      </c>
      <c r="J443" s="94" t="str">
        <v>No</v>
      </c>
      <c r="K443" s="94" t="str">
        <v>No</v>
      </c>
      <c r="L443" s="137" t="str">
        <v>No MEP R3-47($230.57)</v>
      </c>
      <c r="M443" s="94" t="str">
        <v>No</v>
      </c>
      <c r="N443" s="134" t="str">
        <v>No</v>
      </c>
      <c r="O443" s="119" t="str">
        <v>Yes</v>
      </c>
      <c r="P443" s="92">
        <v>0</v>
      </c>
      <c r="Q443" s="91">
        <v>45966</v>
      </c>
      <c r="R443" s="140" t="str">
        <v>Spanish CX Team Lead attempted to call customer with number on file, number is no longer in service</v>
      </c>
      <c r="S443" s="92">
        <v>0</v>
      </c>
      <c r="T443" s="92">
        <v>0</v>
      </c>
      <c r="U443" s="137">
        <v>0</v>
      </c>
      <c r="V443" s="126" t="str">
        <f t="shared" si="12"/>
        <v>❌ Not on Best Plan</v>
      </c>
      <c r="W443" s="130">
        <f>IFERROR(_xlfn.XLOOKUP(TEXT(H443,"0000000000"),'📞 Call Tracker'!A$2:A$2000,'📞 Call Tracker'!B$2:B$2000,""),"")</f>
        <v>0</v>
      </c>
      <c r="X443" s="96">
        <f>IFERROR(_xlfn.XLOOKUP(TEXT(H443,"0000000000"),'📞 Call Tracker'!A$2:A$2000,'📞 Call Tracker'!C$2:C$2000,""),"")</f>
        <v>0</v>
      </c>
      <c r="Y443" s="95">
        <f>IFERROR(_xlfn.XLOOKUP(TEXT(H443,"0000000000"),'📞 Call Tracker'!A$2:A$2000,'📞 Call Tracker'!D$2:D$2000,""),"")</f>
        <v>0</v>
      </c>
      <c r="Z443" s="95">
        <f>IFERROR(_xlfn.XLOOKUP(TEXT(H443,"0000000000"),'📞 Call Tracker'!A$2:A$2000,'📞 Call Tracker'!E$2:E$2000,""),"")</f>
        <v>0</v>
      </c>
      <c r="AA443" s="145">
        <f>IFERROR(_xlfn.XLOOKUP(TEXT(H443,"0000000000"),'📞 Call Tracker'!A$2:A$2000,'📞 Call Tracker'!F$2:F$2000,""),"")</f>
        <v>0</v>
      </c>
      <c r="AB443" s="132">
        <f t="shared" si="13"/>
        <v>99</v>
      </c>
      <c r="AC443" s="79"/>
    </row>
    <row r="444" spans="1:29" ht="20.100000000000001" customHeight="1">
      <c r="A444" s="91">
        <v>45905</v>
      </c>
      <c r="B444" s="92" t="str">
        <v>Quain-Kollar</v>
      </c>
      <c r="C444" s="92" t="str">
        <v>Scott</v>
      </c>
      <c r="D444" s="92" t="str">
        <v>Peoria</v>
      </c>
      <c r="E444" s="92">
        <v>85383</v>
      </c>
      <c r="F444" s="137" t="str">
        <v>Opposed</v>
      </c>
      <c r="G444" s="93" t="str">
        <v>https://images.edocket.azcc.gov/docketpdf/E000046230.pdf</v>
      </c>
      <c r="H444" s="150" t="s">
        <v>6025</v>
      </c>
      <c r="I444" s="114" t="str">
        <v>R3-47//R-XS</v>
      </c>
      <c r="J444" s="94" t="str">
        <v>No</v>
      </c>
      <c r="K444" s="94" t="str">
        <v>No</v>
      </c>
      <c r="L444" s="137" t="str">
        <v>Yes</v>
      </c>
      <c r="M444" s="94" t="str">
        <v>No</v>
      </c>
      <c r="N444" s="134" t="str">
        <v>No</v>
      </c>
      <c r="O444" s="119" t="str">
        <v>Yes</v>
      </c>
      <c r="P444" s="92" t="str">
        <v>N</v>
      </c>
      <c r="Q444" s="91">
        <v>45966</v>
      </c>
      <c r="R444" s="140">
        <v>0</v>
      </c>
      <c r="S444" s="92">
        <v>0</v>
      </c>
      <c r="T444" s="92">
        <v>0</v>
      </c>
      <c r="U444" s="137">
        <v>0</v>
      </c>
      <c r="V444" s="126" t="str">
        <f t="shared" si="12"/>
        <v>✅ On Best Plan</v>
      </c>
      <c r="W444" s="130" t="str">
        <f>IFERROR(_xlfn.XLOOKUP(TEXT(H444,"0000000000"),'📞 Call Tracker'!A$2:A$2000,'📞 Call Tracker'!B$2:B$2000,""),"")</f>
        <v>Michelle</v>
      </c>
      <c r="X444" s="96">
        <f>IFERROR(_xlfn.XLOOKUP(TEXT(H444,"0000000000"),'📞 Call Tracker'!A$2:A$2000,'📞 Call Tracker'!C$2:C$2000,""),"")</f>
        <v>46053</v>
      </c>
      <c r="Y444" s="95" t="str">
        <f>IFERROR(_xlfn.XLOOKUP(TEXT(H444,"0000000000"),'📞 Call Tracker'!A$2:A$2000,'📞 Call Tracker'!D$2:D$2000,""),"")</f>
        <v>YES</v>
      </c>
      <c r="Z444" s="95">
        <f>IFERROR(_xlfn.XLOOKUP(TEXT(H444,"0000000000"),'📞 Call Tracker'!A$2:A$2000,'📞 Call Tracker'!E$2:E$2000,""),"")</f>
        <v>0</v>
      </c>
      <c r="AA444" s="145">
        <f>IFERROR(_xlfn.XLOOKUP(TEXT(H444,"0000000000"),'📞 Call Tracker'!A$2:A$2000,'📞 Call Tracker'!F$2:F$2000,""),"")</f>
        <v>0</v>
      </c>
      <c r="AB444" s="132">
        <f t="shared" si="13"/>
        <v>99</v>
      </c>
      <c r="AC444" s="79"/>
    </row>
    <row r="445" spans="1:29" ht="20.100000000000001" customHeight="1">
      <c r="A445" s="91">
        <v>45905</v>
      </c>
      <c r="B445" s="92" t="str">
        <v>Carson</v>
      </c>
      <c r="C445" s="92" t="str">
        <v>Loren</v>
      </c>
      <c r="D445" s="92" t="str">
        <v>Phoenix</v>
      </c>
      <c r="E445" s="92">
        <v>85024</v>
      </c>
      <c r="F445" s="137" t="str">
        <v>Opposed, already paying grid access</v>
      </c>
      <c r="G445" s="93" t="str">
        <v>https://images.edocket.azcc.gov/docketpdf/E000046230.pdf</v>
      </c>
      <c r="H445" s="150" t="s">
        <v>6230</v>
      </c>
      <c r="I445" s="114" t="str">
        <v>RCPw/RTOUE47</v>
      </c>
      <c r="J445" s="94" t="str">
        <v>No</v>
      </c>
      <c r="K445" s="94" t="str">
        <v>No</v>
      </c>
      <c r="L445" s="137" t="str">
        <v>Yes</v>
      </c>
      <c r="M445" s="94" t="str">
        <v>No</v>
      </c>
      <c r="N445" s="134" t="str">
        <v>No</v>
      </c>
      <c r="O445" s="119" t="str">
        <v>Yes</v>
      </c>
      <c r="P445" s="92" t="str">
        <v>N</v>
      </c>
      <c r="Q445" s="91">
        <v>45966</v>
      </c>
      <c r="R445" s="140">
        <v>0</v>
      </c>
      <c r="S445" s="92">
        <v>0</v>
      </c>
      <c r="T445" s="92">
        <v>0</v>
      </c>
      <c r="U445" s="137">
        <v>0</v>
      </c>
      <c r="V445" s="126" t="str">
        <f t="shared" si="12"/>
        <v>✅ On Best Plan</v>
      </c>
      <c r="W445" s="130">
        <f>IFERROR(_xlfn.XLOOKUP(TEXT(H445,"0000000000"),'📞 Call Tracker'!A$2:A$2000,'📞 Call Tracker'!B$2:B$2000,""),"")</f>
        <v>0</v>
      </c>
      <c r="X445" s="96">
        <f>IFERROR(_xlfn.XLOOKUP(TEXT(H445,"0000000000"),'📞 Call Tracker'!A$2:A$2000,'📞 Call Tracker'!C$2:C$2000,""),"")</f>
        <v>0</v>
      </c>
      <c r="Y445" s="95">
        <f>IFERROR(_xlfn.XLOOKUP(TEXT(H445,"0000000000"),'📞 Call Tracker'!A$2:A$2000,'📞 Call Tracker'!D$2:D$2000,""),"")</f>
        <v>0</v>
      </c>
      <c r="Z445" s="95">
        <f>IFERROR(_xlfn.XLOOKUP(TEXT(H445,"0000000000"),'📞 Call Tracker'!A$2:A$2000,'📞 Call Tracker'!E$2:E$2000,""),"")</f>
        <v>0</v>
      </c>
      <c r="AA445" s="145">
        <f>IFERROR(_xlfn.XLOOKUP(TEXT(H445,"0000000000"),'📞 Call Tracker'!A$2:A$2000,'📞 Call Tracker'!F$2:F$2000,""),"")</f>
        <v>0</v>
      </c>
      <c r="AB445" s="132">
        <f t="shared" si="13"/>
        <v>99</v>
      </c>
      <c r="AC445" s="79"/>
    </row>
    <row r="446" spans="1:29" ht="20.100000000000001" customHeight="1">
      <c r="A446" s="91">
        <v>45905</v>
      </c>
      <c r="B446" s="92" t="str">
        <v>Hanel</v>
      </c>
      <c r="C446" s="92" t="str">
        <v>Beverly</v>
      </c>
      <c r="D446" s="92" t="str">
        <v>Goodyear</v>
      </c>
      <c r="E446" s="92">
        <v>85395</v>
      </c>
      <c r="F446" s="137" t="str">
        <v>Data centers pay less that residential</v>
      </c>
      <c r="G446" s="93" t="str">
        <v>https://images.edocket.azcc.gov/docketpdf/E000046230.pdf</v>
      </c>
      <c r="H446" s="150" t="s">
        <v>6231</v>
      </c>
      <c r="I446" s="114" t="str">
        <v>R-2</v>
      </c>
      <c r="J446" s="94" t="str">
        <v>No</v>
      </c>
      <c r="K446" s="94" t="str">
        <v>No</v>
      </c>
      <c r="L446" s="137" t="str">
        <v>Frozen Rate</v>
      </c>
      <c r="M446" s="94" t="str">
        <v>No</v>
      </c>
      <c r="N446" s="134" t="str">
        <v>No</v>
      </c>
      <c r="O446" s="119" t="str">
        <v>Yes</v>
      </c>
      <c r="P446" s="92" t="str">
        <v>N</v>
      </c>
      <c r="Q446" s="91">
        <v>45966</v>
      </c>
      <c r="R446" s="140">
        <v>0</v>
      </c>
      <c r="S446" s="92">
        <v>0</v>
      </c>
      <c r="T446" s="92">
        <v>0</v>
      </c>
      <c r="U446" s="137">
        <v>0</v>
      </c>
      <c r="V446" s="126" t="str">
        <f t="shared" si="12"/>
        <v>❄ Frozen Rate</v>
      </c>
      <c r="W446" s="130">
        <f>IFERROR(_xlfn.XLOOKUP(TEXT(H446,"0000000000"),'📞 Call Tracker'!A$2:A$2000,'📞 Call Tracker'!B$2:B$2000,""),"")</f>
        <v>0</v>
      </c>
      <c r="X446" s="96">
        <f>IFERROR(_xlfn.XLOOKUP(TEXT(H446,"0000000000"),'📞 Call Tracker'!A$2:A$2000,'📞 Call Tracker'!C$2:C$2000,""),"")</f>
        <v>0</v>
      </c>
      <c r="Y446" s="95">
        <f>IFERROR(_xlfn.XLOOKUP(TEXT(H446,"0000000000"),'📞 Call Tracker'!A$2:A$2000,'📞 Call Tracker'!D$2:D$2000,""),"")</f>
        <v>0</v>
      </c>
      <c r="Z446" s="95">
        <f>IFERROR(_xlfn.XLOOKUP(TEXT(H446,"0000000000"),'📞 Call Tracker'!A$2:A$2000,'📞 Call Tracker'!E$2:E$2000,""),"")</f>
        <v>0</v>
      </c>
      <c r="AA446" s="145">
        <f>IFERROR(_xlfn.XLOOKUP(TEXT(H446,"0000000000"),'📞 Call Tracker'!A$2:A$2000,'📞 Call Tracker'!F$2:F$2000,""),"")</f>
        <v>0</v>
      </c>
      <c r="AB446" s="132">
        <f t="shared" si="13"/>
        <v>99</v>
      </c>
      <c r="AC446" s="79"/>
    </row>
    <row r="447" spans="1:29" ht="20.100000000000001" customHeight="1">
      <c r="A447" s="91">
        <v>45905</v>
      </c>
      <c r="B447" s="92" t="str">
        <v>Cross</v>
      </c>
      <c r="C447" s="92" t="str">
        <v>Katie</v>
      </c>
      <c r="D447" s="92" t="str">
        <v>Tempe</v>
      </c>
      <c r="E447" s="92">
        <v>85281</v>
      </c>
      <c r="F447" s="137" t="str">
        <v>Form letter</v>
      </c>
      <c r="G447" s="93" t="str">
        <v>https://images.edocket.azcc.gov/docketpdf/E000046230.pdf</v>
      </c>
      <c r="H447" s="150" t="s">
        <v>6026</v>
      </c>
      <c r="I447" s="114" t="str">
        <v>R-BASIC</v>
      </c>
      <c r="J447" s="94" t="str">
        <v>No</v>
      </c>
      <c r="K447" s="94" t="str">
        <v>No</v>
      </c>
      <c r="L447" s="137" t="str">
        <v>No MEP R3-47($32.46)</v>
      </c>
      <c r="M447" s="94" t="str">
        <v>No</v>
      </c>
      <c r="N447" s="134" t="str">
        <v>No</v>
      </c>
      <c r="O447" s="119" t="str">
        <v>Yes</v>
      </c>
      <c r="P447" s="92" t="str">
        <v>N</v>
      </c>
      <c r="Q447" s="91">
        <v>45966</v>
      </c>
      <c r="R447" s="140">
        <v>0</v>
      </c>
      <c r="S447" s="92">
        <v>0</v>
      </c>
      <c r="T447" s="92">
        <v>0</v>
      </c>
      <c r="U447" s="137">
        <v>0</v>
      </c>
      <c r="V447" s="126" t="str">
        <f t="shared" si="12"/>
        <v>❌ Not on Best Plan</v>
      </c>
      <c r="W447" s="130" t="str">
        <f>IFERROR(_xlfn.XLOOKUP(TEXT(H447,"0000000000"),'📞 Call Tracker'!A$2:A$2000,'📞 Call Tracker'!B$2:B$2000,""),"")</f>
        <v>Michelle</v>
      </c>
      <c r="X447" s="96">
        <f>IFERROR(_xlfn.XLOOKUP(TEXT(H447,"0000000000"),'📞 Call Tracker'!A$2:A$2000,'📞 Call Tracker'!C$2:C$2000,""),"")</f>
        <v>46053</v>
      </c>
      <c r="Y447" s="95" t="str">
        <f>IFERROR(_xlfn.XLOOKUP(TEXT(H447,"0000000000"),'📞 Call Tracker'!A$2:A$2000,'📞 Call Tracker'!D$2:D$2000,""),"")</f>
        <v>YES</v>
      </c>
      <c r="Z447" s="95">
        <f>IFERROR(_xlfn.XLOOKUP(TEXT(H447,"0000000000"),'📞 Call Tracker'!A$2:A$2000,'📞 Call Tracker'!E$2:E$2000,""),"")</f>
        <v>0</v>
      </c>
      <c r="AA447" s="145">
        <f>IFERROR(_xlfn.XLOOKUP(TEXT(H447,"0000000000"),'📞 Call Tracker'!A$2:A$2000,'📞 Call Tracker'!F$2:F$2000,""),"")</f>
        <v>0</v>
      </c>
      <c r="AB447" s="132">
        <f t="shared" si="13"/>
        <v>99</v>
      </c>
      <c r="AC447" s="79"/>
    </row>
    <row r="448" spans="1:29" ht="20.100000000000001" customHeight="1">
      <c r="A448" s="91">
        <v>45905</v>
      </c>
      <c r="B448" s="92" t="str">
        <v>Hermida</v>
      </c>
      <c r="C448" s="92" t="str">
        <v>Anne</v>
      </c>
      <c r="D448" s="92" t="str">
        <v>Phoenix</v>
      </c>
      <c r="E448" s="92">
        <v>85007</v>
      </c>
      <c r="F448" s="137" t="str">
        <v>Opposed</v>
      </c>
      <c r="G448" s="93" t="str">
        <v>https://images.edocket.azcc.gov/docketpdf/E000046230.pdf</v>
      </c>
      <c r="H448" s="150" t="s">
        <v>6027</v>
      </c>
      <c r="I448" s="114" t="str">
        <v>R3-47</v>
      </c>
      <c r="J448" s="94" t="str">
        <v>No</v>
      </c>
      <c r="K448" s="94" t="str">
        <v>No</v>
      </c>
      <c r="L448" s="137" t="str">
        <v>Yes</v>
      </c>
      <c r="M448" s="94" t="str">
        <v>No</v>
      </c>
      <c r="N448" s="134" t="str">
        <v>No</v>
      </c>
      <c r="O448" s="119" t="str">
        <v>Yes</v>
      </c>
      <c r="P448" s="92" t="str">
        <v>N</v>
      </c>
      <c r="Q448" s="91">
        <v>45966</v>
      </c>
      <c r="R448" s="140">
        <v>0</v>
      </c>
      <c r="S448" s="92">
        <v>0</v>
      </c>
      <c r="T448" s="92">
        <v>0</v>
      </c>
      <c r="U448" s="137">
        <v>0</v>
      </c>
      <c r="V448" s="126" t="str">
        <f t="shared" si="12"/>
        <v>✅ On Best Plan</v>
      </c>
      <c r="W448" s="130" t="str">
        <f>IFERROR(_xlfn.XLOOKUP(TEXT(H448,"0000000000"),'📞 Call Tracker'!A$2:A$2000,'📞 Call Tracker'!B$2:B$2000,""),"")</f>
        <v>Joaquin</v>
      </c>
      <c r="X448" s="96">
        <f>IFERROR(_xlfn.XLOOKUP(TEXT(H448,"0000000000"),'📞 Call Tracker'!A$2:A$2000,'📞 Call Tracker'!C$2:C$2000,""),"")</f>
        <v>46053</v>
      </c>
      <c r="Y448" s="95" t="str">
        <f>IFERROR(_xlfn.XLOOKUP(TEXT(H448,"0000000000"),'📞 Call Tracker'!A$2:A$2000,'📞 Call Tracker'!D$2:D$2000,""),"")</f>
        <v>NO</v>
      </c>
      <c r="Z448" s="95">
        <f>IFERROR(_xlfn.XLOOKUP(TEXT(H448,"0000000000"),'📞 Call Tracker'!A$2:A$2000,'📞 Call Tracker'!E$2:E$2000,""),"")</f>
        <v>0</v>
      </c>
      <c r="AA448" s="145" t="str">
        <f>IFERROR(_xlfn.XLOOKUP(TEXT(H448,"0000000000"),'📞 Call Tracker'!A$2:A$2000,'📞 Call Tracker'!F$2:F$2000,""),"")</f>
        <v>NO GOOD CBR# ON FILE</v>
      </c>
      <c r="AB448" s="132">
        <f t="shared" si="13"/>
        <v>99</v>
      </c>
      <c r="AC448" s="79"/>
    </row>
    <row r="449" spans="1:29" ht="20.100000000000001" customHeight="1">
      <c r="A449" s="91">
        <v>45905</v>
      </c>
      <c r="B449" s="92" t="str">
        <v>Matelski</v>
      </c>
      <c r="C449" s="92" t="str">
        <v>Heather</v>
      </c>
      <c r="D449" s="92" t="str">
        <v>Tempe</v>
      </c>
      <c r="E449" s="92">
        <v>85288</v>
      </c>
      <c r="F449" s="137" t="str">
        <v>Opposed</v>
      </c>
      <c r="G449" s="93" t="str">
        <v>https://images.edocket.azcc.gov/docketpdf/E000046230.pdf</v>
      </c>
      <c r="H449" s="150" t="s">
        <v>6232</v>
      </c>
      <c r="I449" s="114" t="str">
        <v>RTOUE47</v>
      </c>
      <c r="J449" s="94" t="str">
        <v>No</v>
      </c>
      <c r="K449" s="94" t="str">
        <v>No</v>
      </c>
      <c r="L449" s="137" t="str">
        <v>No MEP R3-47($149.40)</v>
      </c>
      <c r="M449" s="94" t="str">
        <v>No</v>
      </c>
      <c r="N449" s="134" t="str">
        <v>No</v>
      </c>
      <c r="O449" s="119" t="str">
        <v>Yes</v>
      </c>
      <c r="P449" s="92">
        <v>45936</v>
      </c>
      <c r="Q449" s="91">
        <v>45966</v>
      </c>
      <c r="R449" s="140" t="str">
        <v>10/06/2025 left VM</v>
      </c>
      <c r="S449" s="92">
        <v>0</v>
      </c>
      <c r="T449" s="92">
        <v>0</v>
      </c>
      <c r="U449" s="137">
        <v>0</v>
      </c>
      <c r="V449" s="126" t="str">
        <f t="shared" si="12"/>
        <v>❌ Not on Best Plan</v>
      </c>
      <c r="W449" s="130">
        <f>IFERROR(_xlfn.XLOOKUP(TEXT(H449,"0000000000"),'📞 Call Tracker'!A$2:A$2000,'📞 Call Tracker'!B$2:B$2000,""),"")</f>
        <v>0</v>
      </c>
      <c r="X449" s="96">
        <f>IFERROR(_xlfn.XLOOKUP(TEXT(H449,"0000000000"),'📞 Call Tracker'!A$2:A$2000,'📞 Call Tracker'!C$2:C$2000,""),"")</f>
        <v>0</v>
      </c>
      <c r="Y449" s="95">
        <f>IFERROR(_xlfn.XLOOKUP(TEXT(H449,"0000000000"),'📞 Call Tracker'!A$2:A$2000,'📞 Call Tracker'!D$2:D$2000,""),"")</f>
        <v>0</v>
      </c>
      <c r="Z449" s="95">
        <f>IFERROR(_xlfn.XLOOKUP(TEXT(H449,"0000000000"),'📞 Call Tracker'!A$2:A$2000,'📞 Call Tracker'!E$2:E$2000,""),"")</f>
        <v>0</v>
      </c>
      <c r="AA449" s="145">
        <f>IFERROR(_xlfn.XLOOKUP(TEXT(H449,"0000000000"),'📞 Call Tracker'!A$2:A$2000,'📞 Call Tracker'!F$2:F$2000,""),"")</f>
        <v>0</v>
      </c>
      <c r="AB449" s="132">
        <f t="shared" si="13"/>
        <v>99</v>
      </c>
      <c r="AC449" s="79"/>
    </row>
    <row r="450" spans="1:29" ht="20.100000000000001" customHeight="1">
      <c r="A450" s="91">
        <v>45905</v>
      </c>
      <c r="B450" s="92" t="str">
        <v>Brooksby</v>
      </c>
      <c r="C450" s="92" t="str">
        <v>Jared</v>
      </c>
      <c r="D450" s="92" t="str">
        <v>Phoenix</v>
      </c>
      <c r="E450" s="92">
        <v>85032</v>
      </c>
      <c r="F450" s="137" t="str">
        <v>Impossible to keep up with</v>
      </c>
      <c r="G450" s="93" t="str">
        <v>https://images.edocket.azcc.gov/docketpdf/E000046230.pdf</v>
      </c>
      <c r="H450" s="150" t="s">
        <v>6233</v>
      </c>
      <c r="I450" s="114" t="str">
        <v>R-XS</v>
      </c>
      <c r="J450" s="94" t="str">
        <v>No</v>
      </c>
      <c r="K450" s="94" t="str">
        <v>No</v>
      </c>
      <c r="L450" s="137" t="str">
        <v>Yes</v>
      </c>
      <c r="M450" s="94" t="str">
        <v>No</v>
      </c>
      <c r="N450" s="134" t="str">
        <v>No</v>
      </c>
      <c r="O450" s="119" t="str">
        <v>Yes</v>
      </c>
      <c r="P450" s="92" t="str">
        <v>N</v>
      </c>
      <c r="Q450" s="91">
        <v>45966</v>
      </c>
      <c r="R450" s="140">
        <v>0</v>
      </c>
      <c r="S450" s="92">
        <v>0</v>
      </c>
      <c r="T450" s="92">
        <v>0</v>
      </c>
      <c r="U450" s="137">
        <v>0</v>
      </c>
      <c r="V450" s="126" t="str">
        <f t="shared" si="12"/>
        <v>✅ On Best Plan</v>
      </c>
      <c r="W450" s="130">
        <f>IFERROR(_xlfn.XLOOKUP(TEXT(H450,"0000000000"),'📞 Call Tracker'!A$2:A$2000,'📞 Call Tracker'!B$2:B$2000,""),"")</f>
        <v>0</v>
      </c>
      <c r="X450" s="96">
        <f>IFERROR(_xlfn.XLOOKUP(TEXT(H450,"0000000000"),'📞 Call Tracker'!A$2:A$2000,'📞 Call Tracker'!C$2:C$2000,""),"")</f>
        <v>0</v>
      </c>
      <c r="Y450" s="95">
        <f>IFERROR(_xlfn.XLOOKUP(TEXT(H450,"0000000000"),'📞 Call Tracker'!A$2:A$2000,'📞 Call Tracker'!D$2:D$2000,""),"")</f>
        <v>0</v>
      </c>
      <c r="Z450" s="95">
        <f>IFERROR(_xlfn.XLOOKUP(TEXT(H450,"0000000000"),'📞 Call Tracker'!A$2:A$2000,'📞 Call Tracker'!E$2:E$2000,""),"")</f>
        <v>0</v>
      </c>
      <c r="AA450" s="145">
        <f>IFERROR(_xlfn.XLOOKUP(TEXT(H450,"0000000000"),'📞 Call Tracker'!A$2:A$2000,'📞 Call Tracker'!F$2:F$2000,""),"")</f>
        <v>0</v>
      </c>
      <c r="AB450" s="132">
        <f t="shared" si="13"/>
        <v>99</v>
      </c>
      <c r="AC450" s="79"/>
    </row>
    <row r="451" spans="1:29" ht="20.100000000000001" customHeight="1">
      <c r="A451" s="91">
        <v>45905</v>
      </c>
      <c r="B451" s="92" t="str">
        <v>Schmidt</v>
      </c>
      <c r="C451" s="92" t="str">
        <v>Rebecca</v>
      </c>
      <c r="D451" s="92" t="str">
        <v>Chino Valley</v>
      </c>
      <c r="E451" s="92">
        <v>86323</v>
      </c>
      <c r="F451" s="137" t="str">
        <v>Opposed</v>
      </c>
      <c r="G451" s="93" t="str">
        <v>https://images.edocket.azcc.gov/docketpdf/E000046230.pdf</v>
      </c>
      <c r="H451" s="150" t="s">
        <v>6234</v>
      </c>
      <c r="I451" s="114" t="str">
        <v>R3-47</v>
      </c>
      <c r="J451" s="94" t="str">
        <v>No</v>
      </c>
      <c r="K451" s="94" t="str">
        <v>No</v>
      </c>
      <c r="L451" s="137" t="str">
        <v>Yes</v>
      </c>
      <c r="M451" s="94" t="str">
        <v>No</v>
      </c>
      <c r="N451" s="134" t="str">
        <v>No</v>
      </c>
      <c r="O451" s="119" t="str">
        <v>Yes</v>
      </c>
      <c r="P451" s="92" t="str">
        <v>N</v>
      </c>
      <c r="Q451" s="91">
        <v>45966</v>
      </c>
      <c r="R451" s="140">
        <v>0</v>
      </c>
      <c r="S451" s="92">
        <v>0</v>
      </c>
      <c r="T451" s="92">
        <v>0</v>
      </c>
      <c r="U451" s="137">
        <v>0</v>
      </c>
      <c r="V451" s="126" t="str">
        <f t="shared" ref="V451:V514" si="14">IF(OR(LEFT(TRIM(L451),3)="Yes",TRIM(L451)="Y"),"✅ On Best Plan",IF(OR(L451="Frozen Rate",L451="Frozen Plan"),"❄ Frozen Rate",IF(OR(L451="Not able to Compare",L451="Info Not Avail",L451="NA",L451=""),"⚠ Unknown","❌ Not on Best Plan")))</f>
        <v>✅ On Best Plan</v>
      </c>
      <c r="W451" s="130">
        <f>IFERROR(_xlfn.XLOOKUP(TEXT(H451,"0000000000"),'📞 Call Tracker'!A$2:A$2000,'📞 Call Tracker'!B$2:B$2000,""),"")</f>
        <v>0</v>
      </c>
      <c r="X451" s="96">
        <f>IFERROR(_xlfn.XLOOKUP(TEXT(H451,"0000000000"),'📞 Call Tracker'!A$2:A$2000,'📞 Call Tracker'!C$2:C$2000,""),"")</f>
        <v>0</v>
      </c>
      <c r="Y451" s="95">
        <f>IFERROR(_xlfn.XLOOKUP(TEXT(H451,"0000000000"),'📞 Call Tracker'!A$2:A$2000,'📞 Call Tracker'!D$2:D$2000,""),"")</f>
        <v>0</v>
      </c>
      <c r="Z451" s="95">
        <f>IFERROR(_xlfn.XLOOKUP(TEXT(H451,"0000000000"),'📞 Call Tracker'!A$2:A$2000,'📞 Call Tracker'!E$2:E$2000,""),"")</f>
        <v>0</v>
      </c>
      <c r="AA451" s="145">
        <f>IFERROR(_xlfn.XLOOKUP(TEXT(H451,"0000000000"),'📞 Call Tracker'!A$2:A$2000,'📞 Call Tracker'!F$2:F$2000,""),"")</f>
        <v>0</v>
      </c>
      <c r="AB451" s="132">
        <f t="shared" ref="AB451:AB514" si="15">IF(OR(H451="",X451&lt;&gt;""),99,IF(AND(NOT(OR(LEFT(TRIM(L451),3)="Yes",TRIM(L451)="Y",L451="Frozen Rate",L451="Frozen Plan",L451="Not able to Compare",L451="Info Not Avail",L451="NA",L451="")),AND(N451&lt;&gt;"No",N451&lt;&gt;"")),1,IF(NOT(OR(LEFT(TRIM(L451),3)="Yes",TRIM(L451)="Y",L451="Frozen Rate",L451="Frozen Plan",L451="Not able to Compare",L451="Info Not Avail",L451="NA",L451="")),2,IF(AND(N451&lt;&gt;"No",N451&lt;&gt;""),3,4))))</f>
        <v>99</v>
      </c>
      <c r="AC451" s="79"/>
    </row>
    <row r="452" spans="1:29" ht="20.100000000000001" customHeight="1">
      <c r="A452" s="91">
        <v>45905</v>
      </c>
      <c r="B452" s="92" t="str">
        <v>Campbell</v>
      </c>
      <c r="C452" s="92" t="str">
        <v>Corey</v>
      </c>
      <c r="D452" s="92" t="str">
        <v>Phoenix</v>
      </c>
      <c r="E452" s="92">
        <v>85032</v>
      </c>
      <c r="F452" s="137" t="str">
        <v>Form letter</v>
      </c>
      <c r="G452" s="93" t="str">
        <v>https://images.edocket.azcc.gov/docketpdf/E000046230.pdf</v>
      </c>
      <c r="H452" s="150" t="s">
        <v>6028</v>
      </c>
      <c r="I452" s="114" t="str">
        <v>R-XS</v>
      </c>
      <c r="J452" s="94" t="str">
        <v>No</v>
      </c>
      <c r="K452" s="94" t="str">
        <v>No</v>
      </c>
      <c r="L452" s="137" t="str">
        <v>Yes</v>
      </c>
      <c r="M452" s="94" t="str">
        <v>No</v>
      </c>
      <c r="N452" s="134" t="str">
        <v>No</v>
      </c>
      <c r="O452" s="119" t="str">
        <v>Yes</v>
      </c>
      <c r="P452" s="92" t="str">
        <v>N</v>
      </c>
      <c r="Q452" s="91">
        <v>45966</v>
      </c>
      <c r="R452" s="140">
        <v>0</v>
      </c>
      <c r="S452" s="92">
        <v>0</v>
      </c>
      <c r="T452" s="92">
        <v>0</v>
      </c>
      <c r="U452" s="137">
        <v>0</v>
      </c>
      <c r="V452" s="126" t="str">
        <f t="shared" si="14"/>
        <v>✅ On Best Plan</v>
      </c>
      <c r="W452" s="130" t="str">
        <f>IFERROR(_xlfn.XLOOKUP(TEXT(H452,"0000000000"),'📞 Call Tracker'!A$2:A$2000,'📞 Call Tracker'!B$2:B$2000,""),"")</f>
        <v>Joaquin</v>
      </c>
      <c r="X452" s="96">
        <f>IFERROR(_xlfn.XLOOKUP(TEXT(H452,"0000000000"),'📞 Call Tracker'!A$2:A$2000,'📞 Call Tracker'!C$2:C$2000,""),"")</f>
        <v>46053</v>
      </c>
      <c r="Y452" s="95" t="str">
        <f>IFERROR(_xlfn.XLOOKUP(TEXT(H452,"0000000000"),'📞 Call Tracker'!A$2:A$2000,'📞 Call Tracker'!D$2:D$2000,""),"")</f>
        <v>YES</v>
      </c>
      <c r="Z452" s="95">
        <f>IFERROR(_xlfn.XLOOKUP(TEXT(H452,"0000000000"),'📞 Call Tracker'!A$2:A$2000,'📞 Call Tracker'!E$2:E$2000,""),"")</f>
        <v>0</v>
      </c>
      <c r="AA452" s="145" t="str">
        <f>IFERROR(_xlfn.XLOOKUP(TEXT(H452,"0000000000"),'📞 Call Tracker'!A$2:A$2000,'📞 Call Tracker'!F$2:F$2000,""),"")</f>
        <v>LEFT V-M</v>
      </c>
      <c r="AB452" s="132">
        <f t="shared" si="15"/>
        <v>99</v>
      </c>
      <c r="AC452" s="79"/>
    </row>
    <row r="453" spans="1:29" ht="20.100000000000001" customHeight="1">
      <c r="A453" s="91">
        <v>45905</v>
      </c>
      <c r="B453" s="92" t="str">
        <v>Scallorns</v>
      </c>
      <c r="C453" s="92" t="str">
        <v>Melodie</v>
      </c>
      <c r="D453" s="92" t="str">
        <v>Phoenix</v>
      </c>
      <c r="E453" s="92">
        <v>85012</v>
      </c>
      <c r="F453" s="137" t="str">
        <v>Form letter</v>
      </c>
      <c r="G453" s="93" t="str">
        <v>https://images.edocket.azcc.gov/docketpdf/E000046230.pdf</v>
      </c>
      <c r="H453" s="150" t="s">
        <v>6235</v>
      </c>
      <c r="I453" s="114" t="str">
        <v>R-XS</v>
      </c>
      <c r="J453" s="94" t="str">
        <v>No</v>
      </c>
      <c r="K453" s="94" t="str">
        <v>No</v>
      </c>
      <c r="L453" s="137" t="str">
        <v>Yes</v>
      </c>
      <c r="M453" s="94" t="str">
        <v>No</v>
      </c>
      <c r="N453" s="134" t="str">
        <v>No</v>
      </c>
      <c r="O453" s="119" t="str">
        <v>Yes</v>
      </c>
      <c r="P453" s="92" t="str">
        <v>N</v>
      </c>
      <c r="Q453" s="91">
        <v>45966</v>
      </c>
      <c r="R453" s="140">
        <v>0</v>
      </c>
      <c r="S453" s="92">
        <v>0</v>
      </c>
      <c r="T453" s="92">
        <v>0</v>
      </c>
      <c r="U453" s="137">
        <v>0</v>
      </c>
      <c r="V453" s="126" t="str">
        <f t="shared" si="14"/>
        <v>✅ On Best Plan</v>
      </c>
      <c r="W453" s="130">
        <f>IFERROR(_xlfn.XLOOKUP(TEXT(H453,"0000000000"),'📞 Call Tracker'!A$2:A$2000,'📞 Call Tracker'!B$2:B$2000,""),"")</f>
        <v>0</v>
      </c>
      <c r="X453" s="96">
        <f>IFERROR(_xlfn.XLOOKUP(TEXT(H453,"0000000000"),'📞 Call Tracker'!A$2:A$2000,'📞 Call Tracker'!C$2:C$2000,""),"")</f>
        <v>0</v>
      </c>
      <c r="Y453" s="95">
        <f>IFERROR(_xlfn.XLOOKUP(TEXT(H453,"0000000000"),'📞 Call Tracker'!A$2:A$2000,'📞 Call Tracker'!D$2:D$2000,""),"")</f>
        <v>0</v>
      </c>
      <c r="Z453" s="95">
        <f>IFERROR(_xlfn.XLOOKUP(TEXT(H453,"0000000000"),'📞 Call Tracker'!A$2:A$2000,'📞 Call Tracker'!E$2:E$2000,""),"")</f>
        <v>0</v>
      </c>
      <c r="AA453" s="145">
        <f>IFERROR(_xlfn.XLOOKUP(TEXT(H453,"0000000000"),'📞 Call Tracker'!A$2:A$2000,'📞 Call Tracker'!F$2:F$2000,""),"")</f>
        <v>0</v>
      </c>
      <c r="AB453" s="132">
        <f t="shared" si="15"/>
        <v>99</v>
      </c>
      <c r="AC453" s="79"/>
    </row>
    <row r="454" spans="1:29" ht="20.100000000000001" customHeight="1">
      <c r="A454" s="91">
        <v>45905</v>
      </c>
      <c r="B454" s="92" t="str">
        <v>Hoffa</v>
      </c>
      <c r="C454" s="92" t="str">
        <v>Geoffery</v>
      </c>
      <c r="D454" s="92" t="str">
        <v>Phoenix</v>
      </c>
      <c r="E454" s="92">
        <v>85086</v>
      </c>
      <c r="F454" s="137" t="str">
        <v>Opposed</v>
      </c>
      <c r="G454" s="93" t="str">
        <v>https://images.edocket.azcc.gov/docketpdf/E000046230.pdf</v>
      </c>
      <c r="H454" s="150" t="s">
        <v>6029</v>
      </c>
      <c r="I454" s="114" t="str">
        <v>R3-47</v>
      </c>
      <c r="J454" s="94" t="str">
        <v>No</v>
      </c>
      <c r="K454" s="94" t="str">
        <v>No</v>
      </c>
      <c r="L454" s="137" t="str">
        <v>Yes</v>
      </c>
      <c r="M454" s="94" t="str">
        <v>No</v>
      </c>
      <c r="N454" s="134" t="str">
        <v>No</v>
      </c>
      <c r="O454" s="119" t="str">
        <v>Yes</v>
      </c>
      <c r="P454" s="92" t="str">
        <v>N</v>
      </c>
      <c r="Q454" s="91">
        <v>45966</v>
      </c>
      <c r="R454" s="140">
        <v>0</v>
      </c>
      <c r="S454" s="92">
        <v>0</v>
      </c>
      <c r="T454" s="92">
        <v>0</v>
      </c>
      <c r="U454" s="137">
        <v>0</v>
      </c>
      <c r="V454" s="126" t="str">
        <f t="shared" si="14"/>
        <v>✅ On Best Plan</v>
      </c>
      <c r="W454" s="130" t="str">
        <f>IFERROR(_xlfn.XLOOKUP(TEXT(H454,"0000000000"),'📞 Call Tracker'!A$2:A$2000,'📞 Call Tracker'!B$2:B$2000,""),"")</f>
        <v>Joaquin</v>
      </c>
      <c r="X454" s="96">
        <f>IFERROR(_xlfn.XLOOKUP(TEXT(H454,"0000000000"),'📞 Call Tracker'!A$2:A$2000,'📞 Call Tracker'!C$2:C$2000,""),"")</f>
        <v>46053</v>
      </c>
      <c r="Y454" s="95" t="str">
        <f>IFERROR(_xlfn.XLOOKUP(TEXT(H454,"0000000000"),'📞 Call Tracker'!A$2:A$2000,'📞 Call Tracker'!D$2:D$2000,""),"")</f>
        <v>NO</v>
      </c>
      <c r="Z454" s="95" t="str">
        <f>IFERROR(_xlfn.XLOOKUP(TEXT(H454,"0000000000"),'📞 Call Tracker'!A$2:A$2000,'📞 Call Tracker'!E$2:E$2000,""),"")</f>
        <v>General Education</v>
      </c>
      <c r="AA454" s="145" t="str">
        <f>IFERROR(_xlfn.XLOOKUP(TEXT(H454,"0000000000"),'📞 Call Tracker'!A$2:A$2000,'📞 Call Tracker'!F$2:F$2000,""),"")</f>
        <v>NOT FOR THE RATE CASE PROPOSAL</v>
      </c>
      <c r="AB454" s="132">
        <f t="shared" si="15"/>
        <v>99</v>
      </c>
      <c r="AC454" s="79"/>
    </row>
    <row r="455" spans="1:29" ht="20.100000000000001" customHeight="1">
      <c r="A455" s="91">
        <v>45905</v>
      </c>
      <c r="B455" s="92" t="str">
        <v>Testo</v>
      </c>
      <c r="C455" s="92" t="str">
        <v>George</v>
      </c>
      <c r="D455" s="92" t="str">
        <v>Flagstaff</v>
      </c>
      <c r="E455" s="92">
        <v>86001</v>
      </c>
      <c r="F455" s="137" t="str">
        <v>Opposed</v>
      </c>
      <c r="G455" s="93" t="str">
        <v>https://images.edocket.azcc.gov/docketpdf/E000046230.pdf</v>
      </c>
      <c r="H455" s="150" t="s">
        <v>6539</v>
      </c>
      <c r="I455" s="114" t="str">
        <v>RTOUE47</v>
      </c>
      <c r="J455" s="94" t="str">
        <v>No</v>
      </c>
      <c r="K455" s="94" t="str">
        <v>No</v>
      </c>
      <c r="L455" s="137" t="str">
        <v>No MEP R-XS ($49.64)</v>
      </c>
      <c r="M455" s="94" t="str">
        <v>No</v>
      </c>
      <c r="N455" s="134" t="str">
        <v>No</v>
      </c>
      <c r="O455" s="119" t="str">
        <v>Yes</v>
      </c>
      <c r="P455" s="92" t="str">
        <v>N</v>
      </c>
      <c r="Q455" s="91">
        <v>45966</v>
      </c>
      <c r="R455" s="140">
        <v>0</v>
      </c>
      <c r="S455" s="92">
        <v>0</v>
      </c>
      <c r="T455" s="92">
        <v>0</v>
      </c>
      <c r="U455" s="137">
        <v>0</v>
      </c>
      <c r="V455" s="126" t="str">
        <f t="shared" si="14"/>
        <v>❌ Not on Best Plan</v>
      </c>
      <c r="W455" s="130" t="str">
        <f>IFERROR(_xlfn.XLOOKUP(TEXT(H455,"0000000000"),'📞 Call Tracker'!A$2:A$2000,'📞 Call Tracker'!B$2:B$2000,""),"")</f>
        <v>Michelle</v>
      </c>
      <c r="X455" s="96">
        <f>IFERROR(_xlfn.XLOOKUP(TEXT(H455,"0000000000"),'📞 Call Tracker'!A$2:A$2000,'📞 Call Tracker'!C$2:C$2000,""),"")</f>
        <v>45997</v>
      </c>
      <c r="Y455" s="95" t="str">
        <f>IFERROR(_xlfn.XLOOKUP(TEXT(H455,"0000000000"),'📞 Call Tracker'!A$2:A$2000,'📞 Call Tracker'!D$2:D$2000,""),"")</f>
        <v>YES</v>
      </c>
      <c r="Z455" s="95">
        <f>IFERROR(_xlfn.XLOOKUP(TEXT(H455,"0000000000"),'📞 Call Tracker'!A$2:A$2000,'📞 Call Tracker'!E$2:E$2000,""),"")</f>
        <v>0</v>
      </c>
      <c r="AA455" s="145" t="str">
        <f>IFERROR(_xlfn.XLOOKUP(TEXT(H455,"0000000000"),'📞 Call Tracker'!A$2:A$2000,'📞 Call Tracker'!F$2:F$2000,""),"")</f>
        <v>PA, ON BEST RATE PLAN</v>
      </c>
      <c r="AB455" s="132">
        <f t="shared" si="15"/>
        <v>99</v>
      </c>
      <c r="AC455" s="79"/>
    </row>
    <row r="456" spans="1:29" ht="20.100000000000001" customHeight="1">
      <c r="A456" s="91">
        <v>45905</v>
      </c>
      <c r="B456" s="92" t="str">
        <v>McAdams</v>
      </c>
      <c r="C456" s="92" t="str">
        <v>Levi</v>
      </c>
      <c r="D456" s="92" t="str">
        <v>Phoenix</v>
      </c>
      <c r="E456" s="92">
        <v>85020</v>
      </c>
      <c r="F456" s="137" t="str">
        <v>Form letter</v>
      </c>
      <c r="G456" s="93" t="str">
        <v>https://images.edocket.azcc.gov/docketpdf/E000046230.pdf</v>
      </c>
      <c r="H456" s="150" t="s">
        <v>6236</v>
      </c>
      <c r="I456" s="114" t="str">
        <v>R-XS</v>
      </c>
      <c r="J456" s="94" t="str">
        <v>No</v>
      </c>
      <c r="K456" s="94" t="str">
        <v>No</v>
      </c>
      <c r="L456" s="137" t="str">
        <v>Yes</v>
      </c>
      <c r="M456" s="94" t="str">
        <v>No</v>
      </c>
      <c r="N456" s="134" t="str">
        <v>No</v>
      </c>
      <c r="O456" s="119" t="str">
        <v>Yes</v>
      </c>
      <c r="P456" s="92" t="str">
        <v>N</v>
      </c>
      <c r="Q456" s="91">
        <v>45966</v>
      </c>
      <c r="R456" s="140">
        <v>0</v>
      </c>
      <c r="S456" s="92">
        <v>0</v>
      </c>
      <c r="T456" s="92">
        <v>0</v>
      </c>
      <c r="U456" s="137">
        <v>0</v>
      </c>
      <c r="V456" s="126" t="str">
        <f t="shared" si="14"/>
        <v>✅ On Best Plan</v>
      </c>
      <c r="W456" s="130">
        <f>IFERROR(_xlfn.XLOOKUP(TEXT(H456,"0000000000"),'📞 Call Tracker'!A$2:A$2000,'📞 Call Tracker'!B$2:B$2000,""),"")</f>
        <v>0</v>
      </c>
      <c r="X456" s="96">
        <f>IFERROR(_xlfn.XLOOKUP(TEXT(H456,"0000000000"),'📞 Call Tracker'!A$2:A$2000,'📞 Call Tracker'!C$2:C$2000,""),"")</f>
        <v>0</v>
      </c>
      <c r="Y456" s="95">
        <f>IFERROR(_xlfn.XLOOKUP(TEXT(H456,"0000000000"),'📞 Call Tracker'!A$2:A$2000,'📞 Call Tracker'!D$2:D$2000,""),"")</f>
        <v>0</v>
      </c>
      <c r="Z456" s="95">
        <f>IFERROR(_xlfn.XLOOKUP(TEXT(H456,"0000000000"),'📞 Call Tracker'!A$2:A$2000,'📞 Call Tracker'!E$2:E$2000,""),"")</f>
        <v>0</v>
      </c>
      <c r="AA456" s="145">
        <f>IFERROR(_xlfn.XLOOKUP(TEXT(H456,"0000000000"),'📞 Call Tracker'!A$2:A$2000,'📞 Call Tracker'!F$2:F$2000,""),"")</f>
        <v>0</v>
      </c>
      <c r="AB456" s="132">
        <f t="shared" si="15"/>
        <v>99</v>
      </c>
      <c r="AC456" s="79"/>
    </row>
    <row r="457" spans="1:29" ht="20.100000000000001" customHeight="1">
      <c r="A457" s="91">
        <v>45905</v>
      </c>
      <c r="B457" s="92" t="str">
        <v>Brunetti</v>
      </c>
      <c r="C457" s="92" t="str">
        <v>Isabel</v>
      </c>
      <c r="D457" s="92" t="str">
        <v>Phoenix</v>
      </c>
      <c r="E457" s="92">
        <v>85020</v>
      </c>
      <c r="F457" s="137" t="str">
        <v>Unfair</v>
      </c>
      <c r="G457" s="93" t="str">
        <v>https://images.edocket.azcc.gov/docketpdf/E000046230.pdf</v>
      </c>
      <c r="H457" s="150" t="s">
        <v>6237</v>
      </c>
      <c r="I457" s="114" t="str">
        <v>R3-47</v>
      </c>
      <c r="J457" s="94" t="str">
        <v>No</v>
      </c>
      <c r="K457" s="94" t="str">
        <v>No</v>
      </c>
      <c r="L457" s="137" t="str">
        <v>No MEP R-BASIC($187.87)</v>
      </c>
      <c r="M457" s="94" t="str">
        <v>No</v>
      </c>
      <c r="N457" s="134" t="str">
        <v>No</v>
      </c>
      <c r="O457" s="119" t="str">
        <v>Yes</v>
      </c>
      <c r="P457" s="92" t="str">
        <v>N</v>
      </c>
      <c r="Q457" s="91">
        <v>45966</v>
      </c>
      <c r="R457" s="140" t="str">
        <v>10/06/2025 Number is not in service - Initiated rate change on 10/17</v>
      </c>
      <c r="S457" s="92">
        <v>0</v>
      </c>
      <c r="T457" s="92">
        <v>0</v>
      </c>
      <c r="U457" s="137">
        <v>0</v>
      </c>
      <c r="V457" s="126" t="str">
        <f t="shared" si="14"/>
        <v>❌ Not on Best Plan</v>
      </c>
      <c r="W457" s="130">
        <f>IFERROR(_xlfn.XLOOKUP(TEXT(H457,"0000000000"),'📞 Call Tracker'!A$2:A$2000,'📞 Call Tracker'!B$2:B$2000,""),"")</f>
        <v>0</v>
      </c>
      <c r="X457" s="96">
        <f>IFERROR(_xlfn.XLOOKUP(TEXT(H457,"0000000000"),'📞 Call Tracker'!A$2:A$2000,'📞 Call Tracker'!C$2:C$2000,""),"")</f>
        <v>0</v>
      </c>
      <c r="Y457" s="95">
        <f>IFERROR(_xlfn.XLOOKUP(TEXT(H457,"0000000000"),'📞 Call Tracker'!A$2:A$2000,'📞 Call Tracker'!D$2:D$2000,""),"")</f>
        <v>0</v>
      </c>
      <c r="Z457" s="95">
        <f>IFERROR(_xlfn.XLOOKUP(TEXT(H457,"0000000000"),'📞 Call Tracker'!A$2:A$2000,'📞 Call Tracker'!E$2:E$2000,""),"")</f>
        <v>0</v>
      </c>
      <c r="AA457" s="145">
        <f>IFERROR(_xlfn.XLOOKUP(TEXT(H457,"0000000000"),'📞 Call Tracker'!A$2:A$2000,'📞 Call Tracker'!F$2:F$2000,""),"")</f>
        <v>0</v>
      </c>
      <c r="AB457" s="132">
        <f t="shared" si="15"/>
        <v>99</v>
      </c>
      <c r="AC457" s="79"/>
    </row>
    <row r="458" spans="1:29" ht="20.100000000000001" customHeight="1">
      <c r="A458" s="91">
        <v>45905</v>
      </c>
      <c r="B458" s="92" t="str">
        <v>Court</v>
      </c>
      <c r="C458" s="92" t="str">
        <v>Jonathan</v>
      </c>
      <c r="D458" s="92" t="str">
        <v>Phoenix</v>
      </c>
      <c r="E458" s="92">
        <v>85023</v>
      </c>
      <c r="F458" s="137" t="str">
        <v>Charge companies running massive data centers instead</v>
      </c>
      <c r="G458" s="93" t="str">
        <v>https://images.edocket.azcc.gov/docketpdf/E000046230.pdf</v>
      </c>
      <c r="H458" s="150" t="s">
        <v>6238</v>
      </c>
      <c r="I458" s="114" t="str">
        <v>EPR-6w/E-12</v>
      </c>
      <c r="J458" s="94" t="str">
        <v>No</v>
      </c>
      <c r="K458" s="94" t="str">
        <v>No</v>
      </c>
      <c r="L458" s="137" t="str">
        <v>Frozen Rate</v>
      </c>
      <c r="M458" s="94" t="str">
        <v>No</v>
      </c>
      <c r="N458" s="134" t="str">
        <v>No</v>
      </c>
      <c r="O458" s="119" t="str">
        <v>Yes</v>
      </c>
      <c r="P458" s="92" t="str">
        <v>N</v>
      </c>
      <c r="Q458" s="91">
        <v>45966</v>
      </c>
      <c r="R458" s="140">
        <v>0</v>
      </c>
      <c r="S458" s="92">
        <v>0</v>
      </c>
      <c r="T458" s="92">
        <v>0</v>
      </c>
      <c r="U458" s="137">
        <v>0</v>
      </c>
      <c r="V458" s="126" t="str">
        <f t="shared" si="14"/>
        <v>❄ Frozen Rate</v>
      </c>
      <c r="W458" s="130">
        <f>IFERROR(_xlfn.XLOOKUP(TEXT(H458,"0000000000"),'📞 Call Tracker'!A$2:A$2000,'📞 Call Tracker'!B$2:B$2000,""),"")</f>
        <v>0</v>
      </c>
      <c r="X458" s="96">
        <f>IFERROR(_xlfn.XLOOKUP(TEXT(H458,"0000000000"),'📞 Call Tracker'!A$2:A$2000,'📞 Call Tracker'!C$2:C$2000,""),"")</f>
        <v>0</v>
      </c>
      <c r="Y458" s="95">
        <f>IFERROR(_xlfn.XLOOKUP(TEXT(H458,"0000000000"),'📞 Call Tracker'!A$2:A$2000,'📞 Call Tracker'!D$2:D$2000,""),"")</f>
        <v>0</v>
      </c>
      <c r="Z458" s="95">
        <f>IFERROR(_xlfn.XLOOKUP(TEXT(H458,"0000000000"),'📞 Call Tracker'!A$2:A$2000,'📞 Call Tracker'!E$2:E$2000,""),"")</f>
        <v>0</v>
      </c>
      <c r="AA458" s="145">
        <f>IFERROR(_xlfn.XLOOKUP(TEXT(H458,"0000000000"),'📞 Call Tracker'!A$2:A$2000,'📞 Call Tracker'!F$2:F$2000,""),"")</f>
        <v>0</v>
      </c>
      <c r="AB458" s="132">
        <f t="shared" si="15"/>
        <v>99</v>
      </c>
      <c r="AC458" s="79"/>
    </row>
    <row r="459" spans="1:29" ht="20.100000000000001" customHeight="1">
      <c r="A459" s="91">
        <v>45905</v>
      </c>
      <c r="B459" s="92" t="str">
        <v>Pera</v>
      </c>
      <c r="C459" s="92" t="str">
        <v>Natalie</v>
      </c>
      <c r="D459" s="92" t="str">
        <v>Phoenix</v>
      </c>
      <c r="E459" s="92">
        <v>85020</v>
      </c>
      <c r="F459" s="137" t="str">
        <v>Form letter</v>
      </c>
      <c r="G459" s="93" t="str">
        <v>https://images.edocket.azcc.gov/docketpdf/E000046230.pdf</v>
      </c>
      <c r="H459" s="150" t="s">
        <v>6239</v>
      </c>
      <c r="I459" s="114" t="str">
        <v>RTOUE47</v>
      </c>
      <c r="J459" s="94" t="str">
        <v>No</v>
      </c>
      <c r="K459" s="94" t="str">
        <v>No</v>
      </c>
      <c r="L459" s="137" t="str">
        <v>No MEP R3-47 ($108.13)</v>
      </c>
      <c r="M459" s="94" t="str">
        <v>No</v>
      </c>
      <c r="N459" s="134" t="str">
        <v>No</v>
      </c>
      <c r="O459" s="119" t="str">
        <v>Yes</v>
      </c>
      <c r="P459" s="92" t="str">
        <v>N</v>
      </c>
      <c r="Q459" s="91">
        <v>45966</v>
      </c>
      <c r="R459" s="140" t="str">
        <v>Rate change already in place as of 9/18</v>
      </c>
      <c r="S459" s="92">
        <v>0</v>
      </c>
      <c r="T459" s="92">
        <v>0</v>
      </c>
      <c r="U459" s="137">
        <v>0</v>
      </c>
      <c r="V459" s="126" t="str">
        <f t="shared" si="14"/>
        <v>❌ Not on Best Plan</v>
      </c>
      <c r="W459" s="130">
        <f>IFERROR(_xlfn.XLOOKUP(TEXT(H459,"0000000000"),'📞 Call Tracker'!A$2:A$2000,'📞 Call Tracker'!B$2:B$2000,""),"")</f>
        <v>0</v>
      </c>
      <c r="X459" s="96">
        <f>IFERROR(_xlfn.XLOOKUP(TEXT(H459,"0000000000"),'📞 Call Tracker'!A$2:A$2000,'📞 Call Tracker'!C$2:C$2000,""),"")</f>
        <v>0</v>
      </c>
      <c r="Y459" s="95">
        <f>IFERROR(_xlfn.XLOOKUP(TEXT(H459,"0000000000"),'📞 Call Tracker'!A$2:A$2000,'📞 Call Tracker'!D$2:D$2000,""),"")</f>
        <v>0</v>
      </c>
      <c r="Z459" s="95">
        <f>IFERROR(_xlfn.XLOOKUP(TEXT(H459,"0000000000"),'📞 Call Tracker'!A$2:A$2000,'📞 Call Tracker'!E$2:E$2000,""),"")</f>
        <v>0</v>
      </c>
      <c r="AA459" s="145">
        <f>IFERROR(_xlfn.XLOOKUP(TEXT(H459,"0000000000"),'📞 Call Tracker'!A$2:A$2000,'📞 Call Tracker'!F$2:F$2000,""),"")</f>
        <v>0</v>
      </c>
      <c r="AB459" s="132">
        <f t="shared" si="15"/>
        <v>99</v>
      </c>
      <c r="AC459" s="79"/>
    </row>
    <row r="460" spans="1:29" ht="20.100000000000001" customHeight="1">
      <c r="A460" s="91">
        <v>45905</v>
      </c>
      <c r="B460" s="92" t="str">
        <v>Stroup</v>
      </c>
      <c r="C460" s="92" t="str">
        <v>Karen</v>
      </c>
      <c r="D460" s="92" t="str">
        <v>Goodyear</v>
      </c>
      <c r="E460" s="92">
        <v>85395</v>
      </c>
      <c r="F460" s="137" t="str">
        <v>Opposed</v>
      </c>
      <c r="G460" s="93" t="str">
        <v>https://images.edocket.azcc.gov/docketpdf/E000046230.pdf</v>
      </c>
      <c r="H460" s="150" t="s">
        <v>6030</v>
      </c>
      <c r="I460" s="114" t="str">
        <v>R-BASIC</v>
      </c>
      <c r="J460" s="94" t="str">
        <v>No</v>
      </c>
      <c r="K460" s="94" t="str">
        <v>No</v>
      </c>
      <c r="L460" s="137" t="str">
        <v>Yes</v>
      </c>
      <c r="M460" s="94" t="str">
        <v>No</v>
      </c>
      <c r="N460" s="134" t="str">
        <v>No</v>
      </c>
      <c r="O460" s="119" t="str">
        <v>Yes</v>
      </c>
      <c r="P460" s="92" t="str">
        <v>N</v>
      </c>
      <c r="Q460" s="91">
        <v>45966</v>
      </c>
      <c r="R460" s="140">
        <v>0</v>
      </c>
      <c r="S460" s="92">
        <v>0</v>
      </c>
      <c r="T460" s="92">
        <v>0</v>
      </c>
      <c r="U460" s="137">
        <v>0</v>
      </c>
      <c r="V460" s="126" t="str">
        <f t="shared" si="14"/>
        <v>✅ On Best Plan</v>
      </c>
      <c r="W460" s="130" t="str">
        <f>IFERROR(_xlfn.XLOOKUP(TEXT(H460,"0000000000"),'📞 Call Tracker'!A$2:A$2000,'📞 Call Tracker'!B$2:B$2000,""),"")</f>
        <v>Joaquin</v>
      </c>
      <c r="X460" s="96">
        <f>IFERROR(_xlfn.XLOOKUP(TEXT(H460,"0000000000"),'📞 Call Tracker'!A$2:A$2000,'📞 Call Tracker'!C$2:C$2000,""),"")</f>
        <v>46053</v>
      </c>
      <c r="Y460" s="95" t="str">
        <f>IFERROR(_xlfn.XLOOKUP(TEXT(H460,"0000000000"),'📞 Call Tracker'!A$2:A$2000,'📞 Call Tracker'!D$2:D$2000,""),"")</f>
        <v>NO</v>
      </c>
      <c r="Z460" s="95" t="str">
        <f>IFERROR(_xlfn.XLOOKUP(TEXT(H460,"0000000000"),'📞 Call Tracker'!A$2:A$2000,'📞 Call Tracker'!E$2:E$2000,""),"")</f>
        <v>General Education</v>
      </c>
      <c r="AA460" s="145">
        <f>IFERROR(_xlfn.XLOOKUP(TEXT(H460,"0000000000"),'📞 Call Tracker'!A$2:A$2000,'📞 Call Tracker'!F$2:F$2000,""),"")</f>
        <v>0</v>
      </c>
      <c r="AB460" s="132">
        <f t="shared" si="15"/>
        <v>99</v>
      </c>
      <c r="AC460" s="79"/>
    </row>
    <row r="461" spans="1:29" ht="20.100000000000001" customHeight="1">
      <c r="A461" s="91">
        <v>45905</v>
      </c>
      <c r="B461" s="92" t="str">
        <v>Fortson</v>
      </c>
      <c r="C461" s="92" t="str">
        <v>Steven</v>
      </c>
      <c r="D461" s="92" t="str">
        <v>Eloy</v>
      </c>
      <c r="E461" s="92">
        <v>85131</v>
      </c>
      <c r="F461" s="137" t="str">
        <v>Form letter</v>
      </c>
      <c r="G461" s="93" t="str">
        <v>https://images.edocket.azcc.gov/docketpdf/E000046230.pdf</v>
      </c>
      <c r="H461" s="150" t="s">
        <v>6240</v>
      </c>
      <c r="I461" s="114" t="str">
        <v>R-2</v>
      </c>
      <c r="J461" s="94" t="str">
        <v>No</v>
      </c>
      <c r="K461" s="94" t="str">
        <v>No</v>
      </c>
      <c r="L461" s="137" t="str">
        <v>Frozen Rate</v>
      </c>
      <c r="M461" s="94" t="str">
        <v>No</v>
      </c>
      <c r="N461" s="134" t="str">
        <v>No</v>
      </c>
      <c r="O461" s="119" t="str">
        <v>Yes</v>
      </c>
      <c r="P461" s="92" t="str">
        <v>N</v>
      </c>
      <c r="Q461" s="91">
        <v>45966</v>
      </c>
      <c r="R461" s="140">
        <v>0</v>
      </c>
      <c r="S461" s="92">
        <v>0</v>
      </c>
      <c r="T461" s="92">
        <v>0</v>
      </c>
      <c r="U461" s="137">
        <v>0</v>
      </c>
      <c r="V461" s="126" t="str">
        <f t="shared" si="14"/>
        <v>❄ Frozen Rate</v>
      </c>
      <c r="W461" s="130">
        <f>IFERROR(_xlfn.XLOOKUP(TEXT(H461,"0000000000"),'📞 Call Tracker'!A$2:A$2000,'📞 Call Tracker'!B$2:B$2000,""),"")</f>
        <v>0</v>
      </c>
      <c r="X461" s="96">
        <f>IFERROR(_xlfn.XLOOKUP(TEXT(H461,"0000000000"),'📞 Call Tracker'!A$2:A$2000,'📞 Call Tracker'!C$2:C$2000,""),"")</f>
        <v>0</v>
      </c>
      <c r="Y461" s="95">
        <f>IFERROR(_xlfn.XLOOKUP(TEXT(H461,"0000000000"),'📞 Call Tracker'!A$2:A$2000,'📞 Call Tracker'!D$2:D$2000,""),"")</f>
        <v>0</v>
      </c>
      <c r="Z461" s="95">
        <f>IFERROR(_xlfn.XLOOKUP(TEXT(H461,"0000000000"),'📞 Call Tracker'!A$2:A$2000,'📞 Call Tracker'!E$2:E$2000,""),"")</f>
        <v>0</v>
      </c>
      <c r="AA461" s="145">
        <f>IFERROR(_xlfn.XLOOKUP(TEXT(H461,"0000000000"),'📞 Call Tracker'!A$2:A$2000,'📞 Call Tracker'!F$2:F$2000,""),"")</f>
        <v>0</v>
      </c>
      <c r="AB461" s="132">
        <f t="shared" si="15"/>
        <v>99</v>
      </c>
      <c r="AC461" s="79"/>
    </row>
    <row r="462" spans="1:29" ht="20.100000000000001" customHeight="1">
      <c r="A462" s="91">
        <v>45905</v>
      </c>
      <c r="B462" s="92" t="str">
        <v>Walker</v>
      </c>
      <c r="C462" s="92" t="str">
        <v>Clint</v>
      </c>
      <c r="D462" s="92" t="str">
        <v>Scottsdale</v>
      </c>
      <c r="E462" s="92">
        <v>85254</v>
      </c>
      <c r="F462" s="137" t="str">
        <v>Form letter</v>
      </c>
      <c r="G462" s="93" t="str">
        <v>https://images.edocket.azcc.gov/docketpdf/E000046230.pdf</v>
      </c>
      <c r="H462" s="150" t="s">
        <v>6031</v>
      </c>
      <c r="I462" s="114" t="str">
        <v>R3-47</v>
      </c>
      <c r="J462" s="94" t="str">
        <v>No</v>
      </c>
      <c r="K462" s="94" t="str">
        <v>No</v>
      </c>
      <c r="L462" s="137" t="str">
        <v>Yes</v>
      </c>
      <c r="M462" s="94" t="str">
        <v>No</v>
      </c>
      <c r="N462" s="134" t="str">
        <v>No</v>
      </c>
      <c r="O462" s="119" t="str">
        <v>Yes</v>
      </c>
      <c r="P462" s="92" t="str">
        <v>N</v>
      </c>
      <c r="Q462" s="91">
        <v>45966</v>
      </c>
      <c r="R462" s="140">
        <v>0</v>
      </c>
      <c r="S462" s="92">
        <v>0</v>
      </c>
      <c r="T462" s="92">
        <v>0</v>
      </c>
      <c r="U462" s="137">
        <v>0</v>
      </c>
      <c r="V462" s="126" t="str">
        <f t="shared" si="14"/>
        <v>✅ On Best Plan</v>
      </c>
      <c r="W462" s="130" t="str">
        <f>IFERROR(_xlfn.XLOOKUP(TEXT(H462,"0000000000"),'📞 Call Tracker'!A$2:A$2000,'📞 Call Tracker'!B$2:B$2000,""),"")</f>
        <v>Joaquin</v>
      </c>
      <c r="X462" s="96">
        <f>IFERROR(_xlfn.XLOOKUP(TEXT(H462,"0000000000"),'📞 Call Tracker'!A$2:A$2000,'📞 Call Tracker'!C$2:C$2000,""),"")</f>
        <v>46060</v>
      </c>
      <c r="Y462" s="95">
        <f>IFERROR(_xlfn.XLOOKUP(TEXT(H462,"0000000000"),'📞 Call Tracker'!A$2:A$2000,'📞 Call Tracker'!D$2:D$2000,""),"")</f>
        <v>0</v>
      </c>
      <c r="Z462" s="95">
        <f>IFERROR(_xlfn.XLOOKUP(TEXT(H462,"0000000000"),'📞 Call Tracker'!A$2:A$2000,'📞 Call Tracker'!E$2:E$2000,""),"")</f>
        <v>0</v>
      </c>
      <c r="AA462" s="145" t="str">
        <f>IFERROR(_xlfn.XLOOKUP(TEXT(H462,"0000000000"),'📞 Call Tracker'!A$2:A$2000,'📞 Call Tracker'!F$2:F$2000,""),"")</f>
        <v>LEFT V-M</v>
      </c>
      <c r="AB462" s="132">
        <f t="shared" si="15"/>
        <v>99</v>
      </c>
      <c r="AC462" s="79"/>
    </row>
    <row r="463" spans="1:29" ht="20.100000000000001" customHeight="1">
      <c r="A463" s="91">
        <v>45905</v>
      </c>
      <c r="B463" s="92" t="str">
        <v>Glass</v>
      </c>
      <c r="C463" s="92" t="str">
        <v>Louis</v>
      </c>
      <c r="D463" s="92" t="str">
        <v>Phoenix</v>
      </c>
      <c r="E463" s="92">
        <v>85022</v>
      </c>
      <c r="F463" s="137" t="str">
        <v>Opposed</v>
      </c>
      <c r="G463" s="93" t="str">
        <v>https://images.edocket.azcc.gov/docketpdf/E000046230.pdf</v>
      </c>
      <c r="H463" s="150" t="s">
        <v>6241</v>
      </c>
      <c r="I463" s="114" t="str">
        <v>R3-47</v>
      </c>
      <c r="J463" s="94" t="str">
        <v>No</v>
      </c>
      <c r="K463" s="94" t="str">
        <v>No</v>
      </c>
      <c r="L463" s="137" t="str">
        <v>Yes</v>
      </c>
      <c r="M463" s="94" t="str">
        <v>No</v>
      </c>
      <c r="N463" s="134" t="str">
        <v>No</v>
      </c>
      <c r="O463" s="119" t="str">
        <v>Yes</v>
      </c>
      <c r="P463" s="92" t="str">
        <v>N</v>
      </c>
      <c r="Q463" s="91">
        <v>45966</v>
      </c>
      <c r="R463" s="140">
        <v>0</v>
      </c>
      <c r="S463" s="92">
        <v>0</v>
      </c>
      <c r="T463" s="92">
        <v>0</v>
      </c>
      <c r="U463" s="137">
        <v>0</v>
      </c>
      <c r="V463" s="126" t="str">
        <f t="shared" si="14"/>
        <v>✅ On Best Plan</v>
      </c>
      <c r="W463" s="130">
        <f>IFERROR(_xlfn.XLOOKUP(TEXT(H463,"0000000000"),'📞 Call Tracker'!A$2:A$2000,'📞 Call Tracker'!B$2:B$2000,""),"")</f>
        <v>0</v>
      </c>
      <c r="X463" s="96">
        <f>IFERROR(_xlfn.XLOOKUP(TEXT(H463,"0000000000"),'📞 Call Tracker'!A$2:A$2000,'📞 Call Tracker'!C$2:C$2000,""),"")</f>
        <v>0</v>
      </c>
      <c r="Y463" s="95">
        <f>IFERROR(_xlfn.XLOOKUP(TEXT(H463,"0000000000"),'📞 Call Tracker'!A$2:A$2000,'📞 Call Tracker'!D$2:D$2000,""),"")</f>
        <v>0</v>
      </c>
      <c r="Z463" s="95">
        <f>IFERROR(_xlfn.XLOOKUP(TEXT(H463,"0000000000"),'📞 Call Tracker'!A$2:A$2000,'📞 Call Tracker'!E$2:E$2000,""),"")</f>
        <v>0</v>
      </c>
      <c r="AA463" s="145">
        <f>IFERROR(_xlfn.XLOOKUP(TEXT(H463,"0000000000"),'📞 Call Tracker'!A$2:A$2000,'📞 Call Tracker'!F$2:F$2000,""),"")</f>
        <v>0</v>
      </c>
      <c r="AB463" s="132">
        <f t="shared" si="15"/>
        <v>99</v>
      </c>
      <c r="AC463" s="79"/>
    </row>
    <row r="464" spans="1:29" ht="20.100000000000001" customHeight="1">
      <c r="A464" s="91">
        <v>45905</v>
      </c>
      <c r="B464" s="92" t="str">
        <v>Beltz</v>
      </c>
      <c r="C464" s="92" t="str">
        <v>Sherri</v>
      </c>
      <c r="D464" s="92" t="str">
        <v>Goodyear</v>
      </c>
      <c r="E464" s="92">
        <v>85338</v>
      </c>
      <c r="F464" s="137" t="str">
        <v>Strongly opposed</v>
      </c>
      <c r="G464" s="93" t="str">
        <v>https://images.edocket.azcc.gov/docketpdf/E000046230.pdf</v>
      </c>
      <c r="H464" s="150" t="s">
        <v>6032</v>
      </c>
      <c r="I464" s="114" t="str">
        <v>R3-47</v>
      </c>
      <c r="J464" s="94" t="str">
        <v>No</v>
      </c>
      <c r="K464" s="94" t="str">
        <v>No</v>
      </c>
      <c r="L464" s="137" t="str">
        <v>Yes</v>
      </c>
      <c r="M464" s="94" t="str">
        <v>No</v>
      </c>
      <c r="N464" s="134" t="str">
        <v>No</v>
      </c>
      <c r="O464" s="119" t="str">
        <v>Yes</v>
      </c>
      <c r="P464" s="92" t="str">
        <v>N</v>
      </c>
      <c r="Q464" s="91">
        <v>45966</v>
      </c>
      <c r="R464" s="140">
        <v>0</v>
      </c>
      <c r="S464" s="92">
        <v>0</v>
      </c>
      <c r="T464" s="92">
        <v>0</v>
      </c>
      <c r="U464" s="137">
        <v>0</v>
      </c>
      <c r="V464" s="126" t="str">
        <f t="shared" si="14"/>
        <v>✅ On Best Plan</v>
      </c>
      <c r="W464" s="130" t="str">
        <f>IFERROR(_xlfn.XLOOKUP(TEXT(H464,"0000000000"),'📞 Call Tracker'!A$2:A$2000,'📞 Call Tracker'!B$2:B$2000,""),"")</f>
        <v>Joaquin</v>
      </c>
      <c r="X464" s="96">
        <f>IFERROR(_xlfn.XLOOKUP(TEXT(H464,"0000000000"),'📞 Call Tracker'!A$2:A$2000,'📞 Call Tracker'!C$2:C$2000,""),"")</f>
        <v>46053</v>
      </c>
      <c r="Y464" s="95" t="str">
        <f>IFERROR(_xlfn.XLOOKUP(TEXT(H464,"0000000000"),'📞 Call Tracker'!A$2:A$2000,'📞 Call Tracker'!D$2:D$2000,""),"")</f>
        <v>YES</v>
      </c>
      <c r="Z464" s="95">
        <f>IFERROR(_xlfn.XLOOKUP(TEXT(H464,"0000000000"),'📞 Call Tracker'!A$2:A$2000,'📞 Call Tracker'!E$2:E$2000,""),"")</f>
        <v>0</v>
      </c>
      <c r="AA464" s="145" t="str">
        <f>IFERROR(_xlfn.XLOOKUP(TEXT(H464,"0000000000"),'📞 Call Tracker'!A$2:A$2000,'📞 Call Tracker'!F$2:F$2000,""),"")</f>
        <v>LEFT V-M</v>
      </c>
      <c r="AB464" s="132">
        <f t="shared" si="15"/>
        <v>99</v>
      </c>
      <c r="AC464" s="79"/>
    </row>
    <row r="465" spans="1:29" ht="20.100000000000001" customHeight="1">
      <c r="A465" s="91">
        <v>45905</v>
      </c>
      <c r="B465" s="92" t="str">
        <v>Sies</v>
      </c>
      <c r="C465" s="92" t="str">
        <v>Dale</v>
      </c>
      <c r="D465" s="92" t="str">
        <v>Goodyear</v>
      </c>
      <c r="E465" s="92">
        <v>85395</v>
      </c>
      <c r="F465" s="137" t="str">
        <v>Negative impact on our household</v>
      </c>
      <c r="G465" s="93" t="str">
        <v>https://images.edocket.azcc.gov/docketpdf/E000046230.pdf</v>
      </c>
      <c r="H465" s="150" t="s">
        <v>6242</v>
      </c>
      <c r="I465" s="114" t="str">
        <v>R3-47</v>
      </c>
      <c r="J465" s="94" t="str">
        <v>No</v>
      </c>
      <c r="K465" s="94" t="str">
        <v>No</v>
      </c>
      <c r="L465" s="137" t="str">
        <v>Yes</v>
      </c>
      <c r="M465" s="94" t="str">
        <v>No</v>
      </c>
      <c r="N465" s="134" t="str">
        <v>No</v>
      </c>
      <c r="O465" s="119" t="str">
        <v>Yes</v>
      </c>
      <c r="P465" s="92" t="str">
        <v>N</v>
      </c>
      <c r="Q465" s="91">
        <v>45966</v>
      </c>
      <c r="R465" s="140">
        <v>0</v>
      </c>
      <c r="S465" s="92">
        <v>0</v>
      </c>
      <c r="T465" s="92">
        <v>0</v>
      </c>
      <c r="U465" s="137">
        <v>0</v>
      </c>
      <c r="V465" s="126" t="str">
        <f t="shared" si="14"/>
        <v>✅ On Best Plan</v>
      </c>
      <c r="W465" s="130">
        <f>IFERROR(_xlfn.XLOOKUP(TEXT(H465,"0000000000"),'📞 Call Tracker'!A$2:A$2000,'📞 Call Tracker'!B$2:B$2000,""),"")</f>
        <v>0</v>
      </c>
      <c r="X465" s="96">
        <f>IFERROR(_xlfn.XLOOKUP(TEXT(H465,"0000000000"),'📞 Call Tracker'!A$2:A$2000,'📞 Call Tracker'!C$2:C$2000,""),"")</f>
        <v>0</v>
      </c>
      <c r="Y465" s="95">
        <f>IFERROR(_xlfn.XLOOKUP(TEXT(H465,"0000000000"),'📞 Call Tracker'!A$2:A$2000,'📞 Call Tracker'!D$2:D$2000,""),"")</f>
        <v>0</v>
      </c>
      <c r="Z465" s="95">
        <f>IFERROR(_xlfn.XLOOKUP(TEXT(H465,"0000000000"),'📞 Call Tracker'!A$2:A$2000,'📞 Call Tracker'!E$2:E$2000,""),"")</f>
        <v>0</v>
      </c>
      <c r="AA465" s="145">
        <f>IFERROR(_xlfn.XLOOKUP(TEXT(H465,"0000000000"),'📞 Call Tracker'!A$2:A$2000,'📞 Call Tracker'!F$2:F$2000,""),"")</f>
        <v>0</v>
      </c>
      <c r="AB465" s="132">
        <f t="shared" si="15"/>
        <v>99</v>
      </c>
      <c r="AC465" s="79"/>
    </row>
    <row r="466" spans="1:29" ht="20.100000000000001" customHeight="1">
      <c r="A466" s="91">
        <v>45905</v>
      </c>
      <c r="B466" s="92" t="str">
        <v>Scott</v>
      </c>
      <c r="C466" s="92" t="str">
        <v>Fatima</v>
      </c>
      <c r="D466" s="92" t="str">
        <v>Phoenix</v>
      </c>
      <c r="E466" s="92">
        <v>85027</v>
      </c>
      <c r="F466" s="137" t="str">
        <v>Strongly opposed</v>
      </c>
      <c r="G466" s="93" t="str">
        <v>https://images.edocket.azcc.gov/docketpdf/E000046230.pdf</v>
      </c>
      <c r="H466" s="150" t="s">
        <v>6243</v>
      </c>
      <c r="I466" s="114" t="str">
        <v>R-BASIC</v>
      </c>
      <c r="J466" s="94" t="str">
        <v>Yes</v>
      </c>
      <c r="K466" s="94" t="str">
        <v>No</v>
      </c>
      <c r="L466" s="137" t="str">
        <v>Yes</v>
      </c>
      <c r="M466" s="94" t="str">
        <v>Yes</v>
      </c>
      <c r="N466" s="134">
        <v>349.29</v>
      </c>
      <c r="O466" s="119" t="str">
        <v>Yes</v>
      </c>
      <c r="P466" s="92" t="str">
        <v>N</v>
      </c>
      <c r="Q466" s="91">
        <v>45966</v>
      </c>
      <c r="R466" s="140" t="str">
        <v>Assistance?</v>
      </c>
      <c r="S466" s="92">
        <v>0</v>
      </c>
      <c r="T466" s="92">
        <v>0</v>
      </c>
      <c r="U466" s="137">
        <v>0</v>
      </c>
      <c r="V466" s="126" t="str">
        <f t="shared" si="14"/>
        <v>✅ On Best Plan</v>
      </c>
      <c r="W466" s="130">
        <f>IFERROR(_xlfn.XLOOKUP(TEXT(H466,"0000000000"),'📞 Call Tracker'!A$2:A$2000,'📞 Call Tracker'!B$2:B$2000,""),"")</f>
        <v>0</v>
      </c>
      <c r="X466" s="96">
        <f>IFERROR(_xlfn.XLOOKUP(TEXT(H466,"0000000000"),'📞 Call Tracker'!A$2:A$2000,'📞 Call Tracker'!C$2:C$2000,""),"")</f>
        <v>0</v>
      </c>
      <c r="Y466" s="95">
        <f>IFERROR(_xlfn.XLOOKUP(TEXT(H466,"0000000000"),'📞 Call Tracker'!A$2:A$2000,'📞 Call Tracker'!D$2:D$2000,""),"")</f>
        <v>0</v>
      </c>
      <c r="Z466" s="95">
        <f>IFERROR(_xlfn.XLOOKUP(TEXT(H466,"0000000000"),'📞 Call Tracker'!A$2:A$2000,'📞 Call Tracker'!E$2:E$2000,""),"")</f>
        <v>0</v>
      </c>
      <c r="AA466" s="145">
        <f>IFERROR(_xlfn.XLOOKUP(TEXT(H466,"0000000000"),'📞 Call Tracker'!A$2:A$2000,'📞 Call Tracker'!F$2:F$2000,""),"")</f>
        <v>0</v>
      </c>
      <c r="AB466" s="132">
        <f t="shared" si="15"/>
        <v>99</v>
      </c>
      <c r="AC466" s="79"/>
    </row>
    <row r="467" spans="1:29" ht="20.100000000000001" customHeight="1">
      <c r="A467" s="91">
        <v>45905</v>
      </c>
      <c r="B467" s="92" t="str">
        <v>Phillips</v>
      </c>
      <c r="C467" s="92" t="str">
        <v>Nicole</v>
      </c>
      <c r="D467" s="92" t="str">
        <v>Phoenix</v>
      </c>
      <c r="E467" s="92">
        <v>85027</v>
      </c>
      <c r="F467" s="137" t="str">
        <v>Opposed</v>
      </c>
      <c r="G467" s="93" t="str">
        <v>https://images.edocket.azcc.gov/docketpdf/E000046230.pdf</v>
      </c>
      <c r="H467" s="150" t="s">
        <v>6244</v>
      </c>
      <c r="I467" s="114" t="str">
        <v>R-XS</v>
      </c>
      <c r="J467" s="94" t="str">
        <v>No</v>
      </c>
      <c r="K467" s="94" t="str">
        <v>No</v>
      </c>
      <c r="L467" s="137" t="str">
        <v>Yes</v>
      </c>
      <c r="M467" s="94" t="str">
        <v>No</v>
      </c>
      <c r="N467" s="134" t="str">
        <v>No</v>
      </c>
      <c r="O467" s="119" t="str">
        <v>Yes</v>
      </c>
      <c r="P467" s="92" t="str">
        <v>N</v>
      </c>
      <c r="Q467" s="91">
        <v>45966</v>
      </c>
      <c r="R467" s="140">
        <v>0</v>
      </c>
      <c r="S467" s="92">
        <v>0</v>
      </c>
      <c r="T467" s="92">
        <v>0</v>
      </c>
      <c r="U467" s="137">
        <v>0</v>
      </c>
      <c r="V467" s="126" t="str">
        <f t="shared" si="14"/>
        <v>✅ On Best Plan</v>
      </c>
      <c r="W467" s="130">
        <f>IFERROR(_xlfn.XLOOKUP(TEXT(H467,"0000000000"),'📞 Call Tracker'!A$2:A$2000,'📞 Call Tracker'!B$2:B$2000,""),"")</f>
        <v>0</v>
      </c>
      <c r="X467" s="96">
        <f>IFERROR(_xlfn.XLOOKUP(TEXT(H467,"0000000000"),'📞 Call Tracker'!A$2:A$2000,'📞 Call Tracker'!C$2:C$2000,""),"")</f>
        <v>0</v>
      </c>
      <c r="Y467" s="95">
        <f>IFERROR(_xlfn.XLOOKUP(TEXT(H467,"0000000000"),'📞 Call Tracker'!A$2:A$2000,'📞 Call Tracker'!D$2:D$2000,""),"")</f>
        <v>0</v>
      </c>
      <c r="Z467" s="95">
        <f>IFERROR(_xlfn.XLOOKUP(TEXT(H467,"0000000000"),'📞 Call Tracker'!A$2:A$2000,'📞 Call Tracker'!E$2:E$2000,""),"")</f>
        <v>0</v>
      </c>
      <c r="AA467" s="145">
        <f>IFERROR(_xlfn.XLOOKUP(TEXT(H467,"0000000000"),'📞 Call Tracker'!A$2:A$2000,'📞 Call Tracker'!F$2:F$2000,""),"")</f>
        <v>0</v>
      </c>
      <c r="AB467" s="132">
        <f t="shared" si="15"/>
        <v>99</v>
      </c>
      <c r="AC467" s="79"/>
    </row>
    <row r="468" spans="1:29" ht="20.100000000000001" customHeight="1">
      <c r="A468" s="91">
        <v>45905</v>
      </c>
      <c r="B468" s="92" t="str">
        <v>Pennington</v>
      </c>
      <c r="C468" s="92" t="str">
        <v>Maurice</v>
      </c>
      <c r="D468" s="92" t="str">
        <v>Buckeye</v>
      </c>
      <c r="E468" s="92">
        <v>85396</v>
      </c>
      <c r="F468" s="137" t="str">
        <v>Opposed</v>
      </c>
      <c r="G468" s="93" t="str">
        <v>https://images.edocket.azcc.gov/docketpdf/E000046230.pdf</v>
      </c>
      <c r="H468" s="150" t="s">
        <v>6245</v>
      </c>
      <c r="I468" s="114" t="str">
        <v>RTOUE47</v>
      </c>
      <c r="J468" s="94" t="str">
        <v>No</v>
      </c>
      <c r="K468" s="94" t="str">
        <v>No</v>
      </c>
      <c r="L468" s="137" t="str">
        <v>Yes</v>
      </c>
      <c r="M468" s="94" t="str">
        <v>No</v>
      </c>
      <c r="N468" s="134" t="str">
        <v>No</v>
      </c>
      <c r="O468" s="119" t="str">
        <v>Yes</v>
      </c>
      <c r="P468" s="92" t="str">
        <v>N</v>
      </c>
      <c r="Q468" s="91">
        <v>45966</v>
      </c>
      <c r="R468" s="140">
        <v>0</v>
      </c>
      <c r="S468" s="92">
        <v>0</v>
      </c>
      <c r="T468" s="92">
        <v>0</v>
      </c>
      <c r="U468" s="137">
        <v>0</v>
      </c>
      <c r="V468" s="126" t="str">
        <f t="shared" si="14"/>
        <v>✅ On Best Plan</v>
      </c>
      <c r="W468" s="130">
        <f>IFERROR(_xlfn.XLOOKUP(TEXT(H468,"0000000000"),'📞 Call Tracker'!A$2:A$2000,'📞 Call Tracker'!B$2:B$2000,""),"")</f>
        <v>0</v>
      </c>
      <c r="X468" s="96">
        <f>IFERROR(_xlfn.XLOOKUP(TEXT(H468,"0000000000"),'📞 Call Tracker'!A$2:A$2000,'📞 Call Tracker'!C$2:C$2000,""),"")</f>
        <v>0</v>
      </c>
      <c r="Y468" s="95">
        <f>IFERROR(_xlfn.XLOOKUP(TEXT(H468,"0000000000"),'📞 Call Tracker'!A$2:A$2000,'📞 Call Tracker'!D$2:D$2000,""),"")</f>
        <v>0</v>
      </c>
      <c r="Z468" s="95">
        <f>IFERROR(_xlfn.XLOOKUP(TEXT(H468,"0000000000"),'📞 Call Tracker'!A$2:A$2000,'📞 Call Tracker'!E$2:E$2000,""),"")</f>
        <v>0</v>
      </c>
      <c r="AA468" s="145">
        <f>IFERROR(_xlfn.XLOOKUP(TEXT(H468,"0000000000"),'📞 Call Tracker'!A$2:A$2000,'📞 Call Tracker'!F$2:F$2000,""),"")</f>
        <v>0</v>
      </c>
      <c r="AB468" s="132">
        <f t="shared" si="15"/>
        <v>99</v>
      </c>
      <c r="AC468" s="79"/>
    </row>
    <row r="469" spans="1:29" ht="20.100000000000001" customHeight="1">
      <c r="A469" s="91">
        <v>45905</v>
      </c>
      <c r="B469" s="92" t="str">
        <v>Devarapu</v>
      </c>
      <c r="C469" s="92" t="str">
        <v>Kondal</v>
      </c>
      <c r="D469" s="92" t="str">
        <v>Phoenix</v>
      </c>
      <c r="E469" s="92">
        <v>85083</v>
      </c>
      <c r="F469" s="137" t="str">
        <v>Form letter</v>
      </c>
      <c r="G469" s="93" t="str">
        <v>https://images.edocket.azcc.gov/docketpdf/E000046230.pdf</v>
      </c>
      <c r="H469" s="150" t="s">
        <v>6246</v>
      </c>
      <c r="I469" s="114" t="str">
        <v>RCPw/RTOUE47</v>
      </c>
      <c r="J469" s="94" t="str">
        <v>No</v>
      </c>
      <c r="K469" s="94" t="str">
        <v>No</v>
      </c>
      <c r="L469" s="137" t="str">
        <v>Yes</v>
      </c>
      <c r="M469" s="94" t="str">
        <v>No</v>
      </c>
      <c r="N469" s="134" t="str">
        <v>No</v>
      </c>
      <c r="O469" s="119" t="str">
        <v>Yes</v>
      </c>
      <c r="P469" s="92" t="str">
        <v>N</v>
      </c>
      <c r="Q469" s="91">
        <v>45966</v>
      </c>
      <c r="R469" s="140">
        <v>0</v>
      </c>
      <c r="S469" s="92">
        <v>0</v>
      </c>
      <c r="T469" s="92">
        <v>0</v>
      </c>
      <c r="U469" s="137">
        <v>0</v>
      </c>
      <c r="V469" s="126" t="str">
        <f t="shared" si="14"/>
        <v>✅ On Best Plan</v>
      </c>
      <c r="W469" s="130">
        <f>IFERROR(_xlfn.XLOOKUP(TEXT(H469,"0000000000"),'📞 Call Tracker'!A$2:A$2000,'📞 Call Tracker'!B$2:B$2000,""),"")</f>
        <v>0</v>
      </c>
      <c r="X469" s="96">
        <f>IFERROR(_xlfn.XLOOKUP(TEXT(H469,"0000000000"),'📞 Call Tracker'!A$2:A$2000,'📞 Call Tracker'!C$2:C$2000,""),"")</f>
        <v>0</v>
      </c>
      <c r="Y469" s="95">
        <f>IFERROR(_xlfn.XLOOKUP(TEXT(H469,"0000000000"),'📞 Call Tracker'!A$2:A$2000,'📞 Call Tracker'!D$2:D$2000,""),"")</f>
        <v>0</v>
      </c>
      <c r="Z469" s="95">
        <f>IFERROR(_xlfn.XLOOKUP(TEXT(H469,"0000000000"),'📞 Call Tracker'!A$2:A$2000,'📞 Call Tracker'!E$2:E$2000,""),"")</f>
        <v>0</v>
      </c>
      <c r="AA469" s="145">
        <f>IFERROR(_xlfn.XLOOKUP(TEXT(H469,"0000000000"),'📞 Call Tracker'!A$2:A$2000,'📞 Call Tracker'!F$2:F$2000,""),"")</f>
        <v>0</v>
      </c>
      <c r="AB469" s="132">
        <f t="shared" si="15"/>
        <v>99</v>
      </c>
      <c r="AC469" s="79"/>
    </row>
    <row r="470" spans="1:29" ht="20.100000000000001" customHeight="1">
      <c r="A470" s="91">
        <v>45905</v>
      </c>
      <c r="B470" s="92" t="str">
        <v>Kennedy</v>
      </c>
      <c r="C470" s="92" t="str">
        <v>Robert</v>
      </c>
      <c r="D470" s="92" t="str">
        <v>Phoenix</v>
      </c>
      <c r="E470" s="92">
        <v>85083</v>
      </c>
      <c r="F470" s="137" t="str">
        <v>Opposed</v>
      </c>
      <c r="G470" s="93" t="str">
        <v>https://images.edocket.azcc.gov/docketpdf/E000046230.pdf</v>
      </c>
      <c r="H470" s="150" t="s">
        <v>6247</v>
      </c>
      <c r="I470" s="114" t="str">
        <v>R3-47</v>
      </c>
      <c r="J470" s="94" t="str">
        <v>No</v>
      </c>
      <c r="K470" s="94" t="str">
        <v>No</v>
      </c>
      <c r="L470" s="137" t="str">
        <v>No MEP R-XS ($287.81)</v>
      </c>
      <c r="M470" s="94" t="str">
        <v>No</v>
      </c>
      <c r="N470" s="134" t="str">
        <v>No</v>
      </c>
      <c r="O470" s="119" t="str">
        <v>Yes</v>
      </c>
      <c r="P470" s="92" t="str">
        <v>N</v>
      </c>
      <c r="Q470" s="91">
        <v>45966</v>
      </c>
      <c r="R470" s="140" t="str">
        <v>COR initiated rate change on 11/2</v>
      </c>
      <c r="S470" s="92">
        <v>0</v>
      </c>
      <c r="T470" s="92">
        <v>0</v>
      </c>
      <c r="U470" s="137">
        <v>0</v>
      </c>
      <c r="V470" s="126" t="str">
        <f t="shared" si="14"/>
        <v>❌ Not on Best Plan</v>
      </c>
      <c r="W470" s="130">
        <f>IFERROR(_xlfn.XLOOKUP(TEXT(H470,"0000000000"),'📞 Call Tracker'!A$2:A$2000,'📞 Call Tracker'!B$2:B$2000,""),"")</f>
        <v>0</v>
      </c>
      <c r="X470" s="96">
        <f>IFERROR(_xlfn.XLOOKUP(TEXT(H470,"0000000000"),'📞 Call Tracker'!A$2:A$2000,'📞 Call Tracker'!C$2:C$2000,""),"")</f>
        <v>0</v>
      </c>
      <c r="Y470" s="95">
        <f>IFERROR(_xlfn.XLOOKUP(TEXT(H470,"0000000000"),'📞 Call Tracker'!A$2:A$2000,'📞 Call Tracker'!D$2:D$2000,""),"")</f>
        <v>0</v>
      </c>
      <c r="Z470" s="95">
        <f>IFERROR(_xlfn.XLOOKUP(TEXT(H470,"0000000000"),'📞 Call Tracker'!A$2:A$2000,'📞 Call Tracker'!E$2:E$2000,""),"")</f>
        <v>0</v>
      </c>
      <c r="AA470" s="145">
        <f>IFERROR(_xlfn.XLOOKUP(TEXT(H470,"0000000000"),'📞 Call Tracker'!A$2:A$2000,'📞 Call Tracker'!F$2:F$2000,""),"")</f>
        <v>0</v>
      </c>
      <c r="AB470" s="132">
        <f t="shared" si="15"/>
        <v>99</v>
      </c>
      <c r="AC470" s="79"/>
    </row>
    <row r="471" spans="1:29" ht="20.100000000000001" customHeight="1">
      <c r="A471" s="91">
        <v>45905</v>
      </c>
      <c r="B471" s="92" t="str">
        <v>Spicola</v>
      </c>
      <c r="C471" s="92" t="str">
        <v>Jason</v>
      </c>
      <c r="D471" s="92" t="str">
        <v>Phoenix</v>
      </c>
      <c r="E471" s="92">
        <v>85028</v>
      </c>
      <c r="F471" s="137" t="str">
        <v>Opposed, will worsen financial stress</v>
      </c>
      <c r="G471" s="93" t="str">
        <v>https://images.edocket.azcc.gov/docketpdf/E000046230.pdf</v>
      </c>
      <c r="H471" s="150" t="s">
        <v>6150</v>
      </c>
      <c r="I471" s="114" t="str">
        <v>R-BASIC</v>
      </c>
      <c r="J471" s="94" t="str">
        <v>No</v>
      </c>
      <c r="K471" s="94" t="str">
        <v>No</v>
      </c>
      <c r="L471" s="137" t="str">
        <v>Yes</v>
      </c>
      <c r="M471" s="94" t="str">
        <v>No</v>
      </c>
      <c r="N471" s="134" t="str">
        <v>No</v>
      </c>
      <c r="O471" s="119" t="str">
        <v>Yes</v>
      </c>
      <c r="P471" s="92" t="str">
        <v>N</v>
      </c>
      <c r="Q471" s="91">
        <v>45966</v>
      </c>
      <c r="R471" s="140">
        <v>0</v>
      </c>
      <c r="S471" s="92">
        <v>0</v>
      </c>
      <c r="T471" s="92">
        <v>0</v>
      </c>
      <c r="U471" s="137">
        <v>0</v>
      </c>
      <c r="V471" s="126" t="str">
        <f t="shared" si="14"/>
        <v>✅ On Best Plan</v>
      </c>
      <c r="W471" s="130" t="str">
        <f>IFERROR(_xlfn.XLOOKUP(TEXT(H471,"0000000000"),'📞 Call Tracker'!A$2:A$2000,'📞 Call Tracker'!B$2:B$2000,""),"")</f>
        <v>Joaquin</v>
      </c>
      <c r="X471" s="96">
        <f>IFERROR(_xlfn.XLOOKUP(TEXT(H471,"0000000000"),'📞 Call Tracker'!A$2:A$2000,'📞 Call Tracker'!C$2:C$2000,""),"")</f>
        <v>46053</v>
      </c>
      <c r="Y471" s="95" t="str">
        <f>IFERROR(_xlfn.XLOOKUP(TEXT(H471,"0000000000"),'📞 Call Tracker'!A$2:A$2000,'📞 Call Tracker'!D$2:D$2000,""),"")</f>
        <v>YES</v>
      </c>
      <c r="Z471" s="95">
        <f>IFERROR(_xlfn.XLOOKUP(TEXT(H471,"0000000000"),'📞 Call Tracker'!A$2:A$2000,'📞 Call Tracker'!E$2:E$2000,""),"")</f>
        <v>0</v>
      </c>
      <c r="AA471" s="145" t="str">
        <f>IFERROR(_xlfn.XLOOKUP(TEXT(H471,"0000000000"),'📞 Call Tracker'!A$2:A$2000,'📞 Call Tracker'!F$2:F$2000,""),"")</f>
        <v>LEFT V-M</v>
      </c>
      <c r="AB471" s="132">
        <f t="shared" si="15"/>
        <v>99</v>
      </c>
      <c r="AC471" s="79"/>
    </row>
    <row r="472" spans="1:29" ht="20.100000000000001" customHeight="1">
      <c r="A472" s="91">
        <v>45905</v>
      </c>
      <c r="B472" s="92" t="str">
        <v>Healey</v>
      </c>
      <c r="C472" s="92" t="str">
        <v>Tyler</v>
      </c>
      <c r="D472" s="92" t="str">
        <v>Phoenix</v>
      </c>
      <c r="E472" s="92">
        <v>85022</v>
      </c>
      <c r="F472" s="137" t="str">
        <v>Enough with the rate hikes</v>
      </c>
      <c r="G472" s="93" t="str">
        <v>https://images.edocket.azcc.gov/docketpdf/E000046230.pdf</v>
      </c>
      <c r="H472" s="150" t="s">
        <v>6248</v>
      </c>
      <c r="I472" s="114" t="str">
        <v>RTOUE47</v>
      </c>
      <c r="J472" s="94" t="str">
        <v>No</v>
      </c>
      <c r="K472" s="94" t="str">
        <v>No</v>
      </c>
      <c r="L472" s="137" t="str">
        <v>No MEP R3-47($271.50)</v>
      </c>
      <c r="M472" s="94" t="str">
        <v>No</v>
      </c>
      <c r="N472" s="134" t="str">
        <v>No</v>
      </c>
      <c r="O472" s="119" t="str">
        <v>Yes</v>
      </c>
      <c r="P472" s="92">
        <v>45936</v>
      </c>
      <c r="Q472" s="91">
        <v>45966</v>
      </c>
      <c r="R472" s="140" t="str">
        <v>COR will check aps.com comp tool and potentially change plans there</v>
      </c>
      <c r="S472" s="92">
        <v>0</v>
      </c>
      <c r="T472" s="92">
        <v>0</v>
      </c>
      <c r="U472" s="137">
        <v>0</v>
      </c>
      <c r="V472" s="126" t="str">
        <f t="shared" si="14"/>
        <v>❌ Not on Best Plan</v>
      </c>
      <c r="W472" s="130">
        <f>IFERROR(_xlfn.XLOOKUP(TEXT(H472,"0000000000"),'📞 Call Tracker'!A$2:A$2000,'📞 Call Tracker'!B$2:B$2000,""),"")</f>
        <v>0</v>
      </c>
      <c r="X472" s="96">
        <f>IFERROR(_xlfn.XLOOKUP(TEXT(H472,"0000000000"),'📞 Call Tracker'!A$2:A$2000,'📞 Call Tracker'!C$2:C$2000,""),"")</f>
        <v>0</v>
      </c>
      <c r="Y472" s="95">
        <f>IFERROR(_xlfn.XLOOKUP(TEXT(H472,"0000000000"),'📞 Call Tracker'!A$2:A$2000,'📞 Call Tracker'!D$2:D$2000,""),"")</f>
        <v>0</v>
      </c>
      <c r="Z472" s="95">
        <f>IFERROR(_xlfn.XLOOKUP(TEXT(H472,"0000000000"),'📞 Call Tracker'!A$2:A$2000,'📞 Call Tracker'!E$2:E$2000,""),"")</f>
        <v>0</v>
      </c>
      <c r="AA472" s="145">
        <f>IFERROR(_xlfn.XLOOKUP(TEXT(H472,"0000000000"),'📞 Call Tracker'!A$2:A$2000,'📞 Call Tracker'!F$2:F$2000,""),"")</f>
        <v>0</v>
      </c>
      <c r="AB472" s="132">
        <f t="shared" si="15"/>
        <v>99</v>
      </c>
      <c r="AC472" s="79"/>
    </row>
    <row r="473" spans="1:29" ht="20.100000000000001" customHeight="1">
      <c r="A473" s="91">
        <v>45905</v>
      </c>
      <c r="B473" s="92" t="str">
        <v>Maheshwari</v>
      </c>
      <c r="C473" s="92" t="str">
        <v>Vishal</v>
      </c>
      <c r="D473" s="92" t="str">
        <v>Peoria</v>
      </c>
      <c r="E473" s="92">
        <v>85383</v>
      </c>
      <c r="F473" s="137" t="str">
        <v>Form letter</v>
      </c>
      <c r="G473" s="93" t="str">
        <v>https://images.edocket.azcc.gov/docketpdf/E000046230.pdf</v>
      </c>
      <c r="H473" s="150" t="s">
        <v>6249</v>
      </c>
      <c r="I473" s="114" t="str">
        <v>EPR-6w/ET-2</v>
      </c>
      <c r="J473" s="94" t="str">
        <v>No</v>
      </c>
      <c r="K473" s="94" t="str">
        <v>No</v>
      </c>
      <c r="L473" s="137" t="str">
        <v>Frozen Rate</v>
      </c>
      <c r="M473" s="94" t="str">
        <v>No</v>
      </c>
      <c r="N473" s="134" t="str">
        <v>No</v>
      </c>
      <c r="O473" s="119" t="str">
        <v>Yes</v>
      </c>
      <c r="P473" s="92" t="str">
        <v>N</v>
      </c>
      <c r="Q473" s="91">
        <v>45966</v>
      </c>
      <c r="R473" s="140">
        <v>0</v>
      </c>
      <c r="S473" s="92">
        <v>0</v>
      </c>
      <c r="T473" s="92">
        <v>0</v>
      </c>
      <c r="U473" s="137">
        <v>0</v>
      </c>
      <c r="V473" s="126" t="str">
        <f t="shared" si="14"/>
        <v>❄ Frozen Rate</v>
      </c>
      <c r="W473" s="130">
        <f>IFERROR(_xlfn.XLOOKUP(TEXT(H473,"0000000000"),'📞 Call Tracker'!A$2:A$2000,'📞 Call Tracker'!B$2:B$2000,""),"")</f>
        <v>0</v>
      </c>
      <c r="X473" s="96">
        <f>IFERROR(_xlfn.XLOOKUP(TEXT(H473,"0000000000"),'📞 Call Tracker'!A$2:A$2000,'📞 Call Tracker'!C$2:C$2000,""),"")</f>
        <v>0</v>
      </c>
      <c r="Y473" s="95">
        <f>IFERROR(_xlfn.XLOOKUP(TEXT(H473,"0000000000"),'📞 Call Tracker'!A$2:A$2000,'📞 Call Tracker'!D$2:D$2000,""),"")</f>
        <v>0</v>
      </c>
      <c r="Z473" s="95">
        <f>IFERROR(_xlfn.XLOOKUP(TEXT(H473,"0000000000"),'📞 Call Tracker'!A$2:A$2000,'📞 Call Tracker'!E$2:E$2000,""),"")</f>
        <v>0</v>
      </c>
      <c r="AA473" s="145">
        <f>IFERROR(_xlfn.XLOOKUP(TEXT(H473,"0000000000"),'📞 Call Tracker'!A$2:A$2000,'📞 Call Tracker'!F$2:F$2000,""),"")</f>
        <v>0</v>
      </c>
      <c r="AB473" s="132">
        <f t="shared" si="15"/>
        <v>99</v>
      </c>
      <c r="AC473" s="79"/>
    </row>
    <row r="474" spans="1:29" ht="20.100000000000001" customHeight="1">
      <c r="A474" s="91">
        <v>45905</v>
      </c>
      <c r="B474" s="92" t="str">
        <v>Abitz</v>
      </c>
      <c r="C474" s="92" t="str">
        <v>Zachary</v>
      </c>
      <c r="D474" s="92" t="str">
        <v>Surprise</v>
      </c>
      <c r="E474" s="92">
        <v>85388</v>
      </c>
      <c r="F474" s="137" t="str">
        <v>Enough is enough</v>
      </c>
      <c r="G474" s="93" t="str">
        <v>https://images.edocket.azcc.gov/docketpdf/E000046230.pdf</v>
      </c>
      <c r="H474" s="150" t="s">
        <v>6250</v>
      </c>
      <c r="I474" s="114" t="str">
        <v>RTOUE47</v>
      </c>
      <c r="J474" s="94" t="str">
        <v>No</v>
      </c>
      <c r="K474" s="94" t="str">
        <v>No</v>
      </c>
      <c r="L474" s="137" t="str">
        <v>No MEP R3-47($426.81)</v>
      </c>
      <c r="M474" s="94" t="str">
        <v>No</v>
      </c>
      <c r="N474" s="134" t="str">
        <v>No</v>
      </c>
      <c r="O474" s="119" t="str">
        <v>Yes</v>
      </c>
      <c r="P474" s="92">
        <v>45936</v>
      </c>
      <c r="Q474" s="91">
        <v>45966</v>
      </c>
      <c r="R474" s="140" t="str">
        <v>10/6/2025 left vm</v>
      </c>
      <c r="S474" s="92">
        <v>0</v>
      </c>
      <c r="T474" s="92">
        <v>0</v>
      </c>
      <c r="U474" s="137">
        <v>0</v>
      </c>
      <c r="V474" s="126" t="str">
        <f t="shared" si="14"/>
        <v>❌ Not on Best Plan</v>
      </c>
      <c r="W474" s="130">
        <f>IFERROR(_xlfn.XLOOKUP(TEXT(H474,"0000000000"),'📞 Call Tracker'!A$2:A$2000,'📞 Call Tracker'!B$2:B$2000,""),"")</f>
        <v>0</v>
      </c>
      <c r="X474" s="96">
        <f>IFERROR(_xlfn.XLOOKUP(TEXT(H474,"0000000000"),'📞 Call Tracker'!A$2:A$2000,'📞 Call Tracker'!C$2:C$2000,""),"")</f>
        <v>0</v>
      </c>
      <c r="Y474" s="95">
        <f>IFERROR(_xlfn.XLOOKUP(TEXT(H474,"0000000000"),'📞 Call Tracker'!A$2:A$2000,'📞 Call Tracker'!D$2:D$2000,""),"")</f>
        <v>0</v>
      </c>
      <c r="Z474" s="95">
        <f>IFERROR(_xlfn.XLOOKUP(TEXT(H474,"0000000000"),'📞 Call Tracker'!A$2:A$2000,'📞 Call Tracker'!E$2:E$2000,""),"")</f>
        <v>0</v>
      </c>
      <c r="AA474" s="145">
        <f>IFERROR(_xlfn.XLOOKUP(TEXT(H474,"0000000000"),'📞 Call Tracker'!A$2:A$2000,'📞 Call Tracker'!F$2:F$2000,""),"")</f>
        <v>0</v>
      </c>
      <c r="AB474" s="132">
        <f t="shared" si="15"/>
        <v>99</v>
      </c>
      <c r="AC474" s="79"/>
    </row>
    <row r="475" spans="1:29" ht="20.100000000000001" customHeight="1">
      <c r="A475" s="91">
        <v>45905</v>
      </c>
      <c r="B475" s="92" t="str">
        <v>Chaffin</v>
      </c>
      <c r="C475" s="92" t="str">
        <v>Dustin</v>
      </c>
      <c r="D475" s="92" t="str">
        <v>Phoenix</v>
      </c>
      <c r="E475" s="92">
        <v>85021</v>
      </c>
      <c r="F475" s="137" t="str">
        <v>Not a good economic decision</v>
      </c>
      <c r="G475" s="93" t="str">
        <v>https://images.edocket.azcc.gov/docketpdf/E000046230.pdf</v>
      </c>
      <c r="H475" s="150" t="s">
        <v>6033</v>
      </c>
      <c r="I475" s="114" t="str">
        <v>RCPw/RTOUE47</v>
      </c>
      <c r="J475" s="94" t="str">
        <v>No</v>
      </c>
      <c r="K475" s="94" t="str">
        <v>No</v>
      </c>
      <c r="L475" s="137" t="str">
        <v>Yes</v>
      </c>
      <c r="M475" s="94" t="str">
        <v>No</v>
      </c>
      <c r="N475" s="134" t="str">
        <v>No</v>
      </c>
      <c r="O475" s="119" t="str">
        <v>Yes</v>
      </c>
      <c r="P475" s="92" t="str">
        <v>N</v>
      </c>
      <c r="Q475" s="91">
        <v>45966</v>
      </c>
      <c r="R475" s="140">
        <v>0</v>
      </c>
      <c r="S475" s="92">
        <v>0</v>
      </c>
      <c r="T475" s="92">
        <v>0</v>
      </c>
      <c r="U475" s="137">
        <v>0</v>
      </c>
      <c r="V475" s="126" t="str">
        <f t="shared" si="14"/>
        <v>✅ On Best Plan</v>
      </c>
      <c r="W475" s="130" t="str">
        <f>IFERROR(_xlfn.XLOOKUP(TEXT(H475,"0000000000"),'📞 Call Tracker'!A$2:A$2000,'📞 Call Tracker'!B$2:B$2000,""),"")</f>
        <v>Joaquin</v>
      </c>
      <c r="X475" s="96">
        <f>IFERROR(_xlfn.XLOOKUP(TEXT(H475,"0000000000"),'📞 Call Tracker'!A$2:A$2000,'📞 Call Tracker'!C$2:C$2000,""),"")</f>
        <v>46053</v>
      </c>
      <c r="Y475" s="95" t="str">
        <f>IFERROR(_xlfn.XLOOKUP(TEXT(H475,"0000000000"),'📞 Call Tracker'!A$2:A$2000,'📞 Call Tracker'!D$2:D$2000,""),"")</f>
        <v>YES</v>
      </c>
      <c r="Z475" s="95">
        <f>IFERROR(_xlfn.XLOOKUP(TEXT(H475,"0000000000"),'📞 Call Tracker'!A$2:A$2000,'📞 Call Tracker'!E$2:E$2000,""),"")</f>
        <v>0</v>
      </c>
      <c r="AA475" s="145" t="str">
        <f>IFERROR(_xlfn.XLOOKUP(TEXT(H475,"0000000000"),'📞 Call Tracker'!A$2:A$2000,'📞 Call Tracker'!F$2:F$2000,""),"")</f>
        <v>LEFT V-M</v>
      </c>
      <c r="AB475" s="132">
        <f t="shared" si="15"/>
        <v>99</v>
      </c>
      <c r="AC475" s="79"/>
    </row>
    <row r="476" spans="1:29" ht="20.100000000000001" customHeight="1">
      <c r="A476" s="91">
        <v>45905</v>
      </c>
      <c r="B476" s="92" t="str">
        <v>Henderson</v>
      </c>
      <c r="C476" s="92" t="str">
        <v>David</v>
      </c>
      <c r="D476" s="92" t="str">
        <v>Scottsdale</v>
      </c>
      <c r="E476" s="92">
        <v>85255</v>
      </c>
      <c r="F476" s="137" t="str">
        <v>Form letter</v>
      </c>
      <c r="G476" s="93" t="str">
        <v>https://images.edocket.azcc.gov/docketpdf/E000046230.pdf</v>
      </c>
      <c r="H476" s="150" t="s">
        <v>6251</v>
      </c>
      <c r="I476" s="114" t="str">
        <v>RTOUE47</v>
      </c>
      <c r="J476" s="94" t="str">
        <v>No</v>
      </c>
      <c r="K476" s="94" t="str">
        <v>No</v>
      </c>
      <c r="L476" s="137" t="str">
        <v>No MEP R-BASIC($140.27)</v>
      </c>
      <c r="M476" s="94" t="str">
        <v>No</v>
      </c>
      <c r="N476" s="134" t="str">
        <v>No</v>
      </c>
      <c r="O476" s="119" t="str">
        <v>Yes</v>
      </c>
      <c r="P476" s="92">
        <v>45936</v>
      </c>
      <c r="Q476" s="91">
        <v>45966</v>
      </c>
      <c r="R476" s="140" t="str">
        <v xml:space="preserve">Cor will review w/aps comp tool online and decided </v>
      </c>
      <c r="S476" s="92">
        <v>0</v>
      </c>
      <c r="T476" s="92">
        <v>0</v>
      </c>
      <c r="U476" s="137">
        <v>0</v>
      </c>
      <c r="V476" s="126" t="str">
        <f t="shared" si="14"/>
        <v>❌ Not on Best Plan</v>
      </c>
      <c r="W476" s="130">
        <f>IFERROR(_xlfn.XLOOKUP(TEXT(H476,"0000000000"),'📞 Call Tracker'!A$2:A$2000,'📞 Call Tracker'!B$2:B$2000,""),"")</f>
        <v>0</v>
      </c>
      <c r="X476" s="96">
        <f>IFERROR(_xlfn.XLOOKUP(TEXT(H476,"0000000000"),'📞 Call Tracker'!A$2:A$2000,'📞 Call Tracker'!C$2:C$2000,""),"")</f>
        <v>0</v>
      </c>
      <c r="Y476" s="95">
        <f>IFERROR(_xlfn.XLOOKUP(TEXT(H476,"0000000000"),'📞 Call Tracker'!A$2:A$2000,'📞 Call Tracker'!D$2:D$2000,""),"")</f>
        <v>0</v>
      </c>
      <c r="Z476" s="95">
        <f>IFERROR(_xlfn.XLOOKUP(TEXT(H476,"0000000000"),'📞 Call Tracker'!A$2:A$2000,'📞 Call Tracker'!E$2:E$2000,""),"")</f>
        <v>0</v>
      </c>
      <c r="AA476" s="145">
        <f>IFERROR(_xlfn.XLOOKUP(TEXT(H476,"0000000000"),'📞 Call Tracker'!A$2:A$2000,'📞 Call Tracker'!F$2:F$2000,""),"")</f>
        <v>0</v>
      </c>
      <c r="AB476" s="132">
        <f t="shared" si="15"/>
        <v>99</v>
      </c>
      <c r="AC476" s="79"/>
    </row>
    <row r="477" spans="1:29" ht="20.100000000000001" customHeight="1">
      <c r="A477" s="91">
        <v>45905</v>
      </c>
      <c r="B477" s="92" t="str">
        <v>Feldman</v>
      </c>
      <c r="C477" s="92" t="str">
        <v>Zack</v>
      </c>
      <c r="D477" s="92" t="str">
        <v>Phoenix</v>
      </c>
      <c r="E477" s="92">
        <v>85016</v>
      </c>
      <c r="F477" s="137" t="str">
        <v>Opposed, abusing their power</v>
      </c>
      <c r="G477" s="93" t="str">
        <v>https://images.edocket.azcc.gov/docketpdf/E000046230.pdf</v>
      </c>
      <c r="H477" s="150" t="s">
        <v>1724</v>
      </c>
      <c r="I477" s="114" t="str">
        <v>R3-47</v>
      </c>
      <c r="J477" s="94" t="str">
        <v>No</v>
      </c>
      <c r="K477" s="94" t="str">
        <v>No</v>
      </c>
      <c r="L477" s="137" t="str">
        <v>Yes</v>
      </c>
      <c r="M477" s="94" t="str">
        <v>No</v>
      </c>
      <c r="N477" s="134" t="str">
        <v>No</v>
      </c>
      <c r="O477" s="119" t="str">
        <v>Yes</v>
      </c>
      <c r="P477" s="92" t="str">
        <v>N</v>
      </c>
      <c r="Q477" s="91">
        <v>45966</v>
      </c>
      <c r="R477" s="140">
        <v>0</v>
      </c>
      <c r="S477" s="92">
        <v>0</v>
      </c>
      <c r="T477" s="92">
        <v>0</v>
      </c>
      <c r="U477" s="137">
        <v>0</v>
      </c>
      <c r="V477" s="126" t="str">
        <f t="shared" si="14"/>
        <v>✅ On Best Plan</v>
      </c>
      <c r="W477" s="130" t="str">
        <f>IFERROR(_xlfn.XLOOKUP(TEXT(H477,"0000000000"),'📞 Call Tracker'!A$2:A$2000,'📞 Call Tracker'!B$2:B$2000,""),"")</f>
        <v>Joaquin</v>
      </c>
      <c r="X477" s="96">
        <f>IFERROR(_xlfn.XLOOKUP(TEXT(H477,"0000000000"),'📞 Call Tracker'!A$2:A$2000,'📞 Call Tracker'!C$2:C$2000,""),"")</f>
        <v>46053</v>
      </c>
      <c r="Y477" s="95" t="str">
        <f>IFERROR(_xlfn.XLOOKUP(TEXT(H477,"0000000000"),'📞 Call Tracker'!A$2:A$2000,'📞 Call Tracker'!D$2:D$2000,""),"")</f>
        <v>NO</v>
      </c>
      <c r="Z477" s="95" t="str">
        <f>IFERROR(_xlfn.XLOOKUP(TEXT(H477,"0000000000"),'📞 Call Tracker'!A$2:A$2000,'📞 Call Tracker'!E$2:E$2000,""),"")</f>
        <v>Rate Change</v>
      </c>
      <c r="AA477" s="145" t="str">
        <f>IFERROR(_xlfn.XLOOKUP(TEXT(H477,"0000000000"),'📞 Call Tracker'!A$2:A$2000,'📞 Call Tracker'!F$2:F$2000,""),"")</f>
        <v>RATE CHANGE  NEXT BILL DATE 2/21/26</v>
      </c>
      <c r="AB477" s="132">
        <f t="shared" si="15"/>
        <v>99</v>
      </c>
      <c r="AC477" s="79"/>
    </row>
    <row r="478" spans="1:29" ht="20.100000000000001" customHeight="1">
      <c r="A478" s="91">
        <v>45905</v>
      </c>
      <c r="B478" s="92" t="str">
        <v>Siddavatam</v>
      </c>
      <c r="C478" s="92" t="str">
        <v>Govardhan Reddy</v>
      </c>
      <c r="D478" s="92" t="str">
        <v>Peoria</v>
      </c>
      <c r="E478" s="92">
        <v>85383</v>
      </c>
      <c r="F478" s="137" t="str">
        <v>Opposed</v>
      </c>
      <c r="G478" s="93" t="str">
        <v>https://images.edocket.azcc.gov/docketpdf/E000046230.pdf</v>
      </c>
      <c r="H478" s="150" t="s">
        <v>6252</v>
      </c>
      <c r="I478" s="114" t="str">
        <v>RTOUE47</v>
      </c>
      <c r="J478" s="94" t="str">
        <v>No</v>
      </c>
      <c r="K478" s="94" t="str">
        <v>No</v>
      </c>
      <c r="L478" s="137" t="str">
        <v>No MEP R3-47($305.79)</v>
      </c>
      <c r="M478" s="94" t="str">
        <v>No</v>
      </c>
      <c r="N478" s="134" t="str">
        <v>No</v>
      </c>
      <c r="O478" s="119" t="str">
        <v>Yes</v>
      </c>
      <c r="P478" s="92">
        <v>45936</v>
      </c>
      <c r="Q478" s="91">
        <v>45966</v>
      </c>
      <c r="R478" s="140" t="str">
        <v>COR will think about it and potentially change plans if he decides to he will cb</v>
      </c>
      <c r="S478" s="92">
        <v>0</v>
      </c>
      <c r="T478" s="92">
        <v>0</v>
      </c>
      <c r="U478" s="137">
        <v>0</v>
      </c>
      <c r="V478" s="126" t="str">
        <f t="shared" si="14"/>
        <v>❌ Not on Best Plan</v>
      </c>
      <c r="W478" s="130">
        <f>IFERROR(_xlfn.XLOOKUP(TEXT(H478,"0000000000"),'📞 Call Tracker'!A$2:A$2000,'📞 Call Tracker'!B$2:B$2000,""),"")</f>
        <v>0</v>
      </c>
      <c r="X478" s="96">
        <f>IFERROR(_xlfn.XLOOKUP(TEXT(H478,"0000000000"),'📞 Call Tracker'!A$2:A$2000,'📞 Call Tracker'!C$2:C$2000,""),"")</f>
        <v>0</v>
      </c>
      <c r="Y478" s="95">
        <f>IFERROR(_xlfn.XLOOKUP(TEXT(H478,"0000000000"),'📞 Call Tracker'!A$2:A$2000,'📞 Call Tracker'!D$2:D$2000,""),"")</f>
        <v>0</v>
      </c>
      <c r="Z478" s="95">
        <f>IFERROR(_xlfn.XLOOKUP(TEXT(H478,"0000000000"),'📞 Call Tracker'!A$2:A$2000,'📞 Call Tracker'!E$2:E$2000,""),"")</f>
        <v>0</v>
      </c>
      <c r="AA478" s="145">
        <f>IFERROR(_xlfn.XLOOKUP(TEXT(H478,"0000000000"),'📞 Call Tracker'!A$2:A$2000,'📞 Call Tracker'!F$2:F$2000,""),"")</f>
        <v>0</v>
      </c>
      <c r="AB478" s="132">
        <f t="shared" si="15"/>
        <v>99</v>
      </c>
      <c r="AC478" s="79"/>
    </row>
    <row r="479" spans="1:29" ht="20.100000000000001" customHeight="1">
      <c r="A479" s="91">
        <v>45905</v>
      </c>
      <c r="B479" s="92" t="str">
        <v>Zohn</v>
      </c>
      <c r="C479" s="92" t="str">
        <v>Ethan</v>
      </c>
      <c r="D479" s="92" t="str">
        <v>Phoenix</v>
      </c>
      <c r="E479" s="92">
        <v>85003</v>
      </c>
      <c r="F479" s="137" t="str">
        <v>Not good</v>
      </c>
      <c r="G479" s="93" t="str">
        <v>https://images.edocket.azcc.gov/docketpdf/E000046230.pdf</v>
      </c>
      <c r="H479" s="150" t="s">
        <v>6034</v>
      </c>
      <c r="I479" s="114" t="str">
        <v>RTOUE47</v>
      </c>
      <c r="J479" s="94" t="str">
        <v>Yes</v>
      </c>
      <c r="K479" s="94" t="str">
        <v>No</v>
      </c>
      <c r="L479" s="137" t="str">
        <v>No MEP R-XS($38.65)</v>
      </c>
      <c r="M479" s="94" t="str">
        <v>No</v>
      </c>
      <c r="N479" s="134" t="str">
        <v>No</v>
      </c>
      <c r="O479" s="119" t="str">
        <v>Yes</v>
      </c>
      <c r="P479" s="92" t="str">
        <v>N</v>
      </c>
      <c r="Q479" s="91">
        <v>45966</v>
      </c>
      <c r="R479" s="140">
        <v>0</v>
      </c>
      <c r="S479" s="92">
        <v>0</v>
      </c>
      <c r="T479" s="92">
        <v>0</v>
      </c>
      <c r="U479" s="137">
        <v>0</v>
      </c>
      <c r="V479" s="126" t="str">
        <f t="shared" si="14"/>
        <v>❌ Not on Best Plan</v>
      </c>
      <c r="W479" s="130" t="str">
        <f>IFERROR(_xlfn.XLOOKUP(TEXT(H479,"0000000000"),'📞 Call Tracker'!A$2:A$2000,'📞 Call Tracker'!B$2:B$2000,""),"")</f>
        <v>Joaquin</v>
      </c>
      <c r="X479" s="96">
        <f>IFERROR(_xlfn.XLOOKUP(TEXT(H479,"0000000000"),'📞 Call Tracker'!A$2:A$2000,'📞 Call Tracker'!C$2:C$2000,""),"")</f>
        <v>46053</v>
      </c>
      <c r="Y479" s="95" t="str">
        <f>IFERROR(_xlfn.XLOOKUP(TEXT(H479,"0000000000"),'📞 Call Tracker'!A$2:A$2000,'📞 Call Tracker'!D$2:D$2000,""),"")</f>
        <v>YES</v>
      </c>
      <c r="Z479" s="95">
        <f>IFERROR(_xlfn.XLOOKUP(TEXT(H479,"0000000000"),'📞 Call Tracker'!A$2:A$2000,'📞 Call Tracker'!E$2:E$2000,""),"")</f>
        <v>0</v>
      </c>
      <c r="AA479" s="145" t="str">
        <f>IFERROR(_xlfn.XLOOKUP(TEXT(H479,"0000000000"),'📞 Call Tracker'!A$2:A$2000,'📞 Call Tracker'!F$2:F$2000,""),"")</f>
        <v>LEFT V-M</v>
      </c>
      <c r="AB479" s="132">
        <f t="shared" si="15"/>
        <v>99</v>
      </c>
      <c r="AC479" s="79"/>
    </row>
    <row r="480" spans="1:29" ht="20.100000000000001" customHeight="1">
      <c r="A480" s="91">
        <v>45905</v>
      </c>
      <c r="B480" s="92" t="str">
        <v>Welsch</v>
      </c>
      <c r="C480" s="92" t="str">
        <v>Scott</v>
      </c>
      <c r="D480" s="92" t="str">
        <v>Peoria</v>
      </c>
      <c r="E480" s="92">
        <v>85383</v>
      </c>
      <c r="F480" s="137" t="str">
        <v>Form letter</v>
      </c>
      <c r="G480" s="93" t="str">
        <v>https://images.edocket.azcc.gov/docketpdf/E000046230.pdf</v>
      </c>
      <c r="H480" s="150" t="s">
        <v>6253</v>
      </c>
      <c r="I480" s="114" t="str">
        <v>RCPw/RTOUE47</v>
      </c>
      <c r="J480" s="94" t="str">
        <v>No</v>
      </c>
      <c r="K480" s="94" t="str">
        <v>No</v>
      </c>
      <c r="L480" s="137" t="str">
        <v>Yes</v>
      </c>
      <c r="M480" s="94" t="str">
        <v>No</v>
      </c>
      <c r="N480" s="134" t="str">
        <v>No</v>
      </c>
      <c r="O480" s="119" t="str">
        <v>Yes</v>
      </c>
      <c r="P480" s="92" t="str">
        <v>N</v>
      </c>
      <c r="Q480" s="91">
        <v>45966</v>
      </c>
      <c r="R480" s="140">
        <v>0</v>
      </c>
      <c r="S480" s="92">
        <v>0</v>
      </c>
      <c r="T480" s="92">
        <v>0</v>
      </c>
      <c r="U480" s="137">
        <v>0</v>
      </c>
      <c r="V480" s="126" t="str">
        <f t="shared" si="14"/>
        <v>✅ On Best Plan</v>
      </c>
      <c r="W480" s="130">
        <f>IFERROR(_xlfn.XLOOKUP(TEXT(H480,"0000000000"),'📞 Call Tracker'!A$2:A$2000,'📞 Call Tracker'!B$2:B$2000,""),"")</f>
        <v>0</v>
      </c>
      <c r="X480" s="96">
        <f>IFERROR(_xlfn.XLOOKUP(TEXT(H480,"0000000000"),'📞 Call Tracker'!A$2:A$2000,'📞 Call Tracker'!C$2:C$2000,""),"")</f>
        <v>0</v>
      </c>
      <c r="Y480" s="95">
        <f>IFERROR(_xlfn.XLOOKUP(TEXT(H480,"0000000000"),'📞 Call Tracker'!A$2:A$2000,'📞 Call Tracker'!D$2:D$2000,""),"")</f>
        <v>0</v>
      </c>
      <c r="Z480" s="95">
        <f>IFERROR(_xlfn.XLOOKUP(TEXT(H480,"0000000000"),'📞 Call Tracker'!A$2:A$2000,'📞 Call Tracker'!E$2:E$2000,""),"")</f>
        <v>0</v>
      </c>
      <c r="AA480" s="145">
        <f>IFERROR(_xlfn.XLOOKUP(TEXT(H480,"0000000000"),'📞 Call Tracker'!A$2:A$2000,'📞 Call Tracker'!F$2:F$2000,""),"")</f>
        <v>0</v>
      </c>
      <c r="AB480" s="132">
        <f t="shared" si="15"/>
        <v>99</v>
      </c>
      <c r="AC480" s="79"/>
    </row>
    <row r="481" spans="1:29" ht="20.100000000000001" customHeight="1">
      <c r="A481" s="91">
        <v>45905</v>
      </c>
      <c r="B481" s="92" t="str">
        <v>Hanshew</v>
      </c>
      <c r="C481" s="92" t="str">
        <v>Eric</v>
      </c>
      <c r="D481" s="92" t="str">
        <v>Scottsdale</v>
      </c>
      <c r="E481" s="92">
        <v>85255</v>
      </c>
      <c r="F481" s="137" t="str">
        <v>Opposed</v>
      </c>
      <c r="G481" s="93" t="str">
        <v>https://images.edocket.azcc.gov/docketpdf/E000046230.pdf</v>
      </c>
      <c r="H481" s="150" t="s">
        <v>6035</v>
      </c>
      <c r="I481" s="114" t="str">
        <v>RCPw/R3-47</v>
      </c>
      <c r="J481" s="94" t="str">
        <v>No</v>
      </c>
      <c r="K481" s="94" t="str">
        <v>No</v>
      </c>
      <c r="L481" s="137" t="str">
        <v>Yes</v>
      </c>
      <c r="M481" s="94" t="str">
        <v>No</v>
      </c>
      <c r="N481" s="134" t="str">
        <v>No</v>
      </c>
      <c r="O481" s="119" t="str">
        <v>Yes</v>
      </c>
      <c r="P481" s="92" t="str">
        <v>N</v>
      </c>
      <c r="Q481" s="91">
        <v>45966</v>
      </c>
      <c r="R481" s="140">
        <v>0</v>
      </c>
      <c r="S481" s="92">
        <v>0</v>
      </c>
      <c r="T481" s="92">
        <v>0</v>
      </c>
      <c r="U481" s="137">
        <v>0</v>
      </c>
      <c r="V481" s="126" t="str">
        <f t="shared" si="14"/>
        <v>✅ On Best Plan</v>
      </c>
      <c r="W481" s="130" t="str">
        <f>IFERROR(_xlfn.XLOOKUP(TEXT(H481,"0000000000"),'📞 Call Tracker'!A$2:A$2000,'📞 Call Tracker'!B$2:B$2000,""),"")</f>
        <v>Joaquin</v>
      </c>
      <c r="X481" s="96">
        <f>IFERROR(_xlfn.XLOOKUP(TEXT(H481,"0000000000"),'📞 Call Tracker'!A$2:A$2000,'📞 Call Tracker'!C$2:C$2000,""),"")</f>
        <v>46046</v>
      </c>
      <c r="Y481" s="95" t="str">
        <f>IFERROR(_xlfn.XLOOKUP(TEXT(H481,"0000000000"),'📞 Call Tracker'!A$2:A$2000,'📞 Call Tracker'!D$2:D$2000,""),"")</f>
        <v>NO</v>
      </c>
      <c r="Z481" s="95">
        <f>IFERROR(_xlfn.XLOOKUP(TEXT(H481,"0000000000"),'📞 Call Tracker'!A$2:A$2000,'📞 Call Tracker'!E$2:E$2000,""),"")</f>
        <v>0</v>
      </c>
      <c r="AA481" s="145" t="str">
        <f>IFERROR(_xlfn.XLOOKUP(TEXT(H481,"0000000000"),'📞 Call Tracker'!A$2:A$2000,'📞 Call Tracker'!F$2:F$2000,""),"")</f>
        <v>NO V-M OPTION</v>
      </c>
      <c r="AB481" s="132">
        <f t="shared" si="15"/>
        <v>99</v>
      </c>
      <c r="AC481" s="79"/>
    </row>
    <row r="482" spans="1:29" ht="20.100000000000001" customHeight="1">
      <c r="A482" s="91">
        <v>45905</v>
      </c>
      <c r="B482" s="92" t="str">
        <v>Royster</v>
      </c>
      <c r="C482" s="92" t="str">
        <v>Aaron</v>
      </c>
      <c r="D482" s="92" t="str">
        <v>Tempe</v>
      </c>
      <c r="E482" s="92">
        <v>85288</v>
      </c>
      <c r="F482" s="137" t="str">
        <v>Form letter</v>
      </c>
      <c r="G482" s="93" t="str">
        <v>https://images.edocket.azcc.gov/docketpdf/E000046230.pdf</v>
      </c>
      <c r="H482" s="150" t="s">
        <v>6254</v>
      </c>
      <c r="I482" s="114" t="str">
        <v>RTOUE47</v>
      </c>
      <c r="J482" s="94" t="str">
        <v>No</v>
      </c>
      <c r="K482" s="94" t="str">
        <v>No</v>
      </c>
      <c r="L482" s="137" t="str">
        <v>No MEP R3-47 ($130.61)</v>
      </c>
      <c r="M482" s="94" t="str">
        <v>No</v>
      </c>
      <c r="N482" s="134" t="str">
        <v>No</v>
      </c>
      <c r="O482" s="119" t="str">
        <v>Yes</v>
      </c>
      <c r="P482" s="92">
        <v>45936</v>
      </c>
      <c r="Q482" s="91">
        <v>45966</v>
      </c>
      <c r="R482" s="140" t="str">
        <v>10/06/2025 left vm</v>
      </c>
      <c r="S482" s="92">
        <v>0</v>
      </c>
      <c r="T482" s="92">
        <v>0</v>
      </c>
      <c r="U482" s="137">
        <v>0</v>
      </c>
      <c r="V482" s="126" t="str">
        <f t="shared" si="14"/>
        <v>❌ Not on Best Plan</v>
      </c>
      <c r="W482" s="130">
        <f>IFERROR(_xlfn.XLOOKUP(TEXT(H482,"0000000000"),'📞 Call Tracker'!A$2:A$2000,'📞 Call Tracker'!B$2:B$2000,""),"")</f>
        <v>0</v>
      </c>
      <c r="X482" s="96">
        <f>IFERROR(_xlfn.XLOOKUP(TEXT(H482,"0000000000"),'📞 Call Tracker'!A$2:A$2000,'📞 Call Tracker'!C$2:C$2000,""),"")</f>
        <v>0</v>
      </c>
      <c r="Y482" s="95">
        <f>IFERROR(_xlfn.XLOOKUP(TEXT(H482,"0000000000"),'📞 Call Tracker'!A$2:A$2000,'📞 Call Tracker'!D$2:D$2000,""),"")</f>
        <v>0</v>
      </c>
      <c r="Z482" s="95">
        <f>IFERROR(_xlfn.XLOOKUP(TEXT(H482,"0000000000"),'📞 Call Tracker'!A$2:A$2000,'📞 Call Tracker'!E$2:E$2000,""),"")</f>
        <v>0</v>
      </c>
      <c r="AA482" s="145">
        <f>IFERROR(_xlfn.XLOOKUP(TEXT(H482,"0000000000"),'📞 Call Tracker'!A$2:A$2000,'📞 Call Tracker'!F$2:F$2000,""),"")</f>
        <v>0</v>
      </c>
      <c r="AB482" s="132">
        <f t="shared" si="15"/>
        <v>99</v>
      </c>
      <c r="AC482" s="79"/>
    </row>
    <row r="483" spans="1:29" ht="20.100000000000001" customHeight="1">
      <c r="A483" s="91">
        <v>45905</v>
      </c>
      <c r="B483" s="92" t="str">
        <v>German</v>
      </c>
      <c r="C483" s="92" t="str">
        <v>Alexander</v>
      </c>
      <c r="D483" s="92" t="str">
        <v>Phoenix</v>
      </c>
      <c r="E483" s="92">
        <v>85024</v>
      </c>
      <c r="F483" s="137" t="str">
        <v>Form letter</v>
      </c>
      <c r="G483" s="93" t="str">
        <v>https://images.edocket.azcc.gov/docketpdf/E000046230.pdf</v>
      </c>
      <c r="H483" s="150" t="s">
        <v>6036</v>
      </c>
      <c r="I483" s="114" t="str">
        <v>RTOUE47</v>
      </c>
      <c r="J483" s="94" t="str">
        <v>No</v>
      </c>
      <c r="K483" s="94" t="str">
        <v>No</v>
      </c>
      <c r="L483" s="137" t="str">
        <v>Yes</v>
      </c>
      <c r="M483" s="94" t="str">
        <v>No</v>
      </c>
      <c r="N483" s="134" t="str">
        <v>No</v>
      </c>
      <c r="O483" s="119" t="str">
        <v>Yes</v>
      </c>
      <c r="P483" s="92" t="str">
        <v>N</v>
      </c>
      <c r="Q483" s="91">
        <v>45966</v>
      </c>
      <c r="R483" s="140">
        <v>0</v>
      </c>
      <c r="S483" s="92">
        <v>0</v>
      </c>
      <c r="T483" s="92">
        <v>0</v>
      </c>
      <c r="U483" s="137">
        <v>0</v>
      </c>
      <c r="V483" s="126" t="str">
        <f t="shared" si="14"/>
        <v>✅ On Best Plan</v>
      </c>
      <c r="W483" s="130" t="str">
        <f>IFERROR(_xlfn.XLOOKUP(TEXT(H483,"0000000000"),'📞 Call Tracker'!A$2:A$2000,'📞 Call Tracker'!B$2:B$2000,""),"")</f>
        <v>Joaquin</v>
      </c>
      <c r="X483" s="96">
        <f>IFERROR(_xlfn.XLOOKUP(TEXT(H483,"0000000000"),'📞 Call Tracker'!A$2:A$2000,'📞 Call Tracker'!C$2:C$2000,""),"")</f>
        <v>46060</v>
      </c>
      <c r="Y483" s="95" t="str">
        <f>IFERROR(_xlfn.XLOOKUP(TEXT(H483,"0000000000"),'📞 Call Tracker'!A$2:A$2000,'📞 Call Tracker'!D$2:D$2000,""),"")</f>
        <v>NO</v>
      </c>
      <c r="Z483" s="95" t="str">
        <f>IFERROR(_xlfn.XLOOKUP(TEXT(H483,"0000000000"),'📞 Call Tracker'!A$2:A$2000,'📞 Call Tracker'!E$2:E$2000,""),"")</f>
        <v>E3/E4</v>
      </c>
      <c r="AA483" s="145" t="str">
        <f>IFERROR(_xlfn.XLOOKUP(TEXT(H483,"0000000000"),'📞 Call Tracker'!A$2:A$2000,'📞 Call Tracker'!F$2:F$2000,""),"")</f>
        <v>SOLAR ACT</v>
      </c>
      <c r="AB483" s="132">
        <f t="shared" si="15"/>
        <v>99</v>
      </c>
      <c r="AC483" s="79"/>
    </row>
    <row r="484" spans="1:29" ht="20.100000000000001" customHeight="1">
      <c r="A484" s="91">
        <v>45905</v>
      </c>
      <c r="B484" s="92" t="str">
        <v>Reynolds</v>
      </c>
      <c r="C484" s="92" t="str">
        <v>James</v>
      </c>
      <c r="D484" s="92" t="str">
        <v>El Mirage</v>
      </c>
      <c r="E484" s="92">
        <v>85335</v>
      </c>
      <c r="F484" s="137" t="str">
        <v>Opposed, discourages solar</v>
      </c>
      <c r="G484" s="93" t="str">
        <v>https://images.edocket.azcc.gov/docketpdf/E000046230.pdf</v>
      </c>
      <c r="H484" s="150" t="s">
        <v>6037</v>
      </c>
      <c r="I484" s="114" t="str">
        <v>RCPw/RTOUE47</v>
      </c>
      <c r="J484" s="94" t="str">
        <v>No</v>
      </c>
      <c r="K484" s="94" t="str">
        <v>No</v>
      </c>
      <c r="L484" s="137" t="str">
        <v>Yes</v>
      </c>
      <c r="M484" s="94" t="str">
        <v>No</v>
      </c>
      <c r="N484" s="134" t="str">
        <v>No</v>
      </c>
      <c r="O484" s="119" t="str">
        <v>Yes</v>
      </c>
      <c r="P484" s="92" t="str">
        <v>N</v>
      </c>
      <c r="Q484" s="91">
        <v>45966</v>
      </c>
      <c r="R484" s="140">
        <v>0</v>
      </c>
      <c r="S484" s="92">
        <v>0</v>
      </c>
      <c r="T484" s="92">
        <v>0</v>
      </c>
      <c r="U484" s="137">
        <v>0</v>
      </c>
      <c r="V484" s="126" t="str">
        <f t="shared" si="14"/>
        <v>✅ On Best Plan</v>
      </c>
      <c r="W484" s="130" t="str">
        <f>IFERROR(_xlfn.XLOOKUP(TEXT(H484,"0000000000"),'📞 Call Tracker'!A$2:A$2000,'📞 Call Tracker'!B$2:B$2000,""),"")</f>
        <v>Joaquin</v>
      </c>
      <c r="X484" s="96">
        <f>IFERROR(_xlfn.XLOOKUP(TEXT(H484,"0000000000"),'📞 Call Tracker'!A$2:A$2000,'📞 Call Tracker'!C$2:C$2000,""),"")</f>
        <v>46046</v>
      </c>
      <c r="Y484" s="95" t="str">
        <f>IFERROR(_xlfn.XLOOKUP(TEXT(H484,"0000000000"),'📞 Call Tracker'!A$2:A$2000,'📞 Call Tracker'!D$2:D$2000,""),"")</f>
        <v>NO</v>
      </c>
      <c r="Z484" s="95" t="str">
        <f>IFERROR(_xlfn.XLOOKUP(TEXT(H484,"0000000000"),'📞 Call Tracker'!A$2:A$2000,'📞 Call Tracker'!E$2:E$2000,""),"")</f>
        <v>Rate Change</v>
      </c>
      <c r="AA484" s="145" t="str">
        <f>IFERROR(_xlfn.XLOOKUP(TEXT(H484,"0000000000"),'📞 Call Tracker'!A$2:A$2000,'📞 Call Tracker'!F$2:F$2000,""),"")</f>
        <v>PROVIDED TIPS LINE #S</v>
      </c>
      <c r="AB484" s="132">
        <f t="shared" si="15"/>
        <v>99</v>
      </c>
      <c r="AC484" s="79"/>
    </row>
    <row r="485" spans="1:29" ht="20.100000000000001" customHeight="1">
      <c r="A485" s="91">
        <v>45905</v>
      </c>
      <c r="B485" s="92" t="str">
        <v>Gorman</v>
      </c>
      <c r="C485" s="92" t="str">
        <v>Joshua</v>
      </c>
      <c r="D485" s="92" t="str">
        <v>Goodyear</v>
      </c>
      <c r="E485" s="92">
        <v>85338</v>
      </c>
      <c r="F485" s="137" t="str">
        <v>Opposed</v>
      </c>
      <c r="G485" s="93" t="str">
        <v>https://images.edocket.azcc.gov/docketpdf/E000046230.pdf</v>
      </c>
      <c r="H485" s="150" t="s">
        <v>6705</v>
      </c>
      <c r="I485" s="114" t="str">
        <v>R3-47</v>
      </c>
      <c r="J485" s="94" t="str">
        <v>Yes</v>
      </c>
      <c r="K485" s="94" t="str">
        <v>No</v>
      </c>
      <c r="L485" s="137" t="str">
        <v>Yes</v>
      </c>
      <c r="M485" s="94" t="str">
        <v>No</v>
      </c>
      <c r="N485" s="134" t="str">
        <v>No</v>
      </c>
      <c r="O485" s="119" t="str">
        <v>Yes</v>
      </c>
      <c r="P485" s="92" t="str">
        <v>N</v>
      </c>
      <c r="Q485" s="91">
        <v>45966</v>
      </c>
      <c r="R485" s="140">
        <v>0</v>
      </c>
      <c r="S485" s="92">
        <v>0</v>
      </c>
      <c r="T485" s="92">
        <v>0</v>
      </c>
      <c r="U485" s="137">
        <v>0</v>
      </c>
      <c r="V485" s="126" t="str">
        <f t="shared" si="14"/>
        <v>✅ On Best Plan</v>
      </c>
      <c r="W485" s="130" t="str">
        <f>IFERROR(_xlfn.XLOOKUP(TEXT(H485,"0000000000"),'📞 Call Tracker'!A$2:A$2000,'📞 Call Tracker'!B$2:B$2000,""),"")</f>
        <v/>
      </c>
      <c r="X485" s="96" t="str">
        <f>IFERROR(_xlfn.XLOOKUP(TEXT(H485,"0000000000"),'📞 Call Tracker'!A$2:A$2000,'📞 Call Tracker'!C$2:C$2000,""),"")</f>
        <v/>
      </c>
      <c r="Y485" s="95" t="str">
        <f>IFERROR(_xlfn.XLOOKUP(TEXT(H485,"0000000000"),'📞 Call Tracker'!A$2:A$2000,'📞 Call Tracker'!D$2:D$2000,""),"")</f>
        <v/>
      </c>
      <c r="Z485" s="95" t="str">
        <f>IFERROR(_xlfn.XLOOKUP(TEXT(H485,"0000000000"),'📞 Call Tracker'!A$2:A$2000,'📞 Call Tracker'!E$2:E$2000,""),"")</f>
        <v/>
      </c>
      <c r="AA485" s="145" t="str">
        <f>IFERROR(_xlfn.XLOOKUP(TEXT(H485,"0000000000"),'📞 Call Tracker'!A$2:A$2000,'📞 Call Tracker'!F$2:F$2000,""),"")</f>
        <v/>
      </c>
      <c r="AB485" s="132">
        <f t="shared" si="15"/>
        <v>4</v>
      </c>
      <c r="AC485" s="79"/>
    </row>
    <row r="486" spans="1:29" ht="20.100000000000001" customHeight="1">
      <c r="A486" s="91">
        <v>45905</v>
      </c>
      <c r="B486" s="92" t="str">
        <v>Macagni</v>
      </c>
      <c r="C486" s="92" t="str">
        <v>Christopher</v>
      </c>
      <c r="D486" s="92" t="str">
        <v>Peoria</v>
      </c>
      <c r="E486" s="92">
        <v>85383</v>
      </c>
      <c r="F486" s="137" t="str">
        <v>Form letter</v>
      </c>
      <c r="G486" s="93" t="str">
        <v>https://images.edocket.azcc.gov/docketpdf/E000046230.pdf</v>
      </c>
      <c r="H486" s="150" t="s">
        <v>6255</v>
      </c>
      <c r="I486" s="114" t="str">
        <v>RTOUE47</v>
      </c>
      <c r="J486" s="94" t="str">
        <v>No</v>
      </c>
      <c r="K486" s="94" t="str">
        <v>No</v>
      </c>
      <c r="L486" s="137" t="str">
        <v>No MEP R3-47($392.95)</v>
      </c>
      <c r="M486" s="94" t="str">
        <v>No</v>
      </c>
      <c r="N486" s="134" t="str">
        <v>No</v>
      </c>
      <c r="O486" s="119" t="str">
        <v>Yes</v>
      </c>
      <c r="P486" s="92">
        <v>45936</v>
      </c>
      <c r="Q486" s="91">
        <v>45966</v>
      </c>
      <c r="R486" s="140" t="str">
        <v>10/06/2025 left VM</v>
      </c>
      <c r="S486" s="92">
        <v>0</v>
      </c>
      <c r="T486" s="92">
        <v>0</v>
      </c>
      <c r="U486" s="137">
        <v>0</v>
      </c>
      <c r="V486" s="126" t="str">
        <f t="shared" si="14"/>
        <v>❌ Not on Best Plan</v>
      </c>
      <c r="W486" s="130">
        <f>IFERROR(_xlfn.XLOOKUP(TEXT(H486,"0000000000"),'📞 Call Tracker'!A$2:A$2000,'📞 Call Tracker'!B$2:B$2000,""),"")</f>
        <v>0</v>
      </c>
      <c r="X486" s="96">
        <f>IFERROR(_xlfn.XLOOKUP(TEXT(H486,"0000000000"),'📞 Call Tracker'!A$2:A$2000,'📞 Call Tracker'!C$2:C$2000,""),"")</f>
        <v>0</v>
      </c>
      <c r="Y486" s="95">
        <f>IFERROR(_xlfn.XLOOKUP(TEXT(H486,"0000000000"),'📞 Call Tracker'!A$2:A$2000,'📞 Call Tracker'!D$2:D$2000,""),"")</f>
        <v>0</v>
      </c>
      <c r="Z486" s="95">
        <f>IFERROR(_xlfn.XLOOKUP(TEXT(H486,"0000000000"),'📞 Call Tracker'!A$2:A$2000,'📞 Call Tracker'!E$2:E$2000,""),"")</f>
        <v>0</v>
      </c>
      <c r="AA486" s="145">
        <f>IFERROR(_xlfn.XLOOKUP(TEXT(H486,"0000000000"),'📞 Call Tracker'!A$2:A$2000,'📞 Call Tracker'!F$2:F$2000,""),"")</f>
        <v>0</v>
      </c>
      <c r="AB486" s="132">
        <f t="shared" si="15"/>
        <v>99</v>
      </c>
      <c r="AC486" s="79"/>
    </row>
    <row r="487" spans="1:29" ht="20.100000000000001" customHeight="1">
      <c r="A487" s="91">
        <v>45905</v>
      </c>
      <c r="B487" s="92" t="str">
        <v>Chambers</v>
      </c>
      <c r="C487" s="92" t="str">
        <v>Timothy</v>
      </c>
      <c r="D487" s="92" t="str">
        <v>Surprise</v>
      </c>
      <c r="E487" s="92">
        <v>85379</v>
      </c>
      <c r="F487" s="137" t="str">
        <v>Form letter</v>
      </c>
      <c r="G487" s="93" t="str">
        <v>https://images.edocket.azcc.gov/docketpdf/E000046230.pdf</v>
      </c>
      <c r="H487" s="150" t="s">
        <v>6038</v>
      </c>
      <c r="I487" s="114" t="str">
        <v>RCPw/R3-47</v>
      </c>
      <c r="J487" s="94" t="str">
        <v>No</v>
      </c>
      <c r="K487" s="94" t="str">
        <v>No</v>
      </c>
      <c r="L487" s="137" t="str">
        <v>Yes</v>
      </c>
      <c r="M487" s="94" t="str">
        <v>No</v>
      </c>
      <c r="N487" s="134" t="str">
        <v>No</v>
      </c>
      <c r="O487" s="119" t="str">
        <v>Yes</v>
      </c>
      <c r="P487" s="92" t="str">
        <v>N</v>
      </c>
      <c r="Q487" s="91">
        <v>45966</v>
      </c>
      <c r="R487" s="140">
        <v>0</v>
      </c>
      <c r="S487" s="92">
        <v>0</v>
      </c>
      <c r="T487" s="92">
        <v>0</v>
      </c>
      <c r="U487" s="137">
        <v>0</v>
      </c>
      <c r="V487" s="126" t="str">
        <f t="shared" si="14"/>
        <v>✅ On Best Plan</v>
      </c>
      <c r="W487" s="130" t="str">
        <f>IFERROR(_xlfn.XLOOKUP(TEXT(H487,"0000000000"),'📞 Call Tracker'!A$2:A$2000,'📞 Call Tracker'!B$2:B$2000,""),"")</f>
        <v>Joaquin</v>
      </c>
      <c r="X487" s="96">
        <f>IFERROR(_xlfn.XLOOKUP(TEXT(H487,"0000000000"),'📞 Call Tracker'!A$2:A$2000,'📞 Call Tracker'!C$2:C$2000,""),"")</f>
        <v>46046</v>
      </c>
      <c r="Y487" s="95" t="str">
        <f>IFERROR(_xlfn.XLOOKUP(TEXT(H487,"0000000000"),'📞 Call Tracker'!A$2:A$2000,'📞 Call Tracker'!D$2:D$2000,""),"")</f>
        <v>YES</v>
      </c>
      <c r="Z487" s="95">
        <f>IFERROR(_xlfn.XLOOKUP(TEXT(H487,"0000000000"),'📞 Call Tracker'!A$2:A$2000,'📞 Call Tracker'!E$2:E$2000,""),"")</f>
        <v>0</v>
      </c>
      <c r="AA487" s="145">
        <f>IFERROR(_xlfn.XLOOKUP(TEXT(H487,"0000000000"),'📞 Call Tracker'!A$2:A$2000,'📞 Call Tracker'!F$2:F$2000,""),"")</f>
        <v>0</v>
      </c>
      <c r="AB487" s="132">
        <f t="shared" si="15"/>
        <v>99</v>
      </c>
      <c r="AC487" s="79"/>
    </row>
    <row r="488" spans="1:29" ht="20.100000000000001" customHeight="1">
      <c r="A488" s="91">
        <v>45905</v>
      </c>
      <c r="B488" s="92" t="str">
        <v>Saraniero</v>
      </c>
      <c r="C488" s="92" t="str">
        <v>Cathy</v>
      </c>
      <c r="D488" s="92" t="str">
        <v>Scottsdale</v>
      </c>
      <c r="E488" s="92">
        <v>85258</v>
      </c>
      <c r="F488" s="137" t="str">
        <v>Opposed</v>
      </c>
      <c r="G488" s="93" t="str">
        <v>https://images.edocket.azcc.gov/docketpdf/E000046230.pdf</v>
      </c>
      <c r="H488" s="150" t="s">
        <v>6256</v>
      </c>
      <c r="I488" s="114" t="str">
        <v>R-2</v>
      </c>
      <c r="J488" s="94" t="str">
        <v>No</v>
      </c>
      <c r="K488" s="94" t="str">
        <v>No</v>
      </c>
      <c r="L488" s="137" t="str">
        <v>Frozen Rate</v>
      </c>
      <c r="M488" s="94" t="str">
        <v>No</v>
      </c>
      <c r="N488" s="134" t="str">
        <v>No</v>
      </c>
      <c r="O488" s="119" t="str">
        <v>Yes</v>
      </c>
      <c r="P488" s="92" t="str">
        <v>N</v>
      </c>
      <c r="Q488" s="91">
        <v>45966</v>
      </c>
      <c r="R488" s="140">
        <v>0</v>
      </c>
      <c r="S488" s="92">
        <v>0</v>
      </c>
      <c r="T488" s="92">
        <v>0</v>
      </c>
      <c r="U488" s="137">
        <v>0</v>
      </c>
      <c r="V488" s="126" t="str">
        <f t="shared" si="14"/>
        <v>❄ Frozen Rate</v>
      </c>
      <c r="W488" s="130">
        <f>IFERROR(_xlfn.XLOOKUP(TEXT(H488,"0000000000"),'📞 Call Tracker'!A$2:A$2000,'📞 Call Tracker'!B$2:B$2000,""),"")</f>
        <v>0</v>
      </c>
      <c r="X488" s="96">
        <f>IFERROR(_xlfn.XLOOKUP(TEXT(H488,"0000000000"),'📞 Call Tracker'!A$2:A$2000,'📞 Call Tracker'!C$2:C$2000,""),"")</f>
        <v>0</v>
      </c>
      <c r="Y488" s="95">
        <f>IFERROR(_xlfn.XLOOKUP(TEXT(H488,"0000000000"),'📞 Call Tracker'!A$2:A$2000,'📞 Call Tracker'!D$2:D$2000,""),"")</f>
        <v>0</v>
      </c>
      <c r="Z488" s="95">
        <f>IFERROR(_xlfn.XLOOKUP(TEXT(H488,"0000000000"),'📞 Call Tracker'!A$2:A$2000,'📞 Call Tracker'!E$2:E$2000,""),"")</f>
        <v>0</v>
      </c>
      <c r="AA488" s="145">
        <f>IFERROR(_xlfn.XLOOKUP(TEXT(H488,"0000000000"),'📞 Call Tracker'!A$2:A$2000,'📞 Call Tracker'!F$2:F$2000,""),"")</f>
        <v>0</v>
      </c>
      <c r="AB488" s="132">
        <f t="shared" si="15"/>
        <v>99</v>
      </c>
      <c r="AC488" s="79"/>
    </row>
    <row r="489" spans="1:29" ht="20.100000000000001" customHeight="1">
      <c r="A489" s="91">
        <v>45905</v>
      </c>
      <c r="B489" s="92" t="str">
        <v>Daniels</v>
      </c>
      <c r="C489" s="92" t="str">
        <v>Shannon</v>
      </c>
      <c r="D489" s="92" t="str">
        <v>Surprise</v>
      </c>
      <c r="E489" s="92">
        <v>85388</v>
      </c>
      <c r="F489" s="137" t="str">
        <v>Form letter</v>
      </c>
      <c r="G489" s="93" t="str">
        <v>https://images.edocket.azcc.gov/docketpdf/E000046230.pdf</v>
      </c>
      <c r="H489" s="150" t="s">
        <v>6257</v>
      </c>
      <c r="I489" s="114" t="str">
        <v>R3-47</v>
      </c>
      <c r="J489" s="94" t="str">
        <v>No</v>
      </c>
      <c r="K489" s="94" t="str">
        <v>No</v>
      </c>
      <c r="L489" s="137" t="str">
        <v>Yes</v>
      </c>
      <c r="M489" s="94" t="str">
        <v>No</v>
      </c>
      <c r="N489" s="134" t="str">
        <v>No</v>
      </c>
      <c r="O489" s="119" t="str">
        <v>Yes</v>
      </c>
      <c r="P489" s="92" t="str">
        <v>N</v>
      </c>
      <c r="Q489" s="91">
        <v>45966</v>
      </c>
      <c r="R489" s="140">
        <v>0</v>
      </c>
      <c r="S489" s="92">
        <v>0</v>
      </c>
      <c r="T489" s="92">
        <v>0</v>
      </c>
      <c r="U489" s="137">
        <v>0</v>
      </c>
      <c r="V489" s="126" t="str">
        <f t="shared" si="14"/>
        <v>✅ On Best Plan</v>
      </c>
      <c r="W489" s="130">
        <f>IFERROR(_xlfn.XLOOKUP(TEXT(H489,"0000000000"),'📞 Call Tracker'!A$2:A$2000,'📞 Call Tracker'!B$2:B$2000,""),"")</f>
        <v>0</v>
      </c>
      <c r="X489" s="96">
        <f>IFERROR(_xlfn.XLOOKUP(TEXT(H489,"0000000000"),'📞 Call Tracker'!A$2:A$2000,'📞 Call Tracker'!C$2:C$2000,""),"")</f>
        <v>0</v>
      </c>
      <c r="Y489" s="95">
        <f>IFERROR(_xlfn.XLOOKUP(TEXT(H489,"0000000000"),'📞 Call Tracker'!A$2:A$2000,'📞 Call Tracker'!D$2:D$2000,""),"")</f>
        <v>0</v>
      </c>
      <c r="Z489" s="95">
        <f>IFERROR(_xlfn.XLOOKUP(TEXT(H489,"0000000000"),'📞 Call Tracker'!A$2:A$2000,'📞 Call Tracker'!E$2:E$2000,""),"")</f>
        <v>0</v>
      </c>
      <c r="AA489" s="145">
        <f>IFERROR(_xlfn.XLOOKUP(TEXT(H489,"0000000000"),'📞 Call Tracker'!A$2:A$2000,'📞 Call Tracker'!F$2:F$2000,""),"")</f>
        <v>0</v>
      </c>
      <c r="AB489" s="132">
        <f t="shared" si="15"/>
        <v>99</v>
      </c>
      <c r="AC489" s="79"/>
    </row>
    <row r="490" spans="1:29" ht="20.100000000000001" customHeight="1">
      <c r="A490" s="91">
        <v>45905</v>
      </c>
      <c r="B490" s="92" t="str">
        <v>Heiser</v>
      </c>
      <c r="C490" s="92" t="str">
        <v>Morgan</v>
      </c>
      <c r="D490" s="92" t="str">
        <v>Phoenix</v>
      </c>
      <c r="E490" s="92">
        <v>85014</v>
      </c>
      <c r="F490" s="137" t="str">
        <v>Opposed</v>
      </c>
      <c r="G490" s="93" t="str">
        <v>https://images.edocket.azcc.gov/docketpdf/E000046230.pdf</v>
      </c>
      <c r="H490" s="150" t="s">
        <v>6258</v>
      </c>
      <c r="I490" s="114" t="str">
        <v>R3-47</v>
      </c>
      <c r="J490" s="94" t="str">
        <v>No</v>
      </c>
      <c r="K490" s="94" t="str">
        <v>No</v>
      </c>
      <c r="L490" s="137" t="str">
        <v>No MEP R-XS($171.24)</v>
      </c>
      <c r="M490" s="94" t="str">
        <v>No</v>
      </c>
      <c r="N490" s="134" t="str">
        <v>No</v>
      </c>
      <c r="O490" s="119" t="str">
        <v>Yes</v>
      </c>
      <c r="P490" s="92">
        <v>45936</v>
      </c>
      <c r="Q490" s="91">
        <v>45966</v>
      </c>
      <c r="R490" s="140" t="str">
        <v>10/06/2025 left vm</v>
      </c>
      <c r="S490" s="92">
        <v>0</v>
      </c>
      <c r="T490" s="92">
        <v>0</v>
      </c>
      <c r="U490" s="137">
        <v>0</v>
      </c>
      <c r="V490" s="126" t="str">
        <f t="shared" si="14"/>
        <v>❌ Not on Best Plan</v>
      </c>
      <c r="W490" s="130">
        <f>IFERROR(_xlfn.XLOOKUP(TEXT(H490,"0000000000"),'📞 Call Tracker'!A$2:A$2000,'📞 Call Tracker'!B$2:B$2000,""),"")</f>
        <v>0</v>
      </c>
      <c r="X490" s="96">
        <f>IFERROR(_xlfn.XLOOKUP(TEXT(H490,"0000000000"),'📞 Call Tracker'!A$2:A$2000,'📞 Call Tracker'!C$2:C$2000,""),"")</f>
        <v>0</v>
      </c>
      <c r="Y490" s="95">
        <f>IFERROR(_xlfn.XLOOKUP(TEXT(H490,"0000000000"),'📞 Call Tracker'!A$2:A$2000,'📞 Call Tracker'!D$2:D$2000,""),"")</f>
        <v>0</v>
      </c>
      <c r="Z490" s="95">
        <f>IFERROR(_xlfn.XLOOKUP(TEXT(H490,"0000000000"),'📞 Call Tracker'!A$2:A$2000,'📞 Call Tracker'!E$2:E$2000,""),"")</f>
        <v>0</v>
      </c>
      <c r="AA490" s="145">
        <f>IFERROR(_xlfn.XLOOKUP(TEXT(H490,"0000000000"),'📞 Call Tracker'!A$2:A$2000,'📞 Call Tracker'!F$2:F$2000,""),"")</f>
        <v>0</v>
      </c>
      <c r="AB490" s="132">
        <f t="shared" si="15"/>
        <v>99</v>
      </c>
      <c r="AC490" s="79"/>
    </row>
    <row r="491" spans="1:29" ht="20.100000000000001" customHeight="1">
      <c r="A491" s="91">
        <v>45905</v>
      </c>
      <c r="B491" s="92" t="str">
        <v>Michels</v>
      </c>
      <c r="C491" s="92" t="str">
        <v>Aleshia</v>
      </c>
      <c r="D491" s="92" t="str">
        <v>Mayer</v>
      </c>
      <c r="E491" s="92">
        <v>86333</v>
      </c>
      <c r="F491" s="137" t="str">
        <v>Opposed</v>
      </c>
      <c r="G491" s="93" t="str">
        <v>https://images.edocket.azcc.gov/docketpdf/E000046230.pdf</v>
      </c>
      <c r="H491" s="150" t="s">
        <v>6039</v>
      </c>
      <c r="I491" s="114" t="str">
        <v>R3-47</v>
      </c>
      <c r="J491" s="94" t="str">
        <v>No</v>
      </c>
      <c r="K491" s="94" t="str">
        <v>No</v>
      </c>
      <c r="L491" s="137" t="str">
        <v>Yes</v>
      </c>
      <c r="M491" s="94" t="str">
        <v>No</v>
      </c>
      <c r="N491" s="134" t="str">
        <v>No</v>
      </c>
      <c r="O491" s="119" t="str">
        <v>Yes</v>
      </c>
      <c r="P491" s="92" t="str">
        <v>N</v>
      </c>
      <c r="Q491" s="91">
        <v>45966</v>
      </c>
      <c r="R491" s="140">
        <v>0</v>
      </c>
      <c r="S491" s="92">
        <v>0</v>
      </c>
      <c r="T491" s="92">
        <v>0</v>
      </c>
      <c r="U491" s="137" t="str">
        <v>filed 2x on this day</v>
      </c>
      <c r="V491" s="126" t="str">
        <f t="shared" si="14"/>
        <v>✅ On Best Plan</v>
      </c>
      <c r="W491" s="130" t="str">
        <f>IFERROR(_xlfn.XLOOKUP(TEXT(H491,"0000000000"),'📞 Call Tracker'!A$2:A$2000,'📞 Call Tracker'!B$2:B$2000,""),"")</f>
        <v>Joaquin</v>
      </c>
      <c r="X491" s="96">
        <f>IFERROR(_xlfn.XLOOKUP(TEXT(H491,"0000000000"),'📞 Call Tracker'!A$2:A$2000,'📞 Call Tracker'!C$2:C$2000,""),"")</f>
        <v>46046</v>
      </c>
      <c r="Y491" s="95" t="str">
        <f>IFERROR(_xlfn.XLOOKUP(TEXT(H491,"0000000000"),'📞 Call Tracker'!A$2:A$2000,'📞 Call Tracker'!D$2:D$2000,""),"")</f>
        <v>NO</v>
      </c>
      <c r="Z491" s="95">
        <f>IFERROR(_xlfn.XLOOKUP(TEXT(H491,"0000000000"),'📞 Call Tracker'!A$2:A$2000,'📞 Call Tracker'!E$2:E$2000,""),"")</f>
        <v>0</v>
      </c>
      <c r="AA491" s="145" t="str">
        <f>IFERROR(_xlfn.XLOOKUP(TEXT(H491,"0000000000"),'📞 Call Tracker'!A$2:A$2000,'📞 Call Tracker'!F$2:F$2000,""),"")</f>
        <v>NO V-M OPTION</v>
      </c>
      <c r="AB491" s="132">
        <f t="shared" si="15"/>
        <v>99</v>
      </c>
      <c r="AC491" s="79"/>
    </row>
    <row r="492" spans="1:29" ht="20.100000000000001" customHeight="1">
      <c r="A492" s="91">
        <v>45905</v>
      </c>
      <c r="B492" s="92" t="str">
        <v>Phipps</v>
      </c>
      <c r="C492" s="92" t="str">
        <v>Michelle</v>
      </c>
      <c r="D492" s="92" t="str">
        <v>Casa Grande</v>
      </c>
      <c r="E492" s="92">
        <v>85122</v>
      </c>
      <c r="F492" s="137" t="str">
        <v>Opposed, out of control</v>
      </c>
      <c r="G492" s="93" t="str">
        <v>https://images.edocket.azcc.gov/docketpdf/E000046230.pdf</v>
      </c>
      <c r="H492" s="150" t="s">
        <v>6259</v>
      </c>
      <c r="I492" s="114" t="str">
        <v>RTOUE47</v>
      </c>
      <c r="J492" s="94" t="str">
        <v>Yes</v>
      </c>
      <c r="K492" s="94" t="str">
        <v>No</v>
      </c>
      <c r="L492" s="137" t="str">
        <v>No MEP R3-47($1.24)</v>
      </c>
      <c r="M492" s="94" t="str">
        <v>No</v>
      </c>
      <c r="N492" s="134" t="str">
        <v>No</v>
      </c>
      <c r="O492" s="119" t="str">
        <v>Yes</v>
      </c>
      <c r="P492" s="92" t="str">
        <v>N</v>
      </c>
      <c r="Q492" s="91">
        <v>45966</v>
      </c>
      <c r="R492" s="140">
        <v>0</v>
      </c>
      <c r="S492" s="92">
        <v>0</v>
      </c>
      <c r="T492" s="92">
        <v>0</v>
      </c>
      <c r="U492" s="137">
        <v>0</v>
      </c>
      <c r="V492" s="126" t="str">
        <f t="shared" si="14"/>
        <v>❌ Not on Best Plan</v>
      </c>
      <c r="W492" s="130">
        <f>IFERROR(_xlfn.XLOOKUP(TEXT(H492,"0000000000"),'📞 Call Tracker'!A$2:A$2000,'📞 Call Tracker'!B$2:B$2000,""),"")</f>
        <v>0</v>
      </c>
      <c r="X492" s="96">
        <f>IFERROR(_xlfn.XLOOKUP(TEXT(H492,"0000000000"),'📞 Call Tracker'!A$2:A$2000,'📞 Call Tracker'!C$2:C$2000,""),"")</f>
        <v>0</v>
      </c>
      <c r="Y492" s="95">
        <f>IFERROR(_xlfn.XLOOKUP(TEXT(H492,"0000000000"),'📞 Call Tracker'!A$2:A$2000,'📞 Call Tracker'!D$2:D$2000,""),"")</f>
        <v>0</v>
      </c>
      <c r="Z492" s="95">
        <f>IFERROR(_xlfn.XLOOKUP(TEXT(H492,"0000000000"),'📞 Call Tracker'!A$2:A$2000,'📞 Call Tracker'!E$2:E$2000,""),"")</f>
        <v>0</v>
      </c>
      <c r="AA492" s="145">
        <f>IFERROR(_xlfn.XLOOKUP(TEXT(H492,"0000000000"),'📞 Call Tracker'!A$2:A$2000,'📞 Call Tracker'!F$2:F$2000,""),"")</f>
        <v>0</v>
      </c>
      <c r="AB492" s="132">
        <f t="shared" si="15"/>
        <v>99</v>
      </c>
      <c r="AC492" s="79"/>
    </row>
    <row r="493" spans="1:29" ht="20.100000000000001" customHeight="1">
      <c r="A493" s="91">
        <v>45905</v>
      </c>
      <c r="B493" s="92" t="str">
        <v>Albers</v>
      </c>
      <c r="C493" s="92" t="str">
        <v xml:space="preserve">Ann </v>
      </c>
      <c r="D493" s="92" t="str">
        <v>Phoenix</v>
      </c>
      <c r="E493" s="92">
        <v>85032</v>
      </c>
      <c r="F493" s="137" t="str">
        <v>Form letter</v>
      </c>
      <c r="G493" s="93" t="str">
        <v>https://images.edocket.azcc.gov/docketpdf/E000046230.pdf</v>
      </c>
      <c r="H493" s="150" t="s">
        <v>6706</v>
      </c>
      <c r="I493" s="114" t="str">
        <v>R-2</v>
      </c>
      <c r="J493" s="94" t="str">
        <v>No</v>
      </c>
      <c r="K493" s="94" t="str">
        <v>No</v>
      </c>
      <c r="L493" s="137" t="str">
        <v>Frozen Rate</v>
      </c>
      <c r="M493" s="94" t="str">
        <v>No</v>
      </c>
      <c r="N493" s="134" t="str">
        <v>No</v>
      </c>
      <c r="O493" s="119" t="str">
        <v>Yes</v>
      </c>
      <c r="P493" s="92" t="str">
        <v>N</v>
      </c>
      <c r="Q493" s="91">
        <v>45966</v>
      </c>
      <c r="R493" s="140">
        <v>0</v>
      </c>
      <c r="S493" s="92">
        <v>0</v>
      </c>
      <c r="T493" s="92">
        <v>0</v>
      </c>
      <c r="U493" s="137">
        <v>0</v>
      </c>
      <c r="V493" s="126" t="str">
        <f t="shared" si="14"/>
        <v>❄ Frozen Rate</v>
      </c>
      <c r="W493" s="130" t="str">
        <f>IFERROR(_xlfn.XLOOKUP(TEXT(H493,"0000000000"),'📞 Call Tracker'!A$2:A$2000,'📞 Call Tracker'!B$2:B$2000,""),"")</f>
        <v/>
      </c>
      <c r="X493" s="96" t="str">
        <f>IFERROR(_xlfn.XLOOKUP(TEXT(H493,"0000000000"),'📞 Call Tracker'!A$2:A$2000,'📞 Call Tracker'!C$2:C$2000,""),"")</f>
        <v/>
      </c>
      <c r="Y493" s="95" t="str">
        <f>IFERROR(_xlfn.XLOOKUP(TEXT(H493,"0000000000"),'📞 Call Tracker'!A$2:A$2000,'📞 Call Tracker'!D$2:D$2000,""),"")</f>
        <v/>
      </c>
      <c r="Z493" s="95" t="str">
        <f>IFERROR(_xlfn.XLOOKUP(TEXT(H493,"0000000000"),'📞 Call Tracker'!A$2:A$2000,'📞 Call Tracker'!E$2:E$2000,""),"")</f>
        <v/>
      </c>
      <c r="AA493" s="145" t="str">
        <f>IFERROR(_xlfn.XLOOKUP(TEXT(H493,"0000000000"),'📞 Call Tracker'!A$2:A$2000,'📞 Call Tracker'!F$2:F$2000,""),"")</f>
        <v/>
      </c>
      <c r="AB493" s="132">
        <f t="shared" si="15"/>
        <v>4</v>
      </c>
      <c r="AC493" s="79"/>
    </row>
    <row r="494" spans="1:29" ht="20.100000000000001" customHeight="1">
      <c r="A494" s="91">
        <v>45905</v>
      </c>
      <c r="B494" s="92" t="str">
        <v>Calvert</v>
      </c>
      <c r="C494" s="92" t="str">
        <v>Tess</v>
      </c>
      <c r="D494" s="92" t="str">
        <v>Phoenix</v>
      </c>
      <c r="E494" s="92">
        <v>85007</v>
      </c>
      <c r="F494" s="137" t="str">
        <v>Barely afford now</v>
      </c>
      <c r="G494" s="93" t="str">
        <v>https://images.edocket.azcc.gov/docketpdf/E000046230.pdf</v>
      </c>
      <c r="H494" s="150" t="s">
        <v>6260</v>
      </c>
      <c r="I494" s="114" t="str">
        <v>RTOUE47</v>
      </c>
      <c r="J494" s="94" t="str">
        <v>No</v>
      </c>
      <c r="K494" s="94" t="str">
        <v>No</v>
      </c>
      <c r="L494" s="137" t="str">
        <v>No MEP R3-47(517.75)</v>
      </c>
      <c r="M494" s="94" t="str">
        <v>No</v>
      </c>
      <c r="N494" s="134" t="str">
        <v>No</v>
      </c>
      <c r="O494" s="119" t="str">
        <v>Yes</v>
      </c>
      <c r="P494" s="92">
        <v>45936</v>
      </c>
      <c r="Q494" s="91">
        <v>45966</v>
      </c>
      <c r="R494" s="140" t="str">
        <v>COR will think about potentially changing to MEP- cor is upset at potentiall rate changes in the future - 10/15 COR MADE RATE CHANGE ONLINE</v>
      </c>
      <c r="S494" s="92">
        <v>0</v>
      </c>
      <c r="T494" s="92">
        <v>0</v>
      </c>
      <c r="U494" s="137">
        <v>0</v>
      </c>
      <c r="V494" s="126" t="str">
        <f t="shared" si="14"/>
        <v>❌ Not on Best Plan</v>
      </c>
      <c r="W494" s="130">
        <f>IFERROR(_xlfn.XLOOKUP(TEXT(H494,"0000000000"),'📞 Call Tracker'!A$2:A$2000,'📞 Call Tracker'!B$2:B$2000,""),"")</f>
        <v>0</v>
      </c>
      <c r="X494" s="96">
        <f>IFERROR(_xlfn.XLOOKUP(TEXT(H494,"0000000000"),'📞 Call Tracker'!A$2:A$2000,'📞 Call Tracker'!C$2:C$2000,""),"")</f>
        <v>0</v>
      </c>
      <c r="Y494" s="95">
        <f>IFERROR(_xlfn.XLOOKUP(TEXT(H494,"0000000000"),'📞 Call Tracker'!A$2:A$2000,'📞 Call Tracker'!D$2:D$2000,""),"")</f>
        <v>0</v>
      </c>
      <c r="Z494" s="95">
        <f>IFERROR(_xlfn.XLOOKUP(TEXT(H494,"0000000000"),'📞 Call Tracker'!A$2:A$2000,'📞 Call Tracker'!E$2:E$2000,""),"")</f>
        <v>0</v>
      </c>
      <c r="AA494" s="145">
        <f>IFERROR(_xlfn.XLOOKUP(TEXT(H494,"0000000000"),'📞 Call Tracker'!A$2:A$2000,'📞 Call Tracker'!F$2:F$2000,""),"")</f>
        <v>0</v>
      </c>
      <c r="AB494" s="132">
        <f t="shared" si="15"/>
        <v>99</v>
      </c>
      <c r="AC494" s="79"/>
    </row>
    <row r="495" spans="1:29" ht="20.100000000000001" customHeight="1">
      <c r="A495" s="91">
        <v>45905</v>
      </c>
      <c r="B495" s="92" t="str">
        <v>Hurd</v>
      </c>
      <c r="C495" s="92" t="str">
        <v>Robert</v>
      </c>
      <c r="D495" s="92" t="str">
        <v>Goodyear</v>
      </c>
      <c r="E495" s="92">
        <v>85395</v>
      </c>
      <c r="F495" s="137" t="str">
        <v>Middle class are suffering enough</v>
      </c>
      <c r="G495" s="93" t="str">
        <v>https://images.edocket.azcc.gov/docketpdf/E000046230.pdf</v>
      </c>
      <c r="H495" s="150" t="s">
        <v>6040</v>
      </c>
      <c r="I495" s="114" t="str">
        <v>R3-47</v>
      </c>
      <c r="J495" s="94" t="str">
        <v>No</v>
      </c>
      <c r="K495" s="94" t="str">
        <v>No</v>
      </c>
      <c r="L495" s="137" t="str">
        <v>Yes</v>
      </c>
      <c r="M495" s="94" t="str">
        <v>No</v>
      </c>
      <c r="N495" s="134" t="str">
        <v>No</v>
      </c>
      <c r="O495" s="119" t="str">
        <v>Yes</v>
      </c>
      <c r="P495" s="92" t="str">
        <v>N</v>
      </c>
      <c r="Q495" s="91">
        <v>45966</v>
      </c>
      <c r="R495" s="140">
        <v>0</v>
      </c>
      <c r="S495" s="92">
        <v>0</v>
      </c>
      <c r="T495" s="92">
        <v>0</v>
      </c>
      <c r="U495" s="137">
        <v>0</v>
      </c>
      <c r="V495" s="126" t="str">
        <f t="shared" si="14"/>
        <v>✅ On Best Plan</v>
      </c>
      <c r="W495" s="130" t="str">
        <f>IFERROR(_xlfn.XLOOKUP(TEXT(H495,"0000000000"),'📞 Call Tracker'!A$2:A$2000,'📞 Call Tracker'!B$2:B$2000,""),"")</f>
        <v>Joaquin</v>
      </c>
      <c r="X495" s="96">
        <f>IFERROR(_xlfn.XLOOKUP(TEXT(H495,"0000000000"),'📞 Call Tracker'!A$2:A$2000,'📞 Call Tracker'!C$2:C$2000,""),"")</f>
        <v>46046</v>
      </c>
      <c r="Y495" s="95" t="str">
        <f>IFERROR(_xlfn.XLOOKUP(TEXT(H495,"0000000000"),'📞 Call Tracker'!A$2:A$2000,'📞 Call Tracker'!D$2:D$2000,""),"")</f>
        <v>YES</v>
      </c>
      <c r="Z495" s="95">
        <f>IFERROR(_xlfn.XLOOKUP(TEXT(H495,"0000000000"),'📞 Call Tracker'!A$2:A$2000,'📞 Call Tracker'!E$2:E$2000,""),"")</f>
        <v>0</v>
      </c>
      <c r="AA495" s="145" t="str">
        <f>IFERROR(_xlfn.XLOOKUP(TEXT(H495,"0000000000"),'📞 Call Tracker'!A$2:A$2000,'📞 Call Tracker'!F$2:F$2000,""),"")</f>
        <v>LEFT V-M</v>
      </c>
      <c r="AB495" s="132">
        <f t="shared" si="15"/>
        <v>99</v>
      </c>
      <c r="AC495" s="79"/>
    </row>
    <row r="496" spans="1:29" ht="20.100000000000001" customHeight="1">
      <c r="A496" s="91">
        <v>45905</v>
      </c>
      <c r="B496" s="92" t="str">
        <v>Li</v>
      </c>
      <c r="C496" s="92" t="str">
        <v>Duo</v>
      </c>
      <c r="D496" s="92" t="str">
        <v>Peoria</v>
      </c>
      <c r="E496" s="92">
        <v>85383</v>
      </c>
      <c r="F496" s="137" t="str">
        <v>Form letter</v>
      </c>
      <c r="G496" s="93" t="str">
        <v>https://images.edocket.azcc.gov/docketpdf/E000046230.pdf</v>
      </c>
      <c r="H496" s="150" t="s">
        <v>6261</v>
      </c>
      <c r="I496" s="114" t="str">
        <v>EPR-6w/E-12</v>
      </c>
      <c r="J496" s="94" t="str">
        <v>No</v>
      </c>
      <c r="K496" s="94" t="str">
        <v>No</v>
      </c>
      <c r="L496" s="137" t="str">
        <v>Frozen Rate</v>
      </c>
      <c r="M496" s="94" t="str">
        <v>No</v>
      </c>
      <c r="N496" s="134" t="str">
        <v>No</v>
      </c>
      <c r="O496" s="119" t="str">
        <v>Yes</v>
      </c>
      <c r="P496" s="92" t="str">
        <v>N</v>
      </c>
      <c r="Q496" s="91">
        <v>45966</v>
      </c>
      <c r="R496" s="140">
        <v>0</v>
      </c>
      <c r="S496" s="92">
        <v>0</v>
      </c>
      <c r="T496" s="92">
        <v>0</v>
      </c>
      <c r="U496" s="137">
        <v>0</v>
      </c>
      <c r="V496" s="126" t="str">
        <f t="shared" si="14"/>
        <v>❄ Frozen Rate</v>
      </c>
      <c r="W496" s="130">
        <f>IFERROR(_xlfn.XLOOKUP(TEXT(H496,"0000000000"),'📞 Call Tracker'!A$2:A$2000,'📞 Call Tracker'!B$2:B$2000,""),"")</f>
        <v>0</v>
      </c>
      <c r="X496" s="96">
        <f>IFERROR(_xlfn.XLOOKUP(TEXT(H496,"0000000000"),'📞 Call Tracker'!A$2:A$2000,'📞 Call Tracker'!C$2:C$2000,""),"")</f>
        <v>0</v>
      </c>
      <c r="Y496" s="95">
        <f>IFERROR(_xlfn.XLOOKUP(TEXT(H496,"0000000000"),'📞 Call Tracker'!A$2:A$2000,'📞 Call Tracker'!D$2:D$2000,""),"")</f>
        <v>0</v>
      </c>
      <c r="Z496" s="95">
        <f>IFERROR(_xlfn.XLOOKUP(TEXT(H496,"0000000000"),'📞 Call Tracker'!A$2:A$2000,'📞 Call Tracker'!E$2:E$2000,""),"")</f>
        <v>0</v>
      </c>
      <c r="AA496" s="145">
        <f>IFERROR(_xlfn.XLOOKUP(TEXT(H496,"0000000000"),'📞 Call Tracker'!A$2:A$2000,'📞 Call Tracker'!F$2:F$2000,""),"")</f>
        <v>0</v>
      </c>
      <c r="AB496" s="132">
        <f t="shared" si="15"/>
        <v>99</v>
      </c>
      <c r="AC496" s="79"/>
    </row>
    <row r="497" spans="1:29" ht="20.100000000000001" customHeight="1">
      <c r="A497" s="91">
        <v>45905</v>
      </c>
      <c r="B497" s="92" t="str">
        <v>Pereluka</v>
      </c>
      <c r="C497" s="92" t="str">
        <v>Vasyl</v>
      </c>
      <c r="D497" s="92" t="str">
        <v>Phoenix</v>
      </c>
      <c r="E497" s="92">
        <v>85012</v>
      </c>
      <c r="F497" s="137" t="str">
        <v>not interested in paying more</v>
      </c>
      <c r="G497" s="93" t="str">
        <v>https://images.edocket.azcc.gov/docketpdf/E000046230.pdf</v>
      </c>
      <c r="H497" s="150" t="s">
        <v>6041</v>
      </c>
      <c r="I497" s="114" t="str">
        <v>R-XS</v>
      </c>
      <c r="J497" s="94" t="str">
        <v>No</v>
      </c>
      <c r="K497" s="94" t="str">
        <v>No</v>
      </c>
      <c r="L497" s="137" t="str">
        <v>Yes</v>
      </c>
      <c r="M497" s="94" t="str">
        <v>No</v>
      </c>
      <c r="N497" s="134" t="str">
        <v>No</v>
      </c>
      <c r="O497" s="119" t="str">
        <v>Yes</v>
      </c>
      <c r="P497" s="92" t="str">
        <v>N</v>
      </c>
      <c r="Q497" s="91">
        <v>45966</v>
      </c>
      <c r="R497" s="140">
        <v>0</v>
      </c>
      <c r="S497" s="92">
        <v>0</v>
      </c>
      <c r="T497" s="92">
        <v>0</v>
      </c>
      <c r="U497" s="137">
        <v>0</v>
      </c>
      <c r="V497" s="126" t="str">
        <f t="shared" si="14"/>
        <v>✅ On Best Plan</v>
      </c>
      <c r="W497" s="130" t="str">
        <f>IFERROR(_xlfn.XLOOKUP(TEXT(H497,"0000000000"),'📞 Call Tracker'!A$2:A$2000,'📞 Call Tracker'!B$2:B$2000,""),"")</f>
        <v>Joaquin</v>
      </c>
      <c r="X497" s="96">
        <f>IFERROR(_xlfn.XLOOKUP(TEXT(H497,"0000000000"),'📞 Call Tracker'!A$2:A$2000,'📞 Call Tracker'!C$2:C$2000,""),"")</f>
        <v>46046</v>
      </c>
      <c r="Y497" s="95" t="str">
        <f>IFERROR(_xlfn.XLOOKUP(TEXT(H497,"0000000000"),'📞 Call Tracker'!A$2:A$2000,'📞 Call Tracker'!D$2:D$2000,""),"")</f>
        <v>YES</v>
      </c>
      <c r="Z497" s="95">
        <f>IFERROR(_xlfn.XLOOKUP(TEXT(H497,"0000000000"),'📞 Call Tracker'!A$2:A$2000,'📞 Call Tracker'!E$2:E$2000,""),"")</f>
        <v>0</v>
      </c>
      <c r="AA497" s="145" t="str">
        <f>IFERROR(_xlfn.XLOOKUP(TEXT(H497,"0000000000"),'📞 Call Tracker'!A$2:A$2000,'📞 Call Tracker'!F$2:F$2000,""),"")</f>
        <v>LEFT V-M</v>
      </c>
      <c r="AB497" s="132">
        <f t="shared" si="15"/>
        <v>99</v>
      </c>
      <c r="AC497" s="79"/>
    </row>
    <row r="498" spans="1:29" ht="20.100000000000001" customHeight="1">
      <c r="A498" s="91">
        <v>45905</v>
      </c>
      <c r="B498" s="92" t="str">
        <v>Wagner</v>
      </c>
      <c r="C498" s="92" t="str">
        <v>Ryan</v>
      </c>
      <c r="D498" s="92" t="str">
        <v>Scottsdale</v>
      </c>
      <c r="E498" s="92">
        <v>85259</v>
      </c>
      <c r="F498" s="137" t="str">
        <v>Opposed</v>
      </c>
      <c r="G498" s="93" t="str">
        <v>https://images.edocket.azcc.gov/docketpdf/E000046230.pdf</v>
      </c>
      <c r="H498" s="150" t="s">
        <v>6262</v>
      </c>
      <c r="I498" s="114" t="str">
        <v>R3-47</v>
      </c>
      <c r="J498" s="94" t="str">
        <v>No</v>
      </c>
      <c r="K498" s="94" t="str">
        <v>No</v>
      </c>
      <c r="L498" s="137" t="str">
        <v>Yes</v>
      </c>
      <c r="M498" s="94" t="str">
        <v>No</v>
      </c>
      <c r="N498" s="134" t="str">
        <v>No</v>
      </c>
      <c r="O498" s="119" t="str">
        <v>Yes</v>
      </c>
      <c r="P498" s="92" t="str">
        <v>N</v>
      </c>
      <c r="Q498" s="91">
        <v>45966</v>
      </c>
      <c r="R498" s="140" t="str">
        <v>10/9 changed rate to REV</v>
      </c>
      <c r="S498" s="92">
        <v>0</v>
      </c>
      <c r="T498" s="92">
        <v>0</v>
      </c>
      <c r="U498" s="137">
        <v>0</v>
      </c>
      <c r="V498" s="126" t="str">
        <f t="shared" si="14"/>
        <v>✅ On Best Plan</v>
      </c>
      <c r="W498" s="130">
        <f>IFERROR(_xlfn.XLOOKUP(TEXT(H498,"0000000000"),'📞 Call Tracker'!A$2:A$2000,'📞 Call Tracker'!B$2:B$2000,""),"")</f>
        <v>0</v>
      </c>
      <c r="X498" s="96">
        <f>IFERROR(_xlfn.XLOOKUP(TEXT(H498,"0000000000"),'📞 Call Tracker'!A$2:A$2000,'📞 Call Tracker'!C$2:C$2000,""),"")</f>
        <v>0</v>
      </c>
      <c r="Y498" s="95">
        <f>IFERROR(_xlfn.XLOOKUP(TEXT(H498,"0000000000"),'📞 Call Tracker'!A$2:A$2000,'📞 Call Tracker'!D$2:D$2000,""),"")</f>
        <v>0</v>
      </c>
      <c r="Z498" s="95">
        <f>IFERROR(_xlfn.XLOOKUP(TEXT(H498,"0000000000"),'📞 Call Tracker'!A$2:A$2000,'📞 Call Tracker'!E$2:E$2000,""),"")</f>
        <v>0</v>
      </c>
      <c r="AA498" s="145">
        <f>IFERROR(_xlfn.XLOOKUP(TEXT(H498,"0000000000"),'📞 Call Tracker'!A$2:A$2000,'📞 Call Tracker'!F$2:F$2000,""),"")</f>
        <v>0</v>
      </c>
      <c r="AB498" s="132">
        <f t="shared" si="15"/>
        <v>99</v>
      </c>
      <c r="AC498" s="79"/>
    </row>
    <row r="499" spans="1:29" ht="20.100000000000001" customHeight="1">
      <c r="A499" s="91">
        <v>45905</v>
      </c>
      <c r="B499" s="92" t="str">
        <v>Smith</v>
      </c>
      <c r="C499" s="92" t="str">
        <v>Jordon</v>
      </c>
      <c r="D499" s="92" t="str">
        <v>Phoenix</v>
      </c>
      <c r="E499" s="92">
        <v>85028</v>
      </c>
      <c r="F499" s="137" t="str">
        <v>Opposed</v>
      </c>
      <c r="G499" s="93" t="str">
        <v>https://images.edocket.azcc.gov/docketpdf/E000046230.pdf</v>
      </c>
      <c r="H499" s="150" t="s">
        <v>6707</v>
      </c>
      <c r="I499" s="114" t="str">
        <v>R-BASICL</v>
      </c>
      <c r="J499" s="94" t="str">
        <v>No</v>
      </c>
      <c r="K499" s="94" t="str">
        <v>No</v>
      </c>
      <c r="L499" s="137" t="str">
        <v>No MEP R3-47($694.71)</v>
      </c>
      <c r="M499" s="94" t="str">
        <v>No</v>
      </c>
      <c r="N499" s="134" t="str">
        <v>No</v>
      </c>
      <c r="O499" s="119" t="str">
        <v>Yes</v>
      </c>
      <c r="P499" s="92">
        <v>45936</v>
      </c>
      <c r="Q499" s="91">
        <v>45966</v>
      </c>
      <c r="R499" s="140" t="str">
        <v>10/06/2025 left vm</v>
      </c>
      <c r="S499" s="92">
        <v>0</v>
      </c>
      <c r="T499" s="92">
        <v>0</v>
      </c>
      <c r="U499" s="137">
        <v>0</v>
      </c>
      <c r="V499" s="126" t="str">
        <f t="shared" si="14"/>
        <v>❌ Not on Best Plan</v>
      </c>
      <c r="W499" s="130" t="str">
        <f>IFERROR(_xlfn.XLOOKUP(TEXT(H499,"0000000000"),'📞 Call Tracker'!A$2:A$2000,'📞 Call Tracker'!B$2:B$2000,""),"")</f>
        <v/>
      </c>
      <c r="X499" s="96" t="str">
        <f>IFERROR(_xlfn.XLOOKUP(TEXT(H499,"0000000000"),'📞 Call Tracker'!A$2:A$2000,'📞 Call Tracker'!C$2:C$2000,""),"")</f>
        <v/>
      </c>
      <c r="Y499" s="95" t="str">
        <f>IFERROR(_xlfn.XLOOKUP(TEXT(H499,"0000000000"),'📞 Call Tracker'!A$2:A$2000,'📞 Call Tracker'!D$2:D$2000,""),"")</f>
        <v/>
      </c>
      <c r="Z499" s="95" t="str">
        <f>IFERROR(_xlfn.XLOOKUP(TEXT(H499,"0000000000"),'📞 Call Tracker'!A$2:A$2000,'📞 Call Tracker'!E$2:E$2000,""),"")</f>
        <v/>
      </c>
      <c r="AA499" s="145" t="str">
        <f>IFERROR(_xlfn.XLOOKUP(TEXT(H499,"0000000000"),'📞 Call Tracker'!A$2:A$2000,'📞 Call Tracker'!F$2:F$2000,""),"")</f>
        <v/>
      </c>
      <c r="AB499" s="132">
        <f t="shared" si="15"/>
        <v>2</v>
      </c>
      <c r="AC499" s="79"/>
    </row>
    <row r="500" spans="1:29" ht="20.100000000000001" customHeight="1">
      <c r="A500" s="91">
        <v>45905</v>
      </c>
      <c r="B500" s="92" t="str">
        <v>Long</v>
      </c>
      <c r="C500" s="92" t="str">
        <v>Dana</v>
      </c>
      <c r="D500" s="92" t="str">
        <v>Phoenix</v>
      </c>
      <c r="E500" s="92">
        <v>85027</v>
      </c>
      <c r="F500" s="137" t="str">
        <v>Form letter</v>
      </c>
      <c r="G500" s="93" t="str">
        <v>https://images.edocket.azcc.gov/docketpdf/E000046230.pdf</v>
      </c>
      <c r="H500" s="150" t="s">
        <v>6708</v>
      </c>
      <c r="I500" s="114" t="str">
        <v>R-BASIC</v>
      </c>
      <c r="J500" s="94" t="str">
        <v>No</v>
      </c>
      <c r="K500" s="94" t="str">
        <v>No</v>
      </c>
      <c r="L500" s="137" t="str">
        <v>Yes</v>
      </c>
      <c r="M500" s="94" t="str">
        <v>No</v>
      </c>
      <c r="N500" s="134" t="str">
        <v>No</v>
      </c>
      <c r="O500" s="119" t="str">
        <v>Yes</v>
      </c>
      <c r="P500" s="92" t="str">
        <v>N</v>
      </c>
      <c r="Q500" s="91">
        <v>45966</v>
      </c>
      <c r="R500" s="140">
        <v>0</v>
      </c>
      <c r="S500" s="92">
        <v>0</v>
      </c>
      <c r="T500" s="92">
        <v>0</v>
      </c>
      <c r="U500" s="137">
        <v>0</v>
      </c>
      <c r="V500" s="126" t="str">
        <f t="shared" si="14"/>
        <v>✅ On Best Plan</v>
      </c>
      <c r="W500" s="130" t="str">
        <f>IFERROR(_xlfn.XLOOKUP(TEXT(H500,"0000000000"),'📞 Call Tracker'!A$2:A$2000,'📞 Call Tracker'!B$2:B$2000,""),"")</f>
        <v/>
      </c>
      <c r="X500" s="96" t="str">
        <f>IFERROR(_xlfn.XLOOKUP(TEXT(H500,"0000000000"),'📞 Call Tracker'!A$2:A$2000,'📞 Call Tracker'!C$2:C$2000,""),"")</f>
        <v/>
      </c>
      <c r="Y500" s="95" t="str">
        <f>IFERROR(_xlfn.XLOOKUP(TEXT(H500,"0000000000"),'📞 Call Tracker'!A$2:A$2000,'📞 Call Tracker'!D$2:D$2000,""),"")</f>
        <v/>
      </c>
      <c r="Z500" s="95" t="str">
        <f>IFERROR(_xlfn.XLOOKUP(TEXT(H500,"0000000000"),'📞 Call Tracker'!A$2:A$2000,'📞 Call Tracker'!E$2:E$2000,""),"")</f>
        <v/>
      </c>
      <c r="AA500" s="145" t="str">
        <f>IFERROR(_xlfn.XLOOKUP(TEXT(H500,"0000000000"),'📞 Call Tracker'!A$2:A$2000,'📞 Call Tracker'!F$2:F$2000,""),"")</f>
        <v/>
      </c>
      <c r="AB500" s="132">
        <f t="shared" si="15"/>
        <v>4</v>
      </c>
      <c r="AC500" s="79"/>
    </row>
    <row r="501" spans="1:29" ht="20.100000000000001" customHeight="1">
      <c r="A501" s="91">
        <v>45905</v>
      </c>
      <c r="B501" s="92" t="str">
        <v>Duncan</v>
      </c>
      <c r="C501" s="92" t="str">
        <v>Nicholas</v>
      </c>
      <c r="D501" s="92" t="str">
        <v>Phoenix</v>
      </c>
      <c r="E501" s="92">
        <v>85029</v>
      </c>
      <c r="F501" s="137" t="str">
        <v>Form letter</v>
      </c>
      <c r="G501" s="93" t="str">
        <v>https://images.edocket.azcc.gov/docketpdf/E000046230.pdf</v>
      </c>
      <c r="H501" s="150" t="s">
        <v>6263</v>
      </c>
      <c r="I501" s="114" t="str">
        <v>RTOUE47</v>
      </c>
      <c r="J501" s="94" t="str">
        <v>No</v>
      </c>
      <c r="K501" s="94" t="str">
        <v>No</v>
      </c>
      <c r="L501" s="137" t="str">
        <v>Yes</v>
      </c>
      <c r="M501" s="94" t="str">
        <v>No</v>
      </c>
      <c r="N501" s="134" t="str">
        <v>No</v>
      </c>
      <c r="O501" s="119" t="str">
        <v>Yes</v>
      </c>
      <c r="P501" s="92" t="str">
        <v>N</v>
      </c>
      <c r="Q501" s="91">
        <v>45966</v>
      </c>
      <c r="R501" s="140" t="str">
        <v>No call, will be reassigned next month but total energy usage might keep COR on Tier 2</v>
      </c>
      <c r="S501" s="92">
        <v>0</v>
      </c>
      <c r="T501" s="92">
        <v>0</v>
      </c>
      <c r="U501" s="137">
        <v>0</v>
      </c>
      <c r="V501" s="126" t="str">
        <f t="shared" si="14"/>
        <v>✅ On Best Plan</v>
      </c>
      <c r="W501" s="130">
        <f>IFERROR(_xlfn.XLOOKUP(TEXT(H501,"0000000000"),'📞 Call Tracker'!A$2:A$2000,'📞 Call Tracker'!B$2:B$2000,""),"")</f>
        <v>0</v>
      </c>
      <c r="X501" s="96">
        <f>IFERROR(_xlfn.XLOOKUP(TEXT(H501,"0000000000"),'📞 Call Tracker'!A$2:A$2000,'📞 Call Tracker'!C$2:C$2000,""),"")</f>
        <v>0</v>
      </c>
      <c r="Y501" s="95">
        <f>IFERROR(_xlfn.XLOOKUP(TEXT(H501,"0000000000"),'📞 Call Tracker'!A$2:A$2000,'📞 Call Tracker'!D$2:D$2000,""),"")</f>
        <v>0</v>
      </c>
      <c r="Z501" s="95">
        <f>IFERROR(_xlfn.XLOOKUP(TEXT(H501,"0000000000"),'📞 Call Tracker'!A$2:A$2000,'📞 Call Tracker'!E$2:E$2000,""),"")</f>
        <v>0</v>
      </c>
      <c r="AA501" s="145">
        <f>IFERROR(_xlfn.XLOOKUP(TEXT(H501,"0000000000"),'📞 Call Tracker'!A$2:A$2000,'📞 Call Tracker'!F$2:F$2000,""),"")</f>
        <v>0</v>
      </c>
      <c r="AB501" s="132">
        <f t="shared" si="15"/>
        <v>99</v>
      </c>
      <c r="AC501" s="79"/>
    </row>
    <row r="502" spans="1:29" ht="20.100000000000001" customHeight="1">
      <c r="A502" s="91">
        <v>45905</v>
      </c>
      <c r="B502" s="92" t="str">
        <v>Sommer</v>
      </c>
      <c r="C502" s="92" t="str">
        <v>Bryce</v>
      </c>
      <c r="D502" s="92" t="str">
        <v>Scottsdale</v>
      </c>
      <c r="E502" s="92">
        <v>85251</v>
      </c>
      <c r="F502" s="137" t="str">
        <v>Horrible policy</v>
      </c>
      <c r="G502" s="93" t="str">
        <v>https://images.edocket.azcc.gov/docketpdf/E000046230.pdf</v>
      </c>
      <c r="H502" s="150" t="s">
        <v>6264</v>
      </c>
      <c r="I502" s="114" t="str">
        <v>R-BASIC</v>
      </c>
      <c r="J502" s="94" t="str">
        <v>No</v>
      </c>
      <c r="K502" s="94" t="str">
        <v>No</v>
      </c>
      <c r="L502" s="137" t="str">
        <v>No MEP R-XS(125.13)</v>
      </c>
      <c r="M502" s="94" t="str">
        <v>No</v>
      </c>
      <c r="N502" s="134" t="str">
        <v>No</v>
      </c>
      <c r="O502" s="119" t="str">
        <v>Yes</v>
      </c>
      <c r="P502" s="92" t="str">
        <v>N</v>
      </c>
      <c r="Q502" s="91">
        <v>45966</v>
      </c>
      <c r="R502" s="140">
        <v>0</v>
      </c>
      <c r="S502" s="92">
        <v>0</v>
      </c>
      <c r="T502" s="92">
        <v>0</v>
      </c>
      <c r="U502" s="137">
        <v>0</v>
      </c>
      <c r="V502" s="126" t="str">
        <f t="shared" si="14"/>
        <v>❌ Not on Best Plan</v>
      </c>
      <c r="W502" s="130">
        <f>IFERROR(_xlfn.XLOOKUP(TEXT(H502,"0000000000"),'📞 Call Tracker'!A$2:A$2000,'📞 Call Tracker'!B$2:B$2000,""),"")</f>
        <v>0</v>
      </c>
      <c r="X502" s="96">
        <f>IFERROR(_xlfn.XLOOKUP(TEXT(H502,"0000000000"),'📞 Call Tracker'!A$2:A$2000,'📞 Call Tracker'!C$2:C$2000,""),"")</f>
        <v>0</v>
      </c>
      <c r="Y502" s="95">
        <f>IFERROR(_xlfn.XLOOKUP(TEXT(H502,"0000000000"),'📞 Call Tracker'!A$2:A$2000,'📞 Call Tracker'!D$2:D$2000,""),"")</f>
        <v>0</v>
      </c>
      <c r="Z502" s="95">
        <f>IFERROR(_xlfn.XLOOKUP(TEXT(H502,"0000000000"),'📞 Call Tracker'!A$2:A$2000,'📞 Call Tracker'!E$2:E$2000,""),"")</f>
        <v>0</v>
      </c>
      <c r="AA502" s="145">
        <f>IFERROR(_xlfn.XLOOKUP(TEXT(H502,"0000000000"),'📞 Call Tracker'!A$2:A$2000,'📞 Call Tracker'!F$2:F$2000,""),"")</f>
        <v>0</v>
      </c>
      <c r="AB502" s="132">
        <f t="shared" si="15"/>
        <v>99</v>
      </c>
      <c r="AC502" s="79"/>
    </row>
    <row r="503" spans="1:29" ht="20.100000000000001" customHeight="1">
      <c r="A503" s="91">
        <v>45905</v>
      </c>
      <c r="B503" s="92" t="str">
        <v>Wood</v>
      </c>
      <c r="C503" s="92" t="str">
        <v>Joshua</v>
      </c>
      <c r="D503" s="92" t="str">
        <v>Phoenix</v>
      </c>
      <c r="E503" s="92">
        <v>85085</v>
      </c>
      <c r="F503" s="137" t="str">
        <v>Increase outpaces inflation</v>
      </c>
      <c r="G503" s="93" t="str">
        <v>https://images.edocket.azcc.gov/docketpdf/E000046230.pdf</v>
      </c>
      <c r="H503" s="150" t="s">
        <v>6265</v>
      </c>
      <c r="I503" s="114" t="str">
        <v>R3-47</v>
      </c>
      <c r="J503" s="94" t="str">
        <v>No</v>
      </c>
      <c r="K503" s="94" t="str">
        <v>No</v>
      </c>
      <c r="L503" s="137" t="str">
        <v>Yes</v>
      </c>
      <c r="M503" s="94" t="str">
        <v>No</v>
      </c>
      <c r="N503" s="134" t="str">
        <v>No</v>
      </c>
      <c r="O503" s="119" t="str">
        <v>Yes</v>
      </c>
      <c r="P503" s="92" t="str">
        <v>N</v>
      </c>
      <c r="Q503" s="91">
        <v>45966</v>
      </c>
      <c r="R503" s="140">
        <v>0</v>
      </c>
      <c r="S503" s="92">
        <v>0</v>
      </c>
      <c r="T503" s="92">
        <v>0</v>
      </c>
      <c r="U503" s="137">
        <v>0</v>
      </c>
      <c r="V503" s="126" t="str">
        <f t="shared" si="14"/>
        <v>✅ On Best Plan</v>
      </c>
      <c r="W503" s="130">
        <f>IFERROR(_xlfn.XLOOKUP(TEXT(H503,"0000000000"),'📞 Call Tracker'!A$2:A$2000,'📞 Call Tracker'!B$2:B$2000,""),"")</f>
        <v>0</v>
      </c>
      <c r="X503" s="96">
        <f>IFERROR(_xlfn.XLOOKUP(TEXT(H503,"0000000000"),'📞 Call Tracker'!A$2:A$2000,'📞 Call Tracker'!C$2:C$2000,""),"")</f>
        <v>0</v>
      </c>
      <c r="Y503" s="95">
        <f>IFERROR(_xlfn.XLOOKUP(TEXT(H503,"0000000000"),'📞 Call Tracker'!A$2:A$2000,'📞 Call Tracker'!D$2:D$2000,""),"")</f>
        <v>0</v>
      </c>
      <c r="Z503" s="95">
        <f>IFERROR(_xlfn.XLOOKUP(TEXT(H503,"0000000000"),'📞 Call Tracker'!A$2:A$2000,'📞 Call Tracker'!E$2:E$2000,""),"")</f>
        <v>0</v>
      </c>
      <c r="AA503" s="145">
        <f>IFERROR(_xlfn.XLOOKUP(TEXT(H503,"0000000000"),'📞 Call Tracker'!A$2:A$2000,'📞 Call Tracker'!F$2:F$2000,""),"")</f>
        <v>0</v>
      </c>
      <c r="AB503" s="132">
        <f t="shared" si="15"/>
        <v>99</v>
      </c>
      <c r="AC503" s="79"/>
    </row>
    <row r="504" spans="1:29" ht="20.100000000000001" customHeight="1">
      <c r="A504" s="91">
        <v>45905</v>
      </c>
      <c r="B504" s="92" t="str">
        <v>Kaples</v>
      </c>
      <c r="C504" s="92" t="str">
        <v>Kameron</v>
      </c>
      <c r="D504" s="92" t="str">
        <v>Coolidge</v>
      </c>
      <c r="E504" s="92">
        <v>85128</v>
      </c>
      <c r="F504" s="137" t="str">
        <v>APS is predatory</v>
      </c>
      <c r="G504" s="93" t="str">
        <v>https://images.edocket.azcc.gov/docketpdf/E000046230.pdf</v>
      </c>
      <c r="H504" s="150" t="s">
        <v>6042</v>
      </c>
      <c r="I504" s="114" t="str">
        <v>RCPw/RTOUE47</v>
      </c>
      <c r="J504" s="94" t="str">
        <v>No</v>
      </c>
      <c r="K504" s="94" t="str">
        <v>No</v>
      </c>
      <c r="L504" s="137" t="str">
        <v>Yes</v>
      </c>
      <c r="M504" s="94" t="str">
        <v>No</v>
      </c>
      <c r="N504" s="134" t="str">
        <v>No</v>
      </c>
      <c r="O504" s="119" t="str">
        <v>Yes</v>
      </c>
      <c r="P504" s="92" t="str">
        <v>N</v>
      </c>
      <c r="Q504" s="91">
        <v>45966</v>
      </c>
      <c r="R504" s="140">
        <v>0</v>
      </c>
      <c r="S504" s="92">
        <v>0</v>
      </c>
      <c r="T504" s="92">
        <v>0</v>
      </c>
      <c r="U504" s="137">
        <v>0</v>
      </c>
      <c r="V504" s="126" t="str">
        <f t="shared" si="14"/>
        <v>✅ On Best Plan</v>
      </c>
      <c r="W504" s="130" t="str">
        <f>IFERROR(_xlfn.XLOOKUP(TEXT(H504,"0000000000"),'📞 Call Tracker'!A$2:A$2000,'📞 Call Tracker'!B$2:B$2000,""),"")</f>
        <v>Joaquin</v>
      </c>
      <c r="X504" s="96">
        <f>IFERROR(_xlfn.XLOOKUP(TEXT(H504,"0000000000"),'📞 Call Tracker'!A$2:A$2000,'📞 Call Tracker'!C$2:C$2000,""),"")</f>
        <v>46046</v>
      </c>
      <c r="Y504" s="95" t="str">
        <f>IFERROR(_xlfn.XLOOKUP(TEXT(H504,"0000000000"),'📞 Call Tracker'!A$2:A$2000,'📞 Call Tracker'!D$2:D$2000,""),"")</f>
        <v>YES</v>
      </c>
      <c r="Z504" s="95">
        <f>IFERROR(_xlfn.XLOOKUP(TEXT(H504,"0000000000"),'📞 Call Tracker'!A$2:A$2000,'📞 Call Tracker'!E$2:E$2000,""),"")</f>
        <v>0</v>
      </c>
      <c r="AA504" s="145" t="str">
        <f>IFERROR(_xlfn.XLOOKUP(TEXT(H504,"0000000000"),'📞 Call Tracker'!A$2:A$2000,'📞 Call Tracker'!F$2:F$2000,""),"")</f>
        <v>LEFT V-M</v>
      </c>
      <c r="AB504" s="132">
        <f t="shared" si="15"/>
        <v>99</v>
      </c>
      <c r="AC504" s="79"/>
    </row>
    <row r="505" spans="1:29" ht="20.100000000000001" customHeight="1">
      <c r="A505" s="91">
        <v>45905</v>
      </c>
      <c r="B505" s="92" t="str">
        <v>Duffy</v>
      </c>
      <c r="C505" s="92" t="str">
        <v>Scott</v>
      </c>
      <c r="D505" s="92" t="str">
        <v>Dewey</v>
      </c>
      <c r="E505" s="92">
        <v>86327</v>
      </c>
      <c r="F505" s="137" t="str">
        <v>Opposed</v>
      </c>
      <c r="G505" s="93" t="str">
        <v>https://images.edocket.azcc.gov/docketpdf/E000046230.pdf</v>
      </c>
      <c r="H505" s="150" t="s">
        <v>6266</v>
      </c>
      <c r="I505" s="114" t="str">
        <v>R-BASIC</v>
      </c>
      <c r="J505" s="94" t="str">
        <v>No</v>
      </c>
      <c r="K505" s="94" t="str">
        <v>No</v>
      </c>
      <c r="L505" s="137" t="str">
        <v>Yes</v>
      </c>
      <c r="M505" s="94" t="str">
        <v>No</v>
      </c>
      <c r="N505" s="134" t="str">
        <v>No</v>
      </c>
      <c r="O505" s="119" t="str">
        <v>Yes</v>
      </c>
      <c r="P505" s="92" t="str">
        <v>N</v>
      </c>
      <c r="Q505" s="91">
        <v>45966</v>
      </c>
      <c r="R505" s="140">
        <v>0</v>
      </c>
      <c r="S505" s="92">
        <v>0</v>
      </c>
      <c r="T505" s="92">
        <v>0</v>
      </c>
      <c r="U505" s="137">
        <v>0</v>
      </c>
      <c r="V505" s="126" t="str">
        <f t="shared" si="14"/>
        <v>✅ On Best Plan</v>
      </c>
      <c r="W505" s="130">
        <f>IFERROR(_xlfn.XLOOKUP(TEXT(H505,"0000000000"),'📞 Call Tracker'!A$2:A$2000,'📞 Call Tracker'!B$2:B$2000,""),"")</f>
        <v>0</v>
      </c>
      <c r="X505" s="96">
        <f>IFERROR(_xlfn.XLOOKUP(TEXT(H505,"0000000000"),'📞 Call Tracker'!A$2:A$2000,'📞 Call Tracker'!C$2:C$2000,""),"")</f>
        <v>0</v>
      </c>
      <c r="Y505" s="95">
        <f>IFERROR(_xlfn.XLOOKUP(TEXT(H505,"0000000000"),'📞 Call Tracker'!A$2:A$2000,'📞 Call Tracker'!D$2:D$2000,""),"")</f>
        <v>0</v>
      </c>
      <c r="Z505" s="95">
        <f>IFERROR(_xlfn.XLOOKUP(TEXT(H505,"0000000000"),'📞 Call Tracker'!A$2:A$2000,'📞 Call Tracker'!E$2:E$2000,""),"")</f>
        <v>0</v>
      </c>
      <c r="AA505" s="145">
        <f>IFERROR(_xlfn.XLOOKUP(TEXT(H505,"0000000000"),'📞 Call Tracker'!A$2:A$2000,'📞 Call Tracker'!F$2:F$2000,""),"")</f>
        <v>0</v>
      </c>
      <c r="AB505" s="132">
        <f t="shared" si="15"/>
        <v>99</v>
      </c>
      <c r="AC505" s="79"/>
    </row>
    <row r="506" spans="1:29" ht="20.100000000000001" customHeight="1">
      <c r="A506" s="91">
        <v>45905</v>
      </c>
      <c r="B506" s="92" t="str">
        <v>Glass</v>
      </c>
      <c r="C506" s="92" t="str">
        <v>Samuel</v>
      </c>
      <c r="D506" s="92" t="str">
        <v>Surprise</v>
      </c>
      <c r="E506" s="92">
        <v>85388</v>
      </c>
      <c r="F506" s="137" t="str">
        <v>Opposed, unjust and wrong</v>
      </c>
      <c r="G506" s="93" t="str">
        <v>https://images.edocket.azcc.gov/docketpdf/E000046230.pdf</v>
      </c>
      <c r="H506" s="150" t="s">
        <v>6175</v>
      </c>
      <c r="I506" s="114" t="str">
        <v>RTOUE47</v>
      </c>
      <c r="J506" s="94" t="str">
        <v>No</v>
      </c>
      <c r="K506" s="94" t="str">
        <v>No</v>
      </c>
      <c r="L506" s="137" t="str">
        <v>No MEP R3-47(145.00)</v>
      </c>
      <c r="M506" s="94" t="str">
        <v>No</v>
      </c>
      <c r="N506" s="134" t="str">
        <v>No</v>
      </c>
      <c r="O506" s="119" t="str">
        <v>Yes</v>
      </c>
      <c r="P506" s="92">
        <v>45936</v>
      </c>
      <c r="Q506" s="91">
        <v>45966</v>
      </c>
      <c r="R506" s="140" t="str">
        <v>COR will check aps.com comp tool and potentially change plans there - MADE A RATE CHANGE ON 10/7</v>
      </c>
      <c r="S506" s="92">
        <v>0</v>
      </c>
      <c r="T506" s="92">
        <v>0</v>
      </c>
      <c r="U506" s="137">
        <v>0</v>
      </c>
      <c r="V506" s="126" t="str">
        <f t="shared" si="14"/>
        <v>❌ Not on Best Plan</v>
      </c>
      <c r="W506" s="130">
        <f>IFERROR(_xlfn.XLOOKUP(TEXT(H506,"0000000000"),'📞 Call Tracker'!A$2:A$2000,'📞 Call Tracker'!B$2:B$2000,""),"")</f>
        <v>0</v>
      </c>
      <c r="X506" s="96">
        <f>IFERROR(_xlfn.XLOOKUP(TEXT(H506,"0000000000"),'📞 Call Tracker'!A$2:A$2000,'📞 Call Tracker'!C$2:C$2000,""),"")</f>
        <v>0</v>
      </c>
      <c r="Y506" s="95">
        <f>IFERROR(_xlfn.XLOOKUP(TEXT(H506,"0000000000"),'📞 Call Tracker'!A$2:A$2000,'📞 Call Tracker'!D$2:D$2000,""),"")</f>
        <v>0</v>
      </c>
      <c r="Z506" s="95">
        <f>IFERROR(_xlfn.XLOOKUP(TEXT(H506,"0000000000"),'📞 Call Tracker'!A$2:A$2000,'📞 Call Tracker'!E$2:E$2000,""),"")</f>
        <v>0</v>
      </c>
      <c r="AA506" s="145">
        <f>IFERROR(_xlfn.XLOOKUP(TEXT(H506,"0000000000"),'📞 Call Tracker'!A$2:A$2000,'📞 Call Tracker'!F$2:F$2000,""),"")</f>
        <v>0</v>
      </c>
      <c r="AB506" s="132">
        <f t="shared" si="15"/>
        <v>99</v>
      </c>
      <c r="AC506" s="79"/>
    </row>
    <row r="507" spans="1:29" ht="20.100000000000001" customHeight="1">
      <c r="A507" s="91">
        <v>45905</v>
      </c>
      <c r="B507" s="92" t="str">
        <v>Keehn</v>
      </c>
      <c r="C507" s="92" t="str">
        <v>Aaron</v>
      </c>
      <c r="D507" s="92" t="str">
        <v>Casa Grande</v>
      </c>
      <c r="E507" s="92">
        <v>85122</v>
      </c>
      <c r="F507" s="137" t="str">
        <v>Opposed</v>
      </c>
      <c r="G507" s="93" t="str">
        <v>https://images.edocket.azcc.gov/docketpdf/E000046230.pdf</v>
      </c>
      <c r="H507" s="150" t="s">
        <v>6267</v>
      </c>
      <c r="I507" s="114" t="str">
        <v>R-XS</v>
      </c>
      <c r="J507" s="94" t="str">
        <v>No</v>
      </c>
      <c r="K507" s="94" t="str">
        <v>No</v>
      </c>
      <c r="L507" s="137" t="str">
        <v>Yes</v>
      </c>
      <c r="M507" s="94" t="str">
        <v>No</v>
      </c>
      <c r="N507" s="134" t="str">
        <v>No</v>
      </c>
      <c r="O507" s="119" t="str">
        <v>Yes</v>
      </c>
      <c r="P507" s="92" t="str">
        <v>N</v>
      </c>
      <c r="Q507" s="91">
        <v>45966</v>
      </c>
      <c r="R507" s="140">
        <v>0</v>
      </c>
      <c r="S507" s="92">
        <v>0</v>
      </c>
      <c r="T507" s="92">
        <v>0</v>
      </c>
      <c r="U507" s="137">
        <v>0</v>
      </c>
      <c r="V507" s="126" t="str">
        <f t="shared" si="14"/>
        <v>✅ On Best Plan</v>
      </c>
      <c r="W507" s="130">
        <f>IFERROR(_xlfn.XLOOKUP(TEXT(H507,"0000000000"),'📞 Call Tracker'!A$2:A$2000,'📞 Call Tracker'!B$2:B$2000,""),"")</f>
        <v>0</v>
      </c>
      <c r="X507" s="96">
        <f>IFERROR(_xlfn.XLOOKUP(TEXT(H507,"0000000000"),'📞 Call Tracker'!A$2:A$2000,'📞 Call Tracker'!C$2:C$2000,""),"")</f>
        <v>0</v>
      </c>
      <c r="Y507" s="95">
        <f>IFERROR(_xlfn.XLOOKUP(TEXT(H507,"0000000000"),'📞 Call Tracker'!A$2:A$2000,'📞 Call Tracker'!D$2:D$2000,""),"")</f>
        <v>0</v>
      </c>
      <c r="Z507" s="95">
        <f>IFERROR(_xlfn.XLOOKUP(TEXT(H507,"0000000000"),'📞 Call Tracker'!A$2:A$2000,'📞 Call Tracker'!E$2:E$2000,""),"")</f>
        <v>0</v>
      </c>
      <c r="AA507" s="145">
        <f>IFERROR(_xlfn.XLOOKUP(TEXT(H507,"0000000000"),'📞 Call Tracker'!A$2:A$2000,'📞 Call Tracker'!F$2:F$2000,""),"")</f>
        <v>0</v>
      </c>
      <c r="AB507" s="132">
        <f t="shared" si="15"/>
        <v>99</v>
      </c>
      <c r="AC507" s="79"/>
    </row>
    <row r="508" spans="1:29" ht="20.100000000000001" customHeight="1">
      <c r="A508" s="91">
        <v>45905</v>
      </c>
      <c r="B508" s="92" t="str">
        <v>Pham</v>
      </c>
      <c r="C508" s="92" t="str">
        <v>Anthony</v>
      </c>
      <c r="D508" s="92" t="str">
        <v>Peoria</v>
      </c>
      <c r="E508" s="92">
        <v>85383</v>
      </c>
      <c r="F508" s="137" t="str">
        <v>Opposed (included news story of indoor heat deaths)</v>
      </c>
      <c r="G508" s="93" t="str">
        <v>https://images.edocket.azcc.gov/docketpdf/E000046230.pdf</v>
      </c>
      <c r="H508" s="150" t="s">
        <v>6043</v>
      </c>
      <c r="I508" s="114" t="str">
        <v>R-BASICL</v>
      </c>
      <c r="J508" s="94" t="str">
        <v>Yes</v>
      </c>
      <c r="K508" s="94" t="str">
        <v>No</v>
      </c>
      <c r="L508" s="137" t="str">
        <v>No MEP R-BASIC($135.72)</v>
      </c>
      <c r="M508" s="94" t="str">
        <v>No</v>
      </c>
      <c r="N508" s="134" t="str">
        <v>No</v>
      </c>
      <c r="O508" s="119" t="str">
        <v>Yes</v>
      </c>
      <c r="P508" s="92" t="str">
        <v>N</v>
      </c>
      <c r="Q508" s="91">
        <v>45966</v>
      </c>
      <c r="R508" s="140" t="str">
        <v>Should automatically be reassigned soon</v>
      </c>
      <c r="S508" s="92">
        <v>0</v>
      </c>
      <c r="T508" s="92">
        <v>0</v>
      </c>
      <c r="U508" s="137">
        <v>0</v>
      </c>
      <c r="V508" s="126" t="str">
        <f t="shared" si="14"/>
        <v>❌ Not on Best Plan</v>
      </c>
      <c r="W508" s="130" t="str">
        <f>IFERROR(_xlfn.XLOOKUP(TEXT(H508,"0000000000"),'📞 Call Tracker'!A$2:A$2000,'📞 Call Tracker'!B$2:B$2000,""),"")</f>
        <v>Joaquin</v>
      </c>
      <c r="X508" s="96">
        <f>IFERROR(_xlfn.XLOOKUP(TEXT(H508,"0000000000"),'📞 Call Tracker'!A$2:A$2000,'📞 Call Tracker'!C$2:C$2000,""),"")</f>
        <v>46060</v>
      </c>
      <c r="Y508" s="95" t="str">
        <f>IFERROR(_xlfn.XLOOKUP(TEXT(H508,"0000000000"),'📞 Call Tracker'!A$2:A$2000,'📞 Call Tracker'!D$2:D$2000,""),"")</f>
        <v>YES</v>
      </c>
      <c r="Z508" s="95">
        <f>IFERROR(_xlfn.XLOOKUP(TEXT(H508,"0000000000"),'📞 Call Tracker'!A$2:A$2000,'📞 Call Tracker'!E$2:E$2000,""),"")</f>
        <v>0</v>
      </c>
      <c r="AA508" s="145" t="str">
        <f>IFERROR(_xlfn.XLOOKUP(TEXT(H508,"0000000000"),'📞 Call Tracker'!A$2:A$2000,'📞 Call Tracker'!F$2:F$2000,""),"")</f>
        <v>LEFT V-M</v>
      </c>
      <c r="AB508" s="132">
        <f t="shared" si="15"/>
        <v>99</v>
      </c>
      <c r="AC508" s="79"/>
    </row>
    <row r="509" spans="1:29" ht="20.100000000000001" customHeight="1">
      <c r="A509" s="91">
        <v>45905</v>
      </c>
      <c r="B509" s="92" t="str">
        <v>Roberts</v>
      </c>
      <c r="C509" s="92" t="str">
        <v>Stefan</v>
      </c>
      <c r="D509" s="92" t="str">
        <v>Glendale</v>
      </c>
      <c r="E509" s="92">
        <v>85308</v>
      </c>
      <c r="F509" s="137" t="str">
        <v>Form letter</v>
      </c>
      <c r="G509" s="93" t="str">
        <v>https://images.edocket.azcc.gov/docketpdf/E000046230.pdf</v>
      </c>
      <c r="H509" s="150" t="s">
        <v>6268</v>
      </c>
      <c r="I509" s="114" t="str">
        <v>RTOUE47</v>
      </c>
      <c r="J509" s="94" t="str">
        <v>Yes</v>
      </c>
      <c r="K509" s="94" t="str">
        <v>No</v>
      </c>
      <c r="L509" s="137" t="str">
        <v>No MEP R-BASIC ($0.57)</v>
      </c>
      <c r="M509" s="94" t="str">
        <v>No</v>
      </c>
      <c r="N509" s="134" t="str">
        <v>No</v>
      </c>
      <c r="O509" s="119" t="str">
        <v>Yes</v>
      </c>
      <c r="P509" s="92" t="str">
        <v>N</v>
      </c>
      <c r="Q509" s="91">
        <v>45966</v>
      </c>
      <c r="R509" s="140">
        <v>0</v>
      </c>
      <c r="S509" s="92">
        <v>0</v>
      </c>
      <c r="T509" s="92">
        <v>0</v>
      </c>
      <c r="U509" s="137">
        <v>0</v>
      </c>
      <c r="V509" s="126" t="str">
        <f t="shared" si="14"/>
        <v>❌ Not on Best Plan</v>
      </c>
      <c r="W509" s="130">
        <f>IFERROR(_xlfn.XLOOKUP(TEXT(H509,"0000000000"),'📞 Call Tracker'!A$2:A$2000,'📞 Call Tracker'!B$2:B$2000,""),"")</f>
        <v>0</v>
      </c>
      <c r="X509" s="96">
        <f>IFERROR(_xlfn.XLOOKUP(TEXT(H509,"0000000000"),'📞 Call Tracker'!A$2:A$2000,'📞 Call Tracker'!C$2:C$2000,""),"")</f>
        <v>0</v>
      </c>
      <c r="Y509" s="95">
        <f>IFERROR(_xlfn.XLOOKUP(TEXT(H509,"0000000000"),'📞 Call Tracker'!A$2:A$2000,'📞 Call Tracker'!D$2:D$2000,""),"")</f>
        <v>0</v>
      </c>
      <c r="Z509" s="95">
        <f>IFERROR(_xlfn.XLOOKUP(TEXT(H509,"0000000000"),'📞 Call Tracker'!A$2:A$2000,'📞 Call Tracker'!E$2:E$2000,""),"")</f>
        <v>0</v>
      </c>
      <c r="AA509" s="145">
        <f>IFERROR(_xlfn.XLOOKUP(TEXT(H509,"0000000000"),'📞 Call Tracker'!A$2:A$2000,'📞 Call Tracker'!F$2:F$2000,""),"")</f>
        <v>0</v>
      </c>
      <c r="AB509" s="132">
        <f t="shared" si="15"/>
        <v>99</v>
      </c>
      <c r="AC509" s="79"/>
    </row>
    <row r="510" spans="1:29" ht="20.100000000000001" customHeight="1">
      <c r="A510" s="91">
        <v>45905</v>
      </c>
      <c r="B510" s="92" t="str">
        <v>Phillips</v>
      </c>
      <c r="C510" s="92" t="str">
        <v>Ruth</v>
      </c>
      <c r="D510" s="92" t="str">
        <v>Casa Grande</v>
      </c>
      <c r="E510" s="92">
        <v>85122</v>
      </c>
      <c r="F510" s="137" t="str">
        <v>Unnecessary</v>
      </c>
      <c r="G510" s="93" t="str">
        <v>https://docket.images.azcc.gov/E000046235.pdf</v>
      </c>
      <c r="H510" s="150" t="s">
        <v>6269</v>
      </c>
      <c r="I510" s="114" t="str">
        <v>R-2</v>
      </c>
      <c r="J510" s="94" t="str">
        <v>No</v>
      </c>
      <c r="K510" s="94" t="str">
        <v>No</v>
      </c>
      <c r="L510" s="137" t="str">
        <v>Frozen Rate</v>
      </c>
      <c r="M510" s="94" t="str">
        <v>No</v>
      </c>
      <c r="N510" s="134" t="str">
        <v>No</v>
      </c>
      <c r="O510" s="119" t="str">
        <v>Yes</v>
      </c>
      <c r="P510" s="92" t="str">
        <v>N</v>
      </c>
      <c r="Q510" s="91">
        <v>45966</v>
      </c>
      <c r="R510" s="140">
        <v>0</v>
      </c>
      <c r="S510" s="92">
        <v>0</v>
      </c>
      <c r="T510" s="92">
        <v>0</v>
      </c>
      <c r="U510" s="137">
        <v>0</v>
      </c>
      <c r="V510" s="126" t="str">
        <f t="shared" si="14"/>
        <v>❄ Frozen Rate</v>
      </c>
      <c r="W510" s="130">
        <f>IFERROR(_xlfn.XLOOKUP(TEXT(H510,"0000000000"),'📞 Call Tracker'!A$2:A$2000,'📞 Call Tracker'!B$2:B$2000,""),"")</f>
        <v>0</v>
      </c>
      <c r="X510" s="96">
        <f>IFERROR(_xlfn.XLOOKUP(TEXT(H510,"0000000000"),'📞 Call Tracker'!A$2:A$2000,'📞 Call Tracker'!C$2:C$2000,""),"")</f>
        <v>0</v>
      </c>
      <c r="Y510" s="95">
        <f>IFERROR(_xlfn.XLOOKUP(TEXT(H510,"0000000000"),'📞 Call Tracker'!A$2:A$2000,'📞 Call Tracker'!D$2:D$2000,""),"")</f>
        <v>0</v>
      </c>
      <c r="Z510" s="95">
        <f>IFERROR(_xlfn.XLOOKUP(TEXT(H510,"0000000000"),'📞 Call Tracker'!A$2:A$2000,'📞 Call Tracker'!E$2:E$2000,""),"")</f>
        <v>0</v>
      </c>
      <c r="AA510" s="145">
        <f>IFERROR(_xlfn.XLOOKUP(TEXT(H510,"0000000000"),'📞 Call Tracker'!A$2:A$2000,'📞 Call Tracker'!F$2:F$2000,""),"")</f>
        <v>0</v>
      </c>
      <c r="AB510" s="132">
        <f t="shared" si="15"/>
        <v>99</v>
      </c>
      <c r="AC510" s="79"/>
    </row>
    <row r="511" spans="1:29" ht="20.100000000000001" customHeight="1">
      <c r="A511" s="91">
        <v>45905</v>
      </c>
      <c r="B511" s="92" t="str">
        <v>Willits</v>
      </c>
      <c r="C511" s="92" t="str">
        <v>Mark</v>
      </c>
      <c r="D511" s="92" t="str">
        <v>Scottsdale</v>
      </c>
      <c r="E511" s="92">
        <v>85255</v>
      </c>
      <c r="F511" s="137" t="str">
        <v>Form letter</v>
      </c>
      <c r="G511" s="93" t="str">
        <v>https://docket.images.azcc.gov/E000046235.pdf</v>
      </c>
      <c r="H511" s="150" t="s">
        <v>6127</v>
      </c>
      <c r="I511" s="114" t="str">
        <v>R-2</v>
      </c>
      <c r="J511" s="94" t="str">
        <v>No</v>
      </c>
      <c r="K511" s="94" t="str">
        <v>No</v>
      </c>
      <c r="L511" s="137" t="str">
        <v>Frozen Rate</v>
      </c>
      <c r="M511" s="94" t="str">
        <v>No</v>
      </c>
      <c r="N511" s="134" t="str">
        <v>No</v>
      </c>
      <c r="O511" s="119" t="str">
        <v>Yes</v>
      </c>
      <c r="P511" s="92" t="str">
        <v>N</v>
      </c>
      <c r="Q511" s="91">
        <v>45966</v>
      </c>
      <c r="R511" s="140">
        <v>0</v>
      </c>
      <c r="S511" s="92">
        <v>0</v>
      </c>
      <c r="T511" s="92">
        <v>0</v>
      </c>
      <c r="U511" s="137">
        <v>0</v>
      </c>
      <c r="V511" s="126" t="str">
        <f t="shared" si="14"/>
        <v>❄ Frozen Rate</v>
      </c>
      <c r="W511" s="130">
        <f>IFERROR(_xlfn.XLOOKUP(TEXT(H511,"0000000000"),'📞 Call Tracker'!A$2:A$2000,'📞 Call Tracker'!B$2:B$2000,""),"")</f>
        <v>0</v>
      </c>
      <c r="X511" s="96">
        <f>IFERROR(_xlfn.XLOOKUP(TEXT(H511,"0000000000"),'📞 Call Tracker'!A$2:A$2000,'📞 Call Tracker'!C$2:C$2000,""),"")</f>
        <v>0</v>
      </c>
      <c r="Y511" s="95">
        <f>IFERROR(_xlfn.XLOOKUP(TEXT(H511,"0000000000"),'📞 Call Tracker'!A$2:A$2000,'📞 Call Tracker'!D$2:D$2000,""),"")</f>
        <v>0</v>
      </c>
      <c r="Z511" s="95">
        <f>IFERROR(_xlfn.XLOOKUP(TEXT(H511,"0000000000"),'📞 Call Tracker'!A$2:A$2000,'📞 Call Tracker'!E$2:E$2000,""),"")</f>
        <v>0</v>
      </c>
      <c r="AA511" s="145">
        <f>IFERROR(_xlfn.XLOOKUP(TEXT(H511,"0000000000"),'📞 Call Tracker'!A$2:A$2000,'📞 Call Tracker'!F$2:F$2000,""),"")</f>
        <v>0</v>
      </c>
      <c r="AB511" s="132">
        <f t="shared" si="15"/>
        <v>99</v>
      </c>
      <c r="AC511" s="79"/>
    </row>
    <row r="512" spans="1:29" ht="20.100000000000001" customHeight="1">
      <c r="A512" s="91">
        <v>45905</v>
      </c>
      <c r="B512" s="92" t="str">
        <v>Grassi</v>
      </c>
      <c r="C512" s="92" t="str">
        <v>Benjamin</v>
      </c>
      <c r="D512" s="92" t="str">
        <v>Litchfield Park</v>
      </c>
      <c r="E512" s="92">
        <v>85340</v>
      </c>
      <c r="F512" s="137" t="str">
        <v>Opposed</v>
      </c>
      <c r="G512" s="93" t="str">
        <v>https://docket.images.azcc.gov/E000046235.pdf</v>
      </c>
      <c r="H512" s="150" t="s">
        <v>6044</v>
      </c>
      <c r="I512" s="114" t="str">
        <v>EPR-6w/E-12</v>
      </c>
      <c r="J512" s="94" t="str">
        <v>No</v>
      </c>
      <c r="K512" s="94" t="str">
        <v>No</v>
      </c>
      <c r="L512" s="137" t="str">
        <v>Frozen Rate</v>
      </c>
      <c r="M512" s="94" t="str">
        <v>No</v>
      </c>
      <c r="N512" s="134" t="str">
        <v>No</v>
      </c>
      <c r="O512" s="119" t="str">
        <v>Yes</v>
      </c>
      <c r="P512" s="92" t="str">
        <v>N</v>
      </c>
      <c r="Q512" s="91">
        <v>45966</v>
      </c>
      <c r="R512" s="140">
        <v>0</v>
      </c>
      <c r="S512" s="92">
        <v>0</v>
      </c>
      <c r="T512" s="92">
        <v>0</v>
      </c>
      <c r="U512" s="137">
        <v>0</v>
      </c>
      <c r="V512" s="126" t="str">
        <f t="shared" si="14"/>
        <v>❄ Frozen Rate</v>
      </c>
      <c r="W512" s="130" t="str">
        <f>IFERROR(_xlfn.XLOOKUP(TEXT(H512,"0000000000"),'📞 Call Tracker'!A$2:A$2000,'📞 Call Tracker'!B$2:B$2000,""),"")</f>
        <v>Joaquin</v>
      </c>
      <c r="X512" s="96">
        <f>IFERROR(_xlfn.XLOOKUP(TEXT(H512,"0000000000"),'📞 Call Tracker'!A$2:A$2000,'📞 Call Tracker'!C$2:C$2000,""),"")</f>
        <v>46060</v>
      </c>
      <c r="Y512" s="95" t="str">
        <f>IFERROR(_xlfn.XLOOKUP(TEXT(H512,"0000000000"),'📞 Call Tracker'!A$2:A$2000,'📞 Call Tracker'!D$2:D$2000,""),"")</f>
        <v>NO</v>
      </c>
      <c r="Z512" s="95">
        <f>IFERROR(_xlfn.XLOOKUP(TEXT(H512,"0000000000"),'📞 Call Tracker'!A$2:A$2000,'📞 Call Tracker'!E$2:E$2000,""),"")</f>
        <v>0</v>
      </c>
      <c r="AA512" s="145" t="str">
        <f>IFERROR(_xlfn.XLOOKUP(TEXT(H512,"0000000000"),'📞 Call Tracker'!A$2:A$2000,'📞 Call Tracker'!F$2:F$2000,""),"")</f>
        <v>CORE HUNG UP CALL</v>
      </c>
      <c r="AB512" s="132">
        <f t="shared" si="15"/>
        <v>99</v>
      </c>
      <c r="AC512" s="79"/>
    </row>
    <row r="513" spans="1:29" ht="20.100000000000001" customHeight="1">
      <c r="A513" s="91">
        <v>45905</v>
      </c>
      <c r="B513" s="92" t="str">
        <v>Leslie</v>
      </c>
      <c r="C513" s="92" t="str">
        <v>Steven</v>
      </c>
      <c r="D513" s="92" t="str">
        <v>Gilbert</v>
      </c>
      <c r="E513" s="92">
        <v>85296</v>
      </c>
      <c r="F513" s="137" t="str">
        <v>Form letter</v>
      </c>
      <c r="G513" s="93" t="str">
        <v>https://docket.images.azcc.gov/E000046235.pdf</v>
      </c>
      <c r="H513" s="150" t="s">
        <v>6270</v>
      </c>
      <c r="I513" s="114" t="str">
        <v>R-BASIC</v>
      </c>
      <c r="J513" s="94" t="str">
        <v>No</v>
      </c>
      <c r="K513" s="94" t="str">
        <v>No</v>
      </c>
      <c r="L513" s="137" t="str">
        <v>Yes</v>
      </c>
      <c r="M513" s="94" t="str">
        <v>No</v>
      </c>
      <c r="N513" s="134" t="str">
        <v>No</v>
      </c>
      <c r="O513" s="119" t="str">
        <v>Yes</v>
      </c>
      <c r="P513" s="92" t="str">
        <v>N</v>
      </c>
      <c r="Q513" s="91">
        <v>45966</v>
      </c>
      <c r="R513" s="140">
        <v>0</v>
      </c>
      <c r="S513" s="92">
        <v>0</v>
      </c>
      <c r="T513" s="92">
        <v>0</v>
      </c>
      <c r="U513" s="137">
        <v>0</v>
      </c>
      <c r="V513" s="126" t="str">
        <f t="shared" si="14"/>
        <v>✅ On Best Plan</v>
      </c>
      <c r="W513" s="130">
        <f>IFERROR(_xlfn.XLOOKUP(TEXT(H513,"0000000000"),'📞 Call Tracker'!A$2:A$2000,'📞 Call Tracker'!B$2:B$2000,""),"")</f>
        <v>0</v>
      </c>
      <c r="X513" s="96">
        <f>IFERROR(_xlfn.XLOOKUP(TEXT(H513,"0000000000"),'📞 Call Tracker'!A$2:A$2000,'📞 Call Tracker'!C$2:C$2000,""),"")</f>
        <v>0</v>
      </c>
      <c r="Y513" s="95">
        <f>IFERROR(_xlfn.XLOOKUP(TEXT(H513,"0000000000"),'📞 Call Tracker'!A$2:A$2000,'📞 Call Tracker'!D$2:D$2000,""),"")</f>
        <v>0</v>
      </c>
      <c r="Z513" s="95">
        <f>IFERROR(_xlfn.XLOOKUP(TEXT(H513,"0000000000"),'📞 Call Tracker'!A$2:A$2000,'📞 Call Tracker'!E$2:E$2000,""),"")</f>
        <v>0</v>
      </c>
      <c r="AA513" s="145">
        <f>IFERROR(_xlfn.XLOOKUP(TEXT(H513,"0000000000"),'📞 Call Tracker'!A$2:A$2000,'📞 Call Tracker'!F$2:F$2000,""),"")</f>
        <v>0</v>
      </c>
      <c r="AB513" s="132">
        <f t="shared" si="15"/>
        <v>99</v>
      </c>
      <c r="AC513" s="79"/>
    </row>
    <row r="514" spans="1:29" ht="20.100000000000001" customHeight="1">
      <c r="A514" s="91">
        <v>45905</v>
      </c>
      <c r="B514" s="92" t="str">
        <v>Herrin</v>
      </c>
      <c r="C514" s="92" t="str">
        <v xml:space="preserve">Dani </v>
      </c>
      <c r="D514" s="92" t="str">
        <v>Tempe</v>
      </c>
      <c r="E514" s="92">
        <v>85281</v>
      </c>
      <c r="F514" s="137" t="str">
        <v>Form letter</v>
      </c>
      <c r="G514" s="93" t="str">
        <v>https://docket.images.azcc.gov/E000046235.pdf</v>
      </c>
      <c r="H514" s="150" t="s">
        <v>6045</v>
      </c>
      <c r="I514" s="114" t="str">
        <v>RTOUE47</v>
      </c>
      <c r="J514" s="94" t="str">
        <v>No</v>
      </c>
      <c r="K514" s="94" t="str">
        <v>No</v>
      </c>
      <c r="L514" s="137" t="str">
        <v>Yes</v>
      </c>
      <c r="M514" s="94" t="str">
        <v>Yes</v>
      </c>
      <c r="N514" s="134">
        <v>422.52</v>
      </c>
      <c r="O514" s="119" t="str">
        <v>Yes</v>
      </c>
      <c r="P514" s="92" t="str">
        <v>N</v>
      </c>
      <c r="Q514" s="91">
        <v>45966</v>
      </c>
      <c r="R514" s="140">
        <v>0</v>
      </c>
      <c r="S514" s="92">
        <v>0</v>
      </c>
      <c r="T514" s="92">
        <v>0</v>
      </c>
      <c r="U514" s="137">
        <v>0</v>
      </c>
      <c r="V514" s="126" t="str">
        <f t="shared" si="14"/>
        <v>✅ On Best Plan</v>
      </c>
      <c r="W514" s="130" t="str">
        <f>IFERROR(_xlfn.XLOOKUP(TEXT(H514,"0000000000"),'📞 Call Tracker'!A$2:A$2000,'📞 Call Tracker'!B$2:B$2000,""),"")</f>
        <v>Joaquin</v>
      </c>
      <c r="X514" s="96">
        <f>IFERROR(_xlfn.XLOOKUP(TEXT(H514,"0000000000"),'📞 Call Tracker'!A$2:A$2000,'📞 Call Tracker'!C$2:C$2000,""),"")</f>
        <v>46046</v>
      </c>
      <c r="Y514" s="95" t="str">
        <f>IFERROR(_xlfn.XLOOKUP(TEXT(H514,"0000000000"),'📞 Call Tracker'!A$2:A$2000,'📞 Call Tracker'!D$2:D$2000,""),"")</f>
        <v>YES</v>
      </c>
      <c r="Z514" s="95">
        <f>IFERROR(_xlfn.XLOOKUP(TEXT(H514,"0000000000"),'📞 Call Tracker'!A$2:A$2000,'📞 Call Tracker'!E$2:E$2000,""),"")</f>
        <v>0</v>
      </c>
      <c r="AA514" s="145" t="str">
        <f>IFERROR(_xlfn.XLOOKUP(TEXT(H514,"0000000000"),'📞 Call Tracker'!A$2:A$2000,'📞 Call Tracker'!F$2:F$2000,""),"")</f>
        <v>LEFT V-M</v>
      </c>
      <c r="AB514" s="132">
        <f t="shared" si="15"/>
        <v>99</v>
      </c>
      <c r="AC514" s="79"/>
    </row>
    <row r="515" spans="1:29" ht="20.100000000000001" customHeight="1">
      <c r="A515" s="91">
        <v>45905</v>
      </c>
      <c r="B515" s="92" t="str">
        <v>Bandy</v>
      </c>
      <c r="C515" s="92" t="str">
        <v>Justin</v>
      </c>
      <c r="D515" s="92" t="str">
        <v>Chandler</v>
      </c>
      <c r="E515" s="92">
        <v>85225</v>
      </c>
      <c r="F515" s="137" t="str">
        <v>Form letter</v>
      </c>
      <c r="G515" s="93" t="str">
        <v>https://docket.images.azcc.gov/E000046235.pdf</v>
      </c>
      <c r="H515" s="150" t="s">
        <v>6046</v>
      </c>
      <c r="I515" s="114" t="str">
        <v>R3-47</v>
      </c>
      <c r="J515" s="94" t="str">
        <v>No</v>
      </c>
      <c r="K515" s="94" t="str">
        <v>No</v>
      </c>
      <c r="L515" s="137" t="str">
        <v>Yes</v>
      </c>
      <c r="M515" s="94" t="str">
        <v>No</v>
      </c>
      <c r="N515" s="134" t="str">
        <v>No</v>
      </c>
      <c r="O515" s="119" t="str">
        <v>Yes</v>
      </c>
      <c r="P515" s="92" t="str">
        <v>N</v>
      </c>
      <c r="Q515" s="91">
        <v>45966</v>
      </c>
      <c r="R515" s="140">
        <v>0</v>
      </c>
      <c r="S515" s="92">
        <v>0</v>
      </c>
      <c r="T515" s="92">
        <v>0</v>
      </c>
      <c r="U515" s="137">
        <v>0</v>
      </c>
      <c r="V515" s="126" t="str">
        <f t="shared" ref="V515:V578" si="16">IF(OR(LEFT(TRIM(L515),3)="Yes",TRIM(L515)="Y"),"✅ On Best Plan",IF(OR(L515="Frozen Rate",L515="Frozen Plan"),"❄ Frozen Rate",IF(OR(L515="Not able to Compare",L515="Info Not Avail",L515="NA",L515=""),"⚠ Unknown","❌ Not on Best Plan")))</f>
        <v>✅ On Best Plan</v>
      </c>
      <c r="W515" s="130" t="str">
        <f>IFERROR(_xlfn.XLOOKUP(TEXT(H515,"0000000000"),'📞 Call Tracker'!A$2:A$2000,'📞 Call Tracker'!B$2:B$2000,""),"")</f>
        <v>Joaquin</v>
      </c>
      <c r="X515" s="96">
        <f>IFERROR(_xlfn.XLOOKUP(TEXT(H515,"0000000000"),'📞 Call Tracker'!A$2:A$2000,'📞 Call Tracker'!C$2:C$2000,""),"")</f>
        <v>46046</v>
      </c>
      <c r="Y515" s="95" t="str">
        <f>IFERROR(_xlfn.XLOOKUP(TEXT(H515,"0000000000"),'📞 Call Tracker'!A$2:A$2000,'📞 Call Tracker'!D$2:D$2000,""),"")</f>
        <v>YES</v>
      </c>
      <c r="Z515" s="95">
        <f>IFERROR(_xlfn.XLOOKUP(TEXT(H515,"0000000000"),'📞 Call Tracker'!A$2:A$2000,'📞 Call Tracker'!E$2:E$2000,""),"")</f>
        <v>0</v>
      </c>
      <c r="AA515" s="145" t="str">
        <f>IFERROR(_xlfn.XLOOKUP(TEXT(H515,"0000000000"),'📞 Call Tracker'!A$2:A$2000,'📞 Call Tracker'!F$2:F$2000,""),"")</f>
        <v>LEFT V-M</v>
      </c>
      <c r="AB515" s="132">
        <f t="shared" ref="AB515:AB578" si="17">IF(OR(H515="",X515&lt;&gt;""),99,IF(AND(NOT(OR(LEFT(TRIM(L515),3)="Yes",TRIM(L515)="Y",L515="Frozen Rate",L515="Frozen Plan",L515="Not able to Compare",L515="Info Not Avail",L515="NA",L515="")),AND(N515&lt;&gt;"No",N515&lt;&gt;"")),1,IF(NOT(OR(LEFT(TRIM(L515),3)="Yes",TRIM(L515)="Y",L515="Frozen Rate",L515="Frozen Plan",L515="Not able to Compare",L515="Info Not Avail",L515="NA",L515="")),2,IF(AND(N515&lt;&gt;"No",N515&lt;&gt;""),3,4))))</f>
        <v>99</v>
      </c>
      <c r="AC515" s="79"/>
    </row>
    <row r="516" spans="1:29" ht="20.100000000000001" customHeight="1">
      <c r="A516" s="91">
        <v>45905</v>
      </c>
      <c r="B516" s="92" t="str">
        <v>Rascon</v>
      </c>
      <c r="C516" s="92" t="str">
        <v>Diego</v>
      </c>
      <c r="D516" s="92" t="str">
        <v>Phoenix</v>
      </c>
      <c r="E516" s="92">
        <v>85032</v>
      </c>
      <c r="F516" s="137" t="str">
        <v>Form letter</v>
      </c>
      <c r="G516" s="93" t="str">
        <v>https://docket.images.azcc.gov/E000046235.pdf</v>
      </c>
      <c r="H516" s="150" t="s">
        <v>6271</v>
      </c>
      <c r="I516" s="114" t="str">
        <v>R-BASICL</v>
      </c>
      <c r="J516" s="94" t="str">
        <v>No</v>
      </c>
      <c r="K516" s="94" t="str">
        <v>No</v>
      </c>
      <c r="L516" s="137" t="str">
        <v>Not eligible yet (needs 3 months)</v>
      </c>
      <c r="M516" s="94" t="str">
        <v>No</v>
      </c>
      <c r="N516" s="134" t="str">
        <v>No</v>
      </c>
      <c r="O516" s="119" t="str">
        <v>Yes</v>
      </c>
      <c r="P516" s="92" t="str">
        <v>N</v>
      </c>
      <c r="Q516" s="91">
        <v>45966</v>
      </c>
      <c r="R516" s="140">
        <v>0</v>
      </c>
      <c r="S516" s="92">
        <v>0</v>
      </c>
      <c r="T516" s="92">
        <v>0</v>
      </c>
      <c r="U516" s="137">
        <v>0</v>
      </c>
      <c r="V516" s="126" t="str">
        <f t="shared" si="16"/>
        <v>❌ Not on Best Plan</v>
      </c>
      <c r="W516" s="130">
        <f>IFERROR(_xlfn.XLOOKUP(TEXT(H516,"0000000000"),'📞 Call Tracker'!A$2:A$2000,'📞 Call Tracker'!B$2:B$2000,""),"")</f>
        <v>0</v>
      </c>
      <c r="X516" s="96">
        <f>IFERROR(_xlfn.XLOOKUP(TEXT(H516,"0000000000"),'📞 Call Tracker'!A$2:A$2000,'📞 Call Tracker'!C$2:C$2000,""),"")</f>
        <v>0</v>
      </c>
      <c r="Y516" s="95">
        <f>IFERROR(_xlfn.XLOOKUP(TEXT(H516,"0000000000"),'📞 Call Tracker'!A$2:A$2000,'📞 Call Tracker'!D$2:D$2000,""),"")</f>
        <v>0</v>
      </c>
      <c r="Z516" s="95">
        <f>IFERROR(_xlfn.XLOOKUP(TEXT(H516,"0000000000"),'📞 Call Tracker'!A$2:A$2000,'📞 Call Tracker'!E$2:E$2000,""),"")</f>
        <v>0</v>
      </c>
      <c r="AA516" s="145">
        <f>IFERROR(_xlfn.XLOOKUP(TEXT(H516,"0000000000"),'📞 Call Tracker'!A$2:A$2000,'📞 Call Tracker'!F$2:F$2000,""),"")</f>
        <v>0</v>
      </c>
      <c r="AB516" s="132">
        <f t="shared" si="17"/>
        <v>99</v>
      </c>
      <c r="AC516" s="79"/>
    </row>
    <row r="517" spans="1:29" ht="20.100000000000001" customHeight="1">
      <c r="A517" s="91">
        <v>45905</v>
      </c>
      <c r="B517" s="92" t="str">
        <v>De Simone</v>
      </c>
      <c r="C517" s="92" t="str">
        <v>Andre</v>
      </c>
      <c r="D517" s="92" t="str">
        <v>Phoenix</v>
      </c>
      <c r="E517" s="92">
        <v>85032</v>
      </c>
      <c r="F517" s="137" t="str">
        <v>Form letter</v>
      </c>
      <c r="G517" s="93" t="str">
        <v>https://docket.images.azcc.gov/E000046235.pdf</v>
      </c>
      <c r="H517" s="150" t="s">
        <v>6272</v>
      </c>
      <c r="I517" s="114" t="str">
        <v>RTOUE47</v>
      </c>
      <c r="J517" s="94" t="str">
        <v>No</v>
      </c>
      <c r="K517" s="94" t="str">
        <v>No</v>
      </c>
      <c r="L517" s="137" t="str">
        <v>No MEP R-BASIC($60.32)</v>
      </c>
      <c r="M517" s="94" t="str">
        <v>No</v>
      </c>
      <c r="N517" s="134" t="str">
        <v>No</v>
      </c>
      <c r="O517" s="119" t="str">
        <v>Yes</v>
      </c>
      <c r="P517" s="92" t="str">
        <v>N</v>
      </c>
      <c r="Q517" s="91">
        <v>45966</v>
      </c>
      <c r="R517" s="140">
        <v>0</v>
      </c>
      <c r="S517" s="92">
        <v>0</v>
      </c>
      <c r="T517" s="92">
        <v>0</v>
      </c>
      <c r="U517" s="137">
        <v>0</v>
      </c>
      <c r="V517" s="126" t="str">
        <f t="shared" si="16"/>
        <v>❌ Not on Best Plan</v>
      </c>
      <c r="W517" s="130">
        <f>IFERROR(_xlfn.XLOOKUP(TEXT(H517,"0000000000"),'📞 Call Tracker'!A$2:A$2000,'📞 Call Tracker'!B$2:B$2000,""),"")</f>
        <v>0</v>
      </c>
      <c r="X517" s="96">
        <f>IFERROR(_xlfn.XLOOKUP(TEXT(H517,"0000000000"),'📞 Call Tracker'!A$2:A$2000,'📞 Call Tracker'!C$2:C$2000,""),"")</f>
        <v>0</v>
      </c>
      <c r="Y517" s="95">
        <f>IFERROR(_xlfn.XLOOKUP(TEXT(H517,"0000000000"),'📞 Call Tracker'!A$2:A$2000,'📞 Call Tracker'!D$2:D$2000,""),"")</f>
        <v>0</v>
      </c>
      <c r="Z517" s="95">
        <f>IFERROR(_xlfn.XLOOKUP(TEXT(H517,"0000000000"),'📞 Call Tracker'!A$2:A$2000,'📞 Call Tracker'!E$2:E$2000,""),"")</f>
        <v>0</v>
      </c>
      <c r="AA517" s="145">
        <f>IFERROR(_xlfn.XLOOKUP(TEXT(H517,"0000000000"),'📞 Call Tracker'!A$2:A$2000,'📞 Call Tracker'!F$2:F$2000,""),"")</f>
        <v>0</v>
      </c>
      <c r="AB517" s="132">
        <f t="shared" si="17"/>
        <v>99</v>
      </c>
      <c r="AC517" s="79"/>
    </row>
    <row r="518" spans="1:29" ht="20.100000000000001" customHeight="1">
      <c r="A518" s="91">
        <v>45905</v>
      </c>
      <c r="B518" s="92" t="str">
        <v>James</v>
      </c>
      <c r="C518" s="92" t="str">
        <v>Jerome</v>
      </c>
      <c r="D518" s="92" t="str">
        <v>Phoenix</v>
      </c>
      <c r="E518" s="92">
        <v>85006</v>
      </c>
      <c r="F518" s="137" t="str">
        <v>Form letter</v>
      </c>
      <c r="G518" s="93" t="str">
        <v>https://docket.images.azcc.gov/E000046235.pdf</v>
      </c>
      <c r="H518" s="150" t="s">
        <v>6273</v>
      </c>
      <c r="I518" s="114" t="str">
        <v>R-XS</v>
      </c>
      <c r="J518" s="94" t="str">
        <v>No</v>
      </c>
      <c r="K518" s="94" t="str">
        <v>No</v>
      </c>
      <c r="L518" s="137" t="str">
        <v>Yes</v>
      </c>
      <c r="M518" s="94" t="str">
        <v>No</v>
      </c>
      <c r="N518" s="134" t="str">
        <v>No</v>
      </c>
      <c r="O518" s="119" t="str">
        <v>Yes</v>
      </c>
      <c r="P518" s="92" t="str">
        <v>N</v>
      </c>
      <c r="Q518" s="91">
        <v>45966</v>
      </c>
      <c r="R518" s="140">
        <v>0</v>
      </c>
      <c r="S518" s="92">
        <v>0</v>
      </c>
      <c r="T518" s="92">
        <v>0</v>
      </c>
      <c r="U518" s="137">
        <v>0</v>
      </c>
      <c r="V518" s="126" t="str">
        <f t="shared" si="16"/>
        <v>✅ On Best Plan</v>
      </c>
      <c r="W518" s="130">
        <f>IFERROR(_xlfn.XLOOKUP(TEXT(H518,"0000000000"),'📞 Call Tracker'!A$2:A$2000,'📞 Call Tracker'!B$2:B$2000,""),"")</f>
        <v>0</v>
      </c>
      <c r="X518" s="96">
        <f>IFERROR(_xlfn.XLOOKUP(TEXT(H518,"0000000000"),'📞 Call Tracker'!A$2:A$2000,'📞 Call Tracker'!C$2:C$2000,""),"")</f>
        <v>0</v>
      </c>
      <c r="Y518" s="95">
        <f>IFERROR(_xlfn.XLOOKUP(TEXT(H518,"0000000000"),'📞 Call Tracker'!A$2:A$2000,'📞 Call Tracker'!D$2:D$2000,""),"")</f>
        <v>0</v>
      </c>
      <c r="Z518" s="95">
        <f>IFERROR(_xlfn.XLOOKUP(TEXT(H518,"0000000000"),'📞 Call Tracker'!A$2:A$2000,'📞 Call Tracker'!E$2:E$2000,""),"")</f>
        <v>0</v>
      </c>
      <c r="AA518" s="145">
        <f>IFERROR(_xlfn.XLOOKUP(TEXT(H518,"0000000000"),'📞 Call Tracker'!A$2:A$2000,'📞 Call Tracker'!F$2:F$2000,""),"")</f>
        <v>0</v>
      </c>
      <c r="AB518" s="132">
        <f t="shared" si="17"/>
        <v>99</v>
      </c>
      <c r="AC518" s="79"/>
    </row>
    <row r="519" spans="1:29" ht="20.100000000000001" customHeight="1">
      <c r="A519" s="91">
        <v>45905</v>
      </c>
      <c r="B519" s="92" t="str">
        <v>Mongini</v>
      </c>
      <c r="C519" s="92" t="str">
        <v>Joey</v>
      </c>
      <c r="D519" s="92" t="str">
        <v>Cottonwood</v>
      </c>
      <c r="E519" s="92">
        <v>86326</v>
      </c>
      <c r="F519" s="137" t="str">
        <v>Strongly opposed</v>
      </c>
      <c r="G519" s="93" t="str">
        <v>https://docket.images.azcc.gov/E000046235.pdf</v>
      </c>
      <c r="H519" s="150" t="s">
        <v>6274</v>
      </c>
      <c r="I519" s="114" t="str">
        <v>RCPw/RTOUE47</v>
      </c>
      <c r="J519" s="94" t="str">
        <v>No</v>
      </c>
      <c r="K519" s="94" t="str">
        <v>No</v>
      </c>
      <c r="L519" s="137" t="str">
        <v>Yes</v>
      </c>
      <c r="M519" s="94" t="str">
        <v>No</v>
      </c>
      <c r="N519" s="134" t="str">
        <v>No</v>
      </c>
      <c r="O519" s="119" t="str">
        <v>Yes</v>
      </c>
      <c r="P519" s="92" t="str">
        <v>N</v>
      </c>
      <c r="Q519" s="91">
        <v>45966</v>
      </c>
      <c r="R519" s="140">
        <v>0</v>
      </c>
      <c r="S519" s="92">
        <v>0</v>
      </c>
      <c r="T519" s="92">
        <v>0</v>
      </c>
      <c r="U519" s="137">
        <v>0</v>
      </c>
      <c r="V519" s="126" t="str">
        <f t="shared" si="16"/>
        <v>✅ On Best Plan</v>
      </c>
      <c r="W519" s="130">
        <f>IFERROR(_xlfn.XLOOKUP(TEXT(H519,"0000000000"),'📞 Call Tracker'!A$2:A$2000,'📞 Call Tracker'!B$2:B$2000,""),"")</f>
        <v>0</v>
      </c>
      <c r="X519" s="96">
        <f>IFERROR(_xlfn.XLOOKUP(TEXT(H519,"0000000000"),'📞 Call Tracker'!A$2:A$2000,'📞 Call Tracker'!C$2:C$2000,""),"")</f>
        <v>0</v>
      </c>
      <c r="Y519" s="95">
        <f>IFERROR(_xlfn.XLOOKUP(TEXT(H519,"0000000000"),'📞 Call Tracker'!A$2:A$2000,'📞 Call Tracker'!D$2:D$2000,""),"")</f>
        <v>0</v>
      </c>
      <c r="Z519" s="95">
        <f>IFERROR(_xlfn.XLOOKUP(TEXT(H519,"0000000000"),'📞 Call Tracker'!A$2:A$2000,'📞 Call Tracker'!E$2:E$2000,""),"")</f>
        <v>0</v>
      </c>
      <c r="AA519" s="145">
        <f>IFERROR(_xlfn.XLOOKUP(TEXT(H519,"0000000000"),'📞 Call Tracker'!A$2:A$2000,'📞 Call Tracker'!F$2:F$2000,""),"")</f>
        <v>0</v>
      </c>
      <c r="AB519" s="132">
        <f t="shared" si="17"/>
        <v>99</v>
      </c>
      <c r="AC519" s="79"/>
    </row>
    <row r="520" spans="1:29" ht="20.100000000000001" customHeight="1">
      <c r="A520" s="91">
        <v>45905</v>
      </c>
      <c r="B520" s="92" t="str">
        <v>Frey</v>
      </c>
      <c r="C520" s="92" t="str">
        <v>Gabriel</v>
      </c>
      <c r="D520" s="92" t="str">
        <v>Phoenix</v>
      </c>
      <c r="E520" s="92">
        <v>85032</v>
      </c>
      <c r="F520" s="137" t="str">
        <v>Form letter</v>
      </c>
      <c r="G520" s="93" t="str">
        <v>https://docket.images.azcc.gov/E000046235.pdf</v>
      </c>
      <c r="H520" s="150" t="s">
        <v>6151</v>
      </c>
      <c r="I520" s="114" t="str">
        <v>R-BASIC</v>
      </c>
      <c r="J520" s="94" t="str">
        <v>No</v>
      </c>
      <c r="K520" s="94" t="str">
        <v>No</v>
      </c>
      <c r="L520" s="137" t="str">
        <v>Yes</v>
      </c>
      <c r="M520" s="94" t="str">
        <v>No</v>
      </c>
      <c r="N520" s="134" t="str">
        <v>No</v>
      </c>
      <c r="O520" s="119" t="str">
        <v>Yes</v>
      </c>
      <c r="P520" s="92" t="str">
        <v>N</v>
      </c>
      <c r="Q520" s="91">
        <v>45966</v>
      </c>
      <c r="R520" s="140">
        <v>0</v>
      </c>
      <c r="S520" s="92">
        <v>0</v>
      </c>
      <c r="T520" s="92">
        <v>0</v>
      </c>
      <c r="U520" s="137">
        <v>0</v>
      </c>
      <c r="V520" s="126" t="str">
        <f t="shared" si="16"/>
        <v>✅ On Best Plan</v>
      </c>
      <c r="W520" s="130" t="str">
        <f>IFERROR(_xlfn.XLOOKUP(TEXT(H520,"0000000000"),'📞 Call Tracker'!A$2:A$2000,'📞 Call Tracker'!B$2:B$2000,""),"")</f>
        <v>Joaquin</v>
      </c>
      <c r="X520" s="96">
        <f>IFERROR(_xlfn.XLOOKUP(TEXT(H520,"0000000000"),'📞 Call Tracker'!A$2:A$2000,'📞 Call Tracker'!C$2:C$2000,""),"")</f>
        <v>46046</v>
      </c>
      <c r="Y520" s="95" t="str">
        <f>IFERROR(_xlfn.XLOOKUP(TEXT(H520,"0000000000"),'📞 Call Tracker'!A$2:A$2000,'📞 Call Tracker'!D$2:D$2000,""),"")</f>
        <v>YES</v>
      </c>
      <c r="Z520" s="95">
        <f>IFERROR(_xlfn.XLOOKUP(TEXT(H520,"0000000000"),'📞 Call Tracker'!A$2:A$2000,'📞 Call Tracker'!E$2:E$2000,""),"")</f>
        <v>0</v>
      </c>
      <c r="AA520" s="145" t="str">
        <f>IFERROR(_xlfn.XLOOKUP(TEXT(H520,"0000000000"),'📞 Call Tracker'!A$2:A$2000,'📞 Call Tracker'!F$2:F$2000,""),"")</f>
        <v>LEFT V-M</v>
      </c>
      <c r="AB520" s="132">
        <f t="shared" si="17"/>
        <v>99</v>
      </c>
      <c r="AC520" s="79"/>
    </row>
    <row r="521" spans="1:29" ht="20.100000000000001" customHeight="1">
      <c r="A521" s="91">
        <v>45905</v>
      </c>
      <c r="B521" s="92" t="str">
        <v>Siegel</v>
      </c>
      <c r="C521" s="92" t="str">
        <v>Austin</v>
      </c>
      <c r="D521" s="92" t="str">
        <v>Phoenix</v>
      </c>
      <c r="E521" s="92">
        <v>85032</v>
      </c>
      <c r="F521" s="137" t="str">
        <v>Form letter</v>
      </c>
      <c r="G521" s="93" t="str">
        <v>https://docket.images.azcc.gov/E000046235.pdf</v>
      </c>
      <c r="H521" s="150" t="s">
        <v>6275</v>
      </c>
      <c r="I521" s="114" t="str">
        <v>R3-47</v>
      </c>
      <c r="J521" s="94" t="str">
        <v>No</v>
      </c>
      <c r="K521" s="94" t="str">
        <v>No</v>
      </c>
      <c r="L521" s="137" t="str">
        <v>Yes</v>
      </c>
      <c r="M521" s="94" t="str">
        <v>No</v>
      </c>
      <c r="N521" s="134" t="str">
        <v>No</v>
      </c>
      <c r="O521" s="119" t="str">
        <v>Yes</v>
      </c>
      <c r="P521" s="92" t="str">
        <v>N</v>
      </c>
      <c r="Q521" s="91">
        <v>45966</v>
      </c>
      <c r="R521" s="140">
        <v>0</v>
      </c>
      <c r="S521" s="92">
        <v>0</v>
      </c>
      <c r="T521" s="92">
        <v>0</v>
      </c>
      <c r="U521" s="137">
        <v>0</v>
      </c>
      <c r="V521" s="126" t="str">
        <f t="shared" si="16"/>
        <v>✅ On Best Plan</v>
      </c>
      <c r="W521" s="130">
        <f>IFERROR(_xlfn.XLOOKUP(TEXT(H521,"0000000000"),'📞 Call Tracker'!A$2:A$2000,'📞 Call Tracker'!B$2:B$2000,""),"")</f>
        <v>0</v>
      </c>
      <c r="X521" s="96">
        <f>IFERROR(_xlfn.XLOOKUP(TEXT(H521,"0000000000"),'📞 Call Tracker'!A$2:A$2000,'📞 Call Tracker'!C$2:C$2000,""),"")</f>
        <v>0</v>
      </c>
      <c r="Y521" s="95">
        <f>IFERROR(_xlfn.XLOOKUP(TEXT(H521,"0000000000"),'📞 Call Tracker'!A$2:A$2000,'📞 Call Tracker'!D$2:D$2000,""),"")</f>
        <v>0</v>
      </c>
      <c r="Z521" s="95">
        <f>IFERROR(_xlfn.XLOOKUP(TEXT(H521,"0000000000"),'📞 Call Tracker'!A$2:A$2000,'📞 Call Tracker'!E$2:E$2000,""),"")</f>
        <v>0</v>
      </c>
      <c r="AA521" s="145">
        <f>IFERROR(_xlfn.XLOOKUP(TEXT(H521,"0000000000"),'📞 Call Tracker'!A$2:A$2000,'📞 Call Tracker'!F$2:F$2000,""),"")</f>
        <v>0</v>
      </c>
      <c r="AB521" s="132">
        <f t="shared" si="17"/>
        <v>99</v>
      </c>
      <c r="AC521" s="79"/>
    </row>
    <row r="522" spans="1:29" ht="20.100000000000001" customHeight="1">
      <c r="A522" s="91">
        <v>45905</v>
      </c>
      <c r="B522" s="92" t="str">
        <v xml:space="preserve">Singh </v>
      </c>
      <c r="C522" s="92" t="str">
        <v>Harjeet</v>
      </c>
      <c r="D522" s="92" t="str">
        <v>Phoenix</v>
      </c>
      <c r="E522" s="92">
        <v>85024</v>
      </c>
      <c r="F522" s="137" t="str">
        <v>Form letter</v>
      </c>
      <c r="G522" s="93" t="str">
        <v>https://docket.images.azcc.gov/E000046235.pdf</v>
      </c>
      <c r="H522" s="150" t="s">
        <v>6047</v>
      </c>
      <c r="I522" s="114" t="str">
        <v>R3-47</v>
      </c>
      <c r="J522" s="94" t="str">
        <v>No</v>
      </c>
      <c r="K522" s="94" t="str">
        <v>No</v>
      </c>
      <c r="L522" s="137" t="str">
        <v>Yes</v>
      </c>
      <c r="M522" s="94" t="str">
        <v>No</v>
      </c>
      <c r="N522" s="134" t="str">
        <v>No</v>
      </c>
      <c r="O522" s="119" t="str">
        <v>Yes</v>
      </c>
      <c r="P522" s="92" t="str">
        <v>N</v>
      </c>
      <c r="Q522" s="91">
        <v>45966</v>
      </c>
      <c r="R522" s="140">
        <v>0</v>
      </c>
      <c r="S522" s="92">
        <v>0</v>
      </c>
      <c r="T522" s="92">
        <v>0</v>
      </c>
      <c r="U522" s="137">
        <v>0</v>
      </c>
      <c r="V522" s="126" t="str">
        <f t="shared" si="16"/>
        <v>✅ On Best Plan</v>
      </c>
      <c r="W522" s="130" t="str">
        <f>IFERROR(_xlfn.XLOOKUP(TEXT(H522,"0000000000"),'📞 Call Tracker'!A$2:A$2000,'📞 Call Tracker'!B$2:B$2000,""),"")</f>
        <v>Joaquin</v>
      </c>
      <c r="X522" s="96">
        <f>IFERROR(_xlfn.XLOOKUP(TEXT(H522,"0000000000"),'📞 Call Tracker'!A$2:A$2000,'📞 Call Tracker'!C$2:C$2000,""),"")</f>
        <v>46060</v>
      </c>
      <c r="Y522" s="95" t="str">
        <f>IFERROR(_xlfn.XLOOKUP(TEXT(H522,"0000000000"),'📞 Call Tracker'!A$2:A$2000,'📞 Call Tracker'!D$2:D$2000,""),"")</f>
        <v>YES</v>
      </c>
      <c r="Z522" s="95">
        <f>IFERROR(_xlfn.XLOOKUP(TEXT(H522,"0000000000"),'📞 Call Tracker'!A$2:A$2000,'📞 Call Tracker'!E$2:E$2000,""),"")</f>
        <v>0</v>
      </c>
      <c r="AA522" s="145" t="str">
        <f>IFERROR(_xlfn.XLOOKUP(TEXT(H522,"0000000000"),'📞 Call Tracker'!A$2:A$2000,'📞 Call Tracker'!F$2:F$2000,""),"")</f>
        <v>LEFT V-M</v>
      </c>
      <c r="AB522" s="132">
        <f t="shared" si="17"/>
        <v>99</v>
      </c>
      <c r="AC522" s="79"/>
    </row>
    <row r="523" spans="1:29" ht="20.100000000000001" customHeight="1">
      <c r="A523" s="91">
        <v>45905</v>
      </c>
      <c r="B523" s="92" t="str">
        <v>Klemm</v>
      </c>
      <c r="C523" s="92" t="str">
        <v>Joshua</v>
      </c>
      <c r="D523" s="92" t="str">
        <v>Phoenix</v>
      </c>
      <c r="E523" s="92">
        <v>85020</v>
      </c>
      <c r="F523" s="137" t="str">
        <v>Unacceptable and wrong</v>
      </c>
      <c r="G523" s="93" t="str">
        <v>https://docket.images.azcc.gov/E000046235.pdf</v>
      </c>
      <c r="H523" s="150" t="s">
        <v>6048</v>
      </c>
      <c r="I523" s="114" t="str">
        <v>R3-47</v>
      </c>
      <c r="J523" s="94" t="str">
        <v>No</v>
      </c>
      <c r="K523" s="94" t="str">
        <v>No</v>
      </c>
      <c r="L523" s="137" t="str">
        <v>Yes</v>
      </c>
      <c r="M523" s="94" t="str">
        <v>No</v>
      </c>
      <c r="N523" s="134" t="str">
        <v>No</v>
      </c>
      <c r="O523" s="119" t="str">
        <v>Yes</v>
      </c>
      <c r="P523" s="92" t="str">
        <v>N</v>
      </c>
      <c r="Q523" s="91">
        <v>45966</v>
      </c>
      <c r="R523" s="140">
        <v>0</v>
      </c>
      <c r="S523" s="92">
        <v>0</v>
      </c>
      <c r="T523" s="92">
        <v>0</v>
      </c>
      <c r="U523" s="137">
        <v>0</v>
      </c>
      <c r="V523" s="126" t="str">
        <f t="shared" si="16"/>
        <v>✅ On Best Plan</v>
      </c>
      <c r="W523" s="130" t="str">
        <f>IFERROR(_xlfn.XLOOKUP(TEXT(H523,"0000000000"),'📞 Call Tracker'!A$2:A$2000,'📞 Call Tracker'!B$2:B$2000,""),"")</f>
        <v>Joaquin</v>
      </c>
      <c r="X523" s="96">
        <f>IFERROR(_xlfn.XLOOKUP(TEXT(H523,"0000000000"),'📞 Call Tracker'!A$2:A$2000,'📞 Call Tracker'!C$2:C$2000,""),"")</f>
        <v>46046</v>
      </c>
      <c r="Y523" s="95" t="str">
        <f>IFERROR(_xlfn.XLOOKUP(TEXT(H523,"0000000000"),'📞 Call Tracker'!A$2:A$2000,'📞 Call Tracker'!D$2:D$2000,""),"")</f>
        <v>YES</v>
      </c>
      <c r="Z523" s="95">
        <f>IFERROR(_xlfn.XLOOKUP(TEXT(H523,"0000000000"),'📞 Call Tracker'!A$2:A$2000,'📞 Call Tracker'!E$2:E$2000,""),"")</f>
        <v>0</v>
      </c>
      <c r="AA523" s="145" t="str">
        <f>IFERROR(_xlfn.XLOOKUP(TEXT(H523,"0000000000"),'📞 Call Tracker'!A$2:A$2000,'📞 Call Tracker'!F$2:F$2000,""),"")</f>
        <v>LEFT V-M</v>
      </c>
      <c r="AB523" s="132">
        <f t="shared" si="17"/>
        <v>99</v>
      </c>
      <c r="AC523" s="79"/>
    </row>
    <row r="524" spans="1:29" ht="20.100000000000001" customHeight="1">
      <c r="A524" s="91">
        <v>45905</v>
      </c>
      <c r="B524" s="92" t="str">
        <v>Mesch</v>
      </c>
      <c r="C524" s="92" t="str">
        <v>Ryan</v>
      </c>
      <c r="D524" s="92" t="str">
        <v>Phoenix</v>
      </c>
      <c r="E524" s="92">
        <v>85003</v>
      </c>
      <c r="F524" s="137" t="str">
        <v xml:space="preserve">Strongly against </v>
      </c>
      <c r="G524" s="93" t="str">
        <v>https://docket.images.azcc.gov/E000046235.pdf</v>
      </c>
      <c r="H524" s="150" t="s">
        <v>6276</v>
      </c>
      <c r="I524" s="114" t="str">
        <v>RCPw/RTOUE47</v>
      </c>
      <c r="J524" s="94" t="str">
        <v>No</v>
      </c>
      <c r="K524" s="94" t="str">
        <v>No</v>
      </c>
      <c r="L524" s="137" t="str">
        <v>Yes</v>
      </c>
      <c r="M524" s="94" t="str">
        <v>No</v>
      </c>
      <c r="N524" s="134" t="str">
        <v>No</v>
      </c>
      <c r="O524" s="119" t="str">
        <v>Yes</v>
      </c>
      <c r="P524" s="92" t="str">
        <v>N</v>
      </c>
      <c r="Q524" s="91">
        <v>45966</v>
      </c>
      <c r="R524" s="140">
        <v>0</v>
      </c>
      <c r="S524" s="92">
        <v>0</v>
      </c>
      <c r="T524" s="92">
        <v>0</v>
      </c>
      <c r="U524" s="137">
        <v>0</v>
      </c>
      <c r="V524" s="126" t="str">
        <f t="shared" si="16"/>
        <v>✅ On Best Plan</v>
      </c>
      <c r="W524" s="130">
        <f>IFERROR(_xlfn.XLOOKUP(TEXT(H524,"0000000000"),'📞 Call Tracker'!A$2:A$2000,'📞 Call Tracker'!B$2:B$2000,""),"")</f>
        <v>0</v>
      </c>
      <c r="X524" s="96">
        <f>IFERROR(_xlfn.XLOOKUP(TEXT(H524,"0000000000"),'📞 Call Tracker'!A$2:A$2000,'📞 Call Tracker'!C$2:C$2000,""),"")</f>
        <v>0</v>
      </c>
      <c r="Y524" s="95">
        <f>IFERROR(_xlfn.XLOOKUP(TEXT(H524,"0000000000"),'📞 Call Tracker'!A$2:A$2000,'📞 Call Tracker'!D$2:D$2000,""),"")</f>
        <v>0</v>
      </c>
      <c r="Z524" s="95">
        <f>IFERROR(_xlfn.XLOOKUP(TEXT(H524,"0000000000"),'📞 Call Tracker'!A$2:A$2000,'📞 Call Tracker'!E$2:E$2000,""),"")</f>
        <v>0</v>
      </c>
      <c r="AA524" s="145">
        <f>IFERROR(_xlfn.XLOOKUP(TEXT(H524,"0000000000"),'📞 Call Tracker'!A$2:A$2000,'📞 Call Tracker'!F$2:F$2000,""),"")</f>
        <v>0</v>
      </c>
      <c r="AB524" s="132">
        <f t="shared" si="17"/>
        <v>99</v>
      </c>
      <c r="AC524" s="79"/>
    </row>
    <row r="525" spans="1:29" ht="20.100000000000001" customHeight="1">
      <c r="A525" s="91">
        <v>45905</v>
      </c>
      <c r="B525" s="92" t="str">
        <v>McWilliams</v>
      </c>
      <c r="C525" s="92" t="str">
        <v>Jesse</v>
      </c>
      <c r="D525" s="92" t="str">
        <v>Cave Creek</v>
      </c>
      <c r="E525" s="92">
        <v>85331</v>
      </c>
      <c r="F525" s="137" t="str">
        <v>Form letter</v>
      </c>
      <c r="G525" s="93" t="str">
        <v>https://docket.images.azcc.gov/E000046235.pdf</v>
      </c>
      <c r="H525" s="150" t="s">
        <v>6277</v>
      </c>
      <c r="I525" s="114" t="str">
        <v>RTOUE47</v>
      </c>
      <c r="J525" s="94" t="str">
        <v>No</v>
      </c>
      <c r="K525" s="94" t="str">
        <v>No</v>
      </c>
      <c r="L525" s="137" t="str">
        <v>No MEP R3-47($631.55)</v>
      </c>
      <c r="M525" s="94" t="str">
        <v>No</v>
      </c>
      <c r="N525" s="134" t="str">
        <v>No</v>
      </c>
      <c r="O525" s="119" t="str">
        <v>Yes</v>
      </c>
      <c r="P525" s="92">
        <v>45971</v>
      </c>
      <c r="Q525" s="91">
        <v>45966</v>
      </c>
      <c r="R525" s="140" t="str">
        <v>11/10 Left VM regarding MEP</v>
      </c>
      <c r="S525" s="92">
        <v>0</v>
      </c>
      <c r="T525" s="92">
        <v>0</v>
      </c>
      <c r="U525" s="137">
        <v>0</v>
      </c>
      <c r="V525" s="126" t="str">
        <f t="shared" si="16"/>
        <v>❌ Not on Best Plan</v>
      </c>
      <c r="W525" s="130">
        <f>IFERROR(_xlfn.XLOOKUP(TEXT(H525,"0000000000"),'📞 Call Tracker'!A$2:A$2000,'📞 Call Tracker'!B$2:B$2000,""),"")</f>
        <v>0</v>
      </c>
      <c r="X525" s="96">
        <f>IFERROR(_xlfn.XLOOKUP(TEXT(H525,"0000000000"),'📞 Call Tracker'!A$2:A$2000,'📞 Call Tracker'!C$2:C$2000,""),"")</f>
        <v>0</v>
      </c>
      <c r="Y525" s="95">
        <f>IFERROR(_xlfn.XLOOKUP(TEXT(H525,"0000000000"),'📞 Call Tracker'!A$2:A$2000,'📞 Call Tracker'!D$2:D$2000,""),"")</f>
        <v>0</v>
      </c>
      <c r="Z525" s="95">
        <f>IFERROR(_xlfn.XLOOKUP(TEXT(H525,"0000000000"),'📞 Call Tracker'!A$2:A$2000,'📞 Call Tracker'!E$2:E$2000,""),"")</f>
        <v>0</v>
      </c>
      <c r="AA525" s="145">
        <f>IFERROR(_xlfn.XLOOKUP(TEXT(H525,"0000000000"),'📞 Call Tracker'!A$2:A$2000,'📞 Call Tracker'!F$2:F$2000,""),"")</f>
        <v>0</v>
      </c>
      <c r="AB525" s="132">
        <f t="shared" si="17"/>
        <v>99</v>
      </c>
      <c r="AC525" s="79"/>
    </row>
    <row r="526" spans="1:29" ht="20.100000000000001" customHeight="1">
      <c r="A526" s="91">
        <v>45905</v>
      </c>
      <c r="B526" s="92" t="str">
        <v>Quine</v>
      </c>
      <c r="C526" s="92" t="str">
        <v>Andrew</v>
      </c>
      <c r="D526" s="92" t="str">
        <v>Glendale</v>
      </c>
      <c r="E526" s="92">
        <v>85308</v>
      </c>
      <c r="F526" s="137" t="str">
        <v>Form letter</v>
      </c>
      <c r="G526" s="93" t="str">
        <v>https://docket.images.azcc.gov/E000046235.pdf</v>
      </c>
      <c r="H526" s="150" t="s">
        <v>6278</v>
      </c>
      <c r="I526" s="114" t="str">
        <v>R3-47</v>
      </c>
      <c r="J526" s="94" t="str">
        <v>No</v>
      </c>
      <c r="K526" s="94" t="str">
        <v>No</v>
      </c>
      <c r="L526" s="137" t="str">
        <v>Yes</v>
      </c>
      <c r="M526" s="94" t="str">
        <v>No</v>
      </c>
      <c r="N526" s="134" t="str">
        <v>No</v>
      </c>
      <c r="O526" s="119" t="str">
        <v>Yes</v>
      </c>
      <c r="P526" s="92" t="str">
        <v>N</v>
      </c>
      <c r="Q526" s="91">
        <v>45966</v>
      </c>
      <c r="R526" s="140">
        <v>0</v>
      </c>
      <c r="S526" s="92">
        <v>0</v>
      </c>
      <c r="T526" s="92">
        <v>0</v>
      </c>
      <c r="U526" s="137">
        <v>0</v>
      </c>
      <c r="V526" s="126" t="str">
        <f t="shared" si="16"/>
        <v>✅ On Best Plan</v>
      </c>
      <c r="W526" s="130">
        <f>IFERROR(_xlfn.XLOOKUP(TEXT(H526,"0000000000"),'📞 Call Tracker'!A$2:A$2000,'📞 Call Tracker'!B$2:B$2000,""),"")</f>
        <v>0</v>
      </c>
      <c r="X526" s="96">
        <f>IFERROR(_xlfn.XLOOKUP(TEXT(H526,"0000000000"),'📞 Call Tracker'!A$2:A$2000,'📞 Call Tracker'!C$2:C$2000,""),"")</f>
        <v>0</v>
      </c>
      <c r="Y526" s="95">
        <f>IFERROR(_xlfn.XLOOKUP(TEXT(H526,"0000000000"),'📞 Call Tracker'!A$2:A$2000,'📞 Call Tracker'!D$2:D$2000,""),"")</f>
        <v>0</v>
      </c>
      <c r="Z526" s="95">
        <f>IFERROR(_xlfn.XLOOKUP(TEXT(H526,"0000000000"),'📞 Call Tracker'!A$2:A$2000,'📞 Call Tracker'!E$2:E$2000,""),"")</f>
        <v>0</v>
      </c>
      <c r="AA526" s="145">
        <f>IFERROR(_xlfn.XLOOKUP(TEXT(H526,"0000000000"),'📞 Call Tracker'!A$2:A$2000,'📞 Call Tracker'!F$2:F$2000,""),"")</f>
        <v>0</v>
      </c>
      <c r="AB526" s="132">
        <f t="shared" si="17"/>
        <v>99</v>
      </c>
      <c r="AC526" s="79"/>
    </row>
    <row r="527" spans="1:29" ht="20.100000000000001" customHeight="1">
      <c r="A527" s="91">
        <v>45905</v>
      </c>
      <c r="B527" s="92" t="str">
        <v>Bowen</v>
      </c>
      <c r="C527" s="92" t="str">
        <v>Sunsarae</v>
      </c>
      <c r="D527" s="92" t="str">
        <v>Goodyear</v>
      </c>
      <c r="E527" s="92">
        <v>85338</v>
      </c>
      <c r="F527" s="137" t="str">
        <v>Form letter</v>
      </c>
      <c r="G527" s="93" t="str">
        <v>https://docket.images.azcc.gov/E000046235.pdf</v>
      </c>
      <c r="H527" s="150" t="s">
        <v>6279</v>
      </c>
      <c r="I527" s="114" t="str">
        <v>R-BASIC</v>
      </c>
      <c r="J527" s="94" t="str">
        <v>No</v>
      </c>
      <c r="K527" s="94" t="str">
        <v>No</v>
      </c>
      <c r="L527" s="137" t="str">
        <v>Yes</v>
      </c>
      <c r="M527" s="94" t="str">
        <v>No</v>
      </c>
      <c r="N527" s="134" t="str">
        <v>No</v>
      </c>
      <c r="O527" s="119" t="str">
        <v>Yes</v>
      </c>
      <c r="P527" s="92" t="str">
        <v>N</v>
      </c>
      <c r="Q527" s="91">
        <v>45966</v>
      </c>
      <c r="R527" s="140">
        <v>0</v>
      </c>
      <c r="S527" s="92">
        <v>0</v>
      </c>
      <c r="T527" s="92">
        <v>0</v>
      </c>
      <c r="U527" s="137">
        <v>0</v>
      </c>
      <c r="V527" s="126" t="str">
        <f t="shared" si="16"/>
        <v>✅ On Best Plan</v>
      </c>
      <c r="W527" s="130">
        <f>IFERROR(_xlfn.XLOOKUP(TEXT(H527,"0000000000"),'📞 Call Tracker'!A$2:A$2000,'📞 Call Tracker'!B$2:B$2000,""),"")</f>
        <v>0</v>
      </c>
      <c r="X527" s="96">
        <f>IFERROR(_xlfn.XLOOKUP(TEXT(H527,"0000000000"),'📞 Call Tracker'!A$2:A$2000,'📞 Call Tracker'!C$2:C$2000,""),"")</f>
        <v>0</v>
      </c>
      <c r="Y527" s="95">
        <f>IFERROR(_xlfn.XLOOKUP(TEXT(H527,"0000000000"),'📞 Call Tracker'!A$2:A$2000,'📞 Call Tracker'!D$2:D$2000,""),"")</f>
        <v>0</v>
      </c>
      <c r="Z527" s="95">
        <f>IFERROR(_xlfn.XLOOKUP(TEXT(H527,"0000000000"),'📞 Call Tracker'!A$2:A$2000,'📞 Call Tracker'!E$2:E$2000,""),"")</f>
        <v>0</v>
      </c>
      <c r="AA527" s="145">
        <f>IFERROR(_xlfn.XLOOKUP(TEXT(H527,"0000000000"),'📞 Call Tracker'!A$2:A$2000,'📞 Call Tracker'!F$2:F$2000,""),"")</f>
        <v>0</v>
      </c>
      <c r="AB527" s="132">
        <f t="shared" si="17"/>
        <v>99</v>
      </c>
      <c r="AC527" s="79"/>
    </row>
    <row r="528" spans="1:29" ht="20.100000000000001" customHeight="1">
      <c r="A528" s="91">
        <v>45905</v>
      </c>
      <c r="B528" s="92" t="str">
        <v>Irwin</v>
      </c>
      <c r="C528" s="92" t="str">
        <v>William</v>
      </c>
      <c r="D528" s="92" t="str">
        <v>Phoenix</v>
      </c>
      <c r="E528" s="92">
        <v>85050</v>
      </c>
      <c r="F528" s="137" t="str">
        <v>Form letter</v>
      </c>
      <c r="G528" s="93" t="str">
        <v>https://docket.images.azcc.gov/E000046235.pdf</v>
      </c>
      <c r="H528" s="150" t="s">
        <v>6280</v>
      </c>
      <c r="I528" s="114" t="str">
        <v>R3-47</v>
      </c>
      <c r="J528" s="94" t="str">
        <v>No</v>
      </c>
      <c r="K528" s="94" t="str">
        <v>No</v>
      </c>
      <c r="L528" s="137" t="str">
        <v>Yes</v>
      </c>
      <c r="M528" s="94" t="str">
        <v>No</v>
      </c>
      <c r="N528" s="134" t="str">
        <v>No</v>
      </c>
      <c r="O528" s="119" t="str">
        <v>Yes</v>
      </c>
      <c r="P528" s="92" t="str">
        <v>N</v>
      </c>
      <c r="Q528" s="91">
        <v>45966</v>
      </c>
      <c r="R528" s="140">
        <v>0</v>
      </c>
      <c r="S528" s="92">
        <v>0</v>
      </c>
      <c r="T528" s="92">
        <v>0</v>
      </c>
      <c r="U528" s="137">
        <v>0</v>
      </c>
      <c r="V528" s="126" t="str">
        <f t="shared" si="16"/>
        <v>✅ On Best Plan</v>
      </c>
      <c r="W528" s="130">
        <f>IFERROR(_xlfn.XLOOKUP(TEXT(H528,"0000000000"),'📞 Call Tracker'!A$2:A$2000,'📞 Call Tracker'!B$2:B$2000,""),"")</f>
        <v>0</v>
      </c>
      <c r="X528" s="96">
        <f>IFERROR(_xlfn.XLOOKUP(TEXT(H528,"0000000000"),'📞 Call Tracker'!A$2:A$2000,'📞 Call Tracker'!C$2:C$2000,""),"")</f>
        <v>0</v>
      </c>
      <c r="Y528" s="95">
        <f>IFERROR(_xlfn.XLOOKUP(TEXT(H528,"0000000000"),'📞 Call Tracker'!A$2:A$2000,'📞 Call Tracker'!D$2:D$2000,""),"")</f>
        <v>0</v>
      </c>
      <c r="Z528" s="95">
        <f>IFERROR(_xlfn.XLOOKUP(TEXT(H528,"0000000000"),'📞 Call Tracker'!A$2:A$2000,'📞 Call Tracker'!E$2:E$2000,""),"")</f>
        <v>0</v>
      </c>
      <c r="AA528" s="145">
        <f>IFERROR(_xlfn.XLOOKUP(TEXT(H528,"0000000000"),'📞 Call Tracker'!A$2:A$2000,'📞 Call Tracker'!F$2:F$2000,""),"")</f>
        <v>0</v>
      </c>
      <c r="AB528" s="132">
        <f t="shared" si="17"/>
        <v>99</v>
      </c>
      <c r="AC528" s="79"/>
    </row>
    <row r="529" spans="1:29" ht="20.100000000000001" customHeight="1">
      <c r="A529" s="91">
        <v>45905</v>
      </c>
      <c r="B529" s="92" t="str">
        <v>DeMelo</v>
      </c>
      <c r="C529" s="92" t="str">
        <v>Marc</v>
      </c>
      <c r="D529" s="92" t="str">
        <v>Scottsdale</v>
      </c>
      <c r="E529" s="92">
        <v>85260</v>
      </c>
      <c r="F529" s="137" t="str">
        <v>Blatant gouging</v>
      </c>
      <c r="G529" s="93" t="str">
        <v>https://docket.images.azcc.gov/E000046235.pdf</v>
      </c>
      <c r="H529" s="150" t="s">
        <v>6709</v>
      </c>
      <c r="I529" s="114" t="str">
        <v>R3-47</v>
      </c>
      <c r="J529" s="94" t="str">
        <v>No</v>
      </c>
      <c r="K529" s="94" t="str">
        <v>No</v>
      </c>
      <c r="L529" s="137" t="str">
        <v>Yes</v>
      </c>
      <c r="M529" s="94" t="str">
        <v>No</v>
      </c>
      <c r="N529" s="134" t="str">
        <v>No</v>
      </c>
      <c r="O529" s="119" t="str">
        <v>Yes</v>
      </c>
      <c r="P529" s="92" t="str">
        <v>N</v>
      </c>
      <c r="Q529" s="91">
        <v>45966</v>
      </c>
      <c r="R529" s="140">
        <v>0</v>
      </c>
      <c r="S529" s="92">
        <v>0</v>
      </c>
      <c r="T529" s="92">
        <v>0</v>
      </c>
      <c r="U529" s="137">
        <v>0</v>
      </c>
      <c r="V529" s="126" t="str">
        <f t="shared" si="16"/>
        <v>✅ On Best Plan</v>
      </c>
      <c r="W529" s="130" t="str">
        <f>IFERROR(_xlfn.XLOOKUP(TEXT(H529,"0000000000"),'📞 Call Tracker'!A$2:A$2000,'📞 Call Tracker'!B$2:B$2000,""),"")</f>
        <v/>
      </c>
      <c r="X529" s="96" t="str">
        <f>IFERROR(_xlfn.XLOOKUP(TEXT(H529,"0000000000"),'📞 Call Tracker'!A$2:A$2000,'📞 Call Tracker'!C$2:C$2000,""),"")</f>
        <v/>
      </c>
      <c r="Y529" s="95" t="str">
        <f>IFERROR(_xlfn.XLOOKUP(TEXT(H529,"0000000000"),'📞 Call Tracker'!A$2:A$2000,'📞 Call Tracker'!D$2:D$2000,""),"")</f>
        <v/>
      </c>
      <c r="Z529" s="95" t="str">
        <f>IFERROR(_xlfn.XLOOKUP(TEXT(H529,"0000000000"),'📞 Call Tracker'!A$2:A$2000,'📞 Call Tracker'!E$2:E$2000,""),"")</f>
        <v/>
      </c>
      <c r="AA529" s="145" t="str">
        <f>IFERROR(_xlfn.XLOOKUP(TEXT(H529,"0000000000"),'📞 Call Tracker'!A$2:A$2000,'📞 Call Tracker'!F$2:F$2000,""),"")</f>
        <v/>
      </c>
      <c r="AB529" s="132">
        <f t="shared" si="17"/>
        <v>4</v>
      </c>
      <c r="AC529" s="79"/>
    </row>
    <row r="530" spans="1:29" ht="20.100000000000001" customHeight="1">
      <c r="A530" s="91">
        <v>45905</v>
      </c>
      <c r="B530" s="92" t="str">
        <v>Bryant</v>
      </c>
      <c r="C530" s="92" t="str">
        <v>Shelby</v>
      </c>
      <c r="D530" s="92" t="str">
        <v>Phoenix</v>
      </c>
      <c r="E530" s="92">
        <v>85024</v>
      </c>
      <c r="F530" s="137" t="str">
        <v>Opposed, unfair burden on families and seniors</v>
      </c>
      <c r="G530" s="93" t="str">
        <v>https://docket.images.azcc.gov/E000046235.pdf</v>
      </c>
      <c r="H530" s="150" t="s">
        <v>6281</v>
      </c>
      <c r="I530" s="114" t="str">
        <v>RTOUE47</v>
      </c>
      <c r="J530" s="94" t="str">
        <v>No</v>
      </c>
      <c r="K530" s="94" t="str">
        <v>No</v>
      </c>
      <c r="L530" s="137" t="str">
        <v>No MEP R3-47(28.19)</v>
      </c>
      <c r="M530" s="94" t="str">
        <v>Yes</v>
      </c>
      <c r="N530" s="134">
        <v>470.06</v>
      </c>
      <c r="O530" s="119" t="str">
        <v>Yes</v>
      </c>
      <c r="P530" s="92" t="str">
        <v>N</v>
      </c>
      <c r="Q530" s="91">
        <v>45966</v>
      </c>
      <c r="R530" s="140">
        <v>0</v>
      </c>
      <c r="S530" s="92">
        <v>0</v>
      </c>
      <c r="T530" s="92">
        <v>0</v>
      </c>
      <c r="U530" s="137">
        <v>0</v>
      </c>
      <c r="V530" s="126" t="str">
        <f t="shared" si="16"/>
        <v>❌ Not on Best Plan</v>
      </c>
      <c r="W530" s="130">
        <f>IFERROR(_xlfn.XLOOKUP(TEXT(H530,"0000000000"),'📞 Call Tracker'!A$2:A$2000,'📞 Call Tracker'!B$2:B$2000,""),"")</f>
        <v>0</v>
      </c>
      <c r="X530" s="96">
        <f>IFERROR(_xlfn.XLOOKUP(TEXT(H530,"0000000000"),'📞 Call Tracker'!A$2:A$2000,'📞 Call Tracker'!C$2:C$2000,""),"")</f>
        <v>0</v>
      </c>
      <c r="Y530" s="95">
        <f>IFERROR(_xlfn.XLOOKUP(TEXT(H530,"0000000000"),'📞 Call Tracker'!A$2:A$2000,'📞 Call Tracker'!D$2:D$2000,""),"")</f>
        <v>0</v>
      </c>
      <c r="Z530" s="95">
        <f>IFERROR(_xlfn.XLOOKUP(TEXT(H530,"0000000000"),'📞 Call Tracker'!A$2:A$2000,'📞 Call Tracker'!E$2:E$2000,""),"")</f>
        <v>0</v>
      </c>
      <c r="AA530" s="145">
        <f>IFERROR(_xlfn.XLOOKUP(TEXT(H530,"0000000000"),'📞 Call Tracker'!A$2:A$2000,'📞 Call Tracker'!F$2:F$2000,""),"")</f>
        <v>0</v>
      </c>
      <c r="AB530" s="132">
        <f t="shared" si="17"/>
        <v>99</v>
      </c>
      <c r="AC530" s="79"/>
    </row>
    <row r="531" spans="1:29" ht="20.100000000000001" customHeight="1">
      <c r="A531" s="91">
        <v>45905</v>
      </c>
      <c r="B531" s="92" t="str">
        <v>Sidebottom</v>
      </c>
      <c r="C531" s="92" t="str">
        <v>Ryan</v>
      </c>
      <c r="D531" s="92" t="str">
        <v>Phoenix</v>
      </c>
      <c r="E531" s="92">
        <v>85016</v>
      </c>
      <c r="F531" s="137" t="str">
        <v>Form letter</v>
      </c>
      <c r="G531" s="93" t="str">
        <v>https://docket.images.azcc.gov/E000046235.pdf</v>
      </c>
      <c r="H531" s="150" t="s">
        <v>6049</v>
      </c>
      <c r="I531" s="114" t="str">
        <v>R-BASIC</v>
      </c>
      <c r="J531" s="94" t="str">
        <v>No</v>
      </c>
      <c r="K531" s="94" t="str">
        <v>No</v>
      </c>
      <c r="L531" s="137" t="str">
        <v>Yes</v>
      </c>
      <c r="M531" s="94" t="str">
        <v>No</v>
      </c>
      <c r="N531" s="134" t="str">
        <v>No</v>
      </c>
      <c r="O531" s="119" t="str">
        <v>Yes</v>
      </c>
      <c r="P531" s="92" t="str">
        <v>N</v>
      </c>
      <c r="Q531" s="91">
        <v>45966</v>
      </c>
      <c r="R531" s="140">
        <v>0</v>
      </c>
      <c r="S531" s="92">
        <v>0</v>
      </c>
      <c r="T531" s="92">
        <v>0</v>
      </c>
      <c r="U531" s="137">
        <v>0</v>
      </c>
      <c r="V531" s="126" t="str">
        <f t="shared" si="16"/>
        <v>✅ On Best Plan</v>
      </c>
      <c r="W531" s="130" t="str">
        <f>IFERROR(_xlfn.XLOOKUP(TEXT(H531,"0000000000"),'📞 Call Tracker'!A$2:A$2000,'📞 Call Tracker'!B$2:B$2000,""),"")</f>
        <v>Joaquin</v>
      </c>
      <c r="X531" s="96">
        <f>IFERROR(_xlfn.XLOOKUP(TEXT(H531,"0000000000"),'📞 Call Tracker'!A$2:A$2000,'📞 Call Tracker'!C$2:C$2000,""),"")</f>
        <v>46046</v>
      </c>
      <c r="Y531" s="95" t="str">
        <f>IFERROR(_xlfn.XLOOKUP(TEXT(H531,"0000000000"),'📞 Call Tracker'!A$2:A$2000,'📞 Call Tracker'!D$2:D$2000,""),"")</f>
        <v>YES</v>
      </c>
      <c r="Z531" s="95">
        <f>IFERROR(_xlfn.XLOOKUP(TEXT(H531,"0000000000"),'📞 Call Tracker'!A$2:A$2000,'📞 Call Tracker'!E$2:E$2000,""),"")</f>
        <v>0</v>
      </c>
      <c r="AA531" s="145" t="str">
        <f>IFERROR(_xlfn.XLOOKUP(TEXT(H531,"0000000000"),'📞 Call Tracker'!A$2:A$2000,'📞 Call Tracker'!F$2:F$2000,""),"")</f>
        <v>LEFT V-M</v>
      </c>
      <c r="AB531" s="132">
        <f t="shared" si="17"/>
        <v>99</v>
      </c>
      <c r="AC531" s="79"/>
    </row>
    <row r="532" spans="1:29" ht="20.100000000000001" customHeight="1">
      <c r="A532" s="91">
        <v>45905</v>
      </c>
      <c r="B532" s="92" t="str">
        <v>Perelman</v>
      </c>
      <c r="C532" s="92" t="str">
        <v>Dale</v>
      </c>
      <c r="D532" s="92" t="str">
        <v>Scottsdale</v>
      </c>
      <c r="E532" s="92">
        <v>85258</v>
      </c>
      <c r="F532" s="137" t="str">
        <v>Increase will be very onerous for those on fixed income</v>
      </c>
      <c r="G532" s="93" t="str">
        <v>https://docket.images.azcc.gov/E000046235.pdf</v>
      </c>
      <c r="H532" s="150" t="s">
        <v>1863</v>
      </c>
      <c r="I532" s="114" t="str">
        <v>R3-47</v>
      </c>
      <c r="J532" s="94" t="str">
        <v>No</v>
      </c>
      <c r="K532" s="94" t="str">
        <v>No</v>
      </c>
      <c r="L532" s="137" t="str">
        <v>No MEP R-BSIC(32.84)</v>
      </c>
      <c r="M532" s="94" t="str">
        <v>No</v>
      </c>
      <c r="N532" s="134" t="str">
        <v>No</v>
      </c>
      <c r="O532" s="119" t="str">
        <v>Yes</v>
      </c>
      <c r="P532" s="92" t="str">
        <v>N</v>
      </c>
      <c r="Q532" s="91">
        <v>45966</v>
      </c>
      <c r="R532" s="140" t="str">
        <v>MEP does not appear on bill due to 'flagged for irregular usage' - Ashley is looking into it.</v>
      </c>
      <c r="S532" s="92">
        <v>0</v>
      </c>
      <c r="T532" s="92">
        <v>0</v>
      </c>
      <c r="U532" s="137">
        <v>0</v>
      </c>
      <c r="V532" s="126" t="str">
        <f t="shared" si="16"/>
        <v>❌ Not on Best Plan</v>
      </c>
      <c r="W532" s="130">
        <f>IFERROR(_xlfn.XLOOKUP(TEXT(H532,"0000000000"),'📞 Call Tracker'!A$2:A$2000,'📞 Call Tracker'!B$2:B$2000,""),"")</f>
        <v>0</v>
      </c>
      <c r="X532" s="96">
        <f>IFERROR(_xlfn.XLOOKUP(TEXT(H532,"0000000000"),'📞 Call Tracker'!A$2:A$2000,'📞 Call Tracker'!C$2:C$2000,""),"")</f>
        <v>0</v>
      </c>
      <c r="Y532" s="95">
        <f>IFERROR(_xlfn.XLOOKUP(TEXT(H532,"0000000000"),'📞 Call Tracker'!A$2:A$2000,'📞 Call Tracker'!D$2:D$2000,""),"")</f>
        <v>0</v>
      </c>
      <c r="Z532" s="95">
        <f>IFERROR(_xlfn.XLOOKUP(TEXT(H532,"0000000000"),'📞 Call Tracker'!A$2:A$2000,'📞 Call Tracker'!E$2:E$2000,""),"")</f>
        <v>0</v>
      </c>
      <c r="AA532" s="145">
        <f>IFERROR(_xlfn.XLOOKUP(TEXT(H532,"0000000000"),'📞 Call Tracker'!A$2:A$2000,'📞 Call Tracker'!F$2:F$2000,""),"")</f>
        <v>0</v>
      </c>
      <c r="AB532" s="132">
        <f t="shared" si="17"/>
        <v>99</v>
      </c>
      <c r="AC532" s="79"/>
    </row>
    <row r="533" spans="1:29" ht="20.100000000000001" customHeight="1">
      <c r="A533" s="91">
        <v>45905</v>
      </c>
      <c r="B533" s="92" t="str">
        <v>McKinney</v>
      </c>
      <c r="C533" s="92" t="str">
        <v>Joshua</v>
      </c>
      <c r="D533" s="92" t="str">
        <v>Phoenix</v>
      </c>
      <c r="E533" s="92">
        <v>85022</v>
      </c>
      <c r="F533" s="137" t="str">
        <v>Form letter</v>
      </c>
      <c r="G533" s="93" t="str">
        <v>https://docket.images.azcc.gov/E000046235.pdf</v>
      </c>
      <c r="H533" s="150" t="s">
        <v>6282</v>
      </c>
      <c r="I533" s="114" t="str">
        <v>R-XS</v>
      </c>
      <c r="J533" s="94" t="str">
        <v>No</v>
      </c>
      <c r="K533" s="94" t="str">
        <v>No</v>
      </c>
      <c r="L533" s="137" t="str">
        <v>Yes</v>
      </c>
      <c r="M533" s="94" t="str">
        <v>No</v>
      </c>
      <c r="N533" s="134" t="str">
        <v>No</v>
      </c>
      <c r="O533" s="119" t="str">
        <v>Yes</v>
      </c>
      <c r="P533" s="92" t="str">
        <v>N</v>
      </c>
      <c r="Q533" s="91">
        <v>45966</v>
      </c>
      <c r="R533" s="140">
        <v>0</v>
      </c>
      <c r="S533" s="92">
        <v>0</v>
      </c>
      <c r="T533" s="92">
        <v>0</v>
      </c>
      <c r="U533" s="137">
        <v>0</v>
      </c>
      <c r="V533" s="126" t="str">
        <f t="shared" si="16"/>
        <v>✅ On Best Plan</v>
      </c>
      <c r="W533" s="130">
        <f>IFERROR(_xlfn.XLOOKUP(TEXT(H533,"0000000000"),'📞 Call Tracker'!A$2:A$2000,'📞 Call Tracker'!B$2:B$2000,""),"")</f>
        <v>0</v>
      </c>
      <c r="X533" s="96">
        <f>IFERROR(_xlfn.XLOOKUP(TEXT(H533,"0000000000"),'📞 Call Tracker'!A$2:A$2000,'📞 Call Tracker'!C$2:C$2000,""),"")</f>
        <v>0</v>
      </c>
      <c r="Y533" s="95">
        <f>IFERROR(_xlfn.XLOOKUP(TEXT(H533,"0000000000"),'📞 Call Tracker'!A$2:A$2000,'📞 Call Tracker'!D$2:D$2000,""),"")</f>
        <v>0</v>
      </c>
      <c r="Z533" s="95">
        <f>IFERROR(_xlfn.XLOOKUP(TEXT(H533,"0000000000"),'📞 Call Tracker'!A$2:A$2000,'📞 Call Tracker'!E$2:E$2000,""),"")</f>
        <v>0</v>
      </c>
      <c r="AA533" s="145">
        <f>IFERROR(_xlfn.XLOOKUP(TEXT(H533,"0000000000"),'📞 Call Tracker'!A$2:A$2000,'📞 Call Tracker'!F$2:F$2000,""),"")</f>
        <v>0</v>
      </c>
      <c r="AB533" s="132">
        <f t="shared" si="17"/>
        <v>99</v>
      </c>
      <c r="AC533" s="79"/>
    </row>
    <row r="534" spans="1:29" ht="20.100000000000001" customHeight="1">
      <c r="A534" s="91">
        <v>45905</v>
      </c>
      <c r="B534" s="92" t="str">
        <v>Vontran</v>
      </c>
      <c r="C534" s="92" t="str">
        <v>Brady</v>
      </c>
      <c r="D534" s="92" t="str">
        <v>Glendale</v>
      </c>
      <c r="E534" s="92">
        <v>85308</v>
      </c>
      <c r="F534" s="137" t="str">
        <v>Form letter</v>
      </c>
      <c r="G534" s="93" t="str">
        <v>https://docket.images.azcc.gov/E000046235.pdf</v>
      </c>
      <c r="H534" s="150" t="s">
        <v>6283</v>
      </c>
      <c r="I534" s="114" t="str">
        <v>R3-47</v>
      </c>
      <c r="J534" s="94" t="str">
        <v>No</v>
      </c>
      <c r="K534" s="94" t="str">
        <v>No</v>
      </c>
      <c r="L534" s="137" t="str">
        <v>Yes</v>
      </c>
      <c r="M534" s="94" t="str">
        <v>No</v>
      </c>
      <c r="N534" s="134" t="str">
        <v>No</v>
      </c>
      <c r="O534" s="119" t="str">
        <v>Yes</v>
      </c>
      <c r="P534" s="92" t="str">
        <v>N</v>
      </c>
      <c r="Q534" s="91">
        <v>45966</v>
      </c>
      <c r="R534" s="140">
        <v>0</v>
      </c>
      <c r="S534" s="92">
        <v>0</v>
      </c>
      <c r="T534" s="92">
        <v>0</v>
      </c>
      <c r="U534" s="137">
        <v>0</v>
      </c>
      <c r="V534" s="126" t="str">
        <f t="shared" si="16"/>
        <v>✅ On Best Plan</v>
      </c>
      <c r="W534" s="130">
        <f>IFERROR(_xlfn.XLOOKUP(TEXT(H534,"0000000000"),'📞 Call Tracker'!A$2:A$2000,'📞 Call Tracker'!B$2:B$2000,""),"")</f>
        <v>0</v>
      </c>
      <c r="X534" s="96">
        <f>IFERROR(_xlfn.XLOOKUP(TEXT(H534,"0000000000"),'📞 Call Tracker'!A$2:A$2000,'📞 Call Tracker'!C$2:C$2000,""),"")</f>
        <v>0</v>
      </c>
      <c r="Y534" s="95">
        <f>IFERROR(_xlfn.XLOOKUP(TEXT(H534,"0000000000"),'📞 Call Tracker'!A$2:A$2000,'📞 Call Tracker'!D$2:D$2000,""),"")</f>
        <v>0</v>
      </c>
      <c r="Z534" s="95">
        <f>IFERROR(_xlfn.XLOOKUP(TEXT(H534,"0000000000"),'📞 Call Tracker'!A$2:A$2000,'📞 Call Tracker'!E$2:E$2000,""),"")</f>
        <v>0</v>
      </c>
      <c r="AA534" s="145">
        <f>IFERROR(_xlfn.XLOOKUP(TEXT(H534,"0000000000"),'📞 Call Tracker'!A$2:A$2000,'📞 Call Tracker'!F$2:F$2000,""),"")</f>
        <v>0</v>
      </c>
      <c r="AB534" s="132">
        <f t="shared" si="17"/>
        <v>99</v>
      </c>
      <c r="AC534" s="79"/>
    </row>
    <row r="535" spans="1:29" ht="20.100000000000001" customHeight="1">
      <c r="A535" s="91">
        <v>45905</v>
      </c>
      <c r="B535" s="92" t="str">
        <v>Ingraham</v>
      </c>
      <c r="C535" s="92" t="str">
        <v>Corey</v>
      </c>
      <c r="D535" s="92" t="str">
        <v>Buckeye</v>
      </c>
      <c r="E535" s="92">
        <v>85396</v>
      </c>
      <c r="F535" s="137" t="str">
        <v>Form letter</v>
      </c>
      <c r="G535" s="93" t="str">
        <v>https://docket.images.azcc.gov/E000046235.pdf</v>
      </c>
      <c r="H535" s="150" t="s">
        <v>1873</v>
      </c>
      <c r="I535" s="114" t="str">
        <v>R3-47</v>
      </c>
      <c r="J535" s="94" t="str">
        <v>No</v>
      </c>
      <c r="K535" s="94" t="str">
        <v>No</v>
      </c>
      <c r="L535" s="137" t="str">
        <v>Yes</v>
      </c>
      <c r="M535" s="94" t="str">
        <v>No</v>
      </c>
      <c r="N535" s="134" t="str">
        <v>No</v>
      </c>
      <c r="O535" s="119" t="str">
        <v>Yes</v>
      </c>
      <c r="P535" s="92" t="str">
        <v>N</v>
      </c>
      <c r="Q535" s="91">
        <v>45966</v>
      </c>
      <c r="R535" s="140">
        <v>0</v>
      </c>
      <c r="S535" s="92">
        <v>0</v>
      </c>
      <c r="T535" s="92">
        <v>0</v>
      </c>
      <c r="U535" s="137">
        <v>0</v>
      </c>
      <c r="V535" s="126" t="str">
        <f t="shared" si="16"/>
        <v>✅ On Best Plan</v>
      </c>
      <c r="W535" s="130">
        <f>IFERROR(_xlfn.XLOOKUP(TEXT(H535,"0000000000"),'📞 Call Tracker'!A$2:A$2000,'📞 Call Tracker'!B$2:B$2000,""),"")</f>
        <v>0</v>
      </c>
      <c r="X535" s="96">
        <f>IFERROR(_xlfn.XLOOKUP(TEXT(H535,"0000000000"),'📞 Call Tracker'!A$2:A$2000,'📞 Call Tracker'!C$2:C$2000,""),"")</f>
        <v>0</v>
      </c>
      <c r="Y535" s="95">
        <f>IFERROR(_xlfn.XLOOKUP(TEXT(H535,"0000000000"),'📞 Call Tracker'!A$2:A$2000,'📞 Call Tracker'!D$2:D$2000,""),"")</f>
        <v>0</v>
      </c>
      <c r="Z535" s="95">
        <f>IFERROR(_xlfn.XLOOKUP(TEXT(H535,"0000000000"),'📞 Call Tracker'!A$2:A$2000,'📞 Call Tracker'!E$2:E$2000,""),"")</f>
        <v>0</v>
      </c>
      <c r="AA535" s="145">
        <f>IFERROR(_xlfn.XLOOKUP(TEXT(H535,"0000000000"),'📞 Call Tracker'!A$2:A$2000,'📞 Call Tracker'!F$2:F$2000,""),"")</f>
        <v>0</v>
      </c>
      <c r="AB535" s="132">
        <f t="shared" si="17"/>
        <v>99</v>
      </c>
      <c r="AC535" s="79"/>
    </row>
    <row r="536" spans="1:29" ht="20.100000000000001" customHeight="1">
      <c r="A536" s="91">
        <v>45905</v>
      </c>
      <c r="B536" s="92" t="str">
        <v>Briden</v>
      </c>
      <c r="C536" s="92" t="str">
        <v>Jeffrey</v>
      </c>
      <c r="D536" s="92" t="str">
        <v xml:space="preserve">Sun City </v>
      </c>
      <c r="E536" s="92">
        <v>85351</v>
      </c>
      <c r="F536" s="137" t="str">
        <v>Increase will break many fixed income seniors</v>
      </c>
      <c r="G536" s="93" t="str">
        <v>https://docket.images.azcc.gov/E000046235.pdf</v>
      </c>
      <c r="H536" s="150" t="s">
        <v>6000</v>
      </c>
      <c r="I536" s="114" t="str">
        <v>R-2</v>
      </c>
      <c r="J536" s="94" t="str">
        <v>No</v>
      </c>
      <c r="K536" s="94" t="str">
        <v>No</v>
      </c>
      <c r="L536" s="137" t="str">
        <v>Frozen Rate</v>
      </c>
      <c r="M536" s="94" t="str">
        <v>No</v>
      </c>
      <c r="N536" s="134" t="str">
        <v>No</v>
      </c>
      <c r="O536" s="119" t="str">
        <v>Yes</v>
      </c>
      <c r="P536" s="92" t="str">
        <v>N</v>
      </c>
      <c r="Q536" s="91">
        <v>45966</v>
      </c>
      <c r="R536" s="140">
        <v>0</v>
      </c>
      <c r="S536" s="92">
        <v>0</v>
      </c>
      <c r="T536" s="92">
        <v>0</v>
      </c>
      <c r="U536" s="137">
        <v>0</v>
      </c>
      <c r="V536" s="126" t="str">
        <f t="shared" si="16"/>
        <v>❄ Frozen Rate</v>
      </c>
      <c r="W536" s="130" t="str">
        <f>IFERROR(_xlfn.XLOOKUP(TEXT(H536,"0000000000"),'📞 Call Tracker'!A$2:A$2000,'📞 Call Tracker'!B$2:B$2000,""),"")</f>
        <v>Joaquin</v>
      </c>
      <c r="X536" s="96">
        <f>IFERROR(_xlfn.XLOOKUP(TEXT(H536,"0000000000"),'📞 Call Tracker'!A$2:A$2000,'📞 Call Tracker'!C$2:C$2000,""),"")</f>
        <v>46046</v>
      </c>
      <c r="Y536" s="95" t="str">
        <f>IFERROR(_xlfn.XLOOKUP(TEXT(H536,"0000000000"),'📞 Call Tracker'!A$2:A$2000,'📞 Call Tracker'!D$2:D$2000,""),"")</f>
        <v>YES</v>
      </c>
      <c r="Z536" s="95">
        <f>IFERROR(_xlfn.XLOOKUP(TEXT(H536,"0000000000"),'📞 Call Tracker'!A$2:A$2000,'📞 Call Tracker'!E$2:E$2000,""),"")</f>
        <v>0</v>
      </c>
      <c r="AA536" s="145" t="str">
        <f>IFERROR(_xlfn.XLOOKUP(TEXT(H536,"0000000000"),'📞 Call Tracker'!A$2:A$2000,'📞 Call Tracker'!F$2:F$2000,""),"")</f>
        <v>STOPPED S-A 2025-06-04 to 2025-11-03</v>
      </c>
      <c r="AB536" s="132">
        <f t="shared" si="17"/>
        <v>99</v>
      </c>
      <c r="AC536" s="79"/>
    </row>
    <row r="537" spans="1:29" ht="20.100000000000001" customHeight="1">
      <c r="A537" s="91">
        <v>45905</v>
      </c>
      <c r="B537" s="92" t="str">
        <v>Leal</v>
      </c>
      <c r="C537" s="92" t="str">
        <v>Steven</v>
      </c>
      <c r="D537" s="92" t="str">
        <v>Phoenix</v>
      </c>
      <c r="E537" s="92">
        <v>85014</v>
      </c>
      <c r="F537" s="137" t="str">
        <v>Opposed</v>
      </c>
      <c r="G537" s="93" t="str">
        <v>https://docket.images.azcc.gov/E000046235.pdf</v>
      </c>
      <c r="H537" s="150" t="s">
        <v>6284</v>
      </c>
      <c r="I537" s="114" t="str">
        <v>R-BASIC</v>
      </c>
      <c r="J537" s="94" t="str">
        <v>No</v>
      </c>
      <c r="K537" s="94" t="str">
        <v>No</v>
      </c>
      <c r="L537" s="137" t="str">
        <v>No MEP RTOUE47($18.11)</v>
      </c>
      <c r="M537" s="94" t="str">
        <v>No</v>
      </c>
      <c r="N537" s="134" t="str">
        <v>No</v>
      </c>
      <c r="O537" s="119" t="str">
        <v>Yes</v>
      </c>
      <c r="P537" s="92" t="str">
        <v>N</v>
      </c>
      <c r="Q537" s="91">
        <v>45966</v>
      </c>
      <c r="R537" s="140">
        <v>0</v>
      </c>
      <c r="S537" s="92">
        <v>0</v>
      </c>
      <c r="T537" s="92">
        <v>0</v>
      </c>
      <c r="U537" s="137">
        <v>0</v>
      </c>
      <c r="V537" s="126" t="str">
        <f t="shared" si="16"/>
        <v>❌ Not on Best Plan</v>
      </c>
      <c r="W537" s="130">
        <f>IFERROR(_xlfn.XLOOKUP(TEXT(H537,"0000000000"),'📞 Call Tracker'!A$2:A$2000,'📞 Call Tracker'!B$2:B$2000,""),"")</f>
        <v>0</v>
      </c>
      <c r="X537" s="96">
        <f>IFERROR(_xlfn.XLOOKUP(TEXT(H537,"0000000000"),'📞 Call Tracker'!A$2:A$2000,'📞 Call Tracker'!C$2:C$2000,""),"")</f>
        <v>0</v>
      </c>
      <c r="Y537" s="95">
        <f>IFERROR(_xlfn.XLOOKUP(TEXT(H537,"0000000000"),'📞 Call Tracker'!A$2:A$2000,'📞 Call Tracker'!D$2:D$2000,""),"")</f>
        <v>0</v>
      </c>
      <c r="Z537" s="95">
        <f>IFERROR(_xlfn.XLOOKUP(TEXT(H537,"0000000000"),'📞 Call Tracker'!A$2:A$2000,'📞 Call Tracker'!E$2:E$2000,""),"")</f>
        <v>0</v>
      </c>
      <c r="AA537" s="145">
        <f>IFERROR(_xlfn.XLOOKUP(TEXT(H537,"0000000000"),'📞 Call Tracker'!A$2:A$2000,'📞 Call Tracker'!F$2:F$2000,""),"")</f>
        <v>0</v>
      </c>
      <c r="AB537" s="132">
        <f t="shared" si="17"/>
        <v>99</v>
      </c>
      <c r="AC537" s="79"/>
    </row>
    <row r="538" spans="1:29" ht="20.100000000000001" customHeight="1">
      <c r="A538" s="91">
        <v>45905</v>
      </c>
      <c r="B538" s="92" t="str">
        <v>Lakshmipathy</v>
      </c>
      <c r="C538" s="92" t="str">
        <v>Arunkumar</v>
      </c>
      <c r="D538" s="92" t="str">
        <v>Peoria</v>
      </c>
      <c r="E538" s="92">
        <v>85383</v>
      </c>
      <c r="F538" s="137" t="str">
        <v>Form letter</v>
      </c>
      <c r="G538" s="93" t="str">
        <v>https://docket.images.azcc.gov/E000046235.pdf</v>
      </c>
      <c r="H538" s="150" t="s">
        <v>6050</v>
      </c>
      <c r="I538" s="114" t="str">
        <v>RCPw/RTOUE47</v>
      </c>
      <c r="J538" s="94" t="str">
        <v>No</v>
      </c>
      <c r="K538" s="94" t="str">
        <v>No</v>
      </c>
      <c r="L538" s="137" t="str">
        <v>No MEP R3-47($52.51)</v>
      </c>
      <c r="M538" s="94" t="str">
        <v>No</v>
      </c>
      <c r="N538" s="134" t="str">
        <v>No</v>
      </c>
      <c r="O538" s="119" t="str">
        <v>Yes</v>
      </c>
      <c r="P538" s="92" t="str">
        <v>N</v>
      </c>
      <c r="Q538" s="91">
        <v>45966</v>
      </c>
      <c r="R538" s="140">
        <v>0</v>
      </c>
      <c r="S538" s="92">
        <v>0</v>
      </c>
      <c r="T538" s="92">
        <v>0</v>
      </c>
      <c r="U538" s="137" t="str">
        <v>Filed 2x on this day</v>
      </c>
      <c r="V538" s="126" t="str">
        <f t="shared" si="16"/>
        <v>❌ Not on Best Plan</v>
      </c>
      <c r="W538" s="130" t="str">
        <f>IFERROR(_xlfn.XLOOKUP(TEXT(H538,"0000000000"),'📞 Call Tracker'!A$2:A$2000,'📞 Call Tracker'!B$2:B$2000,""),"")</f>
        <v>Joaquin</v>
      </c>
      <c r="X538" s="96">
        <f>IFERROR(_xlfn.XLOOKUP(TEXT(H538,"0000000000"),'📞 Call Tracker'!A$2:A$2000,'📞 Call Tracker'!C$2:C$2000,""),"")</f>
        <v>46060</v>
      </c>
      <c r="Y538" s="95" t="str">
        <f>IFERROR(_xlfn.XLOOKUP(TEXT(H538,"0000000000"),'📞 Call Tracker'!A$2:A$2000,'📞 Call Tracker'!D$2:D$2000,""),"")</f>
        <v>NO</v>
      </c>
      <c r="Z538" s="95" t="str">
        <f>IFERROR(_xlfn.XLOOKUP(TEXT(H538,"0000000000"),'📞 Call Tracker'!A$2:A$2000,'📞 Call Tracker'!E$2:E$2000,""),"")</f>
        <v>General Education</v>
      </c>
      <c r="AA538" s="145">
        <f>IFERROR(_xlfn.XLOOKUP(TEXT(H538,"0000000000"),'📞 Call Tracker'!A$2:A$2000,'📞 Call Tracker'!F$2:F$2000,""),"")</f>
        <v>0</v>
      </c>
      <c r="AB538" s="132">
        <f t="shared" si="17"/>
        <v>99</v>
      </c>
      <c r="AC538" s="79"/>
    </row>
    <row r="539" spans="1:29" ht="20.100000000000001" customHeight="1">
      <c r="A539" s="91">
        <v>45905</v>
      </c>
      <c r="B539" s="92" t="str">
        <v>Lengowski</v>
      </c>
      <c r="C539" s="92" t="str">
        <v>David</v>
      </c>
      <c r="D539" s="92" t="str">
        <v>Phoenix</v>
      </c>
      <c r="E539" s="92">
        <v>85023</v>
      </c>
      <c r="F539" s="137" t="str">
        <v>Form letter</v>
      </c>
      <c r="G539" s="93" t="str">
        <v>https://docket.images.azcc.gov/E000046235.pdf</v>
      </c>
      <c r="H539" s="150" t="s">
        <v>6285</v>
      </c>
      <c r="I539" s="114" t="str">
        <v>R-XS</v>
      </c>
      <c r="J539" s="94" t="str">
        <v>No</v>
      </c>
      <c r="K539" s="94" t="str">
        <v>No</v>
      </c>
      <c r="L539" s="137" t="str">
        <v>Yes</v>
      </c>
      <c r="M539" s="94" t="str">
        <v>No</v>
      </c>
      <c r="N539" s="134" t="str">
        <v>No</v>
      </c>
      <c r="O539" s="119" t="str">
        <v>Yes</v>
      </c>
      <c r="P539" s="92" t="str">
        <v>N</v>
      </c>
      <c r="Q539" s="91">
        <v>45966</v>
      </c>
      <c r="R539" s="140">
        <v>0</v>
      </c>
      <c r="S539" s="92">
        <v>0</v>
      </c>
      <c r="T539" s="92">
        <v>0</v>
      </c>
      <c r="U539" s="137">
        <v>0</v>
      </c>
      <c r="V539" s="126" t="str">
        <f t="shared" si="16"/>
        <v>✅ On Best Plan</v>
      </c>
      <c r="W539" s="130" t="str">
        <f>IFERROR(_xlfn.XLOOKUP(TEXT(H539,"0000000000"),'📞 Call Tracker'!A$2:A$2000,'📞 Call Tracker'!B$2:B$2000,""),"")</f>
        <v>Michelle</v>
      </c>
      <c r="X539" s="96">
        <f>IFERROR(_xlfn.XLOOKUP(TEXT(H539,"0000000000"),'📞 Call Tracker'!A$2:A$2000,'📞 Call Tracker'!C$2:C$2000,""),"")</f>
        <v>45997</v>
      </c>
      <c r="Y539" s="95" t="str">
        <f>IFERROR(_xlfn.XLOOKUP(TEXT(H539,"0000000000"),'📞 Call Tracker'!A$2:A$2000,'📞 Call Tracker'!D$2:D$2000,""),"")</f>
        <v>NO</v>
      </c>
      <c r="Z539" s="95">
        <f>IFERROR(_xlfn.XLOOKUP(TEXT(H539,"0000000000"),'📞 Call Tracker'!A$2:A$2000,'📞 Call Tracker'!E$2:E$2000,""),"")</f>
        <v>0</v>
      </c>
      <c r="AA539" s="145" t="str">
        <f>IFERROR(_xlfn.XLOOKUP(TEXT(H539,"0000000000"),'📞 Call Tracker'!A$2:A$2000,'📞 Call Tracker'!F$2:F$2000,""),"")</f>
        <v>GAVE ASSISTANCE NUMBERS AND ADVISED TO APPLY FOR E-3</v>
      </c>
      <c r="AB539" s="132">
        <f t="shared" si="17"/>
        <v>99</v>
      </c>
      <c r="AC539" s="79"/>
    </row>
    <row r="540" spans="1:29" ht="20.100000000000001" customHeight="1">
      <c r="A540" s="91">
        <v>45905</v>
      </c>
      <c r="B540" s="92" t="str">
        <v>Greenfield</v>
      </c>
      <c r="C540" s="92" t="str">
        <v>Ronald</v>
      </c>
      <c r="D540" s="92" t="str">
        <v>Buckeye</v>
      </c>
      <c r="E540" s="92">
        <v>85396</v>
      </c>
      <c r="F540" s="137" t="str">
        <v>Opposed</v>
      </c>
      <c r="G540" s="93" t="str">
        <v>https://docket.images.azcc.gov/E000046235.pdf</v>
      </c>
      <c r="H540" s="150" t="s">
        <v>6286</v>
      </c>
      <c r="I540" s="114" t="str">
        <v>EPR-6w/ET-2</v>
      </c>
      <c r="J540" s="94" t="str">
        <v>No</v>
      </c>
      <c r="K540" s="94" t="str">
        <v>No</v>
      </c>
      <c r="L540" s="137" t="str">
        <v>Frozen Rate</v>
      </c>
      <c r="M540" s="94" t="str">
        <v>No</v>
      </c>
      <c r="N540" s="134" t="str">
        <v>No</v>
      </c>
      <c r="O540" s="119" t="str">
        <v>Yes</v>
      </c>
      <c r="P540" s="92" t="str">
        <v>N</v>
      </c>
      <c r="Q540" s="91">
        <v>45966</v>
      </c>
      <c r="R540" s="140">
        <v>0</v>
      </c>
      <c r="S540" s="92">
        <v>0</v>
      </c>
      <c r="T540" s="92">
        <v>0</v>
      </c>
      <c r="U540" s="137">
        <v>0</v>
      </c>
      <c r="V540" s="126" t="str">
        <f t="shared" si="16"/>
        <v>❄ Frozen Rate</v>
      </c>
      <c r="W540" s="130">
        <f>IFERROR(_xlfn.XLOOKUP(TEXT(H540,"0000000000"),'📞 Call Tracker'!A$2:A$2000,'📞 Call Tracker'!B$2:B$2000,""),"")</f>
        <v>0</v>
      </c>
      <c r="X540" s="96">
        <f>IFERROR(_xlfn.XLOOKUP(TEXT(H540,"0000000000"),'📞 Call Tracker'!A$2:A$2000,'📞 Call Tracker'!C$2:C$2000,""),"")</f>
        <v>0</v>
      </c>
      <c r="Y540" s="95">
        <f>IFERROR(_xlfn.XLOOKUP(TEXT(H540,"0000000000"),'📞 Call Tracker'!A$2:A$2000,'📞 Call Tracker'!D$2:D$2000,""),"")</f>
        <v>0</v>
      </c>
      <c r="Z540" s="95">
        <f>IFERROR(_xlfn.XLOOKUP(TEXT(H540,"0000000000"),'📞 Call Tracker'!A$2:A$2000,'📞 Call Tracker'!E$2:E$2000,""),"")</f>
        <v>0</v>
      </c>
      <c r="AA540" s="145">
        <f>IFERROR(_xlfn.XLOOKUP(TEXT(H540,"0000000000"),'📞 Call Tracker'!A$2:A$2000,'📞 Call Tracker'!F$2:F$2000,""),"")</f>
        <v>0</v>
      </c>
      <c r="AB540" s="132">
        <f t="shared" si="17"/>
        <v>99</v>
      </c>
      <c r="AC540" s="79"/>
    </row>
    <row r="541" spans="1:29" ht="20.100000000000001" customHeight="1">
      <c r="A541" s="91">
        <v>45905</v>
      </c>
      <c r="B541" s="92" t="str">
        <v>Duclos</v>
      </c>
      <c r="C541" s="92" t="str">
        <v>Bryan</v>
      </c>
      <c r="D541" s="92" t="str">
        <v>Goodyear</v>
      </c>
      <c r="E541" s="92">
        <v>85448</v>
      </c>
      <c r="F541" s="137" t="str">
        <v xml:space="preserve">Monopoly,  </v>
      </c>
      <c r="G541" s="93" t="str">
        <v>https://docket.images.azcc.gov/E000046235.pdf</v>
      </c>
      <c r="H541" s="150" t="s">
        <v>6287</v>
      </c>
      <c r="I541" s="114" t="str">
        <v>EPR-6w/ET-2</v>
      </c>
      <c r="J541" s="94" t="str">
        <v>No</v>
      </c>
      <c r="K541" s="94" t="str">
        <v>No</v>
      </c>
      <c r="L541" s="137" t="str">
        <v>Frozen Rate</v>
      </c>
      <c r="M541" s="94" t="str">
        <v>No</v>
      </c>
      <c r="N541" s="134" t="str">
        <v>No</v>
      </c>
      <c r="O541" s="119" t="str">
        <v>Yes</v>
      </c>
      <c r="P541" s="92" t="str">
        <v>N</v>
      </c>
      <c r="Q541" s="91">
        <v>45966</v>
      </c>
      <c r="R541" s="140">
        <v>0</v>
      </c>
      <c r="S541" s="92">
        <v>0</v>
      </c>
      <c r="T541" s="92">
        <v>0</v>
      </c>
      <c r="U541" s="137">
        <v>0</v>
      </c>
      <c r="V541" s="126" t="str">
        <f t="shared" si="16"/>
        <v>❄ Frozen Rate</v>
      </c>
      <c r="W541" s="130">
        <f>IFERROR(_xlfn.XLOOKUP(TEXT(H541,"0000000000"),'📞 Call Tracker'!A$2:A$2000,'📞 Call Tracker'!B$2:B$2000,""),"")</f>
        <v>0</v>
      </c>
      <c r="X541" s="96">
        <f>IFERROR(_xlfn.XLOOKUP(TEXT(H541,"0000000000"),'📞 Call Tracker'!A$2:A$2000,'📞 Call Tracker'!C$2:C$2000,""),"")</f>
        <v>0</v>
      </c>
      <c r="Y541" s="95">
        <f>IFERROR(_xlfn.XLOOKUP(TEXT(H541,"0000000000"),'📞 Call Tracker'!A$2:A$2000,'📞 Call Tracker'!D$2:D$2000,""),"")</f>
        <v>0</v>
      </c>
      <c r="Z541" s="95">
        <f>IFERROR(_xlfn.XLOOKUP(TEXT(H541,"0000000000"),'📞 Call Tracker'!A$2:A$2000,'📞 Call Tracker'!E$2:E$2000,""),"")</f>
        <v>0</v>
      </c>
      <c r="AA541" s="145">
        <f>IFERROR(_xlfn.XLOOKUP(TEXT(H541,"0000000000"),'📞 Call Tracker'!A$2:A$2000,'📞 Call Tracker'!F$2:F$2000,""),"")</f>
        <v>0</v>
      </c>
      <c r="AB541" s="132">
        <f t="shared" si="17"/>
        <v>99</v>
      </c>
      <c r="AC541" s="79"/>
    </row>
    <row r="542" spans="1:29" ht="20.100000000000001" customHeight="1">
      <c r="A542" s="91">
        <v>45905</v>
      </c>
      <c r="B542" s="92" t="str">
        <v>Santoyo</v>
      </c>
      <c r="C542" s="92" t="str">
        <v>Ashlee</v>
      </c>
      <c r="D542" s="92" t="str">
        <v>Surprise</v>
      </c>
      <c r="E542" s="92">
        <v>85387</v>
      </c>
      <c r="F542" s="137" t="str">
        <v>Form letter</v>
      </c>
      <c r="G542" s="93" t="str">
        <v>https://docket.images.azcc.gov/E000046235.pdf</v>
      </c>
      <c r="H542" s="150" t="s">
        <v>6710</v>
      </c>
      <c r="I542" s="114" t="str">
        <v>RTOUE47</v>
      </c>
      <c r="J542" s="94" t="str">
        <v>No</v>
      </c>
      <c r="K542" s="94" t="str">
        <v>No</v>
      </c>
      <c r="L542" s="137" t="str">
        <v>No MEP R3-47($153.61)</v>
      </c>
      <c r="M542" s="94" t="str">
        <v>Y</v>
      </c>
      <c r="N542" s="134">
        <v>1278.31</v>
      </c>
      <c r="O542" s="119" t="str">
        <v>Yes</v>
      </c>
      <c r="P542" s="92">
        <v>45936</v>
      </c>
      <c r="Q542" s="91">
        <v>45966</v>
      </c>
      <c r="R542" s="140" t="str">
        <v>COR will remain on current serv plan, Assistance?</v>
      </c>
      <c r="S542" s="92">
        <v>0</v>
      </c>
      <c r="T542" s="92">
        <v>0</v>
      </c>
      <c r="U542" s="137">
        <v>0</v>
      </c>
      <c r="V542" s="126" t="str">
        <f t="shared" si="16"/>
        <v>❌ Not on Best Plan</v>
      </c>
      <c r="W542" s="130" t="str">
        <f>IFERROR(_xlfn.XLOOKUP(TEXT(H542,"0000000000"),'📞 Call Tracker'!A$2:A$2000,'📞 Call Tracker'!B$2:B$2000,""),"")</f>
        <v/>
      </c>
      <c r="X542" s="96" t="str">
        <f>IFERROR(_xlfn.XLOOKUP(TEXT(H542,"0000000000"),'📞 Call Tracker'!A$2:A$2000,'📞 Call Tracker'!C$2:C$2000,""),"")</f>
        <v/>
      </c>
      <c r="Y542" s="95" t="str">
        <f>IFERROR(_xlfn.XLOOKUP(TEXT(H542,"0000000000"),'📞 Call Tracker'!A$2:A$2000,'📞 Call Tracker'!D$2:D$2000,""),"")</f>
        <v/>
      </c>
      <c r="Z542" s="95" t="str">
        <f>IFERROR(_xlfn.XLOOKUP(TEXT(H542,"0000000000"),'📞 Call Tracker'!A$2:A$2000,'📞 Call Tracker'!E$2:E$2000,""),"")</f>
        <v/>
      </c>
      <c r="AA542" s="145" t="str">
        <f>IFERROR(_xlfn.XLOOKUP(TEXT(H542,"0000000000"),'📞 Call Tracker'!A$2:A$2000,'📞 Call Tracker'!F$2:F$2000,""),"")</f>
        <v/>
      </c>
      <c r="AB542" s="132">
        <f t="shared" si="17"/>
        <v>1</v>
      </c>
      <c r="AC542" s="79"/>
    </row>
    <row r="543" spans="1:29" ht="20.100000000000001" customHeight="1">
      <c r="A543" s="91">
        <v>45905</v>
      </c>
      <c r="B543" s="92" t="str">
        <v>Guerin</v>
      </c>
      <c r="C543" s="92" t="str">
        <v>Patrick</v>
      </c>
      <c r="D543" s="92" t="str">
        <v>Ajo</v>
      </c>
      <c r="E543" s="92">
        <v>85321</v>
      </c>
      <c r="F543" s="137" t="str">
        <v>Form letter</v>
      </c>
      <c r="G543" s="93" t="str">
        <v>https://docket.images.azcc.gov/E000046235.pdf</v>
      </c>
      <c r="H543" s="150" t="s">
        <v>6051</v>
      </c>
      <c r="I543" s="114" t="str">
        <v>RCPw/RTOUE47</v>
      </c>
      <c r="J543" s="94" t="str">
        <v>No</v>
      </c>
      <c r="K543" s="94" t="str">
        <v>No</v>
      </c>
      <c r="L543" s="137" t="str">
        <v>Yes</v>
      </c>
      <c r="M543" s="94" t="str">
        <v>No</v>
      </c>
      <c r="N543" s="134" t="str">
        <v>No</v>
      </c>
      <c r="O543" s="119" t="str">
        <v>Yes</v>
      </c>
      <c r="P543" s="92" t="str">
        <v>N</v>
      </c>
      <c r="Q543" s="91">
        <v>45966</v>
      </c>
      <c r="R543" s="140">
        <v>0</v>
      </c>
      <c r="S543" s="92">
        <v>0</v>
      </c>
      <c r="T543" s="92">
        <v>0</v>
      </c>
      <c r="U543" s="137">
        <v>0</v>
      </c>
      <c r="V543" s="126" t="str">
        <f t="shared" si="16"/>
        <v>✅ On Best Plan</v>
      </c>
      <c r="W543" s="130" t="str">
        <f>IFERROR(_xlfn.XLOOKUP(TEXT(H543,"0000000000"),'📞 Call Tracker'!A$2:A$2000,'📞 Call Tracker'!B$2:B$2000,""),"")</f>
        <v>Joaquin</v>
      </c>
      <c r="X543" s="96">
        <f>IFERROR(_xlfn.XLOOKUP(TEXT(H543,"0000000000"),'📞 Call Tracker'!A$2:A$2000,'📞 Call Tracker'!C$2:C$2000,""),"")</f>
        <v>46046</v>
      </c>
      <c r="Y543" s="95" t="str">
        <f>IFERROR(_xlfn.XLOOKUP(TEXT(H543,"0000000000"),'📞 Call Tracker'!A$2:A$2000,'📞 Call Tracker'!D$2:D$2000,""),"")</f>
        <v>YES</v>
      </c>
      <c r="Z543" s="95">
        <f>IFERROR(_xlfn.XLOOKUP(TEXT(H543,"0000000000"),'📞 Call Tracker'!A$2:A$2000,'📞 Call Tracker'!E$2:E$2000,""),"")</f>
        <v>0</v>
      </c>
      <c r="AA543" s="145" t="str">
        <f>IFERROR(_xlfn.XLOOKUP(TEXT(H543,"0000000000"),'📞 Call Tracker'!A$2:A$2000,'📞 Call Tracker'!F$2:F$2000,""),"")</f>
        <v>LEFT V-M</v>
      </c>
      <c r="AB543" s="132">
        <f t="shared" si="17"/>
        <v>99</v>
      </c>
      <c r="AC543" s="79"/>
    </row>
    <row r="544" spans="1:29" ht="20.100000000000001" customHeight="1">
      <c r="A544" s="91">
        <v>45905</v>
      </c>
      <c r="B544" s="92" t="str">
        <v>Bello</v>
      </c>
      <c r="C544" s="92" t="str">
        <v>Jose</v>
      </c>
      <c r="D544" s="92" t="str">
        <v>Goodyear</v>
      </c>
      <c r="E544" s="92">
        <v>85338</v>
      </c>
      <c r="F544" s="137" t="str">
        <v>Ridiculously high</v>
      </c>
      <c r="G544" s="93" t="str">
        <v>https://docket.images.azcc.gov/E000046235.pdf</v>
      </c>
      <c r="H544" s="150" t="s">
        <v>6052</v>
      </c>
      <c r="I544" s="114" t="str">
        <v>RCPw/RTOUE47</v>
      </c>
      <c r="J544" s="94" t="str">
        <v>No</v>
      </c>
      <c r="K544" s="94" t="str">
        <v>No</v>
      </c>
      <c r="L544" s="137" t="str">
        <v>Yes</v>
      </c>
      <c r="M544" s="94" t="str">
        <v>No</v>
      </c>
      <c r="N544" s="134" t="str">
        <v>No</v>
      </c>
      <c r="O544" s="119" t="str">
        <v>Yes</v>
      </c>
      <c r="P544" s="92" t="str">
        <v>N</v>
      </c>
      <c r="Q544" s="91">
        <v>45966</v>
      </c>
      <c r="R544" s="140">
        <v>0</v>
      </c>
      <c r="S544" s="92">
        <v>0</v>
      </c>
      <c r="T544" s="92">
        <v>0</v>
      </c>
      <c r="U544" s="137">
        <v>0</v>
      </c>
      <c r="V544" s="126" t="str">
        <f t="shared" si="16"/>
        <v>✅ On Best Plan</v>
      </c>
      <c r="W544" s="130" t="str">
        <f>IFERROR(_xlfn.XLOOKUP(TEXT(H544,"0000000000"),'📞 Call Tracker'!A$2:A$2000,'📞 Call Tracker'!B$2:B$2000,""),"")</f>
        <v>Joaquin</v>
      </c>
      <c r="X544" s="96">
        <f>IFERROR(_xlfn.XLOOKUP(TEXT(H544,"0000000000"),'📞 Call Tracker'!A$2:A$2000,'📞 Call Tracker'!C$2:C$2000,""),"")</f>
        <v>46046</v>
      </c>
      <c r="Y544" s="95" t="str">
        <f>IFERROR(_xlfn.XLOOKUP(TEXT(H544,"0000000000"),'📞 Call Tracker'!A$2:A$2000,'📞 Call Tracker'!D$2:D$2000,""),"")</f>
        <v>NO</v>
      </c>
      <c r="Z544" s="95" t="str">
        <f>IFERROR(_xlfn.XLOOKUP(TEXT(H544,"0000000000"),'📞 Call Tracker'!A$2:A$2000,'📞 Call Tracker'!E$2:E$2000,""),"")</f>
        <v>E3/E4</v>
      </c>
      <c r="AA544" s="145" t="str">
        <f>IFERROR(_xlfn.XLOOKUP(TEXT(H544,"0000000000"),'📞 Call Tracker'!A$2:A$2000,'📞 Call Tracker'!F$2:F$2000,""),"")</f>
        <v>MAILED OUT E3</v>
      </c>
      <c r="AB544" s="132">
        <f t="shared" si="17"/>
        <v>99</v>
      </c>
      <c r="AC544" s="79"/>
    </row>
    <row r="545" spans="1:29" ht="20.100000000000001" customHeight="1">
      <c r="A545" s="91">
        <v>45905</v>
      </c>
      <c r="B545" s="92" t="str">
        <v>Copeland</v>
      </c>
      <c r="C545" s="92" t="str">
        <v>Joen</v>
      </c>
      <c r="D545" s="92" t="str">
        <v>Phoenix</v>
      </c>
      <c r="E545" s="92">
        <v>85006</v>
      </c>
      <c r="F545" s="137" t="str">
        <v>Opposed</v>
      </c>
      <c r="G545" s="93" t="str">
        <v>https://docket.images.azcc.gov/E000046235.pdf</v>
      </c>
      <c r="H545" s="150" t="s">
        <v>6711</v>
      </c>
      <c r="I545" s="114" t="str">
        <v>R-BASICL</v>
      </c>
      <c r="J545" s="94" t="str">
        <v>No</v>
      </c>
      <c r="K545" s="94" t="str">
        <v>No</v>
      </c>
      <c r="L545" s="137" t="str">
        <v>No MEP R3-47(498.46)</v>
      </c>
      <c r="M545" s="94" t="str">
        <v>No</v>
      </c>
      <c r="N545" s="134" t="str">
        <v>No</v>
      </c>
      <c r="O545" s="119" t="str">
        <v>Yes</v>
      </c>
      <c r="P545" s="92">
        <v>45937</v>
      </c>
      <c r="Q545" s="91">
        <v>45966</v>
      </c>
      <c r="R545" s="140" t="str">
        <v>COR conf she wanted to change to R3-47Rate changed per request</v>
      </c>
      <c r="S545" s="92">
        <v>0</v>
      </c>
      <c r="T545" s="92">
        <v>0</v>
      </c>
      <c r="U545" s="137">
        <v>0</v>
      </c>
      <c r="V545" s="126" t="str">
        <f t="shared" si="16"/>
        <v>❌ Not on Best Plan</v>
      </c>
      <c r="W545" s="130" t="str">
        <f>IFERROR(_xlfn.XLOOKUP(TEXT(H545,"0000000000"),'📞 Call Tracker'!A$2:A$2000,'📞 Call Tracker'!B$2:B$2000,""),"")</f>
        <v/>
      </c>
      <c r="X545" s="96" t="str">
        <f>IFERROR(_xlfn.XLOOKUP(TEXT(H545,"0000000000"),'📞 Call Tracker'!A$2:A$2000,'📞 Call Tracker'!C$2:C$2000,""),"")</f>
        <v/>
      </c>
      <c r="Y545" s="95" t="str">
        <f>IFERROR(_xlfn.XLOOKUP(TEXT(H545,"0000000000"),'📞 Call Tracker'!A$2:A$2000,'📞 Call Tracker'!D$2:D$2000,""),"")</f>
        <v/>
      </c>
      <c r="Z545" s="95" t="str">
        <f>IFERROR(_xlfn.XLOOKUP(TEXT(H545,"0000000000"),'📞 Call Tracker'!A$2:A$2000,'📞 Call Tracker'!E$2:E$2000,""),"")</f>
        <v/>
      </c>
      <c r="AA545" s="145" t="str">
        <f>IFERROR(_xlfn.XLOOKUP(TEXT(H545,"0000000000"),'📞 Call Tracker'!A$2:A$2000,'📞 Call Tracker'!F$2:F$2000,""),"")</f>
        <v/>
      </c>
      <c r="AB545" s="132">
        <f t="shared" si="17"/>
        <v>2</v>
      </c>
      <c r="AC545" s="79"/>
    </row>
    <row r="546" spans="1:29" ht="20.100000000000001" customHeight="1">
      <c r="A546" s="91">
        <v>45905</v>
      </c>
      <c r="B546" s="92" t="str">
        <v>Fransen</v>
      </c>
      <c r="C546" s="92" t="str">
        <v>Eric</v>
      </c>
      <c r="D546" s="92" t="str">
        <v>Scottsdale</v>
      </c>
      <c r="E546" s="92">
        <v>85258</v>
      </c>
      <c r="F546" s="137" t="str">
        <v>Form letter</v>
      </c>
      <c r="G546" s="93" t="str">
        <v>https://docket.images.azcc.gov/E000046235.pdf</v>
      </c>
      <c r="H546" s="150" t="s">
        <v>6288</v>
      </c>
      <c r="I546" s="114" t="str">
        <v>R-2</v>
      </c>
      <c r="J546" s="94" t="str">
        <v>No</v>
      </c>
      <c r="K546" s="94" t="str">
        <v>No</v>
      </c>
      <c r="L546" s="137" t="str">
        <v>Frozen Rate</v>
      </c>
      <c r="M546" s="94" t="str">
        <v>No</v>
      </c>
      <c r="N546" s="134" t="str">
        <v>No</v>
      </c>
      <c r="O546" s="119" t="str">
        <v>Yes</v>
      </c>
      <c r="P546" s="92" t="str">
        <v>N</v>
      </c>
      <c r="Q546" s="91">
        <v>45966</v>
      </c>
      <c r="R546" s="140">
        <v>0</v>
      </c>
      <c r="S546" s="92">
        <v>0</v>
      </c>
      <c r="T546" s="92">
        <v>0</v>
      </c>
      <c r="U546" s="137">
        <v>0</v>
      </c>
      <c r="V546" s="126" t="str">
        <f t="shared" si="16"/>
        <v>❄ Frozen Rate</v>
      </c>
      <c r="W546" s="130">
        <f>IFERROR(_xlfn.XLOOKUP(TEXT(H546,"0000000000"),'📞 Call Tracker'!A$2:A$2000,'📞 Call Tracker'!B$2:B$2000,""),"")</f>
        <v>0</v>
      </c>
      <c r="X546" s="96">
        <f>IFERROR(_xlfn.XLOOKUP(TEXT(H546,"0000000000"),'📞 Call Tracker'!A$2:A$2000,'📞 Call Tracker'!C$2:C$2000,""),"")</f>
        <v>0</v>
      </c>
      <c r="Y546" s="95">
        <f>IFERROR(_xlfn.XLOOKUP(TEXT(H546,"0000000000"),'📞 Call Tracker'!A$2:A$2000,'📞 Call Tracker'!D$2:D$2000,""),"")</f>
        <v>0</v>
      </c>
      <c r="Z546" s="95">
        <f>IFERROR(_xlfn.XLOOKUP(TEXT(H546,"0000000000"),'📞 Call Tracker'!A$2:A$2000,'📞 Call Tracker'!E$2:E$2000,""),"")</f>
        <v>0</v>
      </c>
      <c r="AA546" s="145">
        <f>IFERROR(_xlfn.XLOOKUP(TEXT(H546,"0000000000"),'📞 Call Tracker'!A$2:A$2000,'📞 Call Tracker'!F$2:F$2000,""),"")</f>
        <v>0</v>
      </c>
      <c r="AB546" s="132">
        <f t="shared" si="17"/>
        <v>99</v>
      </c>
      <c r="AC546" s="79"/>
    </row>
    <row r="547" spans="1:29" ht="20.100000000000001" customHeight="1">
      <c r="A547" s="91">
        <v>45905</v>
      </c>
      <c r="B547" s="92" t="str">
        <v>Alba</v>
      </c>
      <c r="C547" s="92" t="str">
        <v>Ellen</v>
      </c>
      <c r="D547" s="92" t="str">
        <v>Scottsdale</v>
      </c>
      <c r="E547" s="92">
        <v>85258</v>
      </c>
      <c r="F547" s="137" t="str">
        <v>Opposed</v>
      </c>
      <c r="G547" s="93" t="str">
        <v>https://docket.images.azcc.gov/E000046235.pdf</v>
      </c>
      <c r="H547" s="150" t="s">
        <v>6289</v>
      </c>
      <c r="I547" s="114" t="str">
        <v>R3-47</v>
      </c>
      <c r="J547" s="94" t="str">
        <v>No</v>
      </c>
      <c r="K547" s="94" t="str">
        <v>No</v>
      </c>
      <c r="L547" s="137" t="str">
        <v>Yes</v>
      </c>
      <c r="M547" s="94" t="str">
        <v>No</v>
      </c>
      <c r="N547" s="134" t="str">
        <v>No</v>
      </c>
      <c r="O547" s="119" t="str">
        <v>Yes</v>
      </c>
      <c r="P547" s="92" t="str">
        <v>N</v>
      </c>
      <c r="Q547" s="91">
        <v>45966</v>
      </c>
      <c r="R547" s="140">
        <v>0</v>
      </c>
      <c r="S547" s="92">
        <v>0</v>
      </c>
      <c r="T547" s="92">
        <v>0</v>
      </c>
      <c r="U547" s="137">
        <v>0</v>
      </c>
      <c r="V547" s="126" t="str">
        <f t="shared" si="16"/>
        <v>✅ On Best Plan</v>
      </c>
      <c r="W547" s="130">
        <f>IFERROR(_xlfn.XLOOKUP(TEXT(H547,"0000000000"),'📞 Call Tracker'!A$2:A$2000,'📞 Call Tracker'!B$2:B$2000,""),"")</f>
        <v>0</v>
      </c>
      <c r="X547" s="96">
        <f>IFERROR(_xlfn.XLOOKUP(TEXT(H547,"0000000000"),'📞 Call Tracker'!A$2:A$2000,'📞 Call Tracker'!C$2:C$2000,""),"")</f>
        <v>0</v>
      </c>
      <c r="Y547" s="95">
        <f>IFERROR(_xlfn.XLOOKUP(TEXT(H547,"0000000000"),'📞 Call Tracker'!A$2:A$2000,'📞 Call Tracker'!D$2:D$2000,""),"")</f>
        <v>0</v>
      </c>
      <c r="Z547" s="95">
        <f>IFERROR(_xlfn.XLOOKUP(TEXT(H547,"0000000000"),'📞 Call Tracker'!A$2:A$2000,'📞 Call Tracker'!E$2:E$2000,""),"")</f>
        <v>0</v>
      </c>
      <c r="AA547" s="145">
        <f>IFERROR(_xlfn.XLOOKUP(TEXT(H547,"0000000000"),'📞 Call Tracker'!A$2:A$2000,'📞 Call Tracker'!F$2:F$2000,""),"")</f>
        <v>0</v>
      </c>
      <c r="AB547" s="132">
        <f t="shared" si="17"/>
        <v>99</v>
      </c>
      <c r="AC547" s="79"/>
    </row>
    <row r="548" spans="1:29" ht="20.100000000000001" customHeight="1">
      <c r="A548" s="91">
        <v>45905</v>
      </c>
      <c r="B548" s="92" t="str">
        <v>Willer</v>
      </c>
      <c r="C548" s="92" t="str">
        <v>Jeffrey</v>
      </c>
      <c r="D548" s="92" t="str">
        <v>Phoenix</v>
      </c>
      <c r="E548" s="92">
        <v>85085</v>
      </c>
      <c r="F548" s="137" t="str">
        <v>can't afford</v>
      </c>
      <c r="G548" s="93" t="str">
        <v>https://docket.images.azcc.gov/E000046235.pdf</v>
      </c>
      <c r="H548" s="150" t="s">
        <v>6001</v>
      </c>
      <c r="I548" s="114" t="str">
        <v>R3-47</v>
      </c>
      <c r="J548" s="94" t="str">
        <v>No</v>
      </c>
      <c r="K548" s="94" t="str">
        <v>No</v>
      </c>
      <c r="L548" s="137" t="str">
        <v>Yes</v>
      </c>
      <c r="M548" s="94" t="str">
        <v>No</v>
      </c>
      <c r="N548" s="134" t="str">
        <v>No</v>
      </c>
      <c r="O548" s="119" t="str">
        <v>Yes</v>
      </c>
      <c r="P548" s="92" t="str">
        <v>N</v>
      </c>
      <c r="Q548" s="91">
        <v>45966</v>
      </c>
      <c r="R548" s="140">
        <v>0</v>
      </c>
      <c r="S548" s="92">
        <v>0</v>
      </c>
      <c r="T548" s="92">
        <v>0</v>
      </c>
      <c r="U548" s="137">
        <v>0</v>
      </c>
      <c r="V548" s="126" t="str">
        <f t="shared" si="16"/>
        <v>✅ On Best Plan</v>
      </c>
      <c r="W548" s="130" t="str">
        <f>IFERROR(_xlfn.XLOOKUP(TEXT(H548,"0000000000"),'📞 Call Tracker'!A$2:A$2000,'📞 Call Tracker'!B$2:B$2000,""),"")</f>
        <v>Joaquin</v>
      </c>
      <c r="X548" s="96">
        <f>IFERROR(_xlfn.XLOOKUP(TEXT(H548,"0000000000"),'📞 Call Tracker'!A$2:A$2000,'📞 Call Tracker'!C$2:C$2000,""),"")</f>
        <v>46046</v>
      </c>
      <c r="Y548" s="95" t="str">
        <f>IFERROR(_xlfn.XLOOKUP(TEXT(H548,"0000000000"),'📞 Call Tracker'!A$2:A$2000,'📞 Call Tracker'!D$2:D$2000,""),"")</f>
        <v>NO</v>
      </c>
      <c r="Z548" s="95" t="str">
        <f>IFERROR(_xlfn.XLOOKUP(TEXT(H548,"0000000000"),'📞 Call Tracker'!A$2:A$2000,'📞 Call Tracker'!E$2:E$2000,""),"")</f>
        <v>General Education</v>
      </c>
      <c r="AA548" s="145" t="str">
        <f>IFERROR(_xlfn.XLOOKUP(TEXT(H548,"0000000000"),'📞 Call Tracker'!A$2:A$2000,'📞 Call Tracker'!F$2:F$2000,""),"")</f>
        <v>OFFER OPTION TO LOWER BILL</v>
      </c>
      <c r="AB548" s="132">
        <f t="shared" si="17"/>
        <v>99</v>
      </c>
      <c r="AC548" s="79"/>
    </row>
    <row r="549" spans="1:29" ht="20.100000000000001" customHeight="1">
      <c r="A549" s="91">
        <v>45905</v>
      </c>
      <c r="B549" s="92" t="str">
        <v>Johnson</v>
      </c>
      <c r="C549" s="92" t="str">
        <v>Colin</v>
      </c>
      <c r="D549" s="92" t="str">
        <v>Phoenix</v>
      </c>
      <c r="E549" s="92">
        <v>85014</v>
      </c>
      <c r="F549" s="137" t="str">
        <v>Form letter</v>
      </c>
      <c r="G549" s="93" t="str">
        <v>https://docket.images.azcc.gov/E000046235.pdf</v>
      </c>
      <c r="H549" s="150" t="s">
        <v>6290</v>
      </c>
      <c r="I549" s="114" t="str">
        <v>R-XS</v>
      </c>
      <c r="J549" s="94" t="str">
        <v>No</v>
      </c>
      <c r="K549" s="94" t="str">
        <v>No</v>
      </c>
      <c r="L549" s="137" t="str">
        <v>Yes</v>
      </c>
      <c r="M549" s="94" t="str">
        <v>No</v>
      </c>
      <c r="N549" s="134" t="str">
        <v>No</v>
      </c>
      <c r="O549" s="119" t="str">
        <v>Yes</v>
      </c>
      <c r="P549" s="92" t="str">
        <v>N</v>
      </c>
      <c r="Q549" s="91">
        <v>45966</v>
      </c>
      <c r="R549" s="140">
        <v>0</v>
      </c>
      <c r="S549" s="92">
        <v>0</v>
      </c>
      <c r="T549" s="92">
        <v>0</v>
      </c>
      <c r="U549" s="137">
        <v>0</v>
      </c>
      <c r="V549" s="126" t="str">
        <f t="shared" si="16"/>
        <v>✅ On Best Plan</v>
      </c>
      <c r="W549" s="130">
        <f>IFERROR(_xlfn.XLOOKUP(TEXT(H549,"0000000000"),'📞 Call Tracker'!A$2:A$2000,'📞 Call Tracker'!B$2:B$2000,""),"")</f>
        <v>0</v>
      </c>
      <c r="X549" s="96">
        <f>IFERROR(_xlfn.XLOOKUP(TEXT(H549,"0000000000"),'📞 Call Tracker'!A$2:A$2000,'📞 Call Tracker'!C$2:C$2000,""),"")</f>
        <v>0</v>
      </c>
      <c r="Y549" s="95">
        <f>IFERROR(_xlfn.XLOOKUP(TEXT(H549,"0000000000"),'📞 Call Tracker'!A$2:A$2000,'📞 Call Tracker'!D$2:D$2000,""),"")</f>
        <v>0</v>
      </c>
      <c r="Z549" s="95">
        <f>IFERROR(_xlfn.XLOOKUP(TEXT(H549,"0000000000"),'📞 Call Tracker'!A$2:A$2000,'📞 Call Tracker'!E$2:E$2000,""),"")</f>
        <v>0</v>
      </c>
      <c r="AA549" s="145">
        <f>IFERROR(_xlfn.XLOOKUP(TEXT(H549,"0000000000"),'📞 Call Tracker'!A$2:A$2000,'📞 Call Tracker'!F$2:F$2000,""),"")</f>
        <v>0</v>
      </c>
      <c r="AB549" s="132">
        <f t="shared" si="17"/>
        <v>99</v>
      </c>
      <c r="AC549" s="79"/>
    </row>
    <row r="550" spans="1:29" ht="20.100000000000001" customHeight="1">
      <c r="A550" s="91">
        <v>45905</v>
      </c>
      <c r="B550" s="92" t="str">
        <v>Rothen</v>
      </c>
      <c r="C550" s="92" t="str">
        <v>James</v>
      </c>
      <c r="D550" s="92" t="str">
        <v>Phoenix</v>
      </c>
      <c r="E550" s="92">
        <v>85016</v>
      </c>
      <c r="F550" s="137" t="str">
        <v>Form letter</v>
      </c>
      <c r="G550" s="93" t="str">
        <v>https://docket.images.azcc.gov/E000046235.pdf</v>
      </c>
      <c r="H550" s="150" t="s">
        <v>1907</v>
      </c>
      <c r="I550" s="114" t="str">
        <v>R-BASIC</v>
      </c>
      <c r="J550" s="94" t="str">
        <v>No</v>
      </c>
      <c r="K550" s="94" t="str">
        <v>No</v>
      </c>
      <c r="L550" s="137" t="str">
        <v>Yes</v>
      </c>
      <c r="M550" s="94" t="str">
        <v>No</v>
      </c>
      <c r="N550" s="134" t="str">
        <v>No</v>
      </c>
      <c r="O550" s="119" t="str">
        <v>Yes</v>
      </c>
      <c r="P550" s="92" t="str">
        <v>N</v>
      </c>
      <c r="Q550" s="91">
        <v>45966</v>
      </c>
      <c r="R550" s="140">
        <v>0</v>
      </c>
      <c r="S550" s="92">
        <v>0</v>
      </c>
      <c r="T550" s="92">
        <v>0</v>
      </c>
      <c r="U550" s="137">
        <v>0</v>
      </c>
      <c r="V550" s="126" t="str">
        <f t="shared" si="16"/>
        <v>✅ On Best Plan</v>
      </c>
      <c r="W550" s="130">
        <f>IFERROR(_xlfn.XLOOKUP(TEXT(H550,"0000000000"),'📞 Call Tracker'!A$2:A$2000,'📞 Call Tracker'!B$2:B$2000,""),"")</f>
        <v>0</v>
      </c>
      <c r="X550" s="96">
        <f>IFERROR(_xlfn.XLOOKUP(TEXT(H550,"0000000000"),'📞 Call Tracker'!A$2:A$2000,'📞 Call Tracker'!C$2:C$2000,""),"")</f>
        <v>0</v>
      </c>
      <c r="Y550" s="95">
        <f>IFERROR(_xlfn.XLOOKUP(TEXT(H550,"0000000000"),'📞 Call Tracker'!A$2:A$2000,'📞 Call Tracker'!D$2:D$2000,""),"")</f>
        <v>0</v>
      </c>
      <c r="Z550" s="95">
        <f>IFERROR(_xlfn.XLOOKUP(TEXT(H550,"0000000000"),'📞 Call Tracker'!A$2:A$2000,'📞 Call Tracker'!E$2:E$2000,""),"")</f>
        <v>0</v>
      </c>
      <c r="AA550" s="145">
        <f>IFERROR(_xlfn.XLOOKUP(TEXT(H550,"0000000000"),'📞 Call Tracker'!A$2:A$2000,'📞 Call Tracker'!F$2:F$2000,""),"")</f>
        <v>0</v>
      </c>
      <c r="AB550" s="132">
        <f t="shared" si="17"/>
        <v>99</v>
      </c>
      <c r="AC550" s="79"/>
    </row>
    <row r="551" spans="1:29" ht="20.100000000000001" customHeight="1">
      <c r="A551" s="91">
        <v>45905</v>
      </c>
      <c r="B551" s="92" t="str">
        <v>Ling</v>
      </c>
      <c r="C551" s="92" t="str">
        <v>Aaron</v>
      </c>
      <c r="D551" s="92" t="str">
        <v>Scottsdale</v>
      </c>
      <c r="E551" s="92">
        <v>85254</v>
      </c>
      <c r="F551" s="137" t="str">
        <v>Against rate hike</v>
      </c>
      <c r="G551" s="93" t="str">
        <v>https://docket.images.azcc.gov/E000046235.pdf</v>
      </c>
      <c r="H551" s="150" t="s">
        <v>6053</v>
      </c>
      <c r="I551" s="114" t="str">
        <v>EPR-6w/E-12</v>
      </c>
      <c r="J551" s="94" t="str">
        <v>No</v>
      </c>
      <c r="K551" s="94" t="str">
        <v>No</v>
      </c>
      <c r="L551" s="137" t="str">
        <v>Frozen Rate</v>
      </c>
      <c r="M551" s="94" t="str">
        <v>No</v>
      </c>
      <c r="N551" s="134" t="str">
        <v>No</v>
      </c>
      <c r="O551" s="119" t="str">
        <v>Yes</v>
      </c>
      <c r="P551" s="92" t="str">
        <v>N</v>
      </c>
      <c r="Q551" s="91">
        <v>45966</v>
      </c>
      <c r="R551" s="140">
        <v>0</v>
      </c>
      <c r="S551" s="92">
        <v>0</v>
      </c>
      <c r="T551" s="92">
        <v>0</v>
      </c>
      <c r="U551" s="137">
        <v>0</v>
      </c>
      <c r="V551" s="126" t="str">
        <f t="shared" si="16"/>
        <v>❄ Frozen Rate</v>
      </c>
      <c r="W551" s="130" t="str">
        <f>IFERROR(_xlfn.XLOOKUP(TEXT(H551,"0000000000"),'📞 Call Tracker'!A$2:A$2000,'📞 Call Tracker'!B$2:B$2000,""),"")</f>
        <v>Joaquin</v>
      </c>
      <c r="X551" s="96">
        <f>IFERROR(_xlfn.XLOOKUP(TEXT(H551,"0000000000"),'📞 Call Tracker'!A$2:A$2000,'📞 Call Tracker'!C$2:C$2000,""),"")</f>
        <v>46060</v>
      </c>
      <c r="Y551" s="95" t="str">
        <f>IFERROR(_xlfn.XLOOKUP(TEXT(H551,"0000000000"),'📞 Call Tracker'!A$2:A$2000,'📞 Call Tracker'!D$2:D$2000,""),"")</f>
        <v>NO</v>
      </c>
      <c r="Z551" s="95">
        <f>IFERROR(_xlfn.XLOOKUP(TEXT(H551,"0000000000"),'📞 Call Tracker'!A$2:A$2000,'📞 Call Tracker'!E$2:E$2000,""),"")</f>
        <v>0</v>
      </c>
      <c r="AA551" s="145" t="str">
        <f>IFERROR(_xlfn.XLOOKUP(TEXT(H551,"0000000000"),'📞 Call Tracker'!A$2:A$2000,'📞 Call Tracker'!F$2:F$2000,""),"")</f>
        <v>NO VOICE MAIL OPTION</v>
      </c>
      <c r="AB551" s="132">
        <f t="shared" si="17"/>
        <v>99</v>
      </c>
      <c r="AC551" s="79"/>
    </row>
    <row r="552" spans="1:29" ht="20.100000000000001" customHeight="1">
      <c r="A552" s="91">
        <v>45905</v>
      </c>
      <c r="B552" s="92" t="str">
        <v>Noel</v>
      </c>
      <c r="C552" s="92" t="str">
        <v>Brian</v>
      </c>
      <c r="D552" s="92" t="str">
        <v>Phoenix</v>
      </c>
      <c r="E552" s="92">
        <v>85083</v>
      </c>
      <c r="F552" s="137" t="str">
        <v>Opposed</v>
      </c>
      <c r="G552" s="93" t="str">
        <v>https://docket.images.azcc.gov/E000046235.pdf</v>
      </c>
      <c r="H552" s="150" t="s">
        <v>6291</v>
      </c>
      <c r="I552" s="114" t="str">
        <v>R3-47</v>
      </c>
      <c r="J552" s="94" t="str">
        <v>No</v>
      </c>
      <c r="K552" s="94" t="str">
        <v>No</v>
      </c>
      <c r="L552" s="137" t="str">
        <v>Yes</v>
      </c>
      <c r="M552" s="94" t="str">
        <v>No</v>
      </c>
      <c r="N552" s="134" t="str">
        <v>No</v>
      </c>
      <c r="O552" s="119" t="str">
        <v>Yes</v>
      </c>
      <c r="P552" s="92" t="str">
        <v>N</v>
      </c>
      <c r="Q552" s="91">
        <v>45966</v>
      </c>
      <c r="R552" s="140">
        <v>0</v>
      </c>
      <c r="S552" s="92">
        <v>0</v>
      </c>
      <c r="T552" s="92">
        <v>0</v>
      </c>
      <c r="U552" s="137">
        <v>0</v>
      </c>
      <c r="V552" s="126" t="str">
        <f t="shared" si="16"/>
        <v>✅ On Best Plan</v>
      </c>
      <c r="W552" s="130">
        <f>IFERROR(_xlfn.XLOOKUP(TEXT(H552,"0000000000"),'📞 Call Tracker'!A$2:A$2000,'📞 Call Tracker'!B$2:B$2000,""),"")</f>
        <v>0</v>
      </c>
      <c r="X552" s="96">
        <f>IFERROR(_xlfn.XLOOKUP(TEXT(H552,"0000000000"),'📞 Call Tracker'!A$2:A$2000,'📞 Call Tracker'!C$2:C$2000,""),"")</f>
        <v>0</v>
      </c>
      <c r="Y552" s="95">
        <f>IFERROR(_xlfn.XLOOKUP(TEXT(H552,"0000000000"),'📞 Call Tracker'!A$2:A$2000,'📞 Call Tracker'!D$2:D$2000,""),"")</f>
        <v>0</v>
      </c>
      <c r="Z552" s="95">
        <f>IFERROR(_xlfn.XLOOKUP(TEXT(H552,"0000000000"),'📞 Call Tracker'!A$2:A$2000,'📞 Call Tracker'!E$2:E$2000,""),"")</f>
        <v>0</v>
      </c>
      <c r="AA552" s="145">
        <f>IFERROR(_xlfn.XLOOKUP(TEXT(H552,"0000000000"),'📞 Call Tracker'!A$2:A$2000,'📞 Call Tracker'!F$2:F$2000,""),"")</f>
        <v>0</v>
      </c>
      <c r="AB552" s="132">
        <f t="shared" si="17"/>
        <v>99</v>
      </c>
      <c r="AC552" s="79"/>
    </row>
    <row r="553" spans="1:29" ht="20.100000000000001" customHeight="1">
      <c r="A553" s="91">
        <v>45905</v>
      </c>
      <c r="B553" s="92" t="str">
        <v xml:space="preserve">Lim </v>
      </c>
      <c r="C553" s="92" t="str">
        <v>Jaclyn</v>
      </c>
      <c r="D553" s="92" t="str">
        <v>Chandler</v>
      </c>
      <c r="E553" s="92">
        <v>85225</v>
      </c>
      <c r="F553" s="137" t="str">
        <v>Form letter</v>
      </c>
      <c r="G553" s="93" t="str">
        <v>https://docket.images.azcc.gov/E000046235.pdf</v>
      </c>
      <c r="H553" s="150" t="s">
        <v>6292</v>
      </c>
      <c r="I553" s="114" t="str">
        <v>EPR-6w/ET-2</v>
      </c>
      <c r="J553" s="94" t="str">
        <v>No</v>
      </c>
      <c r="K553" s="94" t="str">
        <v>No</v>
      </c>
      <c r="L553" s="137" t="str">
        <v>Frozen Rate</v>
      </c>
      <c r="M553" s="94" t="str">
        <v>No</v>
      </c>
      <c r="N553" s="134" t="str">
        <v>No</v>
      </c>
      <c r="O553" s="119" t="str">
        <v>Yes</v>
      </c>
      <c r="P553" s="92" t="str">
        <v>N</v>
      </c>
      <c r="Q553" s="91">
        <v>45966</v>
      </c>
      <c r="R553" s="140">
        <v>0</v>
      </c>
      <c r="S553" s="92">
        <v>0</v>
      </c>
      <c r="T553" s="92">
        <v>0</v>
      </c>
      <c r="U553" s="137">
        <v>0</v>
      </c>
      <c r="V553" s="126" t="str">
        <f t="shared" si="16"/>
        <v>❄ Frozen Rate</v>
      </c>
      <c r="W553" s="130">
        <f>IFERROR(_xlfn.XLOOKUP(TEXT(H553,"0000000000"),'📞 Call Tracker'!A$2:A$2000,'📞 Call Tracker'!B$2:B$2000,""),"")</f>
        <v>0</v>
      </c>
      <c r="X553" s="96">
        <f>IFERROR(_xlfn.XLOOKUP(TEXT(H553,"0000000000"),'📞 Call Tracker'!A$2:A$2000,'📞 Call Tracker'!C$2:C$2000,""),"")</f>
        <v>0</v>
      </c>
      <c r="Y553" s="95">
        <f>IFERROR(_xlfn.XLOOKUP(TEXT(H553,"0000000000"),'📞 Call Tracker'!A$2:A$2000,'📞 Call Tracker'!D$2:D$2000,""),"")</f>
        <v>0</v>
      </c>
      <c r="Z553" s="95">
        <f>IFERROR(_xlfn.XLOOKUP(TEXT(H553,"0000000000"),'📞 Call Tracker'!A$2:A$2000,'📞 Call Tracker'!E$2:E$2000,""),"")</f>
        <v>0</v>
      </c>
      <c r="AA553" s="145">
        <f>IFERROR(_xlfn.XLOOKUP(TEXT(H553,"0000000000"),'📞 Call Tracker'!A$2:A$2000,'📞 Call Tracker'!F$2:F$2000,""),"")</f>
        <v>0</v>
      </c>
      <c r="AB553" s="132">
        <f t="shared" si="17"/>
        <v>99</v>
      </c>
      <c r="AC553" s="79"/>
    </row>
    <row r="554" spans="1:29" ht="20.100000000000001" customHeight="1">
      <c r="A554" s="91">
        <v>45905</v>
      </c>
      <c r="B554" s="92" t="str">
        <v>Mroczek</v>
      </c>
      <c r="C554" s="92" t="str">
        <v>Rayanne</v>
      </c>
      <c r="D554" s="92" t="str">
        <v>Bisbee</v>
      </c>
      <c r="E554" s="92">
        <v>85603</v>
      </c>
      <c r="F554" s="137" t="str">
        <v>Opposed</v>
      </c>
      <c r="G554" s="93" t="str">
        <v>https://docket.images.azcc.gov/E000046235.pdf</v>
      </c>
      <c r="H554" s="150" t="s">
        <v>6293</v>
      </c>
      <c r="I554" s="114" t="str">
        <v>R3-47</v>
      </c>
      <c r="J554" s="94" t="str">
        <v>No</v>
      </c>
      <c r="K554" s="94" t="str">
        <v>No</v>
      </c>
      <c r="L554" s="137" t="str">
        <v>Yes</v>
      </c>
      <c r="M554" s="94" t="str">
        <v>No</v>
      </c>
      <c r="N554" s="134" t="str">
        <v>No</v>
      </c>
      <c r="O554" s="119" t="str">
        <v>Yes</v>
      </c>
      <c r="P554" s="92" t="str">
        <v>N</v>
      </c>
      <c r="Q554" s="91">
        <v>45966</v>
      </c>
      <c r="R554" s="140">
        <v>0</v>
      </c>
      <c r="S554" s="92">
        <v>0</v>
      </c>
      <c r="T554" s="92">
        <v>0</v>
      </c>
      <c r="U554" s="137">
        <v>0</v>
      </c>
      <c r="V554" s="126" t="str">
        <f t="shared" si="16"/>
        <v>✅ On Best Plan</v>
      </c>
      <c r="W554" s="130">
        <f>IFERROR(_xlfn.XLOOKUP(TEXT(H554,"0000000000"),'📞 Call Tracker'!A$2:A$2000,'📞 Call Tracker'!B$2:B$2000,""),"")</f>
        <v>0</v>
      </c>
      <c r="X554" s="96">
        <f>IFERROR(_xlfn.XLOOKUP(TEXT(H554,"0000000000"),'📞 Call Tracker'!A$2:A$2000,'📞 Call Tracker'!C$2:C$2000,""),"")</f>
        <v>0</v>
      </c>
      <c r="Y554" s="95">
        <f>IFERROR(_xlfn.XLOOKUP(TEXT(H554,"0000000000"),'📞 Call Tracker'!A$2:A$2000,'📞 Call Tracker'!D$2:D$2000,""),"")</f>
        <v>0</v>
      </c>
      <c r="Z554" s="95">
        <f>IFERROR(_xlfn.XLOOKUP(TEXT(H554,"0000000000"),'📞 Call Tracker'!A$2:A$2000,'📞 Call Tracker'!E$2:E$2000,""),"")</f>
        <v>0</v>
      </c>
      <c r="AA554" s="145">
        <f>IFERROR(_xlfn.XLOOKUP(TEXT(H554,"0000000000"),'📞 Call Tracker'!A$2:A$2000,'📞 Call Tracker'!F$2:F$2000,""),"")</f>
        <v>0</v>
      </c>
      <c r="AB554" s="132">
        <f t="shared" si="17"/>
        <v>99</v>
      </c>
      <c r="AC554" s="79"/>
    </row>
    <row r="555" spans="1:29" ht="20.100000000000001" customHeight="1">
      <c r="A555" s="91">
        <v>45905</v>
      </c>
      <c r="B555" s="92" t="str">
        <v>Bracken</v>
      </c>
      <c r="C555" s="92" t="str">
        <v>Daniel</v>
      </c>
      <c r="D555" s="92" t="str">
        <v>Scottsdale</v>
      </c>
      <c r="E555" s="92">
        <v>85260</v>
      </c>
      <c r="F555" s="137" t="str">
        <v>Form letter</v>
      </c>
      <c r="G555" s="93" t="str">
        <v>https://docket.images.azcc.gov/E000046235.pdf</v>
      </c>
      <c r="H555" s="150" t="s">
        <v>6294</v>
      </c>
      <c r="I555" s="114" t="str">
        <v>R-BASICL</v>
      </c>
      <c r="J555" s="94" t="str">
        <v>No</v>
      </c>
      <c r="K555" s="94" t="str">
        <v>No</v>
      </c>
      <c r="L555" s="137" t="str">
        <v>No MEP R3-47($150.38)</v>
      </c>
      <c r="M555" s="94" t="str">
        <v>No</v>
      </c>
      <c r="N555" s="134" t="str">
        <v>No</v>
      </c>
      <c r="O555" s="119" t="str">
        <v>Yes</v>
      </c>
      <c r="P555" s="92">
        <v>45937</v>
      </c>
      <c r="Q555" s="91">
        <v>45966</v>
      </c>
      <c r="R555" s="140" t="str">
        <v>Not interested in changing plans</v>
      </c>
      <c r="S555" s="92">
        <v>0</v>
      </c>
      <c r="T555" s="92">
        <v>0</v>
      </c>
      <c r="U555" s="137">
        <v>0</v>
      </c>
      <c r="V555" s="126" t="str">
        <f t="shared" si="16"/>
        <v>❌ Not on Best Plan</v>
      </c>
      <c r="W555" s="130">
        <f>IFERROR(_xlfn.XLOOKUP(TEXT(H555,"0000000000"),'📞 Call Tracker'!A$2:A$2000,'📞 Call Tracker'!B$2:B$2000,""),"")</f>
        <v>0</v>
      </c>
      <c r="X555" s="96">
        <f>IFERROR(_xlfn.XLOOKUP(TEXT(H555,"0000000000"),'📞 Call Tracker'!A$2:A$2000,'📞 Call Tracker'!C$2:C$2000,""),"")</f>
        <v>0</v>
      </c>
      <c r="Y555" s="95">
        <f>IFERROR(_xlfn.XLOOKUP(TEXT(H555,"0000000000"),'📞 Call Tracker'!A$2:A$2000,'📞 Call Tracker'!D$2:D$2000,""),"")</f>
        <v>0</v>
      </c>
      <c r="Z555" s="95">
        <f>IFERROR(_xlfn.XLOOKUP(TEXT(H555,"0000000000"),'📞 Call Tracker'!A$2:A$2000,'📞 Call Tracker'!E$2:E$2000,""),"")</f>
        <v>0</v>
      </c>
      <c r="AA555" s="145">
        <f>IFERROR(_xlfn.XLOOKUP(TEXT(H555,"0000000000"),'📞 Call Tracker'!A$2:A$2000,'📞 Call Tracker'!F$2:F$2000,""),"")</f>
        <v>0</v>
      </c>
      <c r="AB555" s="132">
        <f t="shared" si="17"/>
        <v>99</v>
      </c>
      <c r="AC555" s="79"/>
    </row>
    <row r="556" spans="1:29" ht="20.100000000000001" customHeight="1">
      <c r="A556" s="91">
        <v>45905</v>
      </c>
      <c r="B556" s="92" t="str">
        <v>Johnston</v>
      </c>
      <c r="C556" s="92" t="str">
        <v>Linda</v>
      </c>
      <c r="D556" s="92" t="str">
        <v>Surprise</v>
      </c>
      <c r="E556" s="92">
        <v>85388</v>
      </c>
      <c r="F556" s="137" t="str">
        <v>Cannot afford</v>
      </c>
      <c r="G556" s="93" t="str">
        <v>https://docket.images.azcc.gov/E000046235.pdf</v>
      </c>
      <c r="H556" s="150" t="s">
        <v>6295</v>
      </c>
      <c r="I556" s="114" t="str">
        <v>R3-47</v>
      </c>
      <c r="J556" s="94" t="str">
        <v>No</v>
      </c>
      <c r="K556" s="94" t="str">
        <v>No</v>
      </c>
      <c r="L556" s="137" t="str">
        <v>Yes</v>
      </c>
      <c r="M556" s="94" t="str">
        <v>No</v>
      </c>
      <c r="N556" s="134" t="str">
        <v>No</v>
      </c>
      <c r="O556" s="119" t="str">
        <v>Yes</v>
      </c>
      <c r="P556" s="92" t="str">
        <v>N</v>
      </c>
      <c r="Q556" s="91">
        <v>45966</v>
      </c>
      <c r="R556" s="140">
        <v>0</v>
      </c>
      <c r="S556" s="92">
        <v>0</v>
      </c>
      <c r="T556" s="92">
        <v>0</v>
      </c>
      <c r="U556" s="137">
        <v>0</v>
      </c>
      <c r="V556" s="126" t="str">
        <f t="shared" si="16"/>
        <v>✅ On Best Plan</v>
      </c>
      <c r="W556" s="130">
        <f>IFERROR(_xlfn.XLOOKUP(TEXT(H556,"0000000000"),'📞 Call Tracker'!A$2:A$2000,'📞 Call Tracker'!B$2:B$2000,""),"")</f>
        <v>0</v>
      </c>
      <c r="X556" s="96">
        <f>IFERROR(_xlfn.XLOOKUP(TEXT(H556,"0000000000"),'📞 Call Tracker'!A$2:A$2000,'📞 Call Tracker'!C$2:C$2000,""),"")</f>
        <v>0</v>
      </c>
      <c r="Y556" s="95">
        <f>IFERROR(_xlfn.XLOOKUP(TEXT(H556,"0000000000"),'📞 Call Tracker'!A$2:A$2000,'📞 Call Tracker'!D$2:D$2000,""),"")</f>
        <v>0</v>
      </c>
      <c r="Z556" s="95">
        <f>IFERROR(_xlfn.XLOOKUP(TEXT(H556,"0000000000"),'📞 Call Tracker'!A$2:A$2000,'📞 Call Tracker'!E$2:E$2000,""),"")</f>
        <v>0</v>
      </c>
      <c r="AA556" s="145">
        <f>IFERROR(_xlfn.XLOOKUP(TEXT(H556,"0000000000"),'📞 Call Tracker'!A$2:A$2000,'📞 Call Tracker'!F$2:F$2000,""),"")</f>
        <v>0</v>
      </c>
      <c r="AB556" s="132">
        <f t="shared" si="17"/>
        <v>99</v>
      </c>
      <c r="AC556" s="79"/>
    </row>
    <row r="557" spans="1:29" ht="20.100000000000001" customHeight="1">
      <c r="A557" s="91">
        <v>45905</v>
      </c>
      <c r="B557" s="92" t="str">
        <v>Hull</v>
      </c>
      <c r="C557" s="92" t="str">
        <v>Jason</v>
      </c>
      <c r="D557" s="92" t="str">
        <v>Glendale</v>
      </c>
      <c r="E557" s="92">
        <v>85308</v>
      </c>
      <c r="F557" s="137" t="str">
        <v>Opposed</v>
      </c>
      <c r="G557" s="93" t="str">
        <v>https://docket.images.azcc.gov/E000046235.pdf</v>
      </c>
      <c r="H557" s="150" t="s">
        <v>6296</v>
      </c>
      <c r="I557" s="114" t="str">
        <v>RTOUE47</v>
      </c>
      <c r="J557" s="94" t="str">
        <v>No</v>
      </c>
      <c r="K557" s="94" t="str">
        <v>No</v>
      </c>
      <c r="L557" s="137" t="str">
        <v>Yes</v>
      </c>
      <c r="M557" s="94" t="str">
        <v>No</v>
      </c>
      <c r="N557" s="134" t="str">
        <v>No</v>
      </c>
      <c r="O557" s="119" t="str">
        <v>Yes</v>
      </c>
      <c r="P557" s="92" t="str">
        <v>N</v>
      </c>
      <c r="Q557" s="91">
        <v>45966</v>
      </c>
      <c r="R557" s="140">
        <v>0</v>
      </c>
      <c r="S557" s="92">
        <v>0</v>
      </c>
      <c r="T557" s="92">
        <v>0</v>
      </c>
      <c r="U557" s="137">
        <v>0</v>
      </c>
      <c r="V557" s="126" t="str">
        <f t="shared" si="16"/>
        <v>✅ On Best Plan</v>
      </c>
      <c r="W557" s="130">
        <f>IFERROR(_xlfn.XLOOKUP(TEXT(H557,"0000000000"),'📞 Call Tracker'!A$2:A$2000,'📞 Call Tracker'!B$2:B$2000,""),"")</f>
        <v>0</v>
      </c>
      <c r="X557" s="96">
        <f>IFERROR(_xlfn.XLOOKUP(TEXT(H557,"0000000000"),'📞 Call Tracker'!A$2:A$2000,'📞 Call Tracker'!C$2:C$2000,""),"")</f>
        <v>0</v>
      </c>
      <c r="Y557" s="95">
        <f>IFERROR(_xlfn.XLOOKUP(TEXT(H557,"0000000000"),'📞 Call Tracker'!A$2:A$2000,'📞 Call Tracker'!D$2:D$2000,""),"")</f>
        <v>0</v>
      </c>
      <c r="Z557" s="95">
        <f>IFERROR(_xlfn.XLOOKUP(TEXT(H557,"0000000000"),'📞 Call Tracker'!A$2:A$2000,'📞 Call Tracker'!E$2:E$2000,""),"")</f>
        <v>0</v>
      </c>
      <c r="AA557" s="145">
        <f>IFERROR(_xlfn.XLOOKUP(TEXT(H557,"0000000000"),'📞 Call Tracker'!A$2:A$2000,'📞 Call Tracker'!F$2:F$2000,""),"")</f>
        <v>0</v>
      </c>
      <c r="AB557" s="132">
        <f t="shared" si="17"/>
        <v>99</v>
      </c>
      <c r="AC557" s="79"/>
    </row>
    <row r="558" spans="1:29" ht="20.100000000000001" customHeight="1">
      <c r="A558" s="91">
        <v>45905</v>
      </c>
      <c r="B558" s="92" t="str">
        <v>Hanson</v>
      </c>
      <c r="C558" s="92" t="str">
        <v xml:space="preserve">Chris </v>
      </c>
      <c r="D558" s="92" t="str">
        <v>Phoenix</v>
      </c>
      <c r="E558" s="92">
        <v>85028</v>
      </c>
      <c r="F558" s="137" t="str">
        <v>Form letter</v>
      </c>
      <c r="G558" s="93" t="str">
        <v>https://docket.images.azcc.gov/E000046235.pdf</v>
      </c>
      <c r="H558" s="150" t="s">
        <v>6297</v>
      </c>
      <c r="I558" s="114" t="str">
        <v>RCPw/RTOUE47</v>
      </c>
      <c r="J558" s="94" t="str">
        <v>No</v>
      </c>
      <c r="K558" s="94" t="str">
        <v>No</v>
      </c>
      <c r="L558" s="137" t="str">
        <v>No MEP R3-47($352.39)</v>
      </c>
      <c r="M558" s="94" t="str">
        <v>No</v>
      </c>
      <c r="N558" s="134" t="str">
        <v>No</v>
      </c>
      <c r="O558" s="119" t="str">
        <v>Yes</v>
      </c>
      <c r="P558" s="92">
        <v>45937</v>
      </c>
      <c r="Q558" s="91">
        <v>45966</v>
      </c>
      <c r="R558" s="140" t="str">
        <v>10/07/2025 left VM</v>
      </c>
      <c r="S558" s="92">
        <v>0</v>
      </c>
      <c r="T558" s="92">
        <v>0</v>
      </c>
      <c r="U558" s="137">
        <v>0</v>
      </c>
      <c r="V558" s="126" t="str">
        <f t="shared" si="16"/>
        <v>❌ Not on Best Plan</v>
      </c>
      <c r="W558" s="130">
        <f>IFERROR(_xlfn.XLOOKUP(TEXT(H558,"0000000000"),'📞 Call Tracker'!A$2:A$2000,'📞 Call Tracker'!B$2:B$2000,""),"")</f>
        <v>0</v>
      </c>
      <c r="X558" s="96">
        <f>IFERROR(_xlfn.XLOOKUP(TEXT(H558,"0000000000"),'📞 Call Tracker'!A$2:A$2000,'📞 Call Tracker'!C$2:C$2000,""),"")</f>
        <v>0</v>
      </c>
      <c r="Y558" s="95">
        <f>IFERROR(_xlfn.XLOOKUP(TEXT(H558,"0000000000"),'📞 Call Tracker'!A$2:A$2000,'📞 Call Tracker'!D$2:D$2000,""),"")</f>
        <v>0</v>
      </c>
      <c r="Z558" s="95">
        <f>IFERROR(_xlfn.XLOOKUP(TEXT(H558,"0000000000"),'📞 Call Tracker'!A$2:A$2000,'📞 Call Tracker'!E$2:E$2000,""),"")</f>
        <v>0</v>
      </c>
      <c r="AA558" s="145">
        <f>IFERROR(_xlfn.XLOOKUP(TEXT(H558,"0000000000"),'📞 Call Tracker'!A$2:A$2000,'📞 Call Tracker'!F$2:F$2000,""),"")</f>
        <v>0</v>
      </c>
      <c r="AB558" s="132">
        <f t="shared" si="17"/>
        <v>99</v>
      </c>
      <c r="AC558" s="79"/>
    </row>
    <row r="559" spans="1:29" ht="20.100000000000001" customHeight="1">
      <c r="A559" s="91">
        <v>45905</v>
      </c>
      <c r="B559" s="92" t="str">
        <v>Fajardo</v>
      </c>
      <c r="C559" s="92" t="str">
        <v>James</v>
      </c>
      <c r="D559" s="92" t="str">
        <v>Phoenix</v>
      </c>
      <c r="E559" s="92">
        <v>85050</v>
      </c>
      <c r="F559" s="137" t="str">
        <v>Form letter</v>
      </c>
      <c r="G559" s="93" t="str">
        <v>https://docket.images.azcc.gov/E000046235.pdf</v>
      </c>
      <c r="H559" s="150" t="s">
        <v>6712</v>
      </c>
      <c r="I559" s="114" t="str">
        <v>R3-47</v>
      </c>
      <c r="J559" s="94" t="str">
        <v>No</v>
      </c>
      <c r="K559" s="94" t="str">
        <v>No</v>
      </c>
      <c r="L559" s="137" t="str">
        <v>Yes</v>
      </c>
      <c r="M559" s="94" t="str">
        <v>No</v>
      </c>
      <c r="N559" s="134" t="str">
        <v>No</v>
      </c>
      <c r="O559" s="119" t="str">
        <v>Yes</v>
      </c>
      <c r="P559" s="92" t="str">
        <v>N</v>
      </c>
      <c r="Q559" s="91">
        <v>45966</v>
      </c>
      <c r="R559" s="140">
        <v>0</v>
      </c>
      <c r="S559" s="92">
        <v>0</v>
      </c>
      <c r="T559" s="92">
        <v>0</v>
      </c>
      <c r="U559" s="137">
        <v>0</v>
      </c>
      <c r="V559" s="126" t="str">
        <f t="shared" si="16"/>
        <v>✅ On Best Plan</v>
      </c>
      <c r="W559" s="130" t="str">
        <f>IFERROR(_xlfn.XLOOKUP(TEXT(H559,"0000000000"),'📞 Call Tracker'!A$2:A$2000,'📞 Call Tracker'!B$2:B$2000,""),"")</f>
        <v/>
      </c>
      <c r="X559" s="96" t="str">
        <f>IFERROR(_xlfn.XLOOKUP(TEXT(H559,"0000000000"),'📞 Call Tracker'!A$2:A$2000,'📞 Call Tracker'!C$2:C$2000,""),"")</f>
        <v/>
      </c>
      <c r="Y559" s="95" t="str">
        <f>IFERROR(_xlfn.XLOOKUP(TEXT(H559,"0000000000"),'📞 Call Tracker'!A$2:A$2000,'📞 Call Tracker'!D$2:D$2000,""),"")</f>
        <v/>
      </c>
      <c r="Z559" s="95" t="str">
        <f>IFERROR(_xlfn.XLOOKUP(TEXT(H559,"0000000000"),'📞 Call Tracker'!A$2:A$2000,'📞 Call Tracker'!E$2:E$2000,""),"")</f>
        <v/>
      </c>
      <c r="AA559" s="145" t="str">
        <f>IFERROR(_xlfn.XLOOKUP(TEXT(H559,"0000000000"),'📞 Call Tracker'!A$2:A$2000,'📞 Call Tracker'!F$2:F$2000,""),"")</f>
        <v/>
      </c>
      <c r="AB559" s="132">
        <f t="shared" si="17"/>
        <v>4</v>
      </c>
      <c r="AC559" s="79"/>
    </row>
    <row r="560" spans="1:29" ht="20.100000000000001" customHeight="1">
      <c r="A560" s="91">
        <v>45905</v>
      </c>
      <c r="B560" s="92" t="str">
        <v>Granato</v>
      </c>
      <c r="C560" s="92" t="str">
        <v>Heather</v>
      </c>
      <c r="D560" s="92" t="str">
        <v>Scottsdale</v>
      </c>
      <c r="E560" s="92">
        <v>85254</v>
      </c>
      <c r="F560" s="137" t="str">
        <v>Form letter</v>
      </c>
      <c r="G560" s="93" t="str">
        <v>https://docket.images.azcc.gov/E000046235.pdf</v>
      </c>
      <c r="H560" s="150" t="s">
        <v>6298</v>
      </c>
      <c r="I560" s="114" t="str">
        <v>R-BASIC</v>
      </c>
      <c r="J560" s="94" t="str">
        <v>No</v>
      </c>
      <c r="K560" s="94" t="str">
        <v>No</v>
      </c>
      <c r="L560" s="137" t="str">
        <v>No MEP R-XS($118.46)</v>
      </c>
      <c r="M560" s="94" t="str">
        <v>No</v>
      </c>
      <c r="N560" s="134" t="str">
        <v>No</v>
      </c>
      <c r="O560" s="119" t="str">
        <v>Yes</v>
      </c>
      <c r="P560" s="92" t="str">
        <v>N</v>
      </c>
      <c r="Q560" s="91">
        <v>45966</v>
      </c>
      <c r="R560" s="140" t="str">
        <v>Will be automatically reassigned soon</v>
      </c>
      <c r="S560" s="92">
        <v>0</v>
      </c>
      <c r="T560" s="92">
        <v>0</v>
      </c>
      <c r="U560" s="137">
        <v>0</v>
      </c>
      <c r="V560" s="126" t="str">
        <f t="shared" si="16"/>
        <v>❌ Not on Best Plan</v>
      </c>
      <c r="W560" s="130">
        <f>IFERROR(_xlfn.XLOOKUP(TEXT(H560,"0000000000"),'📞 Call Tracker'!A$2:A$2000,'📞 Call Tracker'!B$2:B$2000,""),"")</f>
        <v>0</v>
      </c>
      <c r="X560" s="96">
        <f>IFERROR(_xlfn.XLOOKUP(TEXT(H560,"0000000000"),'📞 Call Tracker'!A$2:A$2000,'📞 Call Tracker'!C$2:C$2000,""),"")</f>
        <v>0</v>
      </c>
      <c r="Y560" s="95">
        <f>IFERROR(_xlfn.XLOOKUP(TEXT(H560,"0000000000"),'📞 Call Tracker'!A$2:A$2000,'📞 Call Tracker'!D$2:D$2000,""),"")</f>
        <v>0</v>
      </c>
      <c r="Z560" s="95">
        <f>IFERROR(_xlfn.XLOOKUP(TEXT(H560,"0000000000"),'📞 Call Tracker'!A$2:A$2000,'📞 Call Tracker'!E$2:E$2000,""),"")</f>
        <v>0</v>
      </c>
      <c r="AA560" s="145">
        <f>IFERROR(_xlfn.XLOOKUP(TEXT(H560,"0000000000"),'📞 Call Tracker'!A$2:A$2000,'📞 Call Tracker'!F$2:F$2000,""),"")</f>
        <v>0</v>
      </c>
      <c r="AB560" s="132">
        <f t="shared" si="17"/>
        <v>99</v>
      </c>
      <c r="AC560" s="79"/>
    </row>
    <row r="561" spans="1:29" ht="20.100000000000001" customHeight="1">
      <c r="A561" s="91">
        <v>45905</v>
      </c>
      <c r="B561" s="92" t="str">
        <v>Turner-Warren</v>
      </c>
      <c r="C561" s="92" t="str">
        <v>Jessica</v>
      </c>
      <c r="D561" s="92" t="str">
        <v>Flagstaff</v>
      </c>
      <c r="E561" s="92">
        <v>86001</v>
      </c>
      <c r="F561" s="137" t="str">
        <v>Irresponsible</v>
      </c>
      <c r="G561" s="93" t="str">
        <v>https://docket.images.azcc.gov/E000046235.pdf</v>
      </c>
      <c r="H561" s="150" t="s">
        <v>6054</v>
      </c>
      <c r="I561" s="114" t="str">
        <v>R-BASIC</v>
      </c>
      <c r="J561" s="94" t="str">
        <v>No</v>
      </c>
      <c r="K561" s="94" t="str">
        <v>No</v>
      </c>
      <c r="L561" s="137" t="str">
        <v>No MEP R-XS(127.55)</v>
      </c>
      <c r="M561" s="94" t="str">
        <v>No</v>
      </c>
      <c r="N561" s="134" t="str">
        <v>No</v>
      </c>
      <c r="O561" s="119" t="str">
        <v>Yes</v>
      </c>
      <c r="P561" s="92">
        <v>45937</v>
      </c>
      <c r="Q561" s="91">
        <v>45966</v>
      </c>
      <c r="R561" s="140" t="str">
        <v>10/07/2025 left VM</v>
      </c>
      <c r="S561" s="92">
        <v>0</v>
      </c>
      <c r="T561" s="92">
        <v>0</v>
      </c>
      <c r="U561" s="137">
        <v>0</v>
      </c>
      <c r="V561" s="126" t="str">
        <f t="shared" si="16"/>
        <v>❌ Not on Best Plan</v>
      </c>
      <c r="W561" s="130" t="str">
        <f>IFERROR(_xlfn.XLOOKUP(TEXT(H561,"0000000000"),'📞 Call Tracker'!A$2:A$2000,'📞 Call Tracker'!B$2:B$2000,""),"")</f>
        <v>Joaquin</v>
      </c>
      <c r="X561" s="96">
        <f>IFERROR(_xlfn.XLOOKUP(TEXT(H561,"0000000000"),'📞 Call Tracker'!A$2:A$2000,'📞 Call Tracker'!C$2:C$2000,""),"")</f>
        <v>46046</v>
      </c>
      <c r="Y561" s="95" t="str">
        <f>IFERROR(_xlfn.XLOOKUP(TEXT(H561,"0000000000"),'📞 Call Tracker'!A$2:A$2000,'📞 Call Tracker'!D$2:D$2000,""),"")</f>
        <v>YES</v>
      </c>
      <c r="Z561" s="95">
        <f>IFERROR(_xlfn.XLOOKUP(TEXT(H561,"0000000000"),'📞 Call Tracker'!A$2:A$2000,'📞 Call Tracker'!E$2:E$2000,""),"")</f>
        <v>0</v>
      </c>
      <c r="AA561" s="145" t="str">
        <f>IFERROR(_xlfn.XLOOKUP(TEXT(H561,"0000000000"),'📞 Call Tracker'!A$2:A$2000,'📞 Call Tracker'!F$2:F$2000,""),"")</f>
        <v>LEFT V-M</v>
      </c>
      <c r="AB561" s="132">
        <f t="shared" si="17"/>
        <v>99</v>
      </c>
      <c r="AC561" s="79"/>
    </row>
    <row r="562" spans="1:29" ht="20.100000000000001" customHeight="1">
      <c r="A562" s="91">
        <v>45905</v>
      </c>
      <c r="B562" s="92" t="str">
        <v>Zamenick</v>
      </c>
      <c r="C562" s="92" t="str">
        <v>Joseph</v>
      </c>
      <c r="D562" s="92" t="str">
        <v>Litchfield Park</v>
      </c>
      <c r="E562" s="92">
        <v>85340</v>
      </c>
      <c r="F562" s="137" t="str">
        <v>Enough is enough</v>
      </c>
      <c r="G562" s="93" t="str">
        <v>https://docket.images.azcc.gov/E000046235.pdf</v>
      </c>
      <c r="H562" s="150" t="s">
        <v>6713</v>
      </c>
      <c r="I562" s="114" t="str">
        <v>R3-47</v>
      </c>
      <c r="J562" s="94" t="str">
        <v>No</v>
      </c>
      <c r="K562" s="94" t="str">
        <v>No</v>
      </c>
      <c r="L562" s="137" t="str">
        <v>Yes</v>
      </c>
      <c r="M562" s="94" t="str">
        <v>No</v>
      </c>
      <c r="N562" s="134" t="str">
        <v>No</v>
      </c>
      <c r="O562" s="119" t="str">
        <v>Yes</v>
      </c>
      <c r="P562" s="92" t="str">
        <v>N</v>
      </c>
      <c r="Q562" s="91">
        <v>45966</v>
      </c>
      <c r="R562" s="140">
        <v>0</v>
      </c>
      <c r="S562" s="92">
        <v>0</v>
      </c>
      <c r="T562" s="92">
        <v>0</v>
      </c>
      <c r="U562" s="137">
        <v>0</v>
      </c>
      <c r="V562" s="126" t="str">
        <f t="shared" si="16"/>
        <v>✅ On Best Plan</v>
      </c>
      <c r="W562" s="130" t="str">
        <f>IFERROR(_xlfn.XLOOKUP(TEXT(H562,"0000000000"),'📞 Call Tracker'!A$2:A$2000,'📞 Call Tracker'!B$2:B$2000,""),"")</f>
        <v/>
      </c>
      <c r="X562" s="96" t="str">
        <f>IFERROR(_xlfn.XLOOKUP(TEXT(H562,"0000000000"),'📞 Call Tracker'!A$2:A$2000,'📞 Call Tracker'!C$2:C$2000,""),"")</f>
        <v/>
      </c>
      <c r="Y562" s="95" t="str">
        <f>IFERROR(_xlfn.XLOOKUP(TEXT(H562,"0000000000"),'📞 Call Tracker'!A$2:A$2000,'📞 Call Tracker'!D$2:D$2000,""),"")</f>
        <v/>
      </c>
      <c r="Z562" s="95" t="str">
        <f>IFERROR(_xlfn.XLOOKUP(TEXT(H562,"0000000000"),'📞 Call Tracker'!A$2:A$2000,'📞 Call Tracker'!E$2:E$2000,""),"")</f>
        <v/>
      </c>
      <c r="AA562" s="145" t="str">
        <f>IFERROR(_xlfn.XLOOKUP(TEXT(H562,"0000000000"),'📞 Call Tracker'!A$2:A$2000,'📞 Call Tracker'!F$2:F$2000,""),"")</f>
        <v/>
      </c>
      <c r="AB562" s="132">
        <f t="shared" si="17"/>
        <v>4</v>
      </c>
      <c r="AC562" s="79"/>
    </row>
    <row r="563" spans="1:29" ht="20.100000000000001" customHeight="1">
      <c r="A563" s="91">
        <v>45905</v>
      </c>
      <c r="B563" s="92" t="str">
        <v>Good</v>
      </c>
      <c r="C563" s="92" t="str">
        <v>Travis</v>
      </c>
      <c r="D563" s="92" t="str">
        <v>Phoenix</v>
      </c>
      <c r="E563" s="92">
        <v>85028</v>
      </c>
      <c r="F563" s="137" t="str">
        <v>Form letter</v>
      </c>
      <c r="G563" s="93" t="str">
        <v>https://docket.images.azcc.gov/E000046235.pdf</v>
      </c>
      <c r="H563" s="150" t="s">
        <v>6299</v>
      </c>
      <c r="I563" s="114" t="str">
        <v>R3-47</v>
      </c>
      <c r="J563" s="94" t="str">
        <v>No</v>
      </c>
      <c r="K563" s="94" t="str">
        <v>No</v>
      </c>
      <c r="L563" s="137" t="str">
        <v>Yes</v>
      </c>
      <c r="M563" s="94" t="str">
        <v>No</v>
      </c>
      <c r="N563" s="134" t="str">
        <v>No</v>
      </c>
      <c r="O563" s="119" t="str">
        <v>Yes</v>
      </c>
      <c r="P563" s="92" t="str">
        <v>N</v>
      </c>
      <c r="Q563" s="91">
        <v>45966</v>
      </c>
      <c r="R563" s="140">
        <v>0</v>
      </c>
      <c r="S563" s="92">
        <v>0</v>
      </c>
      <c r="T563" s="92">
        <v>0</v>
      </c>
      <c r="U563" s="137">
        <v>0</v>
      </c>
      <c r="V563" s="126" t="str">
        <f t="shared" si="16"/>
        <v>✅ On Best Plan</v>
      </c>
      <c r="W563" s="130">
        <f>IFERROR(_xlfn.XLOOKUP(TEXT(H563,"0000000000"),'📞 Call Tracker'!A$2:A$2000,'📞 Call Tracker'!B$2:B$2000,""),"")</f>
        <v>0</v>
      </c>
      <c r="X563" s="96">
        <f>IFERROR(_xlfn.XLOOKUP(TEXT(H563,"0000000000"),'📞 Call Tracker'!A$2:A$2000,'📞 Call Tracker'!C$2:C$2000,""),"")</f>
        <v>0</v>
      </c>
      <c r="Y563" s="95">
        <f>IFERROR(_xlfn.XLOOKUP(TEXT(H563,"0000000000"),'📞 Call Tracker'!A$2:A$2000,'📞 Call Tracker'!D$2:D$2000,""),"")</f>
        <v>0</v>
      </c>
      <c r="Z563" s="95">
        <f>IFERROR(_xlfn.XLOOKUP(TEXT(H563,"0000000000"),'📞 Call Tracker'!A$2:A$2000,'📞 Call Tracker'!E$2:E$2000,""),"")</f>
        <v>0</v>
      </c>
      <c r="AA563" s="145">
        <f>IFERROR(_xlfn.XLOOKUP(TEXT(H563,"0000000000"),'📞 Call Tracker'!A$2:A$2000,'📞 Call Tracker'!F$2:F$2000,""),"")</f>
        <v>0</v>
      </c>
      <c r="AB563" s="132">
        <f t="shared" si="17"/>
        <v>99</v>
      </c>
      <c r="AC563" s="79"/>
    </row>
    <row r="564" spans="1:29" ht="20.100000000000001" customHeight="1">
      <c r="A564" s="91">
        <v>45905</v>
      </c>
      <c r="B564" s="92" t="str">
        <v>McKeever</v>
      </c>
      <c r="C564" s="92" t="str">
        <v>Michael</v>
      </c>
      <c r="D564" s="92" t="str">
        <v>Surprise</v>
      </c>
      <c r="E564" s="92">
        <v>85374</v>
      </c>
      <c r="F564" s="137" t="str">
        <v>This is insanity</v>
      </c>
      <c r="G564" s="93" t="str">
        <v>https://docket.images.azcc.gov/E000046235.pdf</v>
      </c>
      <c r="H564" s="150" t="s">
        <v>6714</v>
      </c>
      <c r="I564" s="114" t="str">
        <v>R3-47</v>
      </c>
      <c r="J564" s="94" t="str">
        <v>No</v>
      </c>
      <c r="K564" s="94" t="str">
        <v>No</v>
      </c>
      <c r="L564" s="137" t="str">
        <v>Yes</v>
      </c>
      <c r="M564" s="94" t="str">
        <v>No</v>
      </c>
      <c r="N564" s="134" t="str">
        <v>No</v>
      </c>
      <c r="O564" s="119" t="str">
        <v>Yes</v>
      </c>
      <c r="P564" s="92" t="str">
        <v>N</v>
      </c>
      <c r="Q564" s="91">
        <v>45966</v>
      </c>
      <c r="R564" s="140">
        <v>0</v>
      </c>
      <c r="S564" s="92">
        <v>0</v>
      </c>
      <c r="T564" s="92">
        <v>0</v>
      </c>
      <c r="U564" s="137">
        <v>0</v>
      </c>
      <c r="V564" s="126" t="str">
        <f t="shared" si="16"/>
        <v>✅ On Best Plan</v>
      </c>
      <c r="W564" s="130" t="str">
        <f>IFERROR(_xlfn.XLOOKUP(TEXT(H564,"0000000000"),'📞 Call Tracker'!A$2:A$2000,'📞 Call Tracker'!B$2:B$2000,""),"")</f>
        <v/>
      </c>
      <c r="X564" s="96" t="str">
        <f>IFERROR(_xlfn.XLOOKUP(TEXT(H564,"0000000000"),'📞 Call Tracker'!A$2:A$2000,'📞 Call Tracker'!C$2:C$2000,""),"")</f>
        <v/>
      </c>
      <c r="Y564" s="95" t="str">
        <f>IFERROR(_xlfn.XLOOKUP(TEXT(H564,"0000000000"),'📞 Call Tracker'!A$2:A$2000,'📞 Call Tracker'!D$2:D$2000,""),"")</f>
        <v/>
      </c>
      <c r="Z564" s="95" t="str">
        <f>IFERROR(_xlfn.XLOOKUP(TEXT(H564,"0000000000"),'📞 Call Tracker'!A$2:A$2000,'📞 Call Tracker'!E$2:E$2000,""),"")</f>
        <v/>
      </c>
      <c r="AA564" s="145" t="str">
        <f>IFERROR(_xlfn.XLOOKUP(TEXT(H564,"0000000000"),'📞 Call Tracker'!A$2:A$2000,'📞 Call Tracker'!F$2:F$2000,""),"")</f>
        <v/>
      </c>
      <c r="AB564" s="132">
        <f t="shared" si="17"/>
        <v>4</v>
      </c>
      <c r="AC564" s="79"/>
    </row>
    <row r="565" spans="1:29" ht="20.100000000000001" customHeight="1">
      <c r="A565" s="91">
        <v>45905</v>
      </c>
      <c r="B565" s="92" t="str">
        <v>Vega</v>
      </c>
      <c r="C565" s="92" t="str">
        <v>Macario</v>
      </c>
      <c r="D565" s="92" t="str">
        <v>Phoenix</v>
      </c>
      <c r="E565" s="92">
        <v>85029</v>
      </c>
      <c r="F565" s="137" t="str">
        <v>Form letter</v>
      </c>
      <c r="G565" s="93" t="str">
        <v>https://docket.images.azcc.gov/E000046235.pdf</v>
      </c>
      <c r="H565" s="150" t="s">
        <v>6300</v>
      </c>
      <c r="I565" s="114" t="str">
        <v>EPR-6w/ET-2</v>
      </c>
      <c r="J565" s="94" t="str">
        <v>No</v>
      </c>
      <c r="K565" s="94" t="str">
        <v>No</v>
      </c>
      <c r="L565" s="137" t="str">
        <v>Frozen Rate</v>
      </c>
      <c r="M565" s="94" t="str">
        <v>No</v>
      </c>
      <c r="N565" s="134" t="str">
        <v>No</v>
      </c>
      <c r="O565" s="119" t="str">
        <v>Yes</v>
      </c>
      <c r="P565" s="92" t="str">
        <v>N</v>
      </c>
      <c r="Q565" s="91">
        <v>45966</v>
      </c>
      <c r="R565" s="140">
        <v>0</v>
      </c>
      <c r="S565" s="92">
        <v>0</v>
      </c>
      <c r="T565" s="92">
        <v>0</v>
      </c>
      <c r="U565" s="137">
        <v>0</v>
      </c>
      <c r="V565" s="126" t="str">
        <f t="shared" si="16"/>
        <v>❄ Frozen Rate</v>
      </c>
      <c r="W565" s="130">
        <f>IFERROR(_xlfn.XLOOKUP(TEXT(H565,"0000000000"),'📞 Call Tracker'!A$2:A$2000,'📞 Call Tracker'!B$2:B$2000,""),"")</f>
        <v>0</v>
      </c>
      <c r="X565" s="96">
        <f>IFERROR(_xlfn.XLOOKUP(TEXT(H565,"0000000000"),'📞 Call Tracker'!A$2:A$2000,'📞 Call Tracker'!C$2:C$2000,""),"")</f>
        <v>0</v>
      </c>
      <c r="Y565" s="95">
        <f>IFERROR(_xlfn.XLOOKUP(TEXT(H565,"0000000000"),'📞 Call Tracker'!A$2:A$2000,'📞 Call Tracker'!D$2:D$2000,""),"")</f>
        <v>0</v>
      </c>
      <c r="Z565" s="95">
        <f>IFERROR(_xlfn.XLOOKUP(TEXT(H565,"0000000000"),'📞 Call Tracker'!A$2:A$2000,'📞 Call Tracker'!E$2:E$2000,""),"")</f>
        <v>0</v>
      </c>
      <c r="AA565" s="145">
        <f>IFERROR(_xlfn.XLOOKUP(TEXT(H565,"0000000000"),'📞 Call Tracker'!A$2:A$2000,'📞 Call Tracker'!F$2:F$2000,""),"")</f>
        <v>0</v>
      </c>
      <c r="AB565" s="132">
        <f t="shared" si="17"/>
        <v>99</v>
      </c>
      <c r="AC565" s="79"/>
    </row>
    <row r="566" spans="1:29" ht="20.100000000000001" customHeight="1">
      <c r="A566" s="91">
        <v>45905</v>
      </c>
      <c r="B566" s="92" t="str">
        <v>Talamantez</v>
      </c>
      <c r="C566" s="92" t="str">
        <v>Jonathan</v>
      </c>
      <c r="D566" s="92" t="str">
        <v>Phoenix</v>
      </c>
      <c r="E566" s="92">
        <v>85013</v>
      </c>
      <c r="F566" s="137" t="str">
        <v>Form letter</v>
      </c>
      <c r="G566" s="93" t="str">
        <v>https://docket.images.azcc.gov/E000046235.pdf</v>
      </c>
      <c r="H566" s="150" t="s">
        <v>6715</v>
      </c>
      <c r="I566" s="114" t="str">
        <v>R3-47</v>
      </c>
      <c r="J566" s="94" t="str">
        <v>No</v>
      </c>
      <c r="K566" s="94" t="str">
        <v>No</v>
      </c>
      <c r="L566" s="137" t="str">
        <v>Yes</v>
      </c>
      <c r="M566" s="94" t="str">
        <v>No</v>
      </c>
      <c r="N566" s="134" t="str">
        <v>No</v>
      </c>
      <c r="O566" s="119" t="str">
        <v>Yes</v>
      </c>
      <c r="P566" s="92" t="str">
        <v>N</v>
      </c>
      <c r="Q566" s="91">
        <v>45965</v>
      </c>
      <c r="R566" s="140">
        <v>0</v>
      </c>
      <c r="S566" s="92">
        <v>0</v>
      </c>
      <c r="T566" s="92">
        <v>0</v>
      </c>
      <c r="U566" s="137">
        <v>0</v>
      </c>
      <c r="V566" s="126" t="str">
        <f t="shared" si="16"/>
        <v>✅ On Best Plan</v>
      </c>
      <c r="W566" s="130" t="str">
        <f>IFERROR(_xlfn.XLOOKUP(TEXT(H566,"0000000000"),'📞 Call Tracker'!A$2:A$2000,'📞 Call Tracker'!B$2:B$2000,""),"")</f>
        <v/>
      </c>
      <c r="X566" s="96" t="str">
        <f>IFERROR(_xlfn.XLOOKUP(TEXT(H566,"0000000000"),'📞 Call Tracker'!A$2:A$2000,'📞 Call Tracker'!C$2:C$2000,""),"")</f>
        <v/>
      </c>
      <c r="Y566" s="95" t="str">
        <f>IFERROR(_xlfn.XLOOKUP(TEXT(H566,"0000000000"),'📞 Call Tracker'!A$2:A$2000,'📞 Call Tracker'!D$2:D$2000,""),"")</f>
        <v/>
      </c>
      <c r="Z566" s="95" t="str">
        <f>IFERROR(_xlfn.XLOOKUP(TEXT(H566,"0000000000"),'📞 Call Tracker'!A$2:A$2000,'📞 Call Tracker'!E$2:E$2000,""),"")</f>
        <v/>
      </c>
      <c r="AA566" s="145" t="str">
        <f>IFERROR(_xlfn.XLOOKUP(TEXT(H566,"0000000000"),'📞 Call Tracker'!A$2:A$2000,'📞 Call Tracker'!F$2:F$2000,""),"")</f>
        <v/>
      </c>
      <c r="AB566" s="132">
        <f t="shared" si="17"/>
        <v>4</v>
      </c>
      <c r="AC566" s="79"/>
    </row>
    <row r="567" spans="1:29" ht="20.100000000000001" customHeight="1">
      <c r="A567" s="91">
        <v>45905</v>
      </c>
      <c r="B567" s="92" t="str">
        <v>Gayed</v>
      </c>
      <c r="C567" s="92" t="str">
        <v>Manal</v>
      </c>
      <c r="D567" s="92" t="str">
        <v>Chandler</v>
      </c>
      <c r="E567" s="92">
        <v>85225</v>
      </c>
      <c r="F567" s="137" t="str">
        <v>Unbearable financial burden</v>
      </c>
      <c r="G567" s="93" t="str">
        <v>https://docket.images.azcc.gov/E000046235.pdf</v>
      </c>
      <c r="H567" s="150" t="s">
        <v>6055</v>
      </c>
      <c r="I567" s="114" t="str">
        <v>R3-47</v>
      </c>
      <c r="J567" s="94" t="str">
        <v>Yes</v>
      </c>
      <c r="K567" s="94" t="str">
        <v>No</v>
      </c>
      <c r="L567" s="137" t="str">
        <v>Yes</v>
      </c>
      <c r="M567" s="94" t="str">
        <v>No</v>
      </c>
      <c r="N567" s="134" t="str">
        <v>No</v>
      </c>
      <c r="O567" s="119" t="str">
        <v>Yes</v>
      </c>
      <c r="P567" s="92" t="str">
        <v>N</v>
      </c>
      <c r="Q567" s="91">
        <v>45965</v>
      </c>
      <c r="R567" s="140">
        <v>0</v>
      </c>
      <c r="S567" s="92">
        <v>0</v>
      </c>
      <c r="T567" s="92">
        <v>0</v>
      </c>
      <c r="U567" s="137">
        <v>0</v>
      </c>
      <c r="V567" s="126" t="str">
        <f t="shared" si="16"/>
        <v>✅ On Best Plan</v>
      </c>
      <c r="W567" s="130" t="str">
        <f>IFERROR(_xlfn.XLOOKUP(TEXT(H567,"0000000000"),'📞 Call Tracker'!A$2:A$2000,'📞 Call Tracker'!B$2:B$2000,""),"")</f>
        <v>Joaquin</v>
      </c>
      <c r="X567" s="96">
        <f>IFERROR(_xlfn.XLOOKUP(TEXT(H567,"0000000000"),'📞 Call Tracker'!A$2:A$2000,'📞 Call Tracker'!C$2:C$2000,""),"")</f>
        <v>46060</v>
      </c>
      <c r="Y567" s="95" t="str">
        <f>IFERROR(_xlfn.XLOOKUP(TEXT(H567,"0000000000"),'📞 Call Tracker'!A$2:A$2000,'📞 Call Tracker'!D$2:D$2000,""),"")</f>
        <v>YES</v>
      </c>
      <c r="Z567" s="95">
        <f>IFERROR(_xlfn.XLOOKUP(TEXT(H567,"0000000000"),'📞 Call Tracker'!A$2:A$2000,'📞 Call Tracker'!E$2:E$2000,""),"")</f>
        <v>0</v>
      </c>
      <c r="AA567" s="145" t="str">
        <f>IFERROR(_xlfn.XLOOKUP(TEXT(H567,"0000000000"),'📞 Call Tracker'!A$2:A$2000,'📞 Call Tracker'!F$2:F$2000,""),"")</f>
        <v>LEFT VOICE MESSAGE</v>
      </c>
      <c r="AB567" s="132">
        <f t="shared" si="17"/>
        <v>99</v>
      </c>
      <c r="AC567" s="79"/>
    </row>
    <row r="568" spans="1:29" ht="20.100000000000001" customHeight="1">
      <c r="A568" s="91">
        <v>45905</v>
      </c>
      <c r="B568" s="92" t="str">
        <v>Rayepudi</v>
      </c>
      <c r="C568" s="92" t="str">
        <v>Vamseekrishna</v>
      </c>
      <c r="D568" s="92" t="str">
        <v>Peoria</v>
      </c>
      <c r="E568" s="92">
        <v>85383</v>
      </c>
      <c r="F568" s="137" t="str">
        <v>Form letter</v>
      </c>
      <c r="G568" s="93" t="str">
        <v>https://docket.images.azcc.gov/E000046235.pdf</v>
      </c>
      <c r="H568" s="150" t="s">
        <v>6301</v>
      </c>
      <c r="I568" s="114" t="str">
        <v>R3-47</v>
      </c>
      <c r="J568" s="94" t="str">
        <v>No</v>
      </c>
      <c r="K568" s="94" t="str">
        <v>No</v>
      </c>
      <c r="L568" s="137" t="str">
        <v>Yes</v>
      </c>
      <c r="M568" s="94" t="str">
        <v>No</v>
      </c>
      <c r="N568" s="134" t="str">
        <v>No</v>
      </c>
      <c r="O568" s="119" t="str">
        <v>Yes</v>
      </c>
      <c r="P568" s="92" t="str">
        <v>N</v>
      </c>
      <c r="Q568" s="91">
        <v>45965</v>
      </c>
      <c r="R568" s="140">
        <v>0</v>
      </c>
      <c r="S568" s="92">
        <v>0</v>
      </c>
      <c r="T568" s="92">
        <v>0</v>
      </c>
      <c r="U568" s="137">
        <v>0</v>
      </c>
      <c r="V568" s="126" t="str">
        <f t="shared" si="16"/>
        <v>✅ On Best Plan</v>
      </c>
      <c r="W568" s="130">
        <f>IFERROR(_xlfn.XLOOKUP(TEXT(H568,"0000000000"),'📞 Call Tracker'!A$2:A$2000,'📞 Call Tracker'!B$2:B$2000,""),"")</f>
        <v>0</v>
      </c>
      <c r="X568" s="96">
        <f>IFERROR(_xlfn.XLOOKUP(TEXT(H568,"0000000000"),'📞 Call Tracker'!A$2:A$2000,'📞 Call Tracker'!C$2:C$2000,""),"")</f>
        <v>0</v>
      </c>
      <c r="Y568" s="95">
        <f>IFERROR(_xlfn.XLOOKUP(TEXT(H568,"0000000000"),'📞 Call Tracker'!A$2:A$2000,'📞 Call Tracker'!D$2:D$2000,""),"")</f>
        <v>0</v>
      </c>
      <c r="Z568" s="95">
        <f>IFERROR(_xlfn.XLOOKUP(TEXT(H568,"0000000000"),'📞 Call Tracker'!A$2:A$2000,'📞 Call Tracker'!E$2:E$2000,""),"")</f>
        <v>0</v>
      </c>
      <c r="AA568" s="145">
        <f>IFERROR(_xlfn.XLOOKUP(TEXT(H568,"0000000000"),'📞 Call Tracker'!A$2:A$2000,'📞 Call Tracker'!F$2:F$2000,""),"")</f>
        <v>0</v>
      </c>
      <c r="AB568" s="132">
        <f t="shared" si="17"/>
        <v>99</v>
      </c>
      <c r="AC568" s="79"/>
    </row>
    <row r="569" spans="1:29" ht="20.100000000000001" customHeight="1">
      <c r="A569" s="91">
        <v>45905</v>
      </c>
      <c r="B569" s="92" t="str">
        <v>Dinnerstein</v>
      </c>
      <c r="C569" s="92" t="str">
        <v>Marc</v>
      </c>
      <c r="D569" s="92" t="str">
        <v>Carefree</v>
      </c>
      <c r="E569" s="92">
        <v>85377</v>
      </c>
      <c r="F569" s="137" t="str">
        <v>Already astronomical</v>
      </c>
      <c r="G569" s="93" t="str">
        <v>https://docket.images.azcc.gov/E000046235.pdf</v>
      </c>
      <c r="H569" s="150" t="s">
        <v>222</v>
      </c>
      <c r="I569" s="114" t="str">
        <v>RTOUE47</v>
      </c>
      <c r="J569" s="94" t="str">
        <v>No</v>
      </c>
      <c r="K569" s="94" t="str">
        <v>No</v>
      </c>
      <c r="L569" s="137" t="str">
        <v>No MEP R3-47(675.81)</v>
      </c>
      <c r="M569" s="94" t="str">
        <v>No</v>
      </c>
      <c r="N569" s="134" t="str">
        <v>No</v>
      </c>
      <c r="O569" s="119" t="str">
        <v>Yes</v>
      </c>
      <c r="P569" s="92">
        <v>45937</v>
      </c>
      <c r="Q569" s="91">
        <v>45965</v>
      </c>
      <c r="R569" s="140" t="str">
        <v>COR will remain on current serv plan</v>
      </c>
      <c r="S569" s="92">
        <v>0</v>
      </c>
      <c r="T569" s="92">
        <v>0</v>
      </c>
      <c r="U569" s="137">
        <v>0</v>
      </c>
      <c r="V569" s="126" t="str">
        <f t="shared" si="16"/>
        <v>❌ Not on Best Plan</v>
      </c>
      <c r="W569" s="130" t="str">
        <f>IFERROR(_xlfn.XLOOKUP(TEXT(H569,"0000000000"),'📞 Call Tracker'!A$2:A$2000,'📞 Call Tracker'!B$2:B$2000,""),"")</f>
        <v>Michelle</v>
      </c>
      <c r="X569" s="96">
        <f>IFERROR(_xlfn.XLOOKUP(TEXT(H569,"0000000000"),'📞 Call Tracker'!A$2:A$2000,'📞 Call Tracker'!C$2:C$2000,""),"")</f>
        <v>46060</v>
      </c>
      <c r="Y569" s="95" t="str">
        <f>IFERROR(_xlfn.XLOOKUP(TEXT(H569,"0000000000"),'📞 Call Tracker'!A$2:A$2000,'📞 Call Tracker'!D$2:D$2000,""),"")</f>
        <v>YES</v>
      </c>
      <c r="Z569" s="95">
        <f>IFERROR(_xlfn.XLOOKUP(TEXT(H569,"0000000000"),'📞 Call Tracker'!A$2:A$2000,'📞 Call Tracker'!E$2:E$2000,""),"")</f>
        <v>0</v>
      </c>
      <c r="AA569" s="145" t="str">
        <f>IFERROR(_xlfn.XLOOKUP(TEXT(H569,"0000000000"),'📞 Call Tracker'!A$2:A$2000,'📞 Call Tracker'!F$2:F$2000,""),"")</f>
        <v>LEFT VM, NOT ON BEST PLAN, NOT BB, NOT E-3</v>
      </c>
      <c r="AB569" s="132">
        <f t="shared" si="17"/>
        <v>99</v>
      </c>
      <c r="AC569" s="79"/>
    </row>
    <row r="570" spans="1:29" ht="20.100000000000001" customHeight="1">
      <c r="A570" s="91">
        <v>45905</v>
      </c>
      <c r="B570" s="92" t="str">
        <v>Feehery</v>
      </c>
      <c r="C570" s="92" t="str">
        <v>Lorraine</v>
      </c>
      <c r="D570" s="92" t="str">
        <v>Phoenix</v>
      </c>
      <c r="E570" s="92">
        <v>85006</v>
      </c>
      <c r="F570" s="137" t="str">
        <v>Unjust and greedy money grab</v>
      </c>
      <c r="G570" s="93" t="str">
        <v>https://docket.images.azcc.gov/E000046235.pdf</v>
      </c>
      <c r="H570" s="150" t="s">
        <v>1957</v>
      </c>
      <c r="I570" s="114" t="str">
        <v>R-XS</v>
      </c>
      <c r="J570" s="94" t="str">
        <v>No</v>
      </c>
      <c r="K570" s="94" t="str">
        <v>No</v>
      </c>
      <c r="L570" s="137" t="str">
        <v>Yes</v>
      </c>
      <c r="M570" s="94" t="str">
        <v>No</v>
      </c>
      <c r="N570" s="134" t="str">
        <v>No</v>
      </c>
      <c r="O570" s="119" t="str">
        <v>Yes</v>
      </c>
      <c r="P570" s="92" t="str">
        <v>N</v>
      </c>
      <c r="Q570" s="91">
        <v>45965</v>
      </c>
      <c r="R570" s="140">
        <v>0</v>
      </c>
      <c r="S570" s="92">
        <v>0</v>
      </c>
      <c r="T570" s="92">
        <v>0</v>
      </c>
      <c r="U570" s="137">
        <v>0</v>
      </c>
      <c r="V570" s="126" t="str">
        <f t="shared" si="16"/>
        <v>✅ On Best Plan</v>
      </c>
      <c r="W570" s="130">
        <f>IFERROR(_xlfn.XLOOKUP(TEXT(H570,"0000000000"),'📞 Call Tracker'!A$2:A$2000,'📞 Call Tracker'!B$2:B$2000,""),"")</f>
        <v>0</v>
      </c>
      <c r="X570" s="96">
        <f>IFERROR(_xlfn.XLOOKUP(TEXT(H570,"0000000000"),'📞 Call Tracker'!A$2:A$2000,'📞 Call Tracker'!C$2:C$2000,""),"")</f>
        <v>0</v>
      </c>
      <c r="Y570" s="95">
        <f>IFERROR(_xlfn.XLOOKUP(TEXT(H570,"0000000000"),'📞 Call Tracker'!A$2:A$2000,'📞 Call Tracker'!D$2:D$2000,""),"")</f>
        <v>0</v>
      </c>
      <c r="Z570" s="95">
        <f>IFERROR(_xlfn.XLOOKUP(TEXT(H570,"0000000000"),'📞 Call Tracker'!A$2:A$2000,'📞 Call Tracker'!E$2:E$2000,""),"")</f>
        <v>0</v>
      </c>
      <c r="AA570" s="145">
        <f>IFERROR(_xlfn.XLOOKUP(TEXT(H570,"0000000000"),'📞 Call Tracker'!A$2:A$2000,'📞 Call Tracker'!F$2:F$2000,""),"")</f>
        <v>0</v>
      </c>
      <c r="AB570" s="132">
        <f t="shared" si="17"/>
        <v>99</v>
      </c>
      <c r="AC570" s="79"/>
    </row>
    <row r="571" spans="1:29" ht="20.100000000000001" customHeight="1">
      <c r="A571" s="91">
        <v>45905</v>
      </c>
      <c r="B571" s="92" t="str">
        <v>Vidal</v>
      </c>
      <c r="C571" s="92" t="str">
        <v>Chanel</v>
      </c>
      <c r="D571" s="92" t="str">
        <v>Tempe</v>
      </c>
      <c r="E571" s="92">
        <v>85281</v>
      </c>
      <c r="F571" s="137" t="str">
        <v>Form letter</v>
      </c>
      <c r="G571" s="93" t="str">
        <v>https://docket.images.azcc.gov/E000046235.pdf</v>
      </c>
      <c r="H571" s="150" t="s">
        <v>6302</v>
      </c>
      <c r="I571" s="114" t="str">
        <v>R-BASIC</v>
      </c>
      <c r="J571" s="94" t="str">
        <v>No</v>
      </c>
      <c r="K571" s="94" t="str">
        <v>No</v>
      </c>
      <c r="L571" s="137" t="str">
        <v>No MEP R3-47($70.31)</v>
      </c>
      <c r="M571" s="94" t="str">
        <v>No</v>
      </c>
      <c r="N571" s="134" t="str">
        <v>No</v>
      </c>
      <c r="O571" s="119" t="str">
        <v>Yes</v>
      </c>
      <c r="P571" s="92" t="str">
        <v>N</v>
      </c>
      <c r="Q571" s="91">
        <v>45965</v>
      </c>
      <c r="R571" s="140">
        <v>0</v>
      </c>
      <c r="S571" s="92">
        <v>0</v>
      </c>
      <c r="T571" s="92">
        <v>0</v>
      </c>
      <c r="U571" s="137">
        <v>0</v>
      </c>
      <c r="V571" s="126" t="str">
        <f t="shared" si="16"/>
        <v>❌ Not on Best Plan</v>
      </c>
      <c r="W571" s="130" t="str">
        <f>IFERROR(_xlfn.XLOOKUP(TEXT(H571,"0000000000"),'📞 Call Tracker'!A$2:A$2000,'📞 Call Tracker'!B$2:B$2000,""),"")</f>
        <v>Michelle</v>
      </c>
      <c r="X571" s="96">
        <f>IFERROR(_xlfn.XLOOKUP(TEXT(H571,"0000000000"),'📞 Call Tracker'!A$2:A$2000,'📞 Call Tracker'!C$2:C$2000,""),"")</f>
        <v>45997</v>
      </c>
      <c r="Y571" s="95" t="str">
        <f>IFERROR(_xlfn.XLOOKUP(TEXT(H571,"0000000000"),'📞 Call Tracker'!A$2:A$2000,'📞 Call Tracker'!D$2:D$2000,""),"")</f>
        <v>NO</v>
      </c>
      <c r="Z571" s="95">
        <f>IFERROR(_xlfn.XLOOKUP(TEXT(H571,"0000000000"),'📞 Call Tracker'!A$2:A$2000,'📞 Call Tracker'!E$2:E$2000,""),"")</f>
        <v>0</v>
      </c>
      <c r="AA571" s="145" t="str">
        <f>IFERROR(_xlfn.XLOOKUP(TEXT(H571,"0000000000"),'📞 Call Tracker'!A$2:A$2000,'📞 Call Tracker'!F$2:F$2000,""),"")</f>
        <v>SAID SHE DID SIGN PETITION</v>
      </c>
      <c r="AB571" s="132">
        <f t="shared" si="17"/>
        <v>99</v>
      </c>
      <c r="AC571" s="79"/>
    </row>
    <row r="572" spans="1:29" ht="20.100000000000001" customHeight="1">
      <c r="A572" s="91">
        <v>45905</v>
      </c>
      <c r="B572" s="92" t="str">
        <v>Penaloza</v>
      </c>
      <c r="C572" s="92" t="str">
        <v>Reyna</v>
      </c>
      <c r="D572" s="92" t="str">
        <v>Buckeye</v>
      </c>
      <c r="E572" s="92">
        <v>85326</v>
      </c>
      <c r="F572" s="137" t="str">
        <v>Form letter</v>
      </c>
      <c r="G572" s="93" t="str">
        <v>https://docket.images.azcc.gov/E000046235.pdf</v>
      </c>
      <c r="H572" s="150" t="s">
        <v>6303</v>
      </c>
      <c r="I572" s="114" t="str">
        <v>R-2</v>
      </c>
      <c r="J572" s="94" t="str">
        <v>Yes</v>
      </c>
      <c r="K572" s="94" t="str">
        <v>No</v>
      </c>
      <c r="L572" s="137" t="str">
        <v>Frozen Rate</v>
      </c>
      <c r="M572" s="94" t="str">
        <v>No</v>
      </c>
      <c r="N572" s="134" t="str">
        <v>No</v>
      </c>
      <c r="O572" s="119" t="str">
        <v>Yes</v>
      </c>
      <c r="P572" s="92" t="str">
        <v>N</v>
      </c>
      <c r="Q572" s="91">
        <v>45965</v>
      </c>
      <c r="R572" s="140">
        <v>0</v>
      </c>
      <c r="S572" s="92">
        <v>0</v>
      </c>
      <c r="T572" s="92">
        <v>0</v>
      </c>
      <c r="U572" s="137">
        <v>0</v>
      </c>
      <c r="V572" s="126" t="str">
        <f t="shared" si="16"/>
        <v>❄ Frozen Rate</v>
      </c>
      <c r="W572" s="130">
        <f>IFERROR(_xlfn.XLOOKUP(TEXT(H572,"0000000000"),'📞 Call Tracker'!A$2:A$2000,'📞 Call Tracker'!B$2:B$2000,""),"")</f>
        <v>0</v>
      </c>
      <c r="X572" s="96">
        <f>IFERROR(_xlfn.XLOOKUP(TEXT(H572,"0000000000"),'📞 Call Tracker'!A$2:A$2000,'📞 Call Tracker'!C$2:C$2000,""),"")</f>
        <v>0</v>
      </c>
      <c r="Y572" s="95">
        <f>IFERROR(_xlfn.XLOOKUP(TEXT(H572,"0000000000"),'📞 Call Tracker'!A$2:A$2000,'📞 Call Tracker'!D$2:D$2000,""),"")</f>
        <v>0</v>
      </c>
      <c r="Z572" s="95">
        <f>IFERROR(_xlfn.XLOOKUP(TEXT(H572,"0000000000"),'📞 Call Tracker'!A$2:A$2000,'📞 Call Tracker'!E$2:E$2000,""),"")</f>
        <v>0</v>
      </c>
      <c r="AA572" s="145">
        <f>IFERROR(_xlfn.XLOOKUP(TEXT(H572,"0000000000"),'📞 Call Tracker'!A$2:A$2000,'📞 Call Tracker'!F$2:F$2000,""),"")</f>
        <v>0</v>
      </c>
      <c r="AB572" s="132">
        <f t="shared" si="17"/>
        <v>99</v>
      </c>
      <c r="AC572" s="79"/>
    </row>
    <row r="573" spans="1:29" ht="20.100000000000001" customHeight="1">
      <c r="A573" s="91">
        <v>45905</v>
      </c>
      <c r="B573" s="92" t="str">
        <v>Parrish</v>
      </c>
      <c r="C573" s="92" t="str">
        <v>Rose</v>
      </c>
      <c r="D573" s="92" t="str">
        <v>Phoenix</v>
      </c>
      <c r="E573" s="92">
        <v>85024</v>
      </c>
      <c r="F573" s="137" t="str">
        <v>Opposed</v>
      </c>
      <c r="G573" s="93" t="str">
        <v>https://docket.images.azcc.gov/E000046235.pdf</v>
      </c>
      <c r="H573" s="150" t="s">
        <v>1966</v>
      </c>
      <c r="I573" s="114" t="str">
        <v>R3-47</v>
      </c>
      <c r="J573" s="94" t="str">
        <v>No</v>
      </c>
      <c r="K573" s="94" t="str">
        <v>No</v>
      </c>
      <c r="L573" s="137" t="str">
        <v>Yes</v>
      </c>
      <c r="M573" s="94" t="str">
        <v>No</v>
      </c>
      <c r="N573" s="134" t="str">
        <v>No</v>
      </c>
      <c r="O573" s="119" t="str">
        <v>Yes</v>
      </c>
      <c r="P573" s="92" t="str">
        <v>N</v>
      </c>
      <c r="Q573" s="91">
        <v>45965</v>
      </c>
      <c r="R573" s="140">
        <v>0</v>
      </c>
      <c r="S573" s="92">
        <v>0</v>
      </c>
      <c r="T573" s="92">
        <v>0</v>
      </c>
      <c r="U573" s="137">
        <v>0</v>
      </c>
      <c r="V573" s="126" t="str">
        <f t="shared" si="16"/>
        <v>✅ On Best Plan</v>
      </c>
      <c r="W573" s="130">
        <f>IFERROR(_xlfn.XLOOKUP(TEXT(H573,"0000000000"),'📞 Call Tracker'!A$2:A$2000,'📞 Call Tracker'!B$2:B$2000,""),"")</f>
        <v>0</v>
      </c>
      <c r="X573" s="96">
        <f>IFERROR(_xlfn.XLOOKUP(TEXT(H573,"0000000000"),'📞 Call Tracker'!A$2:A$2000,'📞 Call Tracker'!C$2:C$2000,""),"")</f>
        <v>0</v>
      </c>
      <c r="Y573" s="95">
        <f>IFERROR(_xlfn.XLOOKUP(TEXT(H573,"0000000000"),'📞 Call Tracker'!A$2:A$2000,'📞 Call Tracker'!D$2:D$2000,""),"")</f>
        <v>0</v>
      </c>
      <c r="Z573" s="95">
        <f>IFERROR(_xlfn.XLOOKUP(TEXT(H573,"0000000000"),'📞 Call Tracker'!A$2:A$2000,'📞 Call Tracker'!E$2:E$2000,""),"")</f>
        <v>0</v>
      </c>
      <c r="AA573" s="145">
        <f>IFERROR(_xlfn.XLOOKUP(TEXT(H573,"0000000000"),'📞 Call Tracker'!A$2:A$2000,'📞 Call Tracker'!F$2:F$2000,""),"")</f>
        <v>0</v>
      </c>
      <c r="AB573" s="132">
        <f t="shared" si="17"/>
        <v>99</v>
      </c>
      <c r="AC573" s="79"/>
    </row>
    <row r="574" spans="1:29" ht="20.100000000000001" customHeight="1">
      <c r="A574" s="91">
        <v>45905</v>
      </c>
      <c r="B574" s="92" t="str">
        <v>Wright</v>
      </c>
      <c r="C574" s="92" t="str">
        <v>William</v>
      </c>
      <c r="D574" s="92" t="str">
        <v>Phoenix</v>
      </c>
      <c r="E574" s="92">
        <v>85012</v>
      </c>
      <c r="F574" s="137" t="str">
        <v>Form letter</v>
      </c>
      <c r="G574" s="93" t="str">
        <v>https://docket.images.azcc.gov/E000046235.pdf</v>
      </c>
      <c r="H574" s="150" t="s">
        <v>6716</v>
      </c>
      <c r="I574" s="114" t="str">
        <v>R-XS</v>
      </c>
      <c r="J574" s="94" t="str">
        <v>No</v>
      </c>
      <c r="K574" s="94" t="str">
        <v>No</v>
      </c>
      <c r="L574" s="137" t="str">
        <v>Not eligible yet (needs 3 months)</v>
      </c>
      <c r="M574" s="94" t="str">
        <v>No</v>
      </c>
      <c r="N574" s="134" t="str">
        <v>No</v>
      </c>
      <c r="O574" s="119" t="str">
        <v>Yes</v>
      </c>
      <c r="P574" s="92" t="str">
        <v>N</v>
      </c>
      <c r="Q574" s="91">
        <v>38660</v>
      </c>
      <c r="R574" s="140" t="str">
        <v>-</v>
      </c>
      <c r="S574" s="92">
        <v>0</v>
      </c>
      <c r="T574" s="92">
        <v>0</v>
      </c>
      <c r="U574" s="137">
        <v>0</v>
      </c>
      <c r="V574" s="126" t="str">
        <f t="shared" si="16"/>
        <v>❌ Not on Best Plan</v>
      </c>
      <c r="W574" s="130" t="str">
        <f>IFERROR(_xlfn.XLOOKUP(TEXT(H574,"0000000000"),'📞 Call Tracker'!A$2:A$2000,'📞 Call Tracker'!B$2:B$2000,""),"")</f>
        <v/>
      </c>
      <c r="X574" s="96" t="str">
        <f>IFERROR(_xlfn.XLOOKUP(TEXT(H574,"0000000000"),'📞 Call Tracker'!A$2:A$2000,'📞 Call Tracker'!C$2:C$2000,""),"")</f>
        <v/>
      </c>
      <c r="Y574" s="95" t="str">
        <f>IFERROR(_xlfn.XLOOKUP(TEXT(H574,"0000000000"),'📞 Call Tracker'!A$2:A$2000,'📞 Call Tracker'!D$2:D$2000,""),"")</f>
        <v/>
      </c>
      <c r="Z574" s="95" t="str">
        <f>IFERROR(_xlfn.XLOOKUP(TEXT(H574,"0000000000"),'📞 Call Tracker'!A$2:A$2000,'📞 Call Tracker'!E$2:E$2000,""),"")</f>
        <v/>
      </c>
      <c r="AA574" s="145" t="str">
        <f>IFERROR(_xlfn.XLOOKUP(TEXT(H574,"0000000000"),'📞 Call Tracker'!A$2:A$2000,'📞 Call Tracker'!F$2:F$2000,""),"")</f>
        <v/>
      </c>
      <c r="AB574" s="132">
        <f t="shared" si="17"/>
        <v>2</v>
      </c>
      <c r="AC574" s="79"/>
    </row>
    <row r="575" spans="1:29" ht="20.100000000000001" customHeight="1">
      <c r="A575" s="91">
        <v>45905</v>
      </c>
      <c r="B575" s="92" t="str">
        <v>Armenta</v>
      </c>
      <c r="C575" s="92" t="str">
        <v>Xavier</v>
      </c>
      <c r="D575" s="92" t="str">
        <v>Phoenix</v>
      </c>
      <c r="E575" s="92">
        <v>85008</v>
      </c>
      <c r="F575" s="137" t="str">
        <v>Opposed</v>
      </c>
      <c r="G575" s="93" t="str">
        <v>https://docket.images.azcc.gov/E000046235.pdf</v>
      </c>
      <c r="H575" s="150" t="s">
        <v>6717</v>
      </c>
      <c r="I575" s="114" t="str">
        <v>RTOUE47</v>
      </c>
      <c r="J575" s="94" t="str">
        <v>No</v>
      </c>
      <c r="K575" s="94" t="str">
        <v>No</v>
      </c>
      <c r="L575" s="137" t="str">
        <v>No MEP R3-47(860.51)</v>
      </c>
      <c r="M575" s="94" t="str">
        <v>No</v>
      </c>
      <c r="N575" s="134" t="str">
        <v>No</v>
      </c>
      <c r="O575" s="119" t="str">
        <v>Yes</v>
      </c>
      <c r="P575" s="92">
        <v>45937</v>
      </c>
      <c r="Q575" s="91">
        <v>45965</v>
      </c>
      <c r="R575" s="140" t="str">
        <v xml:space="preserve">CPR changed to MEP </v>
      </c>
      <c r="S575" s="92">
        <v>0</v>
      </c>
      <c r="T575" s="92">
        <v>0</v>
      </c>
      <c r="U575" s="137">
        <v>0</v>
      </c>
      <c r="V575" s="126" t="str">
        <f t="shared" si="16"/>
        <v>❌ Not on Best Plan</v>
      </c>
      <c r="W575" s="130" t="str">
        <f>IFERROR(_xlfn.XLOOKUP(TEXT(H575,"0000000000"),'📞 Call Tracker'!A$2:A$2000,'📞 Call Tracker'!B$2:B$2000,""),"")</f>
        <v/>
      </c>
      <c r="X575" s="96" t="str">
        <f>IFERROR(_xlfn.XLOOKUP(TEXT(H575,"0000000000"),'📞 Call Tracker'!A$2:A$2000,'📞 Call Tracker'!C$2:C$2000,""),"")</f>
        <v/>
      </c>
      <c r="Y575" s="95" t="str">
        <f>IFERROR(_xlfn.XLOOKUP(TEXT(H575,"0000000000"),'📞 Call Tracker'!A$2:A$2000,'📞 Call Tracker'!D$2:D$2000,""),"")</f>
        <v/>
      </c>
      <c r="Z575" s="95" t="str">
        <f>IFERROR(_xlfn.XLOOKUP(TEXT(H575,"0000000000"),'📞 Call Tracker'!A$2:A$2000,'📞 Call Tracker'!E$2:E$2000,""),"")</f>
        <v/>
      </c>
      <c r="AA575" s="145" t="str">
        <f>IFERROR(_xlfn.XLOOKUP(TEXT(H575,"0000000000"),'📞 Call Tracker'!A$2:A$2000,'📞 Call Tracker'!F$2:F$2000,""),"")</f>
        <v/>
      </c>
      <c r="AB575" s="132">
        <f t="shared" si="17"/>
        <v>2</v>
      </c>
      <c r="AC575" s="79"/>
    </row>
    <row r="576" spans="1:29" ht="20.100000000000001" customHeight="1">
      <c r="A576" s="91">
        <v>45905</v>
      </c>
      <c r="B576" s="92" t="str">
        <v>Agostini-Walesch</v>
      </c>
      <c r="C576" s="92" t="str">
        <v>Erika</v>
      </c>
      <c r="D576" s="92" t="str">
        <v>Phoenix</v>
      </c>
      <c r="E576" s="92">
        <v>85027</v>
      </c>
      <c r="F576" s="137" t="str">
        <v>Form letter</v>
      </c>
      <c r="G576" s="93" t="str">
        <v>https://docket.images.azcc.gov/E000046235.pdf</v>
      </c>
      <c r="H576" s="150" t="s">
        <v>6056</v>
      </c>
      <c r="I576" s="114" t="str">
        <v>R-2</v>
      </c>
      <c r="J576" s="94" t="str">
        <v>No</v>
      </c>
      <c r="K576" s="94" t="str">
        <v>No</v>
      </c>
      <c r="L576" s="137" t="str">
        <v>Frozen Rate</v>
      </c>
      <c r="M576" s="94" t="str">
        <v>No</v>
      </c>
      <c r="N576" s="134" t="str">
        <v>No</v>
      </c>
      <c r="O576" s="119" t="str">
        <v>Yes</v>
      </c>
      <c r="P576" s="92" t="str">
        <v>N</v>
      </c>
      <c r="Q576" s="91">
        <v>45965</v>
      </c>
      <c r="R576" s="140">
        <v>0</v>
      </c>
      <c r="S576" s="92">
        <v>0</v>
      </c>
      <c r="T576" s="92">
        <v>0</v>
      </c>
      <c r="U576" s="137">
        <v>0</v>
      </c>
      <c r="V576" s="126" t="str">
        <f t="shared" si="16"/>
        <v>❄ Frozen Rate</v>
      </c>
      <c r="W576" s="130" t="str">
        <f>IFERROR(_xlfn.XLOOKUP(TEXT(H576,"0000000000"),'📞 Call Tracker'!A$2:A$2000,'📞 Call Tracker'!B$2:B$2000,""),"")</f>
        <v>Joaquin</v>
      </c>
      <c r="X576" s="96">
        <f>IFERROR(_xlfn.XLOOKUP(TEXT(H576,"0000000000"),'📞 Call Tracker'!A$2:A$2000,'📞 Call Tracker'!C$2:C$2000,""),"")</f>
        <v>46060</v>
      </c>
      <c r="Y576" s="95" t="str">
        <f>IFERROR(_xlfn.XLOOKUP(TEXT(H576,"0000000000"),'📞 Call Tracker'!A$2:A$2000,'📞 Call Tracker'!D$2:D$2000,""),"")</f>
        <v>YES</v>
      </c>
      <c r="Z576" s="95">
        <f>IFERROR(_xlfn.XLOOKUP(TEXT(H576,"0000000000"),'📞 Call Tracker'!A$2:A$2000,'📞 Call Tracker'!E$2:E$2000,""),"")</f>
        <v>0</v>
      </c>
      <c r="AA576" s="145" t="str">
        <f>IFERROR(_xlfn.XLOOKUP(TEXT(H576,"0000000000"),'📞 Call Tracker'!A$2:A$2000,'📞 Call Tracker'!F$2:F$2000,""),"")</f>
        <v>LEFT VOICE MESSAGE</v>
      </c>
      <c r="AB576" s="132">
        <f t="shared" si="17"/>
        <v>99</v>
      </c>
      <c r="AC576" s="79"/>
    </row>
    <row r="577" spans="1:29" ht="20.100000000000001" customHeight="1">
      <c r="A577" s="91">
        <v>45905</v>
      </c>
      <c r="B577" s="92" t="str">
        <v xml:space="preserve">Kovacs </v>
      </c>
      <c r="C577" s="92" t="str">
        <v>Ronald</v>
      </c>
      <c r="D577" s="92" t="str">
        <v>Unknown</v>
      </c>
      <c r="E577" s="92" t="str">
        <v>Unknown</v>
      </c>
      <c r="F577" s="137" t="str">
        <v>Beyond reason, outrageous request</v>
      </c>
      <c r="G577" s="93" t="str">
        <v>https://docket.images.azcc.gov/E000046235.pdf</v>
      </c>
      <c r="H577" s="150" t="s">
        <v>6304</v>
      </c>
      <c r="I577" s="114" t="str">
        <v>R-BASIC</v>
      </c>
      <c r="J577" s="94" t="str">
        <v>No</v>
      </c>
      <c r="K577" s="94" t="str">
        <v>No</v>
      </c>
      <c r="L577" s="137" t="str">
        <v>Yes</v>
      </c>
      <c r="M577" s="94" t="str">
        <v>No</v>
      </c>
      <c r="N577" s="134" t="str">
        <v>No</v>
      </c>
      <c r="O577" s="119" t="str">
        <v>Yes</v>
      </c>
      <c r="P577" s="92" t="str">
        <v>N</v>
      </c>
      <c r="Q577" s="91">
        <v>45965</v>
      </c>
      <c r="R577" s="140">
        <v>0</v>
      </c>
      <c r="S577" s="92">
        <v>0</v>
      </c>
      <c r="T577" s="92">
        <v>0</v>
      </c>
      <c r="U577" s="137">
        <v>0</v>
      </c>
      <c r="V577" s="126" t="str">
        <f t="shared" si="16"/>
        <v>✅ On Best Plan</v>
      </c>
      <c r="W577" s="130">
        <f>IFERROR(_xlfn.XLOOKUP(TEXT(H577,"0000000000"),'📞 Call Tracker'!A$2:A$2000,'📞 Call Tracker'!B$2:B$2000,""),"")</f>
        <v>0</v>
      </c>
      <c r="X577" s="96">
        <f>IFERROR(_xlfn.XLOOKUP(TEXT(H577,"0000000000"),'📞 Call Tracker'!A$2:A$2000,'📞 Call Tracker'!C$2:C$2000,""),"")</f>
        <v>0</v>
      </c>
      <c r="Y577" s="95">
        <f>IFERROR(_xlfn.XLOOKUP(TEXT(H577,"0000000000"),'📞 Call Tracker'!A$2:A$2000,'📞 Call Tracker'!D$2:D$2000,""),"")</f>
        <v>0</v>
      </c>
      <c r="Z577" s="95">
        <f>IFERROR(_xlfn.XLOOKUP(TEXT(H577,"0000000000"),'📞 Call Tracker'!A$2:A$2000,'📞 Call Tracker'!E$2:E$2000,""),"")</f>
        <v>0</v>
      </c>
      <c r="AA577" s="145">
        <f>IFERROR(_xlfn.XLOOKUP(TEXT(H577,"0000000000"),'📞 Call Tracker'!A$2:A$2000,'📞 Call Tracker'!F$2:F$2000,""),"")</f>
        <v>0</v>
      </c>
      <c r="AB577" s="132">
        <f t="shared" si="17"/>
        <v>99</v>
      </c>
      <c r="AC577" s="79"/>
    </row>
    <row r="578" spans="1:29" ht="20.100000000000001" customHeight="1">
      <c r="A578" s="91">
        <v>45906</v>
      </c>
      <c r="B578" s="92" t="str">
        <v>Borror</v>
      </c>
      <c r="C578" s="92" t="str">
        <v>Nicholas</v>
      </c>
      <c r="D578" s="92" t="str">
        <v>Phoenix</v>
      </c>
      <c r="E578" s="92">
        <v>85004</v>
      </c>
      <c r="F578" s="137" t="str">
        <v>Keep it affordable</v>
      </c>
      <c r="G578" s="93" t="str">
        <v>https://docket.images.azcc.gov/E000046266.pdf</v>
      </c>
      <c r="H578" s="150" t="s">
        <v>6057</v>
      </c>
      <c r="I578" s="114" t="str">
        <v>R3-47</v>
      </c>
      <c r="J578" s="94" t="str">
        <v>No</v>
      </c>
      <c r="K578" s="94" t="str">
        <v>No</v>
      </c>
      <c r="L578" s="137" t="str">
        <v>Yes</v>
      </c>
      <c r="M578" s="94" t="str">
        <v>No</v>
      </c>
      <c r="N578" s="134" t="str">
        <v>No</v>
      </c>
      <c r="O578" s="119" t="str">
        <v>Yes</v>
      </c>
      <c r="P578" s="92" t="str">
        <v>N</v>
      </c>
      <c r="Q578" s="91">
        <v>45965</v>
      </c>
      <c r="R578" s="140">
        <v>0</v>
      </c>
      <c r="S578" s="92">
        <v>0</v>
      </c>
      <c r="T578" s="92">
        <v>0</v>
      </c>
      <c r="U578" s="137">
        <v>0</v>
      </c>
      <c r="V578" s="126" t="str">
        <f t="shared" si="16"/>
        <v>✅ On Best Plan</v>
      </c>
      <c r="W578" s="130" t="str">
        <f>IFERROR(_xlfn.XLOOKUP(TEXT(H578,"0000000000"),'📞 Call Tracker'!A$2:A$2000,'📞 Call Tracker'!B$2:B$2000,""),"")</f>
        <v>Joaquin</v>
      </c>
      <c r="X578" s="96">
        <f>IFERROR(_xlfn.XLOOKUP(TEXT(H578,"0000000000"),'📞 Call Tracker'!A$2:A$2000,'📞 Call Tracker'!C$2:C$2000,""),"")</f>
        <v>46046</v>
      </c>
      <c r="Y578" s="95" t="str">
        <f>IFERROR(_xlfn.XLOOKUP(TEXT(H578,"0000000000"),'📞 Call Tracker'!A$2:A$2000,'📞 Call Tracker'!D$2:D$2000,""),"")</f>
        <v>YES</v>
      </c>
      <c r="Z578" s="95">
        <f>IFERROR(_xlfn.XLOOKUP(TEXT(H578,"0000000000"),'📞 Call Tracker'!A$2:A$2000,'📞 Call Tracker'!E$2:E$2000,""),"")</f>
        <v>0</v>
      </c>
      <c r="AA578" s="145">
        <f>IFERROR(_xlfn.XLOOKUP(TEXT(H578,"0000000000"),'📞 Call Tracker'!A$2:A$2000,'📞 Call Tracker'!F$2:F$2000,""),"")</f>
        <v>0</v>
      </c>
      <c r="AB578" s="132">
        <f t="shared" si="17"/>
        <v>99</v>
      </c>
      <c r="AC578" s="79"/>
    </row>
    <row r="579" spans="1:29" ht="20.100000000000001" customHeight="1">
      <c r="A579" s="91">
        <v>45906</v>
      </c>
      <c r="B579" s="92" t="str">
        <v>Horne</v>
      </c>
      <c r="C579" s="92" t="str">
        <v>Matt</v>
      </c>
      <c r="D579" s="92" t="str">
        <v>Phoenix</v>
      </c>
      <c r="E579" s="92">
        <v>85022</v>
      </c>
      <c r="F579" s="137" t="str">
        <v>Form letter</v>
      </c>
      <c r="G579" s="93" t="str">
        <v>https://docket.images.azcc.gov/E000046266.pdf</v>
      </c>
      <c r="H579" s="150" t="s">
        <v>6305</v>
      </c>
      <c r="I579" s="114" t="str">
        <v>RTOUE47</v>
      </c>
      <c r="J579" s="94" t="str">
        <v>No</v>
      </c>
      <c r="K579" s="94" t="str">
        <v>No</v>
      </c>
      <c r="L579" s="137" t="str">
        <v>No MEP R3-47($84.78)</v>
      </c>
      <c r="M579" s="94" t="str">
        <v>No</v>
      </c>
      <c r="N579" s="134" t="str">
        <v>No</v>
      </c>
      <c r="O579" s="119" t="str">
        <v>Yes</v>
      </c>
      <c r="P579" s="92" t="str">
        <v>N</v>
      </c>
      <c r="Q579" s="91">
        <v>45965</v>
      </c>
      <c r="R579" s="140">
        <v>0</v>
      </c>
      <c r="S579" s="92">
        <v>0</v>
      </c>
      <c r="T579" s="92">
        <v>0</v>
      </c>
      <c r="U579" s="137">
        <v>0</v>
      </c>
      <c r="V579" s="126" t="str">
        <f t="shared" ref="V579:V642" si="18">IF(OR(LEFT(TRIM(L579),3)="Yes",TRIM(L579)="Y"),"✅ On Best Plan",IF(OR(L579="Frozen Rate",L579="Frozen Plan"),"❄ Frozen Rate",IF(OR(L579="Not able to Compare",L579="Info Not Avail",L579="NA",L579=""),"⚠ Unknown","❌ Not on Best Plan")))</f>
        <v>❌ Not on Best Plan</v>
      </c>
      <c r="W579" s="130">
        <f>IFERROR(_xlfn.XLOOKUP(TEXT(H579,"0000000000"),'📞 Call Tracker'!A$2:A$2000,'📞 Call Tracker'!B$2:B$2000,""),"")</f>
        <v>0</v>
      </c>
      <c r="X579" s="96">
        <f>IFERROR(_xlfn.XLOOKUP(TEXT(H579,"0000000000"),'📞 Call Tracker'!A$2:A$2000,'📞 Call Tracker'!C$2:C$2000,""),"")</f>
        <v>0</v>
      </c>
      <c r="Y579" s="95">
        <f>IFERROR(_xlfn.XLOOKUP(TEXT(H579,"0000000000"),'📞 Call Tracker'!A$2:A$2000,'📞 Call Tracker'!D$2:D$2000,""),"")</f>
        <v>0</v>
      </c>
      <c r="Z579" s="95">
        <f>IFERROR(_xlfn.XLOOKUP(TEXT(H579,"0000000000"),'📞 Call Tracker'!A$2:A$2000,'📞 Call Tracker'!E$2:E$2000,""),"")</f>
        <v>0</v>
      </c>
      <c r="AA579" s="145">
        <f>IFERROR(_xlfn.XLOOKUP(TEXT(H579,"0000000000"),'📞 Call Tracker'!A$2:A$2000,'📞 Call Tracker'!F$2:F$2000,""),"")</f>
        <v>0</v>
      </c>
      <c r="AB579" s="132">
        <f t="shared" ref="AB579:AB642" si="19">IF(OR(H579="",X579&lt;&gt;""),99,IF(AND(NOT(OR(LEFT(TRIM(L579),3)="Yes",TRIM(L579)="Y",L579="Frozen Rate",L579="Frozen Plan",L579="Not able to Compare",L579="Info Not Avail",L579="NA",L579="")),AND(N579&lt;&gt;"No",N579&lt;&gt;"")),1,IF(NOT(OR(LEFT(TRIM(L579),3)="Yes",TRIM(L579)="Y",L579="Frozen Rate",L579="Frozen Plan",L579="Not able to Compare",L579="Info Not Avail",L579="NA",L579="")),2,IF(AND(N579&lt;&gt;"No",N579&lt;&gt;""),3,4))))</f>
        <v>99</v>
      </c>
      <c r="AC579" s="79"/>
    </row>
    <row r="580" spans="1:29" ht="20.100000000000001" customHeight="1">
      <c r="A580" s="91">
        <v>45906</v>
      </c>
      <c r="B580" s="92" t="str">
        <v>Ferguson</v>
      </c>
      <c r="C580" s="92" t="str">
        <v>Ken</v>
      </c>
      <c r="D580" s="92" t="str">
        <v>Scottsdale</v>
      </c>
      <c r="E580" s="92">
        <v>85260</v>
      </c>
      <c r="F580" s="137" t="str">
        <v>Form letter</v>
      </c>
      <c r="G580" s="93" t="str">
        <v>https://docket.images.azcc.gov/E000046266.pdf</v>
      </c>
      <c r="H580" s="150" t="s">
        <v>6306</v>
      </c>
      <c r="I580" s="114" t="str">
        <v>R3-47</v>
      </c>
      <c r="J580" s="94" t="str">
        <v>No</v>
      </c>
      <c r="K580" s="94" t="str">
        <v>No</v>
      </c>
      <c r="L580" s="137" t="str">
        <v>Yes</v>
      </c>
      <c r="M580" s="94" t="str">
        <v>No</v>
      </c>
      <c r="N580" s="134" t="str">
        <v>No</v>
      </c>
      <c r="O580" s="119" t="str">
        <v>Yes</v>
      </c>
      <c r="P580" s="92" t="str">
        <v>N</v>
      </c>
      <c r="Q580" s="91">
        <v>45965</v>
      </c>
      <c r="R580" s="140">
        <v>0</v>
      </c>
      <c r="S580" s="92">
        <v>0</v>
      </c>
      <c r="T580" s="92">
        <v>0</v>
      </c>
      <c r="U580" s="137">
        <v>0</v>
      </c>
      <c r="V580" s="126" t="str">
        <f t="shared" si="18"/>
        <v>✅ On Best Plan</v>
      </c>
      <c r="W580" s="130">
        <f>IFERROR(_xlfn.XLOOKUP(TEXT(H580,"0000000000"),'📞 Call Tracker'!A$2:A$2000,'📞 Call Tracker'!B$2:B$2000,""),"")</f>
        <v>0</v>
      </c>
      <c r="X580" s="96">
        <f>IFERROR(_xlfn.XLOOKUP(TEXT(H580,"0000000000"),'📞 Call Tracker'!A$2:A$2000,'📞 Call Tracker'!C$2:C$2000,""),"")</f>
        <v>0</v>
      </c>
      <c r="Y580" s="95">
        <f>IFERROR(_xlfn.XLOOKUP(TEXT(H580,"0000000000"),'📞 Call Tracker'!A$2:A$2000,'📞 Call Tracker'!D$2:D$2000,""),"")</f>
        <v>0</v>
      </c>
      <c r="Z580" s="95">
        <f>IFERROR(_xlfn.XLOOKUP(TEXT(H580,"0000000000"),'📞 Call Tracker'!A$2:A$2000,'📞 Call Tracker'!E$2:E$2000,""),"")</f>
        <v>0</v>
      </c>
      <c r="AA580" s="145">
        <f>IFERROR(_xlfn.XLOOKUP(TEXT(H580,"0000000000"),'📞 Call Tracker'!A$2:A$2000,'📞 Call Tracker'!F$2:F$2000,""),"")</f>
        <v>0</v>
      </c>
      <c r="AB580" s="132">
        <f t="shared" si="19"/>
        <v>99</v>
      </c>
      <c r="AC580" s="79"/>
    </row>
    <row r="581" spans="1:29" ht="20.100000000000001" customHeight="1">
      <c r="A581" s="91">
        <v>45906</v>
      </c>
      <c r="B581" s="92" t="str">
        <v>Cobb</v>
      </c>
      <c r="C581" s="92" t="str">
        <v>Ian</v>
      </c>
      <c r="D581" s="92" t="str">
        <v>Phoenix</v>
      </c>
      <c r="E581" s="92">
        <v>85016</v>
      </c>
      <c r="F581" s="137" t="str">
        <v>People are already hurting</v>
      </c>
      <c r="G581" s="93" t="str">
        <v>https://docket.images.azcc.gov/E000046266.pdf</v>
      </c>
      <c r="H581" s="150" t="s">
        <v>6718</v>
      </c>
      <c r="I581" s="114" t="str">
        <v>R-BASIC</v>
      </c>
      <c r="J581" s="94" t="str">
        <v>No</v>
      </c>
      <c r="K581" s="94" t="str">
        <v>No</v>
      </c>
      <c r="L581" s="137" t="str">
        <v>Yes</v>
      </c>
      <c r="M581" s="94" t="str">
        <v>No</v>
      </c>
      <c r="N581" s="134" t="str">
        <v>No</v>
      </c>
      <c r="O581" s="119" t="str">
        <v>Yes</v>
      </c>
      <c r="P581" s="92" t="str">
        <v>N</v>
      </c>
      <c r="Q581" s="91">
        <v>45965</v>
      </c>
      <c r="R581" s="140">
        <v>0</v>
      </c>
      <c r="S581" s="92">
        <v>0</v>
      </c>
      <c r="T581" s="92">
        <v>0</v>
      </c>
      <c r="U581" s="137">
        <v>0</v>
      </c>
      <c r="V581" s="126" t="str">
        <f t="shared" si="18"/>
        <v>✅ On Best Plan</v>
      </c>
      <c r="W581" s="130" t="str">
        <f>IFERROR(_xlfn.XLOOKUP(TEXT(H581,"0000000000"),'📞 Call Tracker'!A$2:A$2000,'📞 Call Tracker'!B$2:B$2000,""),"")</f>
        <v/>
      </c>
      <c r="X581" s="96" t="str">
        <f>IFERROR(_xlfn.XLOOKUP(TEXT(H581,"0000000000"),'📞 Call Tracker'!A$2:A$2000,'📞 Call Tracker'!C$2:C$2000,""),"")</f>
        <v/>
      </c>
      <c r="Y581" s="95" t="str">
        <f>IFERROR(_xlfn.XLOOKUP(TEXT(H581,"0000000000"),'📞 Call Tracker'!A$2:A$2000,'📞 Call Tracker'!D$2:D$2000,""),"")</f>
        <v/>
      </c>
      <c r="Z581" s="95" t="str">
        <f>IFERROR(_xlfn.XLOOKUP(TEXT(H581,"0000000000"),'📞 Call Tracker'!A$2:A$2000,'📞 Call Tracker'!E$2:E$2000,""),"")</f>
        <v/>
      </c>
      <c r="AA581" s="145" t="str">
        <f>IFERROR(_xlfn.XLOOKUP(TEXT(H581,"0000000000"),'📞 Call Tracker'!A$2:A$2000,'📞 Call Tracker'!F$2:F$2000,""),"")</f>
        <v/>
      </c>
      <c r="AB581" s="132">
        <f t="shared" si="19"/>
        <v>4</v>
      </c>
      <c r="AC581" s="79"/>
    </row>
    <row r="582" spans="1:29" ht="20.100000000000001" customHeight="1">
      <c r="A582" s="91">
        <v>45906</v>
      </c>
      <c r="B582" s="92" t="str">
        <v>Pray</v>
      </c>
      <c r="C582" s="92" t="str">
        <v>Lisa</v>
      </c>
      <c r="D582" s="92" t="str">
        <v>Phoenix</v>
      </c>
      <c r="E582" s="92">
        <v>37204</v>
      </c>
      <c r="F582" s="137" t="str">
        <v>Object to charging residential customer for the power needs of AI &amp; IT</v>
      </c>
      <c r="G582" s="93" t="str">
        <v>https://docket.images.azcc.gov/E000046266.pdf</v>
      </c>
      <c r="H582" s="150" t="s">
        <v>6058</v>
      </c>
      <c r="I582" s="114" t="str">
        <v>R-2</v>
      </c>
      <c r="J582" s="94" t="str">
        <v>No</v>
      </c>
      <c r="K582" s="94" t="str">
        <v>No</v>
      </c>
      <c r="L582" s="137" t="str">
        <v>Frozen Rate</v>
      </c>
      <c r="M582" s="94" t="str">
        <v>No</v>
      </c>
      <c r="N582" s="134" t="str">
        <v>No</v>
      </c>
      <c r="O582" s="119" t="str">
        <v>Yes</v>
      </c>
      <c r="P582" s="92" t="str">
        <v>N</v>
      </c>
      <c r="Q582" s="91">
        <v>45965</v>
      </c>
      <c r="R582" s="140">
        <v>0</v>
      </c>
      <c r="S582" s="92">
        <v>0</v>
      </c>
      <c r="T582" s="92">
        <v>0</v>
      </c>
      <c r="U582" s="137" t="str">
        <v>filed 2x on this day</v>
      </c>
      <c r="V582" s="126" t="str">
        <f t="shared" si="18"/>
        <v>❄ Frozen Rate</v>
      </c>
      <c r="W582" s="130" t="str">
        <f>IFERROR(_xlfn.XLOOKUP(TEXT(H582,"0000000000"),'📞 Call Tracker'!A$2:A$2000,'📞 Call Tracker'!B$2:B$2000,""),"")</f>
        <v>Joaquin</v>
      </c>
      <c r="X582" s="96">
        <f>IFERROR(_xlfn.XLOOKUP(TEXT(H582,"0000000000"),'📞 Call Tracker'!A$2:A$2000,'📞 Call Tracker'!C$2:C$2000,""),"")</f>
        <v>46060</v>
      </c>
      <c r="Y582" s="95" t="str">
        <f>IFERROR(_xlfn.XLOOKUP(TEXT(H582,"0000000000"),'📞 Call Tracker'!A$2:A$2000,'📞 Call Tracker'!D$2:D$2000,""),"")</f>
        <v>NO</v>
      </c>
      <c r="Z582" s="95" t="str">
        <f>IFERROR(_xlfn.XLOOKUP(TEXT(H582,"0000000000"),'📞 Call Tracker'!A$2:A$2000,'📞 Call Tracker'!E$2:E$2000,""),"")</f>
        <v>General Education</v>
      </c>
      <c r="AA582" s="145" t="str">
        <f>IFERROR(_xlfn.XLOOKUP(TEXT(H582,"0000000000"),'📞 Call Tracker'!A$2:A$2000,'📞 Call Tracker'!F$2:F$2000,""),"")</f>
        <v>POSITIVE INFO</v>
      </c>
      <c r="AB582" s="132">
        <f t="shared" si="19"/>
        <v>99</v>
      </c>
      <c r="AC582" s="79"/>
    </row>
    <row r="583" spans="1:29" ht="20.100000000000001" customHeight="1">
      <c r="A583" s="91">
        <v>45906</v>
      </c>
      <c r="B583" s="92" t="str">
        <v xml:space="preserve">Scheid </v>
      </c>
      <c r="C583" s="92" t="str">
        <v>Dennis</v>
      </c>
      <c r="D583" s="92" t="str">
        <v>Payson</v>
      </c>
      <c r="E583" s="92">
        <v>85541</v>
      </c>
      <c r="F583" s="137" t="str">
        <v>Opposed, need oversight on their contractors</v>
      </c>
      <c r="G583" s="93" t="str">
        <v>https://docket.images.azcc.gov/E000046266.pdf</v>
      </c>
      <c r="H583" s="150" t="s">
        <v>6719</v>
      </c>
      <c r="I583" s="114" t="str">
        <v>R3-47</v>
      </c>
      <c r="J583" s="94" t="str">
        <v>No</v>
      </c>
      <c r="K583" s="94" t="str">
        <v>No</v>
      </c>
      <c r="L583" s="137" t="str">
        <v>Yes</v>
      </c>
      <c r="M583" s="94" t="str">
        <v>No</v>
      </c>
      <c r="N583" s="134" t="str">
        <v>No</v>
      </c>
      <c r="O583" s="119" t="str">
        <v>Yes</v>
      </c>
      <c r="P583" s="92" t="str">
        <v>N</v>
      </c>
      <c r="Q583" s="91">
        <v>45965</v>
      </c>
      <c r="R583" s="140">
        <v>0</v>
      </c>
      <c r="S583" s="92">
        <v>0</v>
      </c>
      <c r="T583" s="92">
        <v>0</v>
      </c>
      <c r="U583" s="137">
        <v>0</v>
      </c>
      <c r="V583" s="126" t="str">
        <f t="shared" si="18"/>
        <v>✅ On Best Plan</v>
      </c>
      <c r="W583" s="130" t="str">
        <f>IFERROR(_xlfn.XLOOKUP(TEXT(H583,"0000000000"),'📞 Call Tracker'!A$2:A$2000,'📞 Call Tracker'!B$2:B$2000,""),"")</f>
        <v/>
      </c>
      <c r="X583" s="96" t="str">
        <f>IFERROR(_xlfn.XLOOKUP(TEXT(H583,"0000000000"),'📞 Call Tracker'!A$2:A$2000,'📞 Call Tracker'!C$2:C$2000,""),"")</f>
        <v/>
      </c>
      <c r="Y583" s="95" t="str">
        <f>IFERROR(_xlfn.XLOOKUP(TEXT(H583,"0000000000"),'📞 Call Tracker'!A$2:A$2000,'📞 Call Tracker'!D$2:D$2000,""),"")</f>
        <v/>
      </c>
      <c r="Z583" s="95" t="str">
        <f>IFERROR(_xlfn.XLOOKUP(TEXT(H583,"0000000000"),'📞 Call Tracker'!A$2:A$2000,'📞 Call Tracker'!E$2:E$2000,""),"")</f>
        <v/>
      </c>
      <c r="AA583" s="145" t="str">
        <f>IFERROR(_xlfn.XLOOKUP(TEXT(H583,"0000000000"),'📞 Call Tracker'!A$2:A$2000,'📞 Call Tracker'!F$2:F$2000,""),"")</f>
        <v/>
      </c>
      <c r="AB583" s="132">
        <f t="shared" si="19"/>
        <v>4</v>
      </c>
      <c r="AC583" s="79"/>
    </row>
    <row r="584" spans="1:29" ht="20.100000000000001" customHeight="1">
      <c r="A584" s="91">
        <v>45906</v>
      </c>
      <c r="B584" s="92" t="str">
        <v>Burt</v>
      </c>
      <c r="C584" s="92" t="str">
        <v>Gary</v>
      </c>
      <c r="D584" s="92" t="str">
        <v xml:space="preserve">Sun City </v>
      </c>
      <c r="E584" s="92">
        <v>85373</v>
      </c>
      <c r="F584" s="137" t="str">
        <v>On the backs of struggling seniors statewide</v>
      </c>
      <c r="G584" s="93" t="str">
        <v>https://docket.images.azcc.gov/E000046266.pdf</v>
      </c>
      <c r="H584" s="150" t="s">
        <v>6307</v>
      </c>
      <c r="I584" s="114" t="str">
        <v>RCPw/RTOUE47</v>
      </c>
      <c r="J584" s="94" t="str">
        <v>No</v>
      </c>
      <c r="K584" s="94" t="str">
        <v>No</v>
      </c>
      <c r="L584" s="137" t="str">
        <v>Yes</v>
      </c>
      <c r="M584" s="94" t="str">
        <v>No</v>
      </c>
      <c r="N584" s="134" t="str">
        <v>No</v>
      </c>
      <c r="O584" s="119" t="str">
        <v>Yes</v>
      </c>
      <c r="P584" s="92" t="str">
        <v>N</v>
      </c>
      <c r="Q584" s="91">
        <v>45965</v>
      </c>
      <c r="R584" s="140">
        <v>0</v>
      </c>
      <c r="S584" s="92">
        <v>0</v>
      </c>
      <c r="T584" s="92">
        <v>0</v>
      </c>
      <c r="U584" s="137">
        <v>0</v>
      </c>
      <c r="V584" s="126" t="str">
        <f t="shared" si="18"/>
        <v>✅ On Best Plan</v>
      </c>
      <c r="W584" s="130">
        <f>IFERROR(_xlfn.XLOOKUP(TEXT(H584,"0000000000"),'📞 Call Tracker'!A$2:A$2000,'📞 Call Tracker'!B$2:B$2000,""),"")</f>
        <v>0</v>
      </c>
      <c r="X584" s="96">
        <f>IFERROR(_xlfn.XLOOKUP(TEXT(H584,"0000000000"),'📞 Call Tracker'!A$2:A$2000,'📞 Call Tracker'!C$2:C$2000,""),"")</f>
        <v>0</v>
      </c>
      <c r="Y584" s="95">
        <f>IFERROR(_xlfn.XLOOKUP(TEXT(H584,"0000000000"),'📞 Call Tracker'!A$2:A$2000,'📞 Call Tracker'!D$2:D$2000,""),"")</f>
        <v>0</v>
      </c>
      <c r="Z584" s="95">
        <f>IFERROR(_xlfn.XLOOKUP(TEXT(H584,"0000000000"),'📞 Call Tracker'!A$2:A$2000,'📞 Call Tracker'!E$2:E$2000,""),"")</f>
        <v>0</v>
      </c>
      <c r="AA584" s="145">
        <f>IFERROR(_xlfn.XLOOKUP(TEXT(H584,"0000000000"),'📞 Call Tracker'!A$2:A$2000,'📞 Call Tracker'!F$2:F$2000,""),"")</f>
        <v>0</v>
      </c>
      <c r="AB584" s="132">
        <f t="shared" si="19"/>
        <v>99</v>
      </c>
      <c r="AC584" s="79"/>
    </row>
    <row r="585" spans="1:29" ht="20.100000000000001" customHeight="1">
      <c r="A585" s="91">
        <v>45906</v>
      </c>
      <c r="B585" s="92" t="str">
        <v>Toma</v>
      </c>
      <c r="C585" s="92" t="str">
        <v>Ramiz</v>
      </c>
      <c r="D585" s="92" t="str">
        <v>Phoenix</v>
      </c>
      <c r="E585" s="92">
        <v>85029</v>
      </c>
      <c r="F585" s="137" t="str">
        <v>opposed</v>
      </c>
      <c r="G585" s="93" t="str">
        <v>https://docket.images.azcc.gov/E000046266.pdf</v>
      </c>
      <c r="H585" s="150" t="s">
        <v>6308</v>
      </c>
      <c r="I585" s="114" t="str">
        <v>R-BASIC</v>
      </c>
      <c r="J585" s="94" t="str">
        <v>No</v>
      </c>
      <c r="K585" s="94" t="str">
        <v>No</v>
      </c>
      <c r="L585" s="137" t="str">
        <v>Yes</v>
      </c>
      <c r="M585" s="94" t="str">
        <v>No</v>
      </c>
      <c r="N585" s="134" t="str">
        <v>No</v>
      </c>
      <c r="O585" s="119" t="str">
        <v>Yes</v>
      </c>
      <c r="P585" s="92" t="str">
        <v>N</v>
      </c>
      <c r="Q585" s="91">
        <v>45965</v>
      </c>
      <c r="R585" s="140">
        <v>0</v>
      </c>
      <c r="S585" s="92">
        <v>0</v>
      </c>
      <c r="T585" s="92">
        <v>0</v>
      </c>
      <c r="U585" s="137">
        <v>0</v>
      </c>
      <c r="V585" s="126" t="str">
        <f t="shared" si="18"/>
        <v>✅ On Best Plan</v>
      </c>
      <c r="W585" s="130">
        <f>IFERROR(_xlfn.XLOOKUP(TEXT(H585,"0000000000"),'📞 Call Tracker'!A$2:A$2000,'📞 Call Tracker'!B$2:B$2000,""),"")</f>
        <v>0</v>
      </c>
      <c r="X585" s="96">
        <f>IFERROR(_xlfn.XLOOKUP(TEXT(H585,"0000000000"),'📞 Call Tracker'!A$2:A$2000,'📞 Call Tracker'!C$2:C$2000,""),"")</f>
        <v>0</v>
      </c>
      <c r="Y585" s="95">
        <f>IFERROR(_xlfn.XLOOKUP(TEXT(H585,"0000000000"),'📞 Call Tracker'!A$2:A$2000,'📞 Call Tracker'!D$2:D$2000,""),"")</f>
        <v>0</v>
      </c>
      <c r="Z585" s="95">
        <f>IFERROR(_xlfn.XLOOKUP(TEXT(H585,"0000000000"),'📞 Call Tracker'!A$2:A$2000,'📞 Call Tracker'!E$2:E$2000,""),"")</f>
        <v>0</v>
      </c>
      <c r="AA585" s="145">
        <f>IFERROR(_xlfn.XLOOKUP(TEXT(H585,"0000000000"),'📞 Call Tracker'!A$2:A$2000,'📞 Call Tracker'!F$2:F$2000,""),"")</f>
        <v>0</v>
      </c>
      <c r="AB585" s="132">
        <f t="shared" si="19"/>
        <v>99</v>
      </c>
      <c r="AC585" s="79"/>
    </row>
    <row r="586" spans="1:29" ht="20.100000000000001" customHeight="1">
      <c r="A586" s="91">
        <v>45906</v>
      </c>
      <c r="B586" s="92" t="str">
        <v>Hochgraver</v>
      </c>
      <c r="C586" s="92" t="str">
        <v>Jeremy</v>
      </c>
      <c r="D586" s="92" t="str">
        <v>Scottsdale</v>
      </c>
      <c r="E586" s="92">
        <v>85260</v>
      </c>
      <c r="F586" s="137" t="str">
        <v>Opposed</v>
      </c>
      <c r="G586" s="93" t="str">
        <v>https://docket.images.azcc.gov/E000046266.pdf</v>
      </c>
      <c r="H586" s="150" t="s">
        <v>6059</v>
      </c>
      <c r="I586" s="114" t="str">
        <v>RTOUE47</v>
      </c>
      <c r="J586" s="94" t="str">
        <v>No</v>
      </c>
      <c r="K586" s="94" t="str">
        <v>No</v>
      </c>
      <c r="L586" s="137" t="str">
        <v>No MEP R3-47($285.34)</v>
      </c>
      <c r="M586" s="94" t="str">
        <v>No</v>
      </c>
      <c r="N586" s="134" t="str">
        <v>No</v>
      </c>
      <c r="O586" s="119" t="str">
        <v>Yes</v>
      </c>
      <c r="P586" s="92">
        <v>45964</v>
      </c>
      <c r="Q586" s="91">
        <v>45965</v>
      </c>
      <c r="R586" s="140" t="str">
        <v>11/03 - LM</v>
      </c>
      <c r="S586" s="92">
        <v>0</v>
      </c>
      <c r="T586" s="92">
        <v>0</v>
      </c>
      <c r="U586" s="137">
        <v>0</v>
      </c>
      <c r="V586" s="126" t="str">
        <f t="shared" si="18"/>
        <v>❌ Not on Best Plan</v>
      </c>
      <c r="W586" s="130" t="str">
        <f>IFERROR(_xlfn.XLOOKUP(TEXT(H586,"0000000000"),'📞 Call Tracker'!A$2:A$2000,'📞 Call Tracker'!B$2:B$2000,""),"")</f>
        <v>Joaquin</v>
      </c>
      <c r="X586" s="96">
        <f>IFERROR(_xlfn.XLOOKUP(TEXT(H586,"0000000000"),'📞 Call Tracker'!A$2:A$2000,'📞 Call Tracker'!C$2:C$2000,""),"")</f>
        <v>46046</v>
      </c>
      <c r="Y586" s="95" t="str">
        <f>IFERROR(_xlfn.XLOOKUP(TEXT(H586,"0000000000"),'📞 Call Tracker'!A$2:A$2000,'📞 Call Tracker'!D$2:D$2000,""),"")</f>
        <v>NO</v>
      </c>
      <c r="Z586" s="95" t="str">
        <f>IFERROR(_xlfn.XLOOKUP(TEXT(H586,"0000000000"),'📞 Call Tracker'!A$2:A$2000,'📞 Call Tracker'!E$2:E$2000,""),"")</f>
        <v>General Education</v>
      </c>
      <c r="AA586" s="145" t="str">
        <f>IFERROR(_xlfn.XLOOKUP(TEXT(H586,"0000000000"),'📞 Call Tracker'!A$2:A$2000,'📞 Call Tracker'!F$2:F$2000,""),"")</f>
        <v>OFFER OPTION TO LOWER BILL</v>
      </c>
      <c r="AB586" s="132">
        <f t="shared" si="19"/>
        <v>99</v>
      </c>
      <c r="AC586" s="79"/>
    </row>
    <row r="587" spans="1:29" ht="20.100000000000001" customHeight="1">
      <c r="A587" s="91">
        <v>45906</v>
      </c>
      <c r="B587" s="92" t="str">
        <v>Misner</v>
      </c>
      <c r="C587" s="92" t="str">
        <v>Alexander</v>
      </c>
      <c r="D587" s="92" t="str">
        <v>Phoenix</v>
      </c>
      <c r="E587" s="92">
        <v>85012</v>
      </c>
      <c r="F587" s="137" t="str">
        <v>Form letter</v>
      </c>
      <c r="G587" s="93" t="str">
        <v>https://docket.images.azcc.gov/E000046266.pdf</v>
      </c>
      <c r="H587" s="150" t="s">
        <v>6309</v>
      </c>
      <c r="I587" s="114" t="str">
        <v>R-XS</v>
      </c>
      <c r="J587" s="94" t="str">
        <v>No</v>
      </c>
      <c r="K587" s="94" t="str">
        <v>No</v>
      </c>
      <c r="L587" s="137" t="str">
        <v>Yes</v>
      </c>
      <c r="M587" s="94" t="str">
        <v>No</v>
      </c>
      <c r="N587" s="134" t="str">
        <v>No</v>
      </c>
      <c r="O587" s="119" t="str">
        <v>Yes</v>
      </c>
      <c r="P587" s="92" t="str">
        <v>N</v>
      </c>
      <c r="Q587" s="91">
        <v>45965</v>
      </c>
      <c r="R587" s="140">
        <v>0</v>
      </c>
      <c r="S587" s="92">
        <v>0</v>
      </c>
      <c r="T587" s="92">
        <v>0</v>
      </c>
      <c r="U587" s="137">
        <v>0</v>
      </c>
      <c r="V587" s="126" t="str">
        <f t="shared" si="18"/>
        <v>✅ On Best Plan</v>
      </c>
      <c r="W587" s="130">
        <f>IFERROR(_xlfn.XLOOKUP(TEXT(H587,"0000000000"),'📞 Call Tracker'!A$2:A$2000,'📞 Call Tracker'!B$2:B$2000,""),"")</f>
        <v>0</v>
      </c>
      <c r="X587" s="96">
        <f>IFERROR(_xlfn.XLOOKUP(TEXT(H587,"0000000000"),'📞 Call Tracker'!A$2:A$2000,'📞 Call Tracker'!C$2:C$2000,""),"")</f>
        <v>0</v>
      </c>
      <c r="Y587" s="95">
        <f>IFERROR(_xlfn.XLOOKUP(TEXT(H587,"0000000000"),'📞 Call Tracker'!A$2:A$2000,'📞 Call Tracker'!D$2:D$2000,""),"")</f>
        <v>0</v>
      </c>
      <c r="Z587" s="95">
        <f>IFERROR(_xlfn.XLOOKUP(TEXT(H587,"0000000000"),'📞 Call Tracker'!A$2:A$2000,'📞 Call Tracker'!E$2:E$2000,""),"")</f>
        <v>0</v>
      </c>
      <c r="AA587" s="145">
        <f>IFERROR(_xlfn.XLOOKUP(TEXT(H587,"0000000000"),'📞 Call Tracker'!A$2:A$2000,'📞 Call Tracker'!F$2:F$2000,""),"")</f>
        <v>0</v>
      </c>
      <c r="AB587" s="132">
        <f t="shared" si="19"/>
        <v>99</v>
      </c>
      <c r="AC587" s="79"/>
    </row>
    <row r="588" spans="1:29" ht="20.100000000000001" customHeight="1">
      <c r="A588" s="91">
        <v>45906</v>
      </c>
      <c r="B588" s="92" t="str">
        <v>Gilliland</v>
      </c>
      <c r="C588" s="92" t="str">
        <v>Clark</v>
      </c>
      <c r="D588" s="92" t="str">
        <v>Scottsdale</v>
      </c>
      <c r="E588" s="92">
        <v>85251</v>
      </c>
      <c r="F588" s="137" t="str">
        <v>They are in a class action suit, we do not want to foot this bill</v>
      </c>
      <c r="G588" s="93" t="str">
        <v>https://docket.images.azcc.gov/E000046266.pdf</v>
      </c>
      <c r="H588" s="150" t="s">
        <v>6310</v>
      </c>
      <c r="I588" s="114" t="str">
        <v>R3-47</v>
      </c>
      <c r="J588" s="94" t="str">
        <v>No</v>
      </c>
      <c r="K588" s="94" t="str">
        <v>No</v>
      </c>
      <c r="L588" s="137" t="str">
        <v>Yes</v>
      </c>
      <c r="M588" s="94" t="str">
        <v>No</v>
      </c>
      <c r="N588" s="134" t="str">
        <v>No</v>
      </c>
      <c r="O588" s="119" t="str">
        <v>Yes</v>
      </c>
      <c r="P588" s="92" t="str">
        <v>N</v>
      </c>
      <c r="Q588" s="91">
        <v>45965</v>
      </c>
      <c r="R588" s="140">
        <v>0</v>
      </c>
      <c r="S588" s="92">
        <v>0</v>
      </c>
      <c r="T588" s="92">
        <v>0</v>
      </c>
      <c r="U588" s="137">
        <v>0</v>
      </c>
      <c r="V588" s="126" t="str">
        <f t="shared" si="18"/>
        <v>✅ On Best Plan</v>
      </c>
      <c r="W588" s="130">
        <f>IFERROR(_xlfn.XLOOKUP(TEXT(H588,"0000000000"),'📞 Call Tracker'!A$2:A$2000,'📞 Call Tracker'!B$2:B$2000,""),"")</f>
        <v>0</v>
      </c>
      <c r="X588" s="96">
        <f>IFERROR(_xlfn.XLOOKUP(TEXT(H588,"0000000000"),'📞 Call Tracker'!A$2:A$2000,'📞 Call Tracker'!C$2:C$2000,""),"")</f>
        <v>0</v>
      </c>
      <c r="Y588" s="95">
        <f>IFERROR(_xlfn.XLOOKUP(TEXT(H588,"0000000000"),'📞 Call Tracker'!A$2:A$2000,'📞 Call Tracker'!D$2:D$2000,""),"")</f>
        <v>0</v>
      </c>
      <c r="Z588" s="95">
        <f>IFERROR(_xlfn.XLOOKUP(TEXT(H588,"0000000000"),'📞 Call Tracker'!A$2:A$2000,'📞 Call Tracker'!E$2:E$2000,""),"")</f>
        <v>0</v>
      </c>
      <c r="AA588" s="145">
        <f>IFERROR(_xlfn.XLOOKUP(TEXT(H588,"0000000000"),'📞 Call Tracker'!A$2:A$2000,'📞 Call Tracker'!F$2:F$2000,""),"")</f>
        <v>0</v>
      </c>
      <c r="AB588" s="132">
        <f t="shared" si="19"/>
        <v>99</v>
      </c>
      <c r="AC588" s="79"/>
    </row>
    <row r="589" spans="1:29" ht="20.100000000000001" customHeight="1">
      <c r="A589" s="91">
        <v>45906</v>
      </c>
      <c r="B589" s="92" t="str">
        <v>Franovich</v>
      </c>
      <c r="C589" s="92" t="str">
        <v>Chris</v>
      </c>
      <c r="D589" s="92" t="str">
        <v>Glendale</v>
      </c>
      <c r="E589" s="92">
        <v>85310</v>
      </c>
      <c r="F589" s="137" t="str">
        <v xml:space="preserve">Ridiculous </v>
      </c>
      <c r="G589" s="93" t="str">
        <v>https://docket.images.azcc.gov/E000046266.pdf</v>
      </c>
      <c r="H589" s="150" t="s">
        <v>6311</v>
      </c>
      <c r="I589" s="114" t="str">
        <v>R-BASIC</v>
      </c>
      <c r="J589" s="94" t="str">
        <v>No</v>
      </c>
      <c r="K589" s="94" t="str">
        <v>No</v>
      </c>
      <c r="L589" s="137" t="str">
        <v>Yes</v>
      </c>
      <c r="M589" s="94" t="str">
        <v>No</v>
      </c>
      <c r="N589" s="134" t="str">
        <v>No</v>
      </c>
      <c r="O589" s="119" t="str">
        <v>Yes</v>
      </c>
      <c r="P589" s="92" t="str">
        <v>N</v>
      </c>
      <c r="Q589" s="91">
        <v>45965</v>
      </c>
      <c r="R589" s="140">
        <v>0</v>
      </c>
      <c r="S589" s="92">
        <v>0</v>
      </c>
      <c r="T589" s="92">
        <v>0</v>
      </c>
      <c r="U589" s="137">
        <v>0</v>
      </c>
      <c r="V589" s="126" t="str">
        <f t="shared" si="18"/>
        <v>✅ On Best Plan</v>
      </c>
      <c r="W589" s="130">
        <f>IFERROR(_xlfn.XLOOKUP(TEXT(H589,"0000000000"),'📞 Call Tracker'!A$2:A$2000,'📞 Call Tracker'!B$2:B$2000,""),"")</f>
        <v>0</v>
      </c>
      <c r="X589" s="96">
        <f>IFERROR(_xlfn.XLOOKUP(TEXT(H589,"0000000000"),'📞 Call Tracker'!A$2:A$2000,'📞 Call Tracker'!C$2:C$2000,""),"")</f>
        <v>0</v>
      </c>
      <c r="Y589" s="95">
        <f>IFERROR(_xlfn.XLOOKUP(TEXT(H589,"0000000000"),'📞 Call Tracker'!A$2:A$2000,'📞 Call Tracker'!D$2:D$2000,""),"")</f>
        <v>0</v>
      </c>
      <c r="Z589" s="95">
        <f>IFERROR(_xlfn.XLOOKUP(TEXT(H589,"0000000000"),'📞 Call Tracker'!A$2:A$2000,'📞 Call Tracker'!E$2:E$2000,""),"")</f>
        <v>0</v>
      </c>
      <c r="AA589" s="145">
        <f>IFERROR(_xlfn.XLOOKUP(TEXT(H589,"0000000000"),'📞 Call Tracker'!A$2:A$2000,'📞 Call Tracker'!F$2:F$2000,""),"")</f>
        <v>0</v>
      </c>
      <c r="AB589" s="132">
        <f t="shared" si="19"/>
        <v>99</v>
      </c>
      <c r="AC589" s="79"/>
    </row>
    <row r="590" spans="1:29" ht="20.100000000000001" customHeight="1">
      <c r="A590" s="91">
        <v>45906</v>
      </c>
      <c r="B590" s="92" t="str">
        <v>Rosenberger</v>
      </c>
      <c r="C590" s="92" t="str">
        <v>Melissa</v>
      </c>
      <c r="D590" s="92" t="str">
        <v>Glendale</v>
      </c>
      <c r="E590" s="92">
        <v>85308</v>
      </c>
      <c r="F590" s="137" t="str">
        <v>Absolutely insane</v>
      </c>
      <c r="G590" s="93" t="str">
        <v>https://docket.images.azcc.gov/E000046266.pdf</v>
      </c>
      <c r="H590" s="150" t="s">
        <v>6312</v>
      </c>
      <c r="I590" s="114" t="str">
        <v>R3-47</v>
      </c>
      <c r="J590" s="94" t="str">
        <v>No</v>
      </c>
      <c r="K590" s="94" t="str">
        <v>No</v>
      </c>
      <c r="L590" s="137" t="str">
        <v>Yes</v>
      </c>
      <c r="M590" s="94" t="str">
        <v>No</v>
      </c>
      <c r="N590" s="134" t="str">
        <v>No</v>
      </c>
      <c r="O590" s="119" t="str">
        <v>Yes</v>
      </c>
      <c r="P590" s="92" t="str">
        <v>N</v>
      </c>
      <c r="Q590" s="91">
        <v>45965</v>
      </c>
      <c r="R590" s="140">
        <v>0</v>
      </c>
      <c r="S590" s="92">
        <v>0</v>
      </c>
      <c r="T590" s="92">
        <v>0</v>
      </c>
      <c r="U590" s="137">
        <v>0</v>
      </c>
      <c r="V590" s="126" t="str">
        <f t="shared" si="18"/>
        <v>✅ On Best Plan</v>
      </c>
      <c r="W590" s="130">
        <f>IFERROR(_xlfn.XLOOKUP(TEXT(H590,"0000000000"),'📞 Call Tracker'!A$2:A$2000,'📞 Call Tracker'!B$2:B$2000,""),"")</f>
        <v>0</v>
      </c>
      <c r="X590" s="96">
        <f>IFERROR(_xlfn.XLOOKUP(TEXT(H590,"0000000000"),'📞 Call Tracker'!A$2:A$2000,'📞 Call Tracker'!C$2:C$2000,""),"")</f>
        <v>0</v>
      </c>
      <c r="Y590" s="95">
        <f>IFERROR(_xlfn.XLOOKUP(TEXT(H590,"0000000000"),'📞 Call Tracker'!A$2:A$2000,'📞 Call Tracker'!D$2:D$2000,""),"")</f>
        <v>0</v>
      </c>
      <c r="Z590" s="95">
        <f>IFERROR(_xlfn.XLOOKUP(TEXT(H590,"0000000000"),'📞 Call Tracker'!A$2:A$2000,'📞 Call Tracker'!E$2:E$2000,""),"")</f>
        <v>0</v>
      </c>
      <c r="AA590" s="145">
        <f>IFERROR(_xlfn.XLOOKUP(TEXT(H590,"0000000000"),'📞 Call Tracker'!A$2:A$2000,'📞 Call Tracker'!F$2:F$2000,""),"")</f>
        <v>0</v>
      </c>
      <c r="AB590" s="132">
        <f t="shared" si="19"/>
        <v>99</v>
      </c>
      <c r="AC590" s="79"/>
    </row>
    <row r="591" spans="1:29" ht="20.100000000000001" customHeight="1">
      <c r="A591" s="91">
        <v>45906</v>
      </c>
      <c r="B591" s="92" t="str">
        <v>Simone</v>
      </c>
      <c r="C591" s="92" t="str">
        <v>Vicki</v>
      </c>
      <c r="D591" s="92" t="str">
        <v>Unknown</v>
      </c>
      <c r="E591" s="92" t="str">
        <v>Unknown</v>
      </c>
      <c r="F591" s="137" t="str">
        <v>Do the right thing, deny the rate increase</v>
      </c>
      <c r="G591" s="93" t="str">
        <v>https://docket.images.azcc.gov/E000046266.pdf</v>
      </c>
      <c r="H591" s="150" t="s">
        <v>6313</v>
      </c>
      <c r="I591" s="114" t="str">
        <v>R-BASIC</v>
      </c>
      <c r="J591" s="94" t="str">
        <v>No</v>
      </c>
      <c r="K591" s="94" t="str">
        <v>No</v>
      </c>
      <c r="L591" s="137" t="str">
        <v>No MEP R3-47(35.30)</v>
      </c>
      <c r="M591" s="94" t="str">
        <v>No</v>
      </c>
      <c r="N591" s="134" t="str">
        <v>No</v>
      </c>
      <c r="O591" s="119" t="str">
        <v>Yes</v>
      </c>
      <c r="P591" s="92" t="str">
        <v>N</v>
      </c>
      <c r="Q591" s="91">
        <v>45965</v>
      </c>
      <c r="R591" s="140">
        <v>0</v>
      </c>
      <c r="S591" s="92">
        <v>0</v>
      </c>
      <c r="T591" s="92">
        <v>0</v>
      </c>
      <c r="U591" s="137">
        <v>0</v>
      </c>
      <c r="V591" s="126" t="str">
        <f t="shared" si="18"/>
        <v>❌ Not on Best Plan</v>
      </c>
      <c r="W591" s="130">
        <f>IFERROR(_xlfn.XLOOKUP(TEXT(H591,"0000000000"),'📞 Call Tracker'!A$2:A$2000,'📞 Call Tracker'!B$2:B$2000,""),"")</f>
        <v>0</v>
      </c>
      <c r="X591" s="96">
        <f>IFERROR(_xlfn.XLOOKUP(TEXT(H591,"0000000000"),'📞 Call Tracker'!A$2:A$2000,'📞 Call Tracker'!C$2:C$2000,""),"")</f>
        <v>0</v>
      </c>
      <c r="Y591" s="95">
        <f>IFERROR(_xlfn.XLOOKUP(TEXT(H591,"0000000000"),'📞 Call Tracker'!A$2:A$2000,'📞 Call Tracker'!D$2:D$2000,""),"")</f>
        <v>0</v>
      </c>
      <c r="Z591" s="95">
        <f>IFERROR(_xlfn.XLOOKUP(TEXT(H591,"0000000000"),'📞 Call Tracker'!A$2:A$2000,'📞 Call Tracker'!E$2:E$2000,""),"")</f>
        <v>0</v>
      </c>
      <c r="AA591" s="145">
        <f>IFERROR(_xlfn.XLOOKUP(TEXT(H591,"0000000000"),'📞 Call Tracker'!A$2:A$2000,'📞 Call Tracker'!F$2:F$2000,""),"")</f>
        <v>0</v>
      </c>
      <c r="AB591" s="132">
        <f t="shared" si="19"/>
        <v>99</v>
      </c>
      <c r="AC591" s="79"/>
    </row>
    <row r="592" spans="1:29" ht="20.100000000000001" customHeight="1">
      <c r="A592" s="91">
        <v>45906</v>
      </c>
      <c r="B592" s="92" t="str">
        <v>Mora</v>
      </c>
      <c r="C592" s="92" t="str">
        <v>Richard</v>
      </c>
      <c r="D592" s="92" t="str">
        <v>Gilbert</v>
      </c>
      <c r="E592" s="92">
        <v>85233</v>
      </c>
      <c r="F592" s="137" t="str">
        <v>Form letter</v>
      </c>
      <c r="G592" s="93" t="str">
        <v>https://docket.images.azcc.gov/E000046266.pdf</v>
      </c>
      <c r="H592" s="150" t="s">
        <v>6314</v>
      </c>
      <c r="I592" s="114" t="str">
        <v>EPR-6w/E-12</v>
      </c>
      <c r="J592" s="94" t="str">
        <v>No</v>
      </c>
      <c r="K592" s="94" t="str">
        <v>No</v>
      </c>
      <c r="L592" s="137" t="str">
        <v>Frozen Rate</v>
      </c>
      <c r="M592" s="94" t="str">
        <v>No</v>
      </c>
      <c r="N592" s="134" t="str">
        <v>No</v>
      </c>
      <c r="O592" s="119" t="str">
        <v>Yes</v>
      </c>
      <c r="P592" s="92" t="str">
        <v>N</v>
      </c>
      <c r="Q592" s="91">
        <v>45965</v>
      </c>
      <c r="R592" s="140">
        <v>0</v>
      </c>
      <c r="S592" s="92">
        <v>0</v>
      </c>
      <c r="T592" s="92">
        <v>0</v>
      </c>
      <c r="U592" s="137">
        <v>0</v>
      </c>
      <c r="V592" s="126" t="str">
        <f t="shared" si="18"/>
        <v>❄ Frozen Rate</v>
      </c>
      <c r="W592" s="130">
        <f>IFERROR(_xlfn.XLOOKUP(TEXT(H592,"0000000000"),'📞 Call Tracker'!A$2:A$2000,'📞 Call Tracker'!B$2:B$2000,""),"")</f>
        <v>0</v>
      </c>
      <c r="X592" s="96">
        <f>IFERROR(_xlfn.XLOOKUP(TEXT(H592,"0000000000"),'📞 Call Tracker'!A$2:A$2000,'📞 Call Tracker'!C$2:C$2000,""),"")</f>
        <v>0</v>
      </c>
      <c r="Y592" s="95">
        <f>IFERROR(_xlfn.XLOOKUP(TEXT(H592,"0000000000"),'📞 Call Tracker'!A$2:A$2000,'📞 Call Tracker'!D$2:D$2000,""),"")</f>
        <v>0</v>
      </c>
      <c r="Z592" s="95">
        <f>IFERROR(_xlfn.XLOOKUP(TEXT(H592,"0000000000"),'📞 Call Tracker'!A$2:A$2000,'📞 Call Tracker'!E$2:E$2000,""),"")</f>
        <v>0</v>
      </c>
      <c r="AA592" s="145">
        <f>IFERROR(_xlfn.XLOOKUP(TEXT(H592,"0000000000"),'📞 Call Tracker'!A$2:A$2000,'📞 Call Tracker'!F$2:F$2000,""),"")</f>
        <v>0</v>
      </c>
      <c r="AB592" s="132">
        <f t="shared" si="19"/>
        <v>99</v>
      </c>
      <c r="AC592" s="79"/>
    </row>
    <row r="593" spans="1:29" ht="20.100000000000001" customHeight="1">
      <c r="A593" s="91">
        <v>45906</v>
      </c>
      <c r="B593" s="92" t="str">
        <v>Phillips</v>
      </c>
      <c r="C593" s="92" t="str">
        <v>Nathanael</v>
      </c>
      <c r="D593" s="92" t="str">
        <v>Glendale</v>
      </c>
      <c r="E593" s="92">
        <v>85306</v>
      </c>
      <c r="F593" s="137" t="str">
        <v>Form letter</v>
      </c>
      <c r="G593" s="93" t="str">
        <v>https://docket.images.azcc.gov/E000046266.pdf</v>
      </c>
      <c r="H593" s="150" t="s">
        <v>6060</v>
      </c>
      <c r="I593" s="114" t="str">
        <v>R3-47</v>
      </c>
      <c r="J593" s="94" t="str">
        <v>No</v>
      </c>
      <c r="K593" s="94" t="str">
        <v>No</v>
      </c>
      <c r="L593" s="137" t="str">
        <v>Yes</v>
      </c>
      <c r="M593" s="94" t="str">
        <v>No</v>
      </c>
      <c r="N593" s="134" t="str">
        <v>No</v>
      </c>
      <c r="O593" s="119" t="str">
        <v>Yes</v>
      </c>
      <c r="P593" s="92" t="str">
        <v>N</v>
      </c>
      <c r="Q593" s="91">
        <v>45965</v>
      </c>
      <c r="R593" s="140">
        <v>0</v>
      </c>
      <c r="S593" s="92">
        <v>0</v>
      </c>
      <c r="T593" s="92">
        <v>0</v>
      </c>
      <c r="U593" s="137">
        <v>0</v>
      </c>
      <c r="V593" s="126" t="str">
        <f t="shared" si="18"/>
        <v>✅ On Best Plan</v>
      </c>
      <c r="W593" s="130" t="str">
        <f>IFERROR(_xlfn.XLOOKUP(TEXT(H593,"0000000000"),'📞 Call Tracker'!A$2:A$2000,'📞 Call Tracker'!B$2:B$2000,""),"")</f>
        <v>Joaquin</v>
      </c>
      <c r="X593" s="96">
        <f>IFERROR(_xlfn.XLOOKUP(TEXT(H593,"0000000000"),'📞 Call Tracker'!A$2:A$2000,'📞 Call Tracker'!C$2:C$2000,""),"")</f>
        <v>46046</v>
      </c>
      <c r="Y593" s="95" t="str">
        <f>IFERROR(_xlfn.XLOOKUP(TEXT(H593,"0000000000"),'📞 Call Tracker'!A$2:A$2000,'📞 Call Tracker'!D$2:D$2000,""),"")</f>
        <v>YES</v>
      </c>
      <c r="Z593" s="95">
        <f>IFERROR(_xlfn.XLOOKUP(TEXT(H593,"0000000000"),'📞 Call Tracker'!A$2:A$2000,'📞 Call Tracker'!E$2:E$2000,""),"")</f>
        <v>0</v>
      </c>
      <c r="AA593" s="145">
        <f>IFERROR(_xlfn.XLOOKUP(TEXT(H593,"0000000000"),'📞 Call Tracker'!A$2:A$2000,'📞 Call Tracker'!F$2:F$2000,""),"")</f>
        <v>0</v>
      </c>
      <c r="AB593" s="132">
        <f t="shared" si="19"/>
        <v>99</v>
      </c>
      <c r="AC593" s="79"/>
    </row>
    <row r="594" spans="1:29" ht="20.100000000000001" customHeight="1">
      <c r="A594" s="91">
        <v>45906</v>
      </c>
      <c r="B594" s="92" t="str">
        <v>Bowen</v>
      </c>
      <c r="C594" s="92" t="str">
        <v>Bryce</v>
      </c>
      <c r="D594" s="92" t="str">
        <v>Phoenix</v>
      </c>
      <c r="E594" s="92">
        <v>85028</v>
      </c>
      <c r="F594" s="137" t="str">
        <v>Form letter</v>
      </c>
      <c r="G594" s="93" t="str">
        <v>https://docket.images.azcc.gov/E000046266.pdf</v>
      </c>
      <c r="H594" s="150" t="s">
        <v>6315</v>
      </c>
      <c r="I594" s="114" t="str">
        <v>R-2</v>
      </c>
      <c r="J594" s="94" t="str">
        <v>No</v>
      </c>
      <c r="K594" s="94" t="str">
        <v>No</v>
      </c>
      <c r="L594" s="137" t="str">
        <v>Frozen Rate</v>
      </c>
      <c r="M594" s="94" t="str">
        <v>No</v>
      </c>
      <c r="N594" s="134" t="str">
        <v>No</v>
      </c>
      <c r="O594" s="119" t="str">
        <v>Yes</v>
      </c>
      <c r="P594" s="92" t="str">
        <v>N</v>
      </c>
      <c r="Q594" s="91">
        <v>45965</v>
      </c>
      <c r="R594" s="140">
        <v>0</v>
      </c>
      <c r="S594" s="92">
        <v>0</v>
      </c>
      <c r="T594" s="92">
        <v>0</v>
      </c>
      <c r="U594" s="137">
        <v>0</v>
      </c>
      <c r="V594" s="126" t="str">
        <f t="shared" si="18"/>
        <v>❄ Frozen Rate</v>
      </c>
      <c r="W594" s="130">
        <f>IFERROR(_xlfn.XLOOKUP(TEXT(H594,"0000000000"),'📞 Call Tracker'!A$2:A$2000,'📞 Call Tracker'!B$2:B$2000,""),"")</f>
        <v>0</v>
      </c>
      <c r="X594" s="96">
        <f>IFERROR(_xlfn.XLOOKUP(TEXT(H594,"0000000000"),'📞 Call Tracker'!A$2:A$2000,'📞 Call Tracker'!C$2:C$2000,""),"")</f>
        <v>0</v>
      </c>
      <c r="Y594" s="95">
        <f>IFERROR(_xlfn.XLOOKUP(TEXT(H594,"0000000000"),'📞 Call Tracker'!A$2:A$2000,'📞 Call Tracker'!D$2:D$2000,""),"")</f>
        <v>0</v>
      </c>
      <c r="Z594" s="95">
        <f>IFERROR(_xlfn.XLOOKUP(TEXT(H594,"0000000000"),'📞 Call Tracker'!A$2:A$2000,'📞 Call Tracker'!E$2:E$2000,""),"")</f>
        <v>0</v>
      </c>
      <c r="AA594" s="145">
        <f>IFERROR(_xlfn.XLOOKUP(TEXT(H594,"0000000000"),'📞 Call Tracker'!A$2:A$2000,'📞 Call Tracker'!F$2:F$2000,""),"")</f>
        <v>0</v>
      </c>
      <c r="AB594" s="132">
        <f t="shared" si="19"/>
        <v>99</v>
      </c>
      <c r="AC594" s="79"/>
    </row>
    <row r="595" spans="1:29" ht="20.100000000000001" customHeight="1">
      <c r="A595" s="91">
        <v>45906</v>
      </c>
      <c r="B595" s="92" t="str">
        <v>Altiveros</v>
      </c>
      <c r="C595" s="92" t="str">
        <v>Armand</v>
      </c>
      <c r="D595" s="92" t="str">
        <v>Phoenix</v>
      </c>
      <c r="E595" s="92">
        <v>85085</v>
      </c>
      <c r="F595" s="137" t="str">
        <v>Form letter</v>
      </c>
      <c r="G595" s="93" t="str">
        <v>https://docket.images.azcc.gov/E000046266.pdf</v>
      </c>
      <c r="H595" s="150" t="s">
        <v>6316</v>
      </c>
      <c r="I595" s="114" t="str">
        <v>R-XS</v>
      </c>
      <c r="J595" s="94" t="str">
        <v>No</v>
      </c>
      <c r="K595" s="94" t="str">
        <v>No</v>
      </c>
      <c r="L595" s="137" t="str">
        <v>Yes</v>
      </c>
      <c r="M595" s="94" t="str">
        <v>No</v>
      </c>
      <c r="N595" s="134" t="str">
        <v>No</v>
      </c>
      <c r="O595" s="119" t="str">
        <v>Yes</v>
      </c>
      <c r="P595" s="92" t="str">
        <v>N</v>
      </c>
      <c r="Q595" s="91">
        <v>45965</v>
      </c>
      <c r="R595" s="140">
        <v>0</v>
      </c>
      <c r="S595" s="92">
        <v>0</v>
      </c>
      <c r="T595" s="92">
        <v>0</v>
      </c>
      <c r="U595" s="137">
        <v>0</v>
      </c>
      <c r="V595" s="126" t="str">
        <f t="shared" si="18"/>
        <v>✅ On Best Plan</v>
      </c>
      <c r="W595" s="130">
        <f>IFERROR(_xlfn.XLOOKUP(TEXT(H595,"0000000000"),'📞 Call Tracker'!A$2:A$2000,'📞 Call Tracker'!B$2:B$2000,""),"")</f>
        <v>0</v>
      </c>
      <c r="X595" s="96">
        <f>IFERROR(_xlfn.XLOOKUP(TEXT(H595,"0000000000"),'📞 Call Tracker'!A$2:A$2000,'📞 Call Tracker'!C$2:C$2000,""),"")</f>
        <v>0</v>
      </c>
      <c r="Y595" s="95">
        <f>IFERROR(_xlfn.XLOOKUP(TEXT(H595,"0000000000"),'📞 Call Tracker'!A$2:A$2000,'📞 Call Tracker'!D$2:D$2000,""),"")</f>
        <v>0</v>
      </c>
      <c r="Z595" s="95">
        <f>IFERROR(_xlfn.XLOOKUP(TEXT(H595,"0000000000"),'📞 Call Tracker'!A$2:A$2000,'📞 Call Tracker'!E$2:E$2000,""),"")</f>
        <v>0</v>
      </c>
      <c r="AA595" s="145">
        <f>IFERROR(_xlfn.XLOOKUP(TEXT(H595,"0000000000"),'📞 Call Tracker'!A$2:A$2000,'📞 Call Tracker'!F$2:F$2000,""),"")</f>
        <v>0</v>
      </c>
      <c r="AB595" s="132">
        <f t="shared" si="19"/>
        <v>99</v>
      </c>
      <c r="AC595" s="79"/>
    </row>
    <row r="596" spans="1:29" ht="20.100000000000001" customHeight="1">
      <c r="A596" s="91">
        <v>45906</v>
      </c>
      <c r="B596" s="92" t="str">
        <v>Roman</v>
      </c>
      <c r="C596" s="92" t="str">
        <v>Kim</v>
      </c>
      <c r="D596" s="92" t="str">
        <v>Florence</v>
      </c>
      <c r="E596" s="92">
        <v>85132</v>
      </c>
      <c r="F596" s="137" t="str">
        <v>Retired, cannot afford this</v>
      </c>
      <c r="G596" s="93" t="str">
        <v>https://docket.images.azcc.gov/E000046266.pdf</v>
      </c>
      <c r="H596" s="150" t="s">
        <v>6317</v>
      </c>
      <c r="I596" s="114" t="str">
        <v>RCPw/RTOUE47</v>
      </c>
      <c r="J596" s="94" t="str">
        <v>No</v>
      </c>
      <c r="K596" s="94" t="str">
        <v>No</v>
      </c>
      <c r="L596" s="137" t="str">
        <v>Yes</v>
      </c>
      <c r="M596" s="94" t="str">
        <v>No</v>
      </c>
      <c r="N596" s="134" t="str">
        <v>No</v>
      </c>
      <c r="O596" s="119" t="str">
        <v>Yes</v>
      </c>
      <c r="P596" s="92" t="str">
        <v>N</v>
      </c>
      <c r="Q596" s="91">
        <v>45965</v>
      </c>
      <c r="R596" s="140">
        <v>0</v>
      </c>
      <c r="S596" s="92">
        <v>0</v>
      </c>
      <c r="T596" s="92">
        <v>0</v>
      </c>
      <c r="U596" s="137">
        <v>0</v>
      </c>
      <c r="V596" s="126" t="str">
        <f t="shared" si="18"/>
        <v>✅ On Best Plan</v>
      </c>
      <c r="W596" s="130">
        <f>IFERROR(_xlfn.XLOOKUP(TEXT(H596,"0000000000"),'📞 Call Tracker'!A$2:A$2000,'📞 Call Tracker'!B$2:B$2000,""),"")</f>
        <v>0</v>
      </c>
      <c r="X596" s="96">
        <f>IFERROR(_xlfn.XLOOKUP(TEXT(H596,"0000000000"),'📞 Call Tracker'!A$2:A$2000,'📞 Call Tracker'!C$2:C$2000,""),"")</f>
        <v>0</v>
      </c>
      <c r="Y596" s="95">
        <f>IFERROR(_xlfn.XLOOKUP(TEXT(H596,"0000000000"),'📞 Call Tracker'!A$2:A$2000,'📞 Call Tracker'!D$2:D$2000,""),"")</f>
        <v>0</v>
      </c>
      <c r="Z596" s="95">
        <f>IFERROR(_xlfn.XLOOKUP(TEXT(H596,"0000000000"),'📞 Call Tracker'!A$2:A$2000,'📞 Call Tracker'!E$2:E$2000,""),"")</f>
        <v>0</v>
      </c>
      <c r="AA596" s="145">
        <f>IFERROR(_xlfn.XLOOKUP(TEXT(H596,"0000000000"),'📞 Call Tracker'!A$2:A$2000,'📞 Call Tracker'!F$2:F$2000,""),"")</f>
        <v>0</v>
      </c>
      <c r="AB596" s="132">
        <f t="shared" si="19"/>
        <v>99</v>
      </c>
      <c r="AC596" s="79"/>
    </row>
    <row r="597" spans="1:29" ht="20.100000000000001" customHeight="1">
      <c r="A597" s="91">
        <v>45906</v>
      </c>
      <c r="B597" s="92" t="str">
        <v>Hooker</v>
      </c>
      <c r="C597" s="92" t="str">
        <v>Michael</v>
      </c>
      <c r="D597" s="92" t="str">
        <v>Glendale</v>
      </c>
      <c r="E597" s="92">
        <v>85308</v>
      </c>
      <c r="F597" s="137" t="str">
        <v>Opposed</v>
      </c>
      <c r="G597" s="93" t="str">
        <v>https://docket.images.azcc.gov/E000046266.pdf</v>
      </c>
      <c r="H597" s="150" t="s">
        <v>6318</v>
      </c>
      <c r="I597" s="114" t="str">
        <v>R3-47</v>
      </c>
      <c r="J597" s="94" t="str">
        <v>No</v>
      </c>
      <c r="K597" s="94" t="str">
        <v>No</v>
      </c>
      <c r="L597" s="137" t="str">
        <v>Yes</v>
      </c>
      <c r="M597" s="94" t="str">
        <v>No</v>
      </c>
      <c r="N597" s="134" t="str">
        <v>No</v>
      </c>
      <c r="O597" s="119" t="str">
        <v>Yes</v>
      </c>
      <c r="P597" s="92" t="str">
        <v>N</v>
      </c>
      <c r="Q597" s="91">
        <v>45965</v>
      </c>
      <c r="R597" s="140">
        <v>0</v>
      </c>
      <c r="S597" s="92">
        <v>0</v>
      </c>
      <c r="T597" s="92">
        <v>0</v>
      </c>
      <c r="U597" s="137">
        <v>0</v>
      </c>
      <c r="V597" s="126" t="str">
        <f t="shared" si="18"/>
        <v>✅ On Best Plan</v>
      </c>
      <c r="W597" s="130">
        <f>IFERROR(_xlfn.XLOOKUP(TEXT(H597,"0000000000"),'📞 Call Tracker'!A$2:A$2000,'📞 Call Tracker'!B$2:B$2000,""),"")</f>
        <v>0</v>
      </c>
      <c r="X597" s="96">
        <f>IFERROR(_xlfn.XLOOKUP(TEXT(H597,"0000000000"),'📞 Call Tracker'!A$2:A$2000,'📞 Call Tracker'!C$2:C$2000,""),"")</f>
        <v>0</v>
      </c>
      <c r="Y597" s="95">
        <f>IFERROR(_xlfn.XLOOKUP(TEXT(H597,"0000000000"),'📞 Call Tracker'!A$2:A$2000,'📞 Call Tracker'!D$2:D$2000,""),"")</f>
        <v>0</v>
      </c>
      <c r="Z597" s="95">
        <f>IFERROR(_xlfn.XLOOKUP(TEXT(H597,"0000000000"),'📞 Call Tracker'!A$2:A$2000,'📞 Call Tracker'!E$2:E$2000,""),"")</f>
        <v>0</v>
      </c>
      <c r="AA597" s="145">
        <f>IFERROR(_xlfn.XLOOKUP(TEXT(H597,"0000000000"),'📞 Call Tracker'!A$2:A$2000,'📞 Call Tracker'!F$2:F$2000,""),"")</f>
        <v>0</v>
      </c>
      <c r="AB597" s="132">
        <f t="shared" si="19"/>
        <v>99</v>
      </c>
      <c r="AC597" s="79"/>
    </row>
    <row r="598" spans="1:29" ht="20.100000000000001" customHeight="1">
      <c r="A598" s="91">
        <v>45906</v>
      </c>
      <c r="B598" s="92" t="str">
        <v>Bihms</v>
      </c>
      <c r="C598" s="92" t="str">
        <v>Sarah</v>
      </c>
      <c r="D598" s="92" t="str">
        <v>Surprise</v>
      </c>
      <c r="E598" s="92">
        <v>85379</v>
      </c>
      <c r="F598" s="137" t="str">
        <v>Opposed</v>
      </c>
      <c r="G598" s="93" t="str">
        <v>https://docket.images.azcc.gov/E000046266.pdf</v>
      </c>
      <c r="H598" s="150" t="s">
        <v>2467</v>
      </c>
      <c r="I598" s="114" t="str">
        <v>RCPw/RTOUE47</v>
      </c>
      <c r="J598" s="94" t="str">
        <v>No</v>
      </c>
      <c r="K598" s="94" t="str">
        <v>No</v>
      </c>
      <c r="L598" s="137" t="str">
        <v>Yes</v>
      </c>
      <c r="M598" s="94" t="str">
        <v>No</v>
      </c>
      <c r="N598" s="134" t="str">
        <v>No</v>
      </c>
      <c r="O598" s="119" t="str">
        <v>Yes</v>
      </c>
      <c r="P598" s="92" t="str">
        <v>N</v>
      </c>
      <c r="Q598" s="91">
        <v>45965</v>
      </c>
      <c r="R598" s="140">
        <v>0</v>
      </c>
      <c r="S598" s="92">
        <v>0</v>
      </c>
      <c r="T598" s="92">
        <v>0</v>
      </c>
      <c r="U598" s="137">
        <v>0</v>
      </c>
      <c r="V598" s="126" t="str">
        <f t="shared" si="18"/>
        <v>✅ On Best Plan</v>
      </c>
      <c r="W598" s="130" t="str">
        <f>IFERROR(_xlfn.XLOOKUP(TEXT(H598,"0000000000"),'📞 Call Tracker'!A$2:A$2000,'📞 Call Tracker'!B$2:B$2000,""),"")</f>
        <v>Joaquin</v>
      </c>
      <c r="X598" s="96">
        <f>IFERROR(_xlfn.XLOOKUP(TEXT(H598,"0000000000"),'📞 Call Tracker'!A$2:A$2000,'📞 Call Tracker'!C$2:C$2000,""),"")</f>
        <v>46060</v>
      </c>
      <c r="Y598" s="95" t="str">
        <f>IFERROR(_xlfn.XLOOKUP(TEXT(H598,"0000000000"),'📞 Call Tracker'!A$2:A$2000,'📞 Call Tracker'!D$2:D$2000,""),"")</f>
        <v>YES</v>
      </c>
      <c r="Z598" s="95">
        <f>IFERROR(_xlfn.XLOOKUP(TEXT(H598,"0000000000"),'📞 Call Tracker'!A$2:A$2000,'📞 Call Tracker'!E$2:E$2000,""),"")</f>
        <v>0</v>
      </c>
      <c r="AA598" s="145" t="str">
        <f>IFERROR(_xlfn.XLOOKUP(TEXT(H598,"0000000000"),'📞 Call Tracker'!A$2:A$2000,'📞 Call Tracker'!F$2:F$2000,""),"")</f>
        <v>LEFT VOICE MESSAGE</v>
      </c>
      <c r="AB598" s="132">
        <f t="shared" si="19"/>
        <v>99</v>
      </c>
      <c r="AC598" s="79"/>
    </row>
    <row r="599" spans="1:29" ht="20.100000000000001" customHeight="1">
      <c r="A599" s="91">
        <v>45906</v>
      </c>
      <c r="B599" s="92" t="str">
        <v>Cotton</v>
      </c>
      <c r="C599" s="92" t="str">
        <v>James</v>
      </c>
      <c r="D599" s="92" t="str">
        <v>Scottsdale</v>
      </c>
      <c r="E599" s="92">
        <v>85260</v>
      </c>
      <c r="F599" s="137" t="str">
        <v>Opposed to outrageous request</v>
      </c>
      <c r="G599" s="93" t="str">
        <v>https://docket.images.azcc.gov/E000046266.pdf</v>
      </c>
      <c r="H599" s="150" t="s">
        <v>6319</v>
      </c>
      <c r="I599" s="114" t="str">
        <v>R3-47</v>
      </c>
      <c r="J599" s="94" t="str">
        <v>No</v>
      </c>
      <c r="K599" s="94" t="str">
        <v>No</v>
      </c>
      <c r="L599" s="137" t="str">
        <v>No MEP TOUE($139.14)</v>
      </c>
      <c r="M599" s="94" t="str">
        <v>No</v>
      </c>
      <c r="N599" s="134" t="str">
        <v>No</v>
      </c>
      <c r="O599" s="119" t="str">
        <v>Yes</v>
      </c>
      <c r="P599" s="92">
        <v>45945</v>
      </c>
      <c r="Q599" s="91">
        <v>45965</v>
      </c>
      <c r="R599" s="140" t="str">
        <v>10/15 Left VM</v>
      </c>
      <c r="S599" s="92">
        <v>0</v>
      </c>
      <c r="T599" s="92">
        <v>0</v>
      </c>
      <c r="U599" s="137">
        <v>0</v>
      </c>
      <c r="V599" s="126" t="str">
        <f t="shared" si="18"/>
        <v>❌ Not on Best Plan</v>
      </c>
      <c r="W599" s="130">
        <f>IFERROR(_xlfn.XLOOKUP(TEXT(H599,"0000000000"),'📞 Call Tracker'!A$2:A$2000,'📞 Call Tracker'!B$2:B$2000,""),"")</f>
        <v>0</v>
      </c>
      <c r="X599" s="96">
        <f>IFERROR(_xlfn.XLOOKUP(TEXT(H599,"0000000000"),'📞 Call Tracker'!A$2:A$2000,'📞 Call Tracker'!C$2:C$2000,""),"")</f>
        <v>0</v>
      </c>
      <c r="Y599" s="95">
        <f>IFERROR(_xlfn.XLOOKUP(TEXT(H599,"0000000000"),'📞 Call Tracker'!A$2:A$2000,'📞 Call Tracker'!D$2:D$2000,""),"")</f>
        <v>0</v>
      </c>
      <c r="Z599" s="95">
        <f>IFERROR(_xlfn.XLOOKUP(TEXT(H599,"0000000000"),'📞 Call Tracker'!A$2:A$2000,'📞 Call Tracker'!E$2:E$2000,""),"")</f>
        <v>0</v>
      </c>
      <c r="AA599" s="145">
        <f>IFERROR(_xlfn.XLOOKUP(TEXT(H599,"0000000000"),'📞 Call Tracker'!A$2:A$2000,'📞 Call Tracker'!F$2:F$2000,""),"")</f>
        <v>0</v>
      </c>
      <c r="AB599" s="132">
        <f t="shared" si="19"/>
        <v>99</v>
      </c>
      <c r="AC599" s="79"/>
    </row>
    <row r="600" spans="1:29" ht="20.100000000000001" customHeight="1">
      <c r="A600" s="91">
        <v>45906</v>
      </c>
      <c r="B600" s="92" t="str">
        <v>Hayter</v>
      </c>
      <c r="C600" s="92" t="str">
        <v>Dean</v>
      </c>
      <c r="D600" s="92" t="str">
        <v>Phoenix</v>
      </c>
      <c r="E600" s="92">
        <v>85006</v>
      </c>
      <c r="F600" s="137" t="str">
        <v>Form letter</v>
      </c>
      <c r="G600" s="93" t="str">
        <v>https://docket.images.azcc.gov/E000046266.pdf</v>
      </c>
      <c r="H600" s="150" t="s">
        <v>6720</v>
      </c>
      <c r="I600" s="114" t="str">
        <v>R-XS</v>
      </c>
      <c r="J600" s="94" t="str">
        <v>No</v>
      </c>
      <c r="K600" s="94" t="str">
        <v>No</v>
      </c>
      <c r="L600" s="137" t="str">
        <v>Yes</v>
      </c>
      <c r="M600" s="94" t="str">
        <v>No</v>
      </c>
      <c r="N600" s="134" t="str">
        <v>No</v>
      </c>
      <c r="O600" s="119" t="str">
        <v>Yes</v>
      </c>
      <c r="P600" s="92" t="str">
        <v>N</v>
      </c>
      <c r="Q600" s="91">
        <v>45965</v>
      </c>
      <c r="R600" s="140">
        <v>0</v>
      </c>
      <c r="S600" s="92">
        <v>0</v>
      </c>
      <c r="T600" s="92">
        <v>0</v>
      </c>
      <c r="U600" s="137">
        <v>0</v>
      </c>
      <c r="V600" s="126" t="str">
        <f t="shared" si="18"/>
        <v>✅ On Best Plan</v>
      </c>
      <c r="W600" s="130" t="str">
        <f>IFERROR(_xlfn.XLOOKUP(TEXT(H600,"0000000000"),'📞 Call Tracker'!A$2:A$2000,'📞 Call Tracker'!B$2:B$2000,""),"")</f>
        <v/>
      </c>
      <c r="X600" s="96" t="str">
        <f>IFERROR(_xlfn.XLOOKUP(TEXT(H600,"0000000000"),'📞 Call Tracker'!A$2:A$2000,'📞 Call Tracker'!C$2:C$2000,""),"")</f>
        <v/>
      </c>
      <c r="Y600" s="95" t="str">
        <f>IFERROR(_xlfn.XLOOKUP(TEXT(H600,"0000000000"),'📞 Call Tracker'!A$2:A$2000,'📞 Call Tracker'!D$2:D$2000,""),"")</f>
        <v/>
      </c>
      <c r="Z600" s="95" t="str">
        <f>IFERROR(_xlfn.XLOOKUP(TEXT(H600,"0000000000"),'📞 Call Tracker'!A$2:A$2000,'📞 Call Tracker'!E$2:E$2000,""),"")</f>
        <v/>
      </c>
      <c r="AA600" s="145" t="str">
        <f>IFERROR(_xlfn.XLOOKUP(TEXT(H600,"0000000000"),'📞 Call Tracker'!A$2:A$2000,'📞 Call Tracker'!F$2:F$2000,""),"")</f>
        <v/>
      </c>
      <c r="AB600" s="132">
        <f t="shared" si="19"/>
        <v>4</v>
      </c>
      <c r="AC600" s="79"/>
    </row>
    <row r="601" spans="1:29" ht="20.100000000000001" customHeight="1">
      <c r="A601" s="91">
        <v>45906</v>
      </c>
      <c r="B601" s="92" t="str">
        <v>Pydimarry</v>
      </c>
      <c r="C601" s="92" t="str">
        <v>Srinivascharandeepak</v>
      </c>
      <c r="D601" s="92" t="str">
        <v>Peoria</v>
      </c>
      <c r="E601" s="92">
        <v>85383</v>
      </c>
      <c r="F601" s="137" t="str">
        <v>Form letter</v>
      </c>
      <c r="G601" s="93" t="str">
        <v>https://docket.images.azcc.gov/E000046266.pdf</v>
      </c>
      <c r="H601" s="150" t="s">
        <v>6721</v>
      </c>
      <c r="I601" s="114" t="str">
        <v>RCPw/RTOUE47</v>
      </c>
      <c r="J601" s="94" t="str">
        <v>No</v>
      </c>
      <c r="K601" s="94" t="str">
        <v>No</v>
      </c>
      <c r="L601" s="137" t="str">
        <v>N MEP R3-47($240.90)</v>
      </c>
      <c r="M601" s="94" t="str">
        <v>No</v>
      </c>
      <c r="N601" s="134" t="str">
        <v>No</v>
      </c>
      <c r="O601" s="119" t="str">
        <v>Yes</v>
      </c>
      <c r="P601" s="92">
        <v>45939</v>
      </c>
      <c r="Q601" s="91">
        <v>45965</v>
      </c>
      <c r="R601" s="140" t="str">
        <v>10/9 - Left VM</v>
      </c>
      <c r="S601" s="92">
        <v>0</v>
      </c>
      <c r="T601" s="92">
        <v>0</v>
      </c>
      <c r="U601" s="137">
        <v>0</v>
      </c>
      <c r="V601" s="126" t="str">
        <f t="shared" si="18"/>
        <v>❌ Not on Best Plan</v>
      </c>
      <c r="W601" s="130" t="str">
        <f>IFERROR(_xlfn.XLOOKUP(TEXT(H601,"0000000000"),'📞 Call Tracker'!A$2:A$2000,'📞 Call Tracker'!B$2:B$2000,""),"")</f>
        <v/>
      </c>
      <c r="X601" s="96" t="str">
        <f>IFERROR(_xlfn.XLOOKUP(TEXT(H601,"0000000000"),'📞 Call Tracker'!A$2:A$2000,'📞 Call Tracker'!C$2:C$2000,""),"")</f>
        <v/>
      </c>
      <c r="Y601" s="95" t="str">
        <f>IFERROR(_xlfn.XLOOKUP(TEXT(H601,"0000000000"),'📞 Call Tracker'!A$2:A$2000,'📞 Call Tracker'!D$2:D$2000,""),"")</f>
        <v/>
      </c>
      <c r="Z601" s="95" t="str">
        <f>IFERROR(_xlfn.XLOOKUP(TEXT(H601,"0000000000"),'📞 Call Tracker'!A$2:A$2000,'📞 Call Tracker'!E$2:E$2000,""),"")</f>
        <v/>
      </c>
      <c r="AA601" s="145" t="str">
        <f>IFERROR(_xlfn.XLOOKUP(TEXT(H601,"0000000000"),'📞 Call Tracker'!A$2:A$2000,'📞 Call Tracker'!F$2:F$2000,""),"")</f>
        <v/>
      </c>
      <c r="AB601" s="132">
        <f t="shared" si="19"/>
        <v>2</v>
      </c>
      <c r="AC601" s="79"/>
    </row>
    <row r="602" spans="1:29" ht="20.100000000000001" customHeight="1">
      <c r="A602" s="91">
        <v>45906</v>
      </c>
      <c r="B602" s="92" t="str">
        <v>Rhodes</v>
      </c>
      <c r="C602" s="92" t="str">
        <v>Jacob</v>
      </c>
      <c r="D602" s="92" t="str">
        <v>Phoenix</v>
      </c>
      <c r="E602" s="92">
        <v>85027</v>
      </c>
      <c r="F602" s="137" t="str">
        <v>Form letter</v>
      </c>
      <c r="G602" s="93" t="str">
        <v>https://docket.images.azcc.gov/E000046266.pdf</v>
      </c>
      <c r="H602" s="150" t="s">
        <v>6320</v>
      </c>
      <c r="I602" s="114" t="str">
        <v>RCPw/R3-47</v>
      </c>
      <c r="J602" s="94" t="str">
        <v>No</v>
      </c>
      <c r="K602" s="94" t="str">
        <v>No</v>
      </c>
      <c r="L602" s="137" t="str">
        <v>Yes</v>
      </c>
      <c r="M602" s="94" t="str">
        <v>No</v>
      </c>
      <c r="N602" s="134" t="str">
        <v>No</v>
      </c>
      <c r="O602" s="119" t="str">
        <v>Yes</v>
      </c>
      <c r="P602" s="92" t="str">
        <v>N</v>
      </c>
      <c r="Q602" s="91">
        <v>45965</v>
      </c>
      <c r="R602" s="140">
        <v>0</v>
      </c>
      <c r="S602" s="92">
        <v>0</v>
      </c>
      <c r="T602" s="92">
        <v>0</v>
      </c>
      <c r="U602" s="137">
        <v>0</v>
      </c>
      <c r="V602" s="126" t="str">
        <f t="shared" si="18"/>
        <v>✅ On Best Plan</v>
      </c>
      <c r="W602" s="130">
        <f>IFERROR(_xlfn.XLOOKUP(TEXT(H602,"0000000000"),'📞 Call Tracker'!A$2:A$2000,'📞 Call Tracker'!B$2:B$2000,""),"")</f>
        <v>0</v>
      </c>
      <c r="X602" s="96">
        <f>IFERROR(_xlfn.XLOOKUP(TEXT(H602,"0000000000"),'📞 Call Tracker'!A$2:A$2000,'📞 Call Tracker'!C$2:C$2000,""),"")</f>
        <v>0</v>
      </c>
      <c r="Y602" s="95">
        <f>IFERROR(_xlfn.XLOOKUP(TEXT(H602,"0000000000"),'📞 Call Tracker'!A$2:A$2000,'📞 Call Tracker'!D$2:D$2000,""),"")</f>
        <v>0</v>
      </c>
      <c r="Z602" s="95">
        <f>IFERROR(_xlfn.XLOOKUP(TEXT(H602,"0000000000"),'📞 Call Tracker'!A$2:A$2000,'📞 Call Tracker'!E$2:E$2000,""),"")</f>
        <v>0</v>
      </c>
      <c r="AA602" s="145">
        <f>IFERROR(_xlfn.XLOOKUP(TEXT(H602,"0000000000"),'📞 Call Tracker'!A$2:A$2000,'📞 Call Tracker'!F$2:F$2000,""),"")</f>
        <v>0</v>
      </c>
      <c r="AB602" s="132">
        <f t="shared" si="19"/>
        <v>99</v>
      </c>
      <c r="AC602" s="79"/>
    </row>
    <row r="603" spans="1:29" ht="20.100000000000001" customHeight="1">
      <c r="A603" s="91">
        <v>45906</v>
      </c>
      <c r="B603" s="92" t="str">
        <v>Coltom</v>
      </c>
      <c r="C603" s="92" t="str">
        <v>Janene</v>
      </c>
      <c r="D603" s="92" t="str">
        <v>Surprise</v>
      </c>
      <c r="E603" s="92">
        <v>85338</v>
      </c>
      <c r="F603" s="137" t="str">
        <v>Form letter</v>
      </c>
      <c r="G603" s="93" t="str">
        <v>https://docket.images.azcc.gov/E000046266.pdf</v>
      </c>
      <c r="H603" s="150" t="s">
        <v>6321</v>
      </c>
      <c r="I603" s="114" t="str">
        <v>R3-47</v>
      </c>
      <c r="J603" s="94" t="str">
        <v>No</v>
      </c>
      <c r="K603" s="94" t="str">
        <v>No</v>
      </c>
      <c r="L603" s="137" t="str">
        <v>Yes</v>
      </c>
      <c r="M603" s="94" t="str">
        <v>No</v>
      </c>
      <c r="N603" s="134" t="str">
        <v>No</v>
      </c>
      <c r="O603" s="119" t="str">
        <v>Yes</v>
      </c>
      <c r="P603" s="92" t="str">
        <v>N</v>
      </c>
      <c r="Q603" s="91">
        <v>45964</v>
      </c>
      <c r="R603" s="140">
        <v>0</v>
      </c>
      <c r="S603" s="92">
        <v>0</v>
      </c>
      <c r="T603" s="92">
        <v>0</v>
      </c>
      <c r="U603" s="137">
        <v>0</v>
      </c>
      <c r="V603" s="126" t="str">
        <f t="shared" si="18"/>
        <v>✅ On Best Plan</v>
      </c>
      <c r="W603" s="130">
        <f>IFERROR(_xlfn.XLOOKUP(TEXT(H603,"0000000000"),'📞 Call Tracker'!A$2:A$2000,'📞 Call Tracker'!B$2:B$2000,""),"")</f>
        <v>0</v>
      </c>
      <c r="X603" s="96">
        <f>IFERROR(_xlfn.XLOOKUP(TEXT(H603,"0000000000"),'📞 Call Tracker'!A$2:A$2000,'📞 Call Tracker'!C$2:C$2000,""),"")</f>
        <v>0</v>
      </c>
      <c r="Y603" s="95">
        <f>IFERROR(_xlfn.XLOOKUP(TEXT(H603,"0000000000"),'📞 Call Tracker'!A$2:A$2000,'📞 Call Tracker'!D$2:D$2000,""),"")</f>
        <v>0</v>
      </c>
      <c r="Z603" s="95">
        <f>IFERROR(_xlfn.XLOOKUP(TEXT(H603,"0000000000"),'📞 Call Tracker'!A$2:A$2000,'📞 Call Tracker'!E$2:E$2000,""),"")</f>
        <v>0</v>
      </c>
      <c r="AA603" s="145">
        <f>IFERROR(_xlfn.XLOOKUP(TEXT(H603,"0000000000"),'📞 Call Tracker'!A$2:A$2000,'📞 Call Tracker'!F$2:F$2000,""),"")</f>
        <v>0</v>
      </c>
      <c r="AB603" s="132">
        <f t="shared" si="19"/>
        <v>99</v>
      </c>
      <c r="AC603" s="79"/>
    </row>
    <row r="604" spans="1:29" ht="20.100000000000001" customHeight="1">
      <c r="A604" s="91">
        <v>45906</v>
      </c>
      <c r="B604" s="92" t="str">
        <v>Newton</v>
      </c>
      <c r="C604" s="92" t="str">
        <v>Laura</v>
      </c>
      <c r="D604" s="92" t="str">
        <v>Phoenix</v>
      </c>
      <c r="E604" s="92">
        <v>85024</v>
      </c>
      <c r="F604" s="137" t="str">
        <v>Form letter</v>
      </c>
      <c r="G604" s="93" t="str">
        <v>https://docket.images.azcc.gov/E000046266.pdf</v>
      </c>
      <c r="H604" s="150" t="s">
        <v>6322</v>
      </c>
      <c r="I604" s="114" t="str">
        <v>R-BASICL</v>
      </c>
      <c r="J604" s="94" t="str">
        <v>No</v>
      </c>
      <c r="K604" s="94" t="str">
        <v>No</v>
      </c>
      <c r="L604" s="137" t="str">
        <v>No MEP R3-47($65.26)</v>
      </c>
      <c r="M604" s="94" t="str">
        <v>No</v>
      </c>
      <c r="N604" s="134" t="str">
        <v>No</v>
      </c>
      <c r="O604" s="119" t="str">
        <v>Yes</v>
      </c>
      <c r="P604" s="92" t="str">
        <v>N</v>
      </c>
      <c r="Q604" s="91">
        <v>45964</v>
      </c>
      <c r="R604" s="140">
        <v>0</v>
      </c>
      <c r="S604" s="92">
        <v>0</v>
      </c>
      <c r="T604" s="92">
        <v>0</v>
      </c>
      <c r="U604" s="137">
        <v>0</v>
      </c>
      <c r="V604" s="126" t="str">
        <f t="shared" si="18"/>
        <v>❌ Not on Best Plan</v>
      </c>
      <c r="W604" s="130">
        <f>IFERROR(_xlfn.XLOOKUP(TEXT(H604,"0000000000"),'📞 Call Tracker'!A$2:A$2000,'📞 Call Tracker'!B$2:B$2000,""),"")</f>
        <v>0</v>
      </c>
      <c r="X604" s="96">
        <f>IFERROR(_xlfn.XLOOKUP(TEXT(H604,"0000000000"),'📞 Call Tracker'!A$2:A$2000,'📞 Call Tracker'!C$2:C$2000,""),"")</f>
        <v>0</v>
      </c>
      <c r="Y604" s="95">
        <f>IFERROR(_xlfn.XLOOKUP(TEXT(H604,"0000000000"),'📞 Call Tracker'!A$2:A$2000,'📞 Call Tracker'!D$2:D$2000,""),"")</f>
        <v>0</v>
      </c>
      <c r="Z604" s="95">
        <f>IFERROR(_xlfn.XLOOKUP(TEXT(H604,"0000000000"),'📞 Call Tracker'!A$2:A$2000,'📞 Call Tracker'!E$2:E$2000,""),"")</f>
        <v>0</v>
      </c>
      <c r="AA604" s="145">
        <f>IFERROR(_xlfn.XLOOKUP(TEXT(H604,"0000000000"),'📞 Call Tracker'!A$2:A$2000,'📞 Call Tracker'!F$2:F$2000,""),"")</f>
        <v>0</v>
      </c>
      <c r="AB604" s="132">
        <f t="shared" si="19"/>
        <v>99</v>
      </c>
      <c r="AC604" s="79"/>
    </row>
    <row r="605" spans="1:29" ht="20.100000000000001" customHeight="1">
      <c r="A605" s="91">
        <v>45906</v>
      </c>
      <c r="B605" s="92" t="str">
        <v>Meiergerd</v>
      </c>
      <c r="C605" s="92" t="str">
        <v>Celeste</v>
      </c>
      <c r="D605" s="92" t="str">
        <v>Tempe</v>
      </c>
      <c r="E605" s="92">
        <v>85281</v>
      </c>
      <c r="F605" s="137" t="str">
        <v>Opposed</v>
      </c>
      <c r="G605" s="93" t="str">
        <v>https://docket.images.azcc.gov/E000046266.pdf</v>
      </c>
      <c r="H605" s="150" t="s">
        <v>6323</v>
      </c>
      <c r="I605" s="114" t="str">
        <v>RTOUE47</v>
      </c>
      <c r="J605" s="94" t="str">
        <v>No</v>
      </c>
      <c r="K605" s="94" t="str">
        <v>No</v>
      </c>
      <c r="L605" s="137" t="str">
        <v>No MEP R3-47($92.94)</v>
      </c>
      <c r="M605" s="94" t="str">
        <v>No</v>
      </c>
      <c r="N605" s="134" t="str">
        <v>No</v>
      </c>
      <c r="O605" s="119" t="str">
        <v>Yes</v>
      </c>
      <c r="P605" s="92" t="str">
        <v>N</v>
      </c>
      <c r="Q605" s="91">
        <v>45964</v>
      </c>
      <c r="R605" s="140">
        <v>0</v>
      </c>
      <c r="S605" s="92">
        <v>0</v>
      </c>
      <c r="T605" s="92">
        <v>0</v>
      </c>
      <c r="U605" s="137">
        <v>0</v>
      </c>
      <c r="V605" s="126" t="str">
        <f t="shared" si="18"/>
        <v>❌ Not on Best Plan</v>
      </c>
      <c r="W605" s="130">
        <f>IFERROR(_xlfn.XLOOKUP(TEXT(H605,"0000000000"),'📞 Call Tracker'!A$2:A$2000,'📞 Call Tracker'!B$2:B$2000,""),"")</f>
        <v>0</v>
      </c>
      <c r="X605" s="96">
        <f>IFERROR(_xlfn.XLOOKUP(TEXT(H605,"0000000000"),'📞 Call Tracker'!A$2:A$2000,'📞 Call Tracker'!C$2:C$2000,""),"")</f>
        <v>0</v>
      </c>
      <c r="Y605" s="95">
        <f>IFERROR(_xlfn.XLOOKUP(TEXT(H605,"0000000000"),'📞 Call Tracker'!A$2:A$2000,'📞 Call Tracker'!D$2:D$2000,""),"")</f>
        <v>0</v>
      </c>
      <c r="Z605" s="95">
        <f>IFERROR(_xlfn.XLOOKUP(TEXT(H605,"0000000000"),'📞 Call Tracker'!A$2:A$2000,'📞 Call Tracker'!E$2:E$2000,""),"")</f>
        <v>0</v>
      </c>
      <c r="AA605" s="145">
        <f>IFERROR(_xlfn.XLOOKUP(TEXT(H605,"0000000000"),'📞 Call Tracker'!A$2:A$2000,'📞 Call Tracker'!F$2:F$2000,""),"")</f>
        <v>0</v>
      </c>
      <c r="AB605" s="132">
        <f t="shared" si="19"/>
        <v>99</v>
      </c>
      <c r="AC605" s="79"/>
    </row>
    <row r="606" spans="1:29" ht="20.100000000000001" customHeight="1">
      <c r="A606" s="91">
        <v>45906</v>
      </c>
      <c r="B606" s="92" t="str">
        <v>Chandler</v>
      </c>
      <c r="C606" s="92" t="str">
        <v>Emily</v>
      </c>
      <c r="D606" s="92" t="str">
        <v>Phoenix</v>
      </c>
      <c r="E606" s="92">
        <v>85024</v>
      </c>
      <c r="F606" s="137" t="str">
        <v>Families have to make difficult choices</v>
      </c>
      <c r="G606" s="93" t="str">
        <v>https://docket.images.azcc.gov/E000046266.pdf</v>
      </c>
      <c r="H606" s="150" t="s">
        <v>6061</v>
      </c>
      <c r="I606" s="114" t="str">
        <v>R-BASICL</v>
      </c>
      <c r="J606" s="94" t="str">
        <v>No</v>
      </c>
      <c r="K606" s="94" t="str">
        <v>No</v>
      </c>
      <c r="L606" s="137" t="str">
        <v>No MEP R-BASIC($175.71)</v>
      </c>
      <c r="M606" s="94" t="str">
        <v>No</v>
      </c>
      <c r="N606" s="134" t="str">
        <v>No</v>
      </c>
      <c r="O606" s="119" t="str">
        <v>Yes</v>
      </c>
      <c r="P606" s="92" t="str">
        <v>N</v>
      </c>
      <c r="Q606" s="91">
        <v>45964</v>
      </c>
      <c r="R606" s="140" t="str">
        <v>Based on average monthly energy usage, COR will likely remain on Tier 3 next month during rate reassignment. No call made. As of 11/3 COR is just under average monthly usage limit and should be automatically reassigned to Tier 2</v>
      </c>
      <c r="S606" s="92">
        <v>0</v>
      </c>
      <c r="T606" s="92">
        <v>0</v>
      </c>
      <c r="U606" s="137">
        <v>0</v>
      </c>
      <c r="V606" s="126" t="str">
        <f t="shared" si="18"/>
        <v>❌ Not on Best Plan</v>
      </c>
      <c r="W606" s="130" t="str">
        <f>IFERROR(_xlfn.XLOOKUP(TEXT(H606,"0000000000"),'📞 Call Tracker'!A$2:A$2000,'📞 Call Tracker'!B$2:B$2000,""),"")</f>
        <v>Joaquin</v>
      </c>
      <c r="X606" s="96">
        <f>IFERROR(_xlfn.XLOOKUP(TEXT(H606,"0000000000"),'📞 Call Tracker'!A$2:A$2000,'📞 Call Tracker'!C$2:C$2000,""),"")</f>
        <v>46046</v>
      </c>
      <c r="Y606" s="95" t="str">
        <f>IFERROR(_xlfn.XLOOKUP(TEXT(H606,"0000000000"),'📞 Call Tracker'!A$2:A$2000,'📞 Call Tracker'!D$2:D$2000,""),"")</f>
        <v>NO</v>
      </c>
      <c r="Z606" s="95" t="str">
        <f>IFERROR(_xlfn.XLOOKUP(TEXT(H606,"0000000000"),'📞 Call Tracker'!A$2:A$2000,'📞 Call Tracker'!E$2:E$2000,""),"")</f>
        <v>General Education</v>
      </c>
      <c r="AA606" s="145" t="str">
        <f>IFERROR(_xlfn.XLOOKUP(TEXT(H606,"0000000000"),'📞 Call Tracker'!A$2:A$2000,'📞 Call Tracker'!F$2:F$2000,""),"")</f>
        <v>WILL REVIEW ON LINE THEN MAKE CHANGES</v>
      </c>
      <c r="AB606" s="132">
        <f t="shared" si="19"/>
        <v>99</v>
      </c>
      <c r="AC606" s="79"/>
    </row>
    <row r="607" spans="1:29" ht="20.100000000000001" customHeight="1">
      <c r="A607" s="91">
        <v>45906</v>
      </c>
      <c r="B607" s="92" t="str">
        <v>Hardee</v>
      </c>
      <c r="C607" s="92" t="str">
        <v>Michael</v>
      </c>
      <c r="D607" s="92" t="str">
        <v>Flagstaff</v>
      </c>
      <c r="E607" s="92">
        <v>86005</v>
      </c>
      <c r="F607" s="137" t="str">
        <v>Form letter</v>
      </c>
      <c r="G607" s="93" t="str">
        <v>https://docket.images.azcc.gov/E000046266.pdf</v>
      </c>
      <c r="H607" s="150" t="s">
        <v>6324</v>
      </c>
      <c r="I607" s="114" t="str">
        <v>R-XS</v>
      </c>
      <c r="J607" s="94" t="str">
        <v>No</v>
      </c>
      <c r="K607" s="94" t="str">
        <v>No</v>
      </c>
      <c r="L607" s="137" t="str">
        <v>Yes</v>
      </c>
      <c r="M607" s="94" t="str">
        <v>No</v>
      </c>
      <c r="N607" s="134" t="str">
        <v>No</v>
      </c>
      <c r="O607" s="119" t="str">
        <v>Yes</v>
      </c>
      <c r="P607" s="92" t="str">
        <v>N</v>
      </c>
      <c r="Q607" s="91">
        <v>45964</v>
      </c>
      <c r="R607" s="140">
        <v>0</v>
      </c>
      <c r="S607" s="92">
        <v>0</v>
      </c>
      <c r="T607" s="92">
        <v>0</v>
      </c>
      <c r="U607" s="137">
        <v>0</v>
      </c>
      <c r="V607" s="126" t="str">
        <f t="shared" si="18"/>
        <v>✅ On Best Plan</v>
      </c>
      <c r="W607" s="130" t="str">
        <f>IFERROR(_xlfn.XLOOKUP(TEXT(H607,"0000000000"),'📞 Call Tracker'!A$2:A$2000,'📞 Call Tracker'!B$2:B$2000,""),"")</f>
        <v>Michelle</v>
      </c>
      <c r="X607" s="96">
        <f>IFERROR(_xlfn.XLOOKUP(TEXT(H607,"0000000000"),'📞 Call Tracker'!A$2:A$2000,'📞 Call Tracker'!C$2:C$2000,""),"")</f>
        <v>45997</v>
      </c>
      <c r="Y607" s="95" t="str">
        <f>IFERROR(_xlfn.XLOOKUP(TEXT(H607,"0000000000"),'📞 Call Tracker'!A$2:A$2000,'📞 Call Tracker'!D$2:D$2000,""),"")</f>
        <v>YES</v>
      </c>
      <c r="Z607" s="95">
        <f>IFERROR(_xlfn.XLOOKUP(TEXT(H607,"0000000000"),'📞 Call Tracker'!A$2:A$2000,'📞 Call Tracker'!E$2:E$2000,""),"")</f>
        <v>0</v>
      </c>
      <c r="AA607" s="145" t="str">
        <f>IFERROR(_xlfn.XLOOKUP(TEXT(H607,"0000000000"),'📞 Call Tracker'!A$2:A$2000,'📞 Call Tracker'!F$2:F$2000,""),"")</f>
        <v>COULD SAVE MONEY ON TOU 4-7 W/DEMAND</v>
      </c>
      <c r="AB607" s="132">
        <f t="shared" si="19"/>
        <v>99</v>
      </c>
      <c r="AC607" s="79"/>
    </row>
    <row r="608" spans="1:29" ht="20.100000000000001" customHeight="1">
      <c r="A608" s="91">
        <v>45906</v>
      </c>
      <c r="B608" s="92" t="str">
        <v>Starr</v>
      </c>
      <c r="C608" s="92" t="str">
        <v>Brian</v>
      </c>
      <c r="D608" s="92" t="str">
        <v>Phoenix</v>
      </c>
      <c r="E608" s="92">
        <v>85028</v>
      </c>
      <c r="F608" s="137" t="str">
        <v>Form letter</v>
      </c>
      <c r="G608" s="93" t="str">
        <v>https://docket.images.azcc.gov/E000046266.pdf</v>
      </c>
      <c r="H608" s="150" t="s">
        <v>6062</v>
      </c>
      <c r="I608" s="114" t="str">
        <v>RCPw/RTOUE47</v>
      </c>
      <c r="J608" s="94" t="str">
        <v>No</v>
      </c>
      <c r="K608" s="94" t="str">
        <v>No</v>
      </c>
      <c r="L608" s="137" t="str">
        <v>Yes</v>
      </c>
      <c r="M608" s="94" t="str">
        <v>No</v>
      </c>
      <c r="N608" s="134" t="str">
        <v>No</v>
      </c>
      <c r="O608" s="119" t="str">
        <v>Yes</v>
      </c>
      <c r="P608" s="92" t="str">
        <v>N</v>
      </c>
      <c r="Q608" s="91">
        <v>45964</v>
      </c>
      <c r="R608" s="140">
        <v>0</v>
      </c>
      <c r="S608" s="92">
        <v>0</v>
      </c>
      <c r="T608" s="92">
        <v>0</v>
      </c>
      <c r="U608" s="137">
        <v>0</v>
      </c>
      <c r="V608" s="126" t="str">
        <f t="shared" si="18"/>
        <v>✅ On Best Plan</v>
      </c>
      <c r="W608" s="130" t="str">
        <f>IFERROR(_xlfn.XLOOKUP(TEXT(H608,"0000000000"),'📞 Call Tracker'!A$2:A$2000,'📞 Call Tracker'!B$2:B$2000,""),"")</f>
        <v>Joaquin</v>
      </c>
      <c r="X608" s="96">
        <f>IFERROR(_xlfn.XLOOKUP(TEXT(H608,"0000000000"),'📞 Call Tracker'!A$2:A$2000,'📞 Call Tracker'!C$2:C$2000,""),"")</f>
        <v>46046</v>
      </c>
      <c r="Y608" s="95" t="str">
        <f>IFERROR(_xlfn.XLOOKUP(TEXT(H608,"0000000000"),'📞 Call Tracker'!A$2:A$2000,'📞 Call Tracker'!D$2:D$2000,""),"")</f>
        <v>NO</v>
      </c>
      <c r="Z608" s="95" t="str">
        <f>IFERROR(_xlfn.XLOOKUP(TEXT(H608,"0000000000"),'📞 Call Tracker'!A$2:A$2000,'📞 Call Tracker'!E$2:E$2000,""),"")</f>
        <v>Rate Change</v>
      </c>
      <c r="AA608" s="145" t="str">
        <f>IFERROR(_xlfn.XLOOKUP(TEXT(H608,"0000000000"),'📞 Call Tracker'!A$2:A$2000,'📞 Call Tracker'!F$2:F$2000,""),"")</f>
        <v>DID REVIEW OPTION TO LOWER BILL</v>
      </c>
      <c r="AB608" s="132">
        <f t="shared" si="19"/>
        <v>99</v>
      </c>
      <c r="AC608" s="79"/>
    </row>
    <row r="609" spans="1:29" ht="20.100000000000001" customHeight="1">
      <c r="A609" s="91">
        <v>45906</v>
      </c>
      <c r="B609" s="92" t="str">
        <v>Deltoro</v>
      </c>
      <c r="C609" s="92" t="str">
        <v>Jose</v>
      </c>
      <c r="D609" s="92" t="str">
        <v>Cave Creek</v>
      </c>
      <c r="E609" s="92">
        <v>85331</v>
      </c>
      <c r="F609" s="137" t="str">
        <v>Form letter</v>
      </c>
      <c r="G609" s="93" t="str">
        <v>https://docket.images.azcc.gov/E000046266.pdf</v>
      </c>
      <c r="H609" s="150" t="s">
        <v>6325</v>
      </c>
      <c r="I609" s="114" t="str">
        <v>RTOUE47</v>
      </c>
      <c r="J609" s="94" t="str">
        <v>No</v>
      </c>
      <c r="K609" s="94" t="str">
        <v>No</v>
      </c>
      <c r="L609" s="137" t="str">
        <v>No MEP R3-47($253.38)</v>
      </c>
      <c r="M609" s="94" t="str">
        <v>No</v>
      </c>
      <c r="N609" s="134" t="str">
        <v>No</v>
      </c>
      <c r="O609" s="119" t="str">
        <v>Yes</v>
      </c>
      <c r="P609" s="92">
        <v>45939</v>
      </c>
      <c r="Q609" s="91">
        <v>45964</v>
      </c>
      <c r="R609" s="140" t="str">
        <v>10/9 Left VM</v>
      </c>
      <c r="S609" s="92">
        <v>0</v>
      </c>
      <c r="T609" s="92">
        <v>0</v>
      </c>
      <c r="U609" s="137">
        <v>0</v>
      </c>
      <c r="V609" s="126" t="str">
        <f t="shared" si="18"/>
        <v>❌ Not on Best Plan</v>
      </c>
      <c r="W609" s="130">
        <f>IFERROR(_xlfn.XLOOKUP(TEXT(H609,"0000000000"),'📞 Call Tracker'!A$2:A$2000,'📞 Call Tracker'!B$2:B$2000,""),"")</f>
        <v>0</v>
      </c>
      <c r="X609" s="96">
        <f>IFERROR(_xlfn.XLOOKUP(TEXT(H609,"0000000000"),'📞 Call Tracker'!A$2:A$2000,'📞 Call Tracker'!C$2:C$2000,""),"")</f>
        <v>0</v>
      </c>
      <c r="Y609" s="95">
        <f>IFERROR(_xlfn.XLOOKUP(TEXT(H609,"0000000000"),'📞 Call Tracker'!A$2:A$2000,'📞 Call Tracker'!D$2:D$2000,""),"")</f>
        <v>0</v>
      </c>
      <c r="Z609" s="95">
        <f>IFERROR(_xlfn.XLOOKUP(TEXT(H609,"0000000000"),'📞 Call Tracker'!A$2:A$2000,'📞 Call Tracker'!E$2:E$2000,""),"")</f>
        <v>0</v>
      </c>
      <c r="AA609" s="145">
        <f>IFERROR(_xlfn.XLOOKUP(TEXT(H609,"0000000000"),'📞 Call Tracker'!A$2:A$2000,'📞 Call Tracker'!F$2:F$2000,""),"")</f>
        <v>0</v>
      </c>
      <c r="AB609" s="132">
        <f t="shared" si="19"/>
        <v>99</v>
      </c>
      <c r="AC609" s="79"/>
    </row>
    <row r="610" spans="1:29" ht="20.100000000000001" customHeight="1">
      <c r="A610" s="91">
        <v>45906</v>
      </c>
      <c r="B610" s="92" t="str">
        <v>Lanchbury</v>
      </c>
      <c r="C610" s="92" t="str">
        <v>Hunter</v>
      </c>
      <c r="D610" s="92" t="str">
        <v>Phoenix</v>
      </c>
      <c r="E610" s="92">
        <v>85032</v>
      </c>
      <c r="F610" s="137" t="str">
        <v>Form letter</v>
      </c>
      <c r="G610" s="93" t="str">
        <v>https://docket.images.azcc.gov/E000046266.pdf</v>
      </c>
      <c r="H610" s="150" t="s">
        <v>6326</v>
      </c>
      <c r="I610" s="114" t="str">
        <v>EPR-6w/ET-2</v>
      </c>
      <c r="J610" s="94" t="str">
        <v>No</v>
      </c>
      <c r="K610" s="94" t="str">
        <v>No</v>
      </c>
      <c r="L610" s="137" t="str">
        <v>Frozen Rate</v>
      </c>
      <c r="M610" s="94" t="str">
        <v>No</v>
      </c>
      <c r="N610" s="134" t="str">
        <v>No</v>
      </c>
      <c r="O610" s="119" t="str">
        <v>Yes</v>
      </c>
      <c r="P610" s="92" t="str">
        <v>N</v>
      </c>
      <c r="Q610" s="91">
        <v>45964</v>
      </c>
      <c r="R610" s="140">
        <v>0</v>
      </c>
      <c r="S610" s="92">
        <v>0</v>
      </c>
      <c r="T610" s="92">
        <v>0</v>
      </c>
      <c r="U610" s="137">
        <v>0</v>
      </c>
      <c r="V610" s="126" t="str">
        <f t="shared" si="18"/>
        <v>❄ Frozen Rate</v>
      </c>
      <c r="W610" s="130">
        <f>IFERROR(_xlfn.XLOOKUP(TEXT(H610,"0000000000"),'📞 Call Tracker'!A$2:A$2000,'📞 Call Tracker'!B$2:B$2000,""),"")</f>
        <v>0</v>
      </c>
      <c r="X610" s="96">
        <f>IFERROR(_xlfn.XLOOKUP(TEXT(H610,"0000000000"),'📞 Call Tracker'!A$2:A$2000,'📞 Call Tracker'!C$2:C$2000,""),"")</f>
        <v>0</v>
      </c>
      <c r="Y610" s="95">
        <f>IFERROR(_xlfn.XLOOKUP(TEXT(H610,"0000000000"),'📞 Call Tracker'!A$2:A$2000,'📞 Call Tracker'!D$2:D$2000,""),"")</f>
        <v>0</v>
      </c>
      <c r="Z610" s="95">
        <f>IFERROR(_xlfn.XLOOKUP(TEXT(H610,"0000000000"),'📞 Call Tracker'!A$2:A$2000,'📞 Call Tracker'!E$2:E$2000,""),"")</f>
        <v>0</v>
      </c>
      <c r="AA610" s="145">
        <f>IFERROR(_xlfn.XLOOKUP(TEXT(H610,"0000000000"),'📞 Call Tracker'!A$2:A$2000,'📞 Call Tracker'!F$2:F$2000,""),"")</f>
        <v>0</v>
      </c>
      <c r="AB610" s="132">
        <f t="shared" si="19"/>
        <v>99</v>
      </c>
      <c r="AC610" s="79"/>
    </row>
    <row r="611" spans="1:29" ht="20.100000000000001" customHeight="1">
      <c r="A611" s="91">
        <v>45906</v>
      </c>
      <c r="B611" s="92" t="str">
        <v>Lopez</v>
      </c>
      <c r="C611" s="92" t="str">
        <v>Ivan</v>
      </c>
      <c r="D611" s="92" t="str">
        <v>Gilbert</v>
      </c>
      <c r="E611" s="92">
        <v>85234</v>
      </c>
      <c r="F611" s="137" t="str">
        <v>Opposed</v>
      </c>
      <c r="G611" s="93" t="str">
        <v>https://docket.images.azcc.gov/E000046266.pdf</v>
      </c>
      <c r="H611" s="150" t="s">
        <v>6063</v>
      </c>
      <c r="I611" s="114" t="str">
        <v>R-BASIC</v>
      </c>
      <c r="J611" s="94" t="str">
        <v>No</v>
      </c>
      <c r="K611" s="94" t="str">
        <v>No</v>
      </c>
      <c r="L611" s="137" t="str">
        <v>Yes</v>
      </c>
      <c r="M611" s="94" t="str">
        <v>No</v>
      </c>
      <c r="N611" s="134" t="str">
        <v>No</v>
      </c>
      <c r="O611" s="119" t="str">
        <v>Yes</v>
      </c>
      <c r="P611" s="92" t="str">
        <v>N</v>
      </c>
      <c r="Q611" s="91">
        <v>45964</v>
      </c>
      <c r="R611" s="140">
        <v>0</v>
      </c>
      <c r="S611" s="92">
        <v>0</v>
      </c>
      <c r="T611" s="92">
        <v>0</v>
      </c>
      <c r="U611" s="137">
        <v>0</v>
      </c>
      <c r="V611" s="126" t="str">
        <f t="shared" si="18"/>
        <v>✅ On Best Plan</v>
      </c>
      <c r="W611" s="130" t="str">
        <f>IFERROR(_xlfn.XLOOKUP(TEXT(H611,"0000000000"),'📞 Call Tracker'!A$2:A$2000,'📞 Call Tracker'!B$2:B$2000,""),"")</f>
        <v>Joaquin</v>
      </c>
      <c r="X611" s="96">
        <f>IFERROR(_xlfn.XLOOKUP(TEXT(H611,"0000000000"),'📞 Call Tracker'!A$2:A$2000,'📞 Call Tracker'!C$2:C$2000,""),"")</f>
        <v>46046</v>
      </c>
      <c r="Y611" s="95" t="str">
        <f>IFERROR(_xlfn.XLOOKUP(TEXT(H611,"0000000000"),'📞 Call Tracker'!A$2:A$2000,'📞 Call Tracker'!D$2:D$2000,""),"")</f>
        <v>YES</v>
      </c>
      <c r="Z611" s="95" t="str">
        <f>IFERROR(_xlfn.XLOOKUP(TEXT(H611,"0000000000"),'📞 Call Tracker'!A$2:A$2000,'📞 Call Tracker'!E$2:E$2000,""),"")</f>
        <v>General Education</v>
      </c>
      <c r="AA611" s="145">
        <f>IFERROR(_xlfn.XLOOKUP(TEXT(H611,"0000000000"),'📞 Call Tracker'!A$2:A$2000,'📞 Call Tracker'!F$2:F$2000,""),"")</f>
        <v>0</v>
      </c>
      <c r="AB611" s="132">
        <f t="shared" si="19"/>
        <v>99</v>
      </c>
      <c r="AC611" s="79"/>
    </row>
    <row r="612" spans="1:29" ht="20.100000000000001" customHeight="1">
      <c r="A612" s="91">
        <v>45906</v>
      </c>
      <c r="B612" s="92" t="str">
        <v>Jaeger</v>
      </c>
      <c r="C612" s="92" t="str">
        <v>Paul</v>
      </c>
      <c r="D612" s="92" t="str">
        <v>Yuma</v>
      </c>
      <c r="E612" s="92">
        <v>85367</v>
      </c>
      <c r="F612" s="137" t="str">
        <v>Opposed</v>
      </c>
      <c r="G612" s="93" t="str">
        <v>https://docket.images.azcc.gov/E000046266.pdf</v>
      </c>
      <c r="H612" s="150" t="s">
        <v>6064</v>
      </c>
      <c r="I612" s="114" t="str">
        <v>RCPw/RTOUE47</v>
      </c>
      <c r="J612" s="94" t="str">
        <v>No</v>
      </c>
      <c r="K612" s="94" t="str">
        <v>No</v>
      </c>
      <c r="L612" s="137" t="str">
        <v>Yes</v>
      </c>
      <c r="M612" s="94" t="str">
        <v>Yes</v>
      </c>
      <c r="N612" s="134">
        <v>122.88</v>
      </c>
      <c r="O612" s="119" t="str">
        <v>Yes</v>
      </c>
      <c r="P612" s="92" t="str">
        <v>N</v>
      </c>
      <c r="Q612" s="91">
        <v>45964</v>
      </c>
      <c r="R612" s="140">
        <v>0</v>
      </c>
      <c r="S612" s="92">
        <v>0</v>
      </c>
      <c r="T612" s="92">
        <v>0</v>
      </c>
      <c r="U612" s="137">
        <v>0</v>
      </c>
      <c r="V612" s="126" t="str">
        <f t="shared" si="18"/>
        <v>✅ On Best Plan</v>
      </c>
      <c r="W612" s="130" t="str">
        <f>IFERROR(_xlfn.XLOOKUP(TEXT(H612,"0000000000"),'📞 Call Tracker'!A$2:A$2000,'📞 Call Tracker'!B$2:B$2000,""),"")</f>
        <v>Joaquin</v>
      </c>
      <c r="X612" s="96">
        <f>IFERROR(_xlfn.XLOOKUP(TEXT(H612,"0000000000"),'📞 Call Tracker'!A$2:A$2000,'📞 Call Tracker'!C$2:C$2000,""),"")</f>
        <v>46046</v>
      </c>
      <c r="Y612" s="95" t="str">
        <f>IFERROR(_xlfn.XLOOKUP(TEXT(H612,"0000000000"),'📞 Call Tracker'!A$2:A$2000,'📞 Call Tracker'!D$2:D$2000,""),"")</f>
        <v>YES</v>
      </c>
      <c r="Z612" s="95" t="str">
        <f>IFERROR(_xlfn.XLOOKUP(TEXT(H612,"0000000000"),'📞 Call Tracker'!A$2:A$2000,'📞 Call Tracker'!E$2:E$2000,""),"")</f>
        <v>General Education</v>
      </c>
      <c r="AA612" s="145">
        <f>IFERROR(_xlfn.XLOOKUP(TEXT(H612,"0000000000"),'📞 Call Tracker'!A$2:A$2000,'📞 Call Tracker'!F$2:F$2000,""),"")</f>
        <v>0</v>
      </c>
      <c r="AB612" s="132">
        <f t="shared" si="19"/>
        <v>99</v>
      </c>
      <c r="AC612" s="79"/>
    </row>
    <row r="613" spans="1:29" ht="20.100000000000001" customHeight="1">
      <c r="A613" s="91">
        <v>45906</v>
      </c>
      <c r="B613" s="92" t="str">
        <v>Young</v>
      </c>
      <c r="C613" s="92" t="str">
        <v>Troy</v>
      </c>
      <c r="D613" s="92" t="str">
        <v>Phoenix</v>
      </c>
      <c r="E613" s="92">
        <v>85024</v>
      </c>
      <c r="F613" s="137" t="str">
        <v>Keep it affordable</v>
      </c>
      <c r="G613" s="93" t="str">
        <v>https://docket.images.azcc.gov/E000046266.pdf</v>
      </c>
      <c r="H613" s="150" t="s">
        <v>6065</v>
      </c>
      <c r="I613" s="114" t="str">
        <v>R3-47</v>
      </c>
      <c r="J613" s="94" t="str">
        <v>No</v>
      </c>
      <c r="K613" s="94" t="str">
        <v>No</v>
      </c>
      <c r="L613" s="137" t="str">
        <v>Yes</v>
      </c>
      <c r="M613" s="94" t="str">
        <v>No</v>
      </c>
      <c r="N613" s="134" t="str">
        <v>No</v>
      </c>
      <c r="O613" s="119" t="str">
        <v>Yes</v>
      </c>
      <c r="P613" s="92" t="str">
        <v>N</v>
      </c>
      <c r="Q613" s="91">
        <v>45964</v>
      </c>
      <c r="R613" s="140">
        <v>0</v>
      </c>
      <c r="S613" s="92">
        <v>0</v>
      </c>
      <c r="T613" s="92">
        <v>0</v>
      </c>
      <c r="U613" s="137">
        <v>0</v>
      </c>
      <c r="V613" s="126" t="str">
        <f t="shared" si="18"/>
        <v>✅ On Best Plan</v>
      </c>
      <c r="W613" s="130" t="str">
        <f>IFERROR(_xlfn.XLOOKUP(TEXT(H613,"0000000000"),'📞 Call Tracker'!A$2:A$2000,'📞 Call Tracker'!B$2:B$2000,""),"")</f>
        <v>Joaquin</v>
      </c>
      <c r="X613" s="96">
        <f>IFERROR(_xlfn.XLOOKUP(TEXT(H613,"0000000000"),'📞 Call Tracker'!A$2:A$2000,'📞 Call Tracker'!C$2:C$2000,""),"")</f>
        <v>46046</v>
      </c>
      <c r="Y613" s="95" t="str">
        <f>IFERROR(_xlfn.XLOOKUP(TEXT(H613,"0000000000"),'📞 Call Tracker'!A$2:A$2000,'📞 Call Tracker'!D$2:D$2000,""),"")</f>
        <v>NO</v>
      </c>
      <c r="Z613" s="95" t="str">
        <f>IFERROR(_xlfn.XLOOKUP(TEXT(H613,"0000000000"),'📞 Call Tracker'!A$2:A$2000,'📞 Call Tracker'!E$2:E$2000,""),"")</f>
        <v>General Education</v>
      </c>
      <c r="AA613" s="145" t="str">
        <f>IFERROR(_xlfn.XLOOKUP(TEXT(H613,"0000000000"),'📞 Call Tracker'!A$2:A$2000,'📞 Call Tracker'!F$2:F$2000,""),"")</f>
        <v>SENT E3 TO APPLY</v>
      </c>
      <c r="AB613" s="132">
        <f t="shared" si="19"/>
        <v>99</v>
      </c>
      <c r="AC613" s="79"/>
    </row>
    <row r="614" spans="1:29" ht="20.100000000000001" customHeight="1">
      <c r="A614" s="91">
        <v>45906</v>
      </c>
      <c r="B614" s="92" t="str">
        <v>Clements</v>
      </c>
      <c r="C614" s="92" t="str">
        <v>Matthew</v>
      </c>
      <c r="D614" s="92" t="str">
        <v>Tempe</v>
      </c>
      <c r="E614" s="92">
        <v>85281</v>
      </c>
      <c r="F614" s="137" t="str">
        <v>Form letter</v>
      </c>
      <c r="G614" s="93" t="str">
        <v>https://docket.images.azcc.gov/E000046266.pdf</v>
      </c>
      <c r="H614" s="150" t="s">
        <v>6327</v>
      </c>
      <c r="I614" s="114" t="str">
        <v>R3-47</v>
      </c>
      <c r="J614" s="94" t="str">
        <v>No</v>
      </c>
      <c r="K614" s="94" t="str">
        <v>No</v>
      </c>
      <c r="L614" s="137" t="str">
        <v>Yes</v>
      </c>
      <c r="M614" s="94" t="str">
        <v>No</v>
      </c>
      <c r="N614" s="134" t="str">
        <v>No</v>
      </c>
      <c r="O614" s="119" t="str">
        <v>Yes</v>
      </c>
      <c r="P614" s="92" t="str">
        <v>N</v>
      </c>
      <c r="Q614" s="91">
        <v>45964</v>
      </c>
      <c r="R614" s="140">
        <v>0</v>
      </c>
      <c r="S614" s="92">
        <v>0</v>
      </c>
      <c r="T614" s="92">
        <v>0</v>
      </c>
      <c r="U614" s="137">
        <v>0</v>
      </c>
      <c r="V614" s="126" t="str">
        <f t="shared" si="18"/>
        <v>✅ On Best Plan</v>
      </c>
      <c r="W614" s="130">
        <f>IFERROR(_xlfn.XLOOKUP(TEXT(H614,"0000000000"),'📞 Call Tracker'!A$2:A$2000,'📞 Call Tracker'!B$2:B$2000,""),"")</f>
        <v>0</v>
      </c>
      <c r="X614" s="96">
        <f>IFERROR(_xlfn.XLOOKUP(TEXT(H614,"0000000000"),'📞 Call Tracker'!A$2:A$2000,'📞 Call Tracker'!C$2:C$2000,""),"")</f>
        <v>0</v>
      </c>
      <c r="Y614" s="95">
        <f>IFERROR(_xlfn.XLOOKUP(TEXT(H614,"0000000000"),'📞 Call Tracker'!A$2:A$2000,'📞 Call Tracker'!D$2:D$2000,""),"")</f>
        <v>0</v>
      </c>
      <c r="Z614" s="95">
        <f>IFERROR(_xlfn.XLOOKUP(TEXT(H614,"0000000000"),'📞 Call Tracker'!A$2:A$2000,'📞 Call Tracker'!E$2:E$2000,""),"")</f>
        <v>0</v>
      </c>
      <c r="AA614" s="145">
        <f>IFERROR(_xlfn.XLOOKUP(TEXT(H614,"0000000000"),'📞 Call Tracker'!A$2:A$2000,'📞 Call Tracker'!F$2:F$2000,""),"")</f>
        <v>0</v>
      </c>
      <c r="AB614" s="132">
        <f t="shared" si="19"/>
        <v>99</v>
      </c>
      <c r="AC614" s="79"/>
    </row>
    <row r="615" spans="1:29" ht="20.100000000000001" customHeight="1">
      <c r="A615" s="91">
        <v>45906</v>
      </c>
      <c r="B615" s="92" t="str">
        <v>Jender</v>
      </c>
      <c r="C615" s="92" t="str">
        <v>Michael</v>
      </c>
      <c r="D615" s="92" t="str">
        <v>Phoenix</v>
      </c>
      <c r="E615" s="92">
        <v>85004</v>
      </c>
      <c r="F615" s="137" t="str">
        <v>Form letter</v>
      </c>
      <c r="G615" s="93" t="str">
        <v>https://docket.images.azcc.gov/E000046266.pdf</v>
      </c>
      <c r="H615" s="150" t="s">
        <v>6328</v>
      </c>
      <c r="I615" s="114" t="str">
        <v>R-BASIC</v>
      </c>
      <c r="J615" s="94" t="str">
        <v>No</v>
      </c>
      <c r="K615" s="94" t="str">
        <v>No</v>
      </c>
      <c r="L615" s="137" t="str">
        <v>No MEP R-XS ($47.79)</v>
      </c>
      <c r="M615" s="94" t="str">
        <v>No</v>
      </c>
      <c r="N615" s="134" t="str">
        <v>No</v>
      </c>
      <c r="O615" s="119" t="str">
        <v>Yes</v>
      </c>
      <c r="P615" s="92" t="str">
        <v>N</v>
      </c>
      <c r="Q615" s="91">
        <v>45964</v>
      </c>
      <c r="R615" s="140">
        <v>0</v>
      </c>
      <c r="S615" s="92">
        <v>0</v>
      </c>
      <c r="T615" s="92">
        <v>0</v>
      </c>
      <c r="U615" s="137">
        <v>0</v>
      </c>
      <c r="V615" s="126" t="str">
        <f t="shared" si="18"/>
        <v>❌ Not on Best Plan</v>
      </c>
      <c r="W615" s="130">
        <f>IFERROR(_xlfn.XLOOKUP(TEXT(H615,"0000000000"),'📞 Call Tracker'!A$2:A$2000,'📞 Call Tracker'!B$2:B$2000,""),"")</f>
        <v>0</v>
      </c>
      <c r="X615" s="96">
        <f>IFERROR(_xlfn.XLOOKUP(TEXT(H615,"0000000000"),'📞 Call Tracker'!A$2:A$2000,'📞 Call Tracker'!C$2:C$2000,""),"")</f>
        <v>0</v>
      </c>
      <c r="Y615" s="95">
        <f>IFERROR(_xlfn.XLOOKUP(TEXT(H615,"0000000000"),'📞 Call Tracker'!A$2:A$2000,'📞 Call Tracker'!D$2:D$2000,""),"")</f>
        <v>0</v>
      </c>
      <c r="Z615" s="95">
        <f>IFERROR(_xlfn.XLOOKUP(TEXT(H615,"0000000000"),'📞 Call Tracker'!A$2:A$2000,'📞 Call Tracker'!E$2:E$2000,""),"")</f>
        <v>0</v>
      </c>
      <c r="AA615" s="145">
        <f>IFERROR(_xlfn.XLOOKUP(TEXT(H615,"0000000000"),'📞 Call Tracker'!A$2:A$2000,'📞 Call Tracker'!F$2:F$2000,""),"")</f>
        <v>0</v>
      </c>
      <c r="AB615" s="132">
        <f t="shared" si="19"/>
        <v>99</v>
      </c>
      <c r="AC615" s="79"/>
    </row>
    <row r="616" spans="1:29" ht="20.100000000000001" customHeight="1">
      <c r="A616" s="91">
        <v>45906</v>
      </c>
      <c r="B616" s="92" t="str">
        <v>Paynter</v>
      </c>
      <c r="C616" s="92" t="str">
        <v>DJ</v>
      </c>
      <c r="D616" s="92" t="str">
        <v>Peoria</v>
      </c>
      <c r="E616" s="92">
        <v>85382</v>
      </c>
      <c r="F616" s="137" t="str">
        <v>Form letter</v>
      </c>
      <c r="G616" s="93" t="str">
        <v>https://docket.images.azcc.gov/E000046266.pdf</v>
      </c>
      <c r="H616" s="150" t="s">
        <v>6066</v>
      </c>
      <c r="I616" s="114" t="str">
        <v>R3-47</v>
      </c>
      <c r="J616" s="94" t="str">
        <v>No</v>
      </c>
      <c r="K616" s="94" t="str">
        <v>No</v>
      </c>
      <c r="L616" s="137" t="str">
        <v>Yes</v>
      </c>
      <c r="M616" s="94" t="str">
        <v>No</v>
      </c>
      <c r="N616" s="134" t="str">
        <v>No</v>
      </c>
      <c r="O616" s="119" t="str">
        <v>Yes</v>
      </c>
      <c r="P616" s="92" t="str">
        <v>N</v>
      </c>
      <c r="Q616" s="91">
        <v>45964</v>
      </c>
      <c r="R616" s="140">
        <v>0</v>
      </c>
      <c r="S616" s="92">
        <v>0</v>
      </c>
      <c r="T616" s="92">
        <v>0</v>
      </c>
      <c r="U616" s="137">
        <v>0</v>
      </c>
      <c r="V616" s="126" t="str">
        <f t="shared" si="18"/>
        <v>✅ On Best Plan</v>
      </c>
      <c r="W616" s="130" t="str">
        <f>IFERROR(_xlfn.XLOOKUP(TEXT(H616,"0000000000"),'📞 Call Tracker'!A$2:A$2000,'📞 Call Tracker'!B$2:B$2000,""),"")</f>
        <v>Joaquin</v>
      </c>
      <c r="X616" s="96">
        <f>IFERROR(_xlfn.XLOOKUP(TEXT(H616,"0000000000"),'📞 Call Tracker'!A$2:A$2000,'📞 Call Tracker'!C$2:C$2000,""),"")</f>
        <v>46046</v>
      </c>
      <c r="Y616" s="95" t="str">
        <f>IFERROR(_xlfn.XLOOKUP(TEXT(H616,"0000000000"),'📞 Call Tracker'!A$2:A$2000,'📞 Call Tracker'!D$2:D$2000,""),"")</f>
        <v>NO</v>
      </c>
      <c r="Z616" s="95">
        <f>IFERROR(_xlfn.XLOOKUP(TEXT(H616,"0000000000"),'📞 Call Tracker'!A$2:A$2000,'📞 Call Tracker'!E$2:E$2000,""),"")</f>
        <v>0</v>
      </c>
      <c r="AA616" s="145" t="str">
        <f>IFERROR(_xlfn.XLOOKUP(TEXT(H616,"0000000000"),'📞 Call Tracker'!A$2:A$2000,'📞 Call Tracker'!F$2:F$2000,""),"")</f>
        <v>NO V-M OPTION</v>
      </c>
      <c r="AB616" s="132">
        <f t="shared" si="19"/>
        <v>99</v>
      </c>
      <c r="AC616" s="79"/>
    </row>
    <row r="617" spans="1:29" ht="20.100000000000001" customHeight="1">
      <c r="A617" s="91">
        <v>45906</v>
      </c>
      <c r="B617" s="92" t="str">
        <v>Ferrales</v>
      </c>
      <c r="C617" s="92" t="str">
        <v>Marlenne</v>
      </c>
      <c r="D617" s="92" t="str">
        <v>Phoenix</v>
      </c>
      <c r="E617" s="92">
        <v>85014</v>
      </c>
      <c r="F617" s="137" t="str">
        <v>Form letter</v>
      </c>
      <c r="G617" s="93" t="str">
        <v>https://docket.images.azcc.gov/E000046266.pdf</v>
      </c>
      <c r="H617" s="150" t="s">
        <v>6329</v>
      </c>
      <c r="I617" s="114" t="str">
        <v>RTOUE47</v>
      </c>
      <c r="J617" s="94" t="str">
        <v>No</v>
      </c>
      <c r="K617" s="94" t="str">
        <v>No</v>
      </c>
      <c r="L617" s="137" t="str">
        <v>No MEP R-BASIC ($18.51)</v>
      </c>
      <c r="M617" s="94" t="str">
        <v>No</v>
      </c>
      <c r="N617" s="134" t="str">
        <v>No</v>
      </c>
      <c r="O617" s="119" t="str">
        <v>Yes</v>
      </c>
      <c r="P617" s="92" t="str">
        <v>N</v>
      </c>
      <c r="Q617" s="91">
        <v>45964</v>
      </c>
      <c r="R617" s="140">
        <v>0</v>
      </c>
      <c r="S617" s="92">
        <v>0</v>
      </c>
      <c r="T617" s="92">
        <v>0</v>
      </c>
      <c r="U617" s="137">
        <v>0</v>
      </c>
      <c r="V617" s="126" t="str">
        <f t="shared" si="18"/>
        <v>❌ Not on Best Plan</v>
      </c>
      <c r="W617" s="130">
        <f>IFERROR(_xlfn.XLOOKUP(TEXT(H617,"0000000000"),'📞 Call Tracker'!A$2:A$2000,'📞 Call Tracker'!B$2:B$2000,""),"")</f>
        <v>0</v>
      </c>
      <c r="X617" s="96">
        <f>IFERROR(_xlfn.XLOOKUP(TEXT(H617,"0000000000"),'📞 Call Tracker'!A$2:A$2000,'📞 Call Tracker'!C$2:C$2000,""),"")</f>
        <v>0</v>
      </c>
      <c r="Y617" s="95">
        <f>IFERROR(_xlfn.XLOOKUP(TEXT(H617,"0000000000"),'📞 Call Tracker'!A$2:A$2000,'📞 Call Tracker'!D$2:D$2000,""),"")</f>
        <v>0</v>
      </c>
      <c r="Z617" s="95">
        <f>IFERROR(_xlfn.XLOOKUP(TEXT(H617,"0000000000"),'📞 Call Tracker'!A$2:A$2000,'📞 Call Tracker'!E$2:E$2000,""),"")</f>
        <v>0</v>
      </c>
      <c r="AA617" s="145">
        <f>IFERROR(_xlfn.XLOOKUP(TEXT(H617,"0000000000"),'📞 Call Tracker'!A$2:A$2000,'📞 Call Tracker'!F$2:F$2000,""),"")</f>
        <v>0</v>
      </c>
      <c r="AB617" s="132">
        <f t="shared" si="19"/>
        <v>99</v>
      </c>
      <c r="AC617" s="79"/>
    </row>
    <row r="618" spans="1:29" ht="20.100000000000001" customHeight="1">
      <c r="A618" s="91">
        <v>45906</v>
      </c>
      <c r="B618" s="92" t="str">
        <v>Pesala</v>
      </c>
      <c r="C618" s="92" t="str">
        <v>Harikrishna</v>
      </c>
      <c r="D618" s="92" t="str">
        <v>Peoria</v>
      </c>
      <c r="E618" s="92">
        <v>85383</v>
      </c>
      <c r="F618" s="137" t="str">
        <v>rake hike is not good</v>
      </c>
      <c r="G618" s="93" t="str">
        <v>https://docket.images.azcc.gov/E000046266.pdf</v>
      </c>
      <c r="H618" s="150" t="s">
        <v>6330</v>
      </c>
      <c r="I618" s="114" t="str">
        <v>RCPw/RTOUE47</v>
      </c>
      <c r="J618" s="94" t="str">
        <v>No</v>
      </c>
      <c r="K618" s="94" t="str">
        <v>No</v>
      </c>
      <c r="L618" s="137" t="str">
        <v>No MEP R3-47($83.41)</v>
      </c>
      <c r="M618" s="94" t="str">
        <v>No</v>
      </c>
      <c r="N618" s="134" t="str">
        <v>No</v>
      </c>
      <c r="O618" s="119" t="str">
        <v>Yes</v>
      </c>
      <c r="P618" s="92">
        <v>45939</v>
      </c>
      <c r="Q618" s="91">
        <v>45964</v>
      </c>
      <c r="R618" s="140" t="str">
        <v xml:space="preserve">10/9 - Spoke to COR and discussed plan options and how the R3-47 plan works. He would like to review the details online and call back if he decides to switch. </v>
      </c>
      <c r="S618" s="92">
        <v>0</v>
      </c>
      <c r="T618" s="92">
        <v>0</v>
      </c>
      <c r="U618" s="137">
        <v>0</v>
      </c>
      <c r="V618" s="126" t="str">
        <f t="shared" si="18"/>
        <v>❌ Not on Best Plan</v>
      </c>
      <c r="W618" s="130">
        <f>IFERROR(_xlfn.XLOOKUP(TEXT(H618,"0000000000"),'📞 Call Tracker'!A$2:A$2000,'📞 Call Tracker'!B$2:B$2000,""),"")</f>
        <v>0</v>
      </c>
      <c r="X618" s="96">
        <f>IFERROR(_xlfn.XLOOKUP(TEXT(H618,"0000000000"),'📞 Call Tracker'!A$2:A$2000,'📞 Call Tracker'!C$2:C$2000,""),"")</f>
        <v>0</v>
      </c>
      <c r="Y618" s="95">
        <f>IFERROR(_xlfn.XLOOKUP(TEXT(H618,"0000000000"),'📞 Call Tracker'!A$2:A$2000,'📞 Call Tracker'!D$2:D$2000,""),"")</f>
        <v>0</v>
      </c>
      <c r="Z618" s="95">
        <f>IFERROR(_xlfn.XLOOKUP(TEXT(H618,"0000000000"),'📞 Call Tracker'!A$2:A$2000,'📞 Call Tracker'!E$2:E$2000,""),"")</f>
        <v>0</v>
      </c>
      <c r="AA618" s="145">
        <f>IFERROR(_xlfn.XLOOKUP(TEXT(H618,"0000000000"),'📞 Call Tracker'!A$2:A$2000,'📞 Call Tracker'!F$2:F$2000,""),"")</f>
        <v>0</v>
      </c>
      <c r="AB618" s="132">
        <f t="shared" si="19"/>
        <v>99</v>
      </c>
      <c r="AC618" s="79"/>
    </row>
    <row r="619" spans="1:29" ht="20.100000000000001" customHeight="1">
      <c r="A619" s="91">
        <v>45906</v>
      </c>
      <c r="B619" s="92" t="str">
        <v>Kachur</v>
      </c>
      <c r="C619" s="92" t="str">
        <v>Marina</v>
      </c>
      <c r="D619" s="92" t="str">
        <v>Cave Creek</v>
      </c>
      <c r="E619" s="92">
        <v>85331</v>
      </c>
      <c r="F619" s="137" t="str">
        <v>Form letter</v>
      </c>
      <c r="G619" s="93" t="str">
        <v>https://docket.images.azcc.gov/E000046266.pdf</v>
      </c>
      <c r="H619" s="150" t="s">
        <v>6152</v>
      </c>
      <c r="I619" s="114" t="str">
        <v>RTOUE47</v>
      </c>
      <c r="J619" s="94" t="str">
        <v>No</v>
      </c>
      <c r="K619" s="94" t="str">
        <v>No</v>
      </c>
      <c r="L619" s="137" t="str">
        <v>Yes</v>
      </c>
      <c r="M619" s="94" t="str">
        <v>No</v>
      </c>
      <c r="N619" s="134" t="str">
        <v>No</v>
      </c>
      <c r="O619" s="119" t="str">
        <v>Yes</v>
      </c>
      <c r="P619" s="92" t="str">
        <v>N</v>
      </c>
      <c r="Q619" s="91">
        <v>45964</v>
      </c>
      <c r="R619" s="140">
        <v>0</v>
      </c>
      <c r="S619" s="92">
        <v>0</v>
      </c>
      <c r="T619" s="92">
        <v>0</v>
      </c>
      <c r="U619" s="137">
        <v>0</v>
      </c>
      <c r="V619" s="126" t="str">
        <f t="shared" si="18"/>
        <v>✅ On Best Plan</v>
      </c>
      <c r="W619" s="130" t="str">
        <f>IFERROR(_xlfn.XLOOKUP(TEXT(H619,"0000000000"),'📞 Call Tracker'!A$2:A$2000,'📞 Call Tracker'!B$2:B$2000,""),"")</f>
        <v>Joaquin</v>
      </c>
      <c r="X619" s="96">
        <f>IFERROR(_xlfn.XLOOKUP(TEXT(H619,"0000000000"),'📞 Call Tracker'!A$2:A$2000,'📞 Call Tracker'!C$2:C$2000,""),"")</f>
        <v>46046</v>
      </c>
      <c r="Y619" s="95" t="str">
        <f>IFERROR(_xlfn.XLOOKUP(TEXT(H619,"0000000000"),'📞 Call Tracker'!A$2:A$2000,'📞 Call Tracker'!D$2:D$2000,""),"")</f>
        <v>NO</v>
      </c>
      <c r="Z619" s="95" t="str">
        <f>IFERROR(_xlfn.XLOOKUP(TEXT(H619,"0000000000"),'📞 Call Tracker'!A$2:A$2000,'📞 Call Tracker'!E$2:E$2000,""),"")</f>
        <v>General Education</v>
      </c>
      <c r="AA619" s="145">
        <f>IFERROR(_xlfn.XLOOKUP(TEXT(H619,"0000000000"),'📞 Call Tracker'!A$2:A$2000,'📞 Call Tracker'!F$2:F$2000,""),"")</f>
        <v>0</v>
      </c>
      <c r="AB619" s="132">
        <f t="shared" si="19"/>
        <v>99</v>
      </c>
      <c r="AC619" s="79"/>
    </row>
    <row r="620" spans="1:29" ht="20.100000000000001" customHeight="1">
      <c r="A620" s="91">
        <v>45906</v>
      </c>
      <c r="B620" s="92" t="str">
        <v>Gallagher</v>
      </c>
      <c r="C620" s="92" t="str">
        <v>Tina</v>
      </c>
      <c r="D620" s="92" t="str">
        <v>Surprise</v>
      </c>
      <c r="E620" s="92">
        <v>85378</v>
      </c>
      <c r="F620" s="137" t="str">
        <v xml:space="preserve">Fixed income </v>
      </c>
      <c r="G620" s="93" t="str">
        <v>https://docket.images.azcc.gov/E000046266.pdf</v>
      </c>
      <c r="H620" s="150" t="s">
        <v>6331</v>
      </c>
      <c r="I620" s="114" t="str">
        <v>R3-47</v>
      </c>
      <c r="J620" s="94" t="str">
        <v>No</v>
      </c>
      <c r="K620" s="94" t="str">
        <v>No</v>
      </c>
      <c r="L620" s="137" t="str">
        <v>Yes</v>
      </c>
      <c r="M620" s="94" t="str">
        <v>No</v>
      </c>
      <c r="N620" s="134" t="str">
        <v>No</v>
      </c>
      <c r="O620" s="119" t="str">
        <v>Yes</v>
      </c>
      <c r="P620" s="92" t="str">
        <v>N</v>
      </c>
      <c r="Q620" s="91">
        <v>45964</v>
      </c>
      <c r="R620" s="140" t="str">
        <v>MEP not showing on the bill "flagged irregular usage" - Ashley is checking in to it</v>
      </c>
      <c r="S620" s="92">
        <v>0</v>
      </c>
      <c r="T620" s="92">
        <v>0</v>
      </c>
      <c r="U620" s="137">
        <v>0</v>
      </c>
      <c r="V620" s="126" t="str">
        <f t="shared" si="18"/>
        <v>✅ On Best Plan</v>
      </c>
      <c r="W620" s="130">
        <f>IFERROR(_xlfn.XLOOKUP(TEXT(H620,"0000000000"),'📞 Call Tracker'!A$2:A$2000,'📞 Call Tracker'!B$2:B$2000,""),"")</f>
        <v>0</v>
      </c>
      <c r="X620" s="96">
        <f>IFERROR(_xlfn.XLOOKUP(TEXT(H620,"0000000000"),'📞 Call Tracker'!A$2:A$2000,'📞 Call Tracker'!C$2:C$2000,""),"")</f>
        <v>0</v>
      </c>
      <c r="Y620" s="95">
        <f>IFERROR(_xlfn.XLOOKUP(TEXT(H620,"0000000000"),'📞 Call Tracker'!A$2:A$2000,'📞 Call Tracker'!D$2:D$2000,""),"")</f>
        <v>0</v>
      </c>
      <c r="Z620" s="95">
        <f>IFERROR(_xlfn.XLOOKUP(TEXT(H620,"0000000000"),'📞 Call Tracker'!A$2:A$2000,'📞 Call Tracker'!E$2:E$2000,""),"")</f>
        <v>0</v>
      </c>
      <c r="AA620" s="145">
        <f>IFERROR(_xlfn.XLOOKUP(TEXT(H620,"0000000000"),'📞 Call Tracker'!A$2:A$2000,'📞 Call Tracker'!F$2:F$2000,""),"")</f>
        <v>0</v>
      </c>
      <c r="AB620" s="132">
        <f t="shared" si="19"/>
        <v>99</v>
      </c>
      <c r="AC620" s="79"/>
    </row>
    <row r="621" spans="1:29" ht="20.100000000000001" customHeight="1">
      <c r="A621" s="91">
        <v>45906</v>
      </c>
      <c r="B621" s="92" t="str">
        <v>Juneau</v>
      </c>
      <c r="C621" s="92" t="str">
        <v>Paul</v>
      </c>
      <c r="D621" s="92" t="str">
        <v>Phoenix</v>
      </c>
      <c r="E621" s="92">
        <v>85083</v>
      </c>
      <c r="F621" s="137" t="str">
        <v>Opposed</v>
      </c>
      <c r="G621" s="93" t="str">
        <v>https://docket.images.azcc.gov/E000046266.pdf</v>
      </c>
      <c r="H621" s="150" t="s">
        <v>6332</v>
      </c>
      <c r="I621" s="114" t="str">
        <v>R3-47</v>
      </c>
      <c r="J621" s="94" t="str">
        <v>No</v>
      </c>
      <c r="K621" s="94" t="str">
        <v>No</v>
      </c>
      <c r="L621" s="137" t="str">
        <v>Yes</v>
      </c>
      <c r="M621" s="94" t="str">
        <v>No</v>
      </c>
      <c r="N621" s="134" t="str">
        <v>No</v>
      </c>
      <c r="O621" s="119" t="str">
        <v>Yes</v>
      </c>
      <c r="P621" s="92" t="str">
        <v>N</v>
      </c>
      <c r="Q621" s="91">
        <v>45964</v>
      </c>
      <c r="R621" s="140">
        <v>0</v>
      </c>
      <c r="S621" s="92">
        <v>0</v>
      </c>
      <c r="T621" s="92">
        <v>0</v>
      </c>
      <c r="U621" s="137">
        <v>0</v>
      </c>
      <c r="V621" s="126" t="str">
        <f t="shared" si="18"/>
        <v>✅ On Best Plan</v>
      </c>
      <c r="W621" s="130">
        <f>IFERROR(_xlfn.XLOOKUP(TEXT(H621,"0000000000"),'📞 Call Tracker'!A$2:A$2000,'📞 Call Tracker'!B$2:B$2000,""),"")</f>
        <v>0</v>
      </c>
      <c r="X621" s="96">
        <f>IFERROR(_xlfn.XLOOKUP(TEXT(H621,"0000000000"),'📞 Call Tracker'!A$2:A$2000,'📞 Call Tracker'!C$2:C$2000,""),"")</f>
        <v>0</v>
      </c>
      <c r="Y621" s="95">
        <f>IFERROR(_xlfn.XLOOKUP(TEXT(H621,"0000000000"),'📞 Call Tracker'!A$2:A$2000,'📞 Call Tracker'!D$2:D$2000,""),"")</f>
        <v>0</v>
      </c>
      <c r="Z621" s="95">
        <f>IFERROR(_xlfn.XLOOKUP(TEXT(H621,"0000000000"),'📞 Call Tracker'!A$2:A$2000,'📞 Call Tracker'!E$2:E$2000,""),"")</f>
        <v>0</v>
      </c>
      <c r="AA621" s="145">
        <f>IFERROR(_xlfn.XLOOKUP(TEXT(H621,"0000000000"),'📞 Call Tracker'!A$2:A$2000,'📞 Call Tracker'!F$2:F$2000,""),"")</f>
        <v>0</v>
      </c>
      <c r="AB621" s="132">
        <f t="shared" si="19"/>
        <v>99</v>
      </c>
      <c r="AC621" s="79"/>
    </row>
    <row r="622" spans="1:29" ht="20.100000000000001" customHeight="1">
      <c r="A622" s="91">
        <v>45906</v>
      </c>
      <c r="B622" s="92" t="str">
        <v>Lee</v>
      </c>
      <c r="C622" s="92" t="str">
        <v>Daniel</v>
      </c>
      <c r="D622" s="92" t="str">
        <v>Scottsdale</v>
      </c>
      <c r="E622" s="92">
        <v>85260</v>
      </c>
      <c r="F622" s="137" t="str">
        <v>Form letter</v>
      </c>
      <c r="G622" s="93" t="str">
        <v>https://docket.images.azcc.gov/E000046266.pdf</v>
      </c>
      <c r="H622" s="150" t="s">
        <v>6067</v>
      </c>
      <c r="I622" s="114" t="str">
        <v>R-XS</v>
      </c>
      <c r="J622" s="94" t="str">
        <v>No</v>
      </c>
      <c r="K622" s="94" t="str">
        <v>No</v>
      </c>
      <c r="L622" s="137" t="str">
        <v>Not eligible yet (needs 3 months)</v>
      </c>
      <c r="M622" s="94" t="str">
        <v>No</v>
      </c>
      <c r="N622" s="134" t="str">
        <v>No</v>
      </c>
      <c r="O622" s="119" t="str">
        <v>Yes</v>
      </c>
      <c r="P622" s="92" t="str">
        <v>N</v>
      </c>
      <c r="Q622" s="91">
        <v>45964</v>
      </c>
      <c r="R622" s="140">
        <v>0</v>
      </c>
      <c r="S622" s="92">
        <v>0</v>
      </c>
      <c r="T622" s="92">
        <v>0</v>
      </c>
      <c r="U622" s="137">
        <v>0</v>
      </c>
      <c r="V622" s="126" t="str">
        <f t="shared" si="18"/>
        <v>❌ Not on Best Plan</v>
      </c>
      <c r="W622" s="130" t="str">
        <f>IFERROR(_xlfn.XLOOKUP(TEXT(H622,"0000000000"),'📞 Call Tracker'!A$2:A$2000,'📞 Call Tracker'!B$2:B$2000,""),"")</f>
        <v>Joaquin</v>
      </c>
      <c r="X622" s="96">
        <f>IFERROR(_xlfn.XLOOKUP(TEXT(H622,"0000000000"),'📞 Call Tracker'!A$2:A$2000,'📞 Call Tracker'!C$2:C$2000,""),"")</f>
        <v>46046</v>
      </c>
      <c r="Y622" s="95" t="str">
        <f>IFERROR(_xlfn.XLOOKUP(TEXT(H622,"0000000000"),'📞 Call Tracker'!A$2:A$2000,'📞 Call Tracker'!D$2:D$2000,""),"")</f>
        <v>NO</v>
      </c>
      <c r="Z622" s="95" t="str">
        <f>IFERROR(_xlfn.XLOOKUP(TEXT(H622,"0000000000"),'📞 Call Tracker'!A$2:A$2000,'📞 Call Tracker'!E$2:E$2000,""),"")</f>
        <v>General Education</v>
      </c>
      <c r="AA622" s="145">
        <f>IFERROR(_xlfn.XLOOKUP(TEXT(H622,"0000000000"),'📞 Call Tracker'!A$2:A$2000,'📞 Call Tracker'!F$2:F$2000,""),"")</f>
        <v>0</v>
      </c>
      <c r="AB622" s="132">
        <f t="shared" si="19"/>
        <v>99</v>
      </c>
      <c r="AC622" s="79"/>
    </row>
    <row r="623" spans="1:29" ht="20.100000000000001" customHeight="1">
      <c r="A623" s="91">
        <v>45906</v>
      </c>
      <c r="B623" s="92" t="str">
        <v>Landau</v>
      </c>
      <c r="C623" s="92" t="str">
        <v>Leslie</v>
      </c>
      <c r="D623" s="92" t="str">
        <v>Scottsdale</v>
      </c>
      <c r="E623" s="92">
        <v>85260</v>
      </c>
      <c r="F623" s="137" t="str">
        <v>Opposed</v>
      </c>
      <c r="G623" s="93" t="str">
        <v>https://docket.images.azcc.gov/E000046266.pdf</v>
      </c>
      <c r="H623" s="150" t="s">
        <v>6333</v>
      </c>
      <c r="I623" s="114" t="str">
        <v>R3-47</v>
      </c>
      <c r="J623" s="94" t="str">
        <v>No</v>
      </c>
      <c r="K623" s="94" t="str">
        <v>No</v>
      </c>
      <c r="L623" s="137" t="str">
        <v>Yes</v>
      </c>
      <c r="M623" s="94" t="str">
        <v>No</v>
      </c>
      <c r="N623" s="134" t="str">
        <v>No</v>
      </c>
      <c r="O623" s="119" t="str">
        <v>Yes</v>
      </c>
      <c r="P623" s="92" t="str">
        <v>N</v>
      </c>
      <c r="Q623" s="91">
        <v>45964</v>
      </c>
      <c r="R623" s="140">
        <v>0</v>
      </c>
      <c r="S623" s="92">
        <v>0</v>
      </c>
      <c r="T623" s="92">
        <v>0</v>
      </c>
      <c r="U623" s="137">
        <v>0</v>
      </c>
      <c r="V623" s="126" t="str">
        <f t="shared" si="18"/>
        <v>✅ On Best Plan</v>
      </c>
      <c r="W623" s="130">
        <f>IFERROR(_xlfn.XLOOKUP(TEXT(H623,"0000000000"),'📞 Call Tracker'!A$2:A$2000,'📞 Call Tracker'!B$2:B$2000,""),"")</f>
        <v>0</v>
      </c>
      <c r="X623" s="96">
        <f>IFERROR(_xlfn.XLOOKUP(TEXT(H623,"0000000000"),'📞 Call Tracker'!A$2:A$2000,'📞 Call Tracker'!C$2:C$2000,""),"")</f>
        <v>0</v>
      </c>
      <c r="Y623" s="95">
        <f>IFERROR(_xlfn.XLOOKUP(TEXT(H623,"0000000000"),'📞 Call Tracker'!A$2:A$2000,'📞 Call Tracker'!D$2:D$2000,""),"")</f>
        <v>0</v>
      </c>
      <c r="Z623" s="95">
        <f>IFERROR(_xlfn.XLOOKUP(TEXT(H623,"0000000000"),'📞 Call Tracker'!A$2:A$2000,'📞 Call Tracker'!E$2:E$2000,""),"")</f>
        <v>0</v>
      </c>
      <c r="AA623" s="145">
        <f>IFERROR(_xlfn.XLOOKUP(TEXT(H623,"0000000000"),'📞 Call Tracker'!A$2:A$2000,'📞 Call Tracker'!F$2:F$2000,""),"")</f>
        <v>0</v>
      </c>
      <c r="AB623" s="132">
        <f t="shared" si="19"/>
        <v>99</v>
      </c>
      <c r="AC623" s="79"/>
    </row>
    <row r="624" spans="1:29" ht="20.100000000000001" customHeight="1">
      <c r="A624" s="91">
        <v>45906</v>
      </c>
      <c r="B624" s="92" t="str">
        <v>Mandala</v>
      </c>
      <c r="C624" s="92" t="str">
        <v>Stephanie</v>
      </c>
      <c r="D624" s="92" t="str">
        <v>Scottsdale</v>
      </c>
      <c r="E624" s="92">
        <v>85260</v>
      </c>
      <c r="F624" s="137" t="str">
        <v>Form letter</v>
      </c>
      <c r="G624" s="93" t="str">
        <v>https://docket.images.azcc.gov/E000046266.pdf</v>
      </c>
      <c r="H624" s="150" t="s">
        <v>6068</v>
      </c>
      <c r="I624" s="114" t="str">
        <v>R-BASIC</v>
      </c>
      <c r="J624" s="94" t="str">
        <v>No</v>
      </c>
      <c r="K624" s="94" t="str">
        <v>No</v>
      </c>
      <c r="L624" s="137" t="str">
        <v>Yes</v>
      </c>
      <c r="M624" s="94" t="str">
        <v>No</v>
      </c>
      <c r="N624" s="134" t="str">
        <v>No</v>
      </c>
      <c r="O624" s="119" t="str">
        <v>Yes</v>
      </c>
      <c r="P624" s="92" t="str">
        <v>N</v>
      </c>
      <c r="Q624" s="91">
        <v>45964</v>
      </c>
      <c r="R624" s="140">
        <v>0</v>
      </c>
      <c r="S624" s="92">
        <v>0</v>
      </c>
      <c r="T624" s="92">
        <v>0</v>
      </c>
      <c r="U624" s="137">
        <v>0</v>
      </c>
      <c r="V624" s="126" t="str">
        <f t="shared" si="18"/>
        <v>✅ On Best Plan</v>
      </c>
      <c r="W624" s="130" t="str">
        <f>IFERROR(_xlfn.XLOOKUP(TEXT(H624,"0000000000"),'📞 Call Tracker'!A$2:A$2000,'📞 Call Tracker'!B$2:B$2000,""),"")</f>
        <v>Joaquin</v>
      </c>
      <c r="X624" s="96">
        <f>IFERROR(_xlfn.XLOOKUP(TEXT(H624,"0000000000"),'📞 Call Tracker'!A$2:A$2000,'📞 Call Tracker'!C$2:C$2000,""),"")</f>
        <v>46046</v>
      </c>
      <c r="Y624" s="95" t="str">
        <f>IFERROR(_xlfn.XLOOKUP(TEXT(H624,"0000000000"),'📞 Call Tracker'!A$2:A$2000,'📞 Call Tracker'!D$2:D$2000,""),"")</f>
        <v>YES</v>
      </c>
      <c r="Z624" s="95" t="str">
        <f>IFERROR(_xlfn.XLOOKUP(TEXT(H624,"0000000000"),'📞 Call Tracker'!A$2:A$2000,'📞 Call Tracker'!E$2:E$2000,""),"")</f>
        <v>General Education</v>
      </c>
      <c r="AA624" s="145">
        <f>IFERROR(_xlfn.XLOOKUP(TEXT(H624,"0000000000"),'📞 Call Tracker'!A$2:A$2000,'📞 Call Tracker'!F$2:F$2000,""),"")</f>
        <v>0</v>
      </c>
      <c r="AB624" s="132">
        <f t="shared" si="19"/>
        <v>99</v>
      </c>
      <c r="AC624" s="79"/>
    </row>
    <row r="625" spans="1:29" ht="20.100000000000001" customHeight="1">
      <c r="A625" s="91">
        <v>45906</v>
      </c>
      <c r="B625" s="92" t="str">
        <v>Alexander</v>
      </c>
      <c r="C625" s="92" t="str">
        <v>Steven</v>
      </c>
      <c r="D625" s="92" t="str">
        <v>Phoenix</v>
      </c>
      <c r="E625" s="92">
        <v>85085</v>
      </c>
      <c r="F625" s="137" t="str">
        <v>Money grab</v>
      </c>
      <c r="G625" s="93" t="str">
        <v>https://docket.images.azcc.gov/E000046266.pdf</v>
      </c>
      <c r="H625" s="150" t="s">
        <v>6069</v>
      </c>
      <c r="I625" s="114" t="str">
        <v>R3-47</v>
      </c>
      <c r="J625" s="94" t="str">
        <v>No</v>
      </c>
      <c r="K625" s="94" t="str">
        <v>No</v>
      </c>
      <c r="L625" s="137" t="str">
        <v>Yes</v>
      </c>
      <c r="M625" s="94" t="str">
        <v>No</v>
      </c>
      <c r="N625" s="134" t="str">
        <v>No</v>
      </c>
      <c r="O625" s="119" t="str">
        <v>Yes</v>
      </c>
      <c r="P625" s="92" t="str">
        <v>N</v>
      </c>
      <c r="Q625" s="91">
        <v>45964</v>
      </c>
      <c r="R625" s="140">
        <v>0</v>
      </c>
      <c r="S625" s="92">
        <v>0</v>
      </c>
      <c r="T625" s="92">
        <v>0</v>
      </c>
      <c r="U625" s="137">
        <v>0</v>
      </c>
      <c r="V625" s="126" t="str">
        <f t="shared" si="18"/>
        <v>✅ On Best Plan</v>
      </c>
      <c r="W625" s="130" t="str">
        <f>IFERROR(_xlfn.XLOOKUP(TEXT(H625,"0000000000"),'📞 Call Tracker'!A$2:A$2000,'📞 Call Tracker'!B$2:B$2000,""),"")</f>
        <v>Joaquin</v>
      </c>
      <c r="X625" s="96">
        <f>IFERROR(_xlfn.XLOOKUP(TEXT(H625,"0000000000"),'📞 Call Tracker'!A$2:A$2000,'📞 Call Tracker'!C$2:C$2000,""),"")</f>
        <v>46046</v>
      </c>
      <c r="Y625" s="95" t="str">
        <f>IFERROR(_xlfn.XLOOKUP(TEXT(H625,"0000000000"),'📞 Call Tracker'!A$2:A$2000,'📞 Call Tracker'!D$2:D$2000,""),"")</f>
        <v>YES</v>
      </c>
      <c r="Z625" s="95" t="str">
        <f>IFERROR(_xlfn.XLOOKUP(TEXT(H625,"0000000000"),'📞 Call Tracker'!A$2:A$2000,'📞 Call Tracker'!E$2:E$2000,""),"")</f>
        <v>Utility Assistance</v>
      </c>
      <c r="AA625" s="145">
        <f>IFERROR(_xlfn.XLOOKUP(TEXT(H625,"0000000000"),'📞 Call Tracker'!A$2:A$2000,'📞 Call Tracker'!F$2:F$2000,""),"")</f>
        <v>0</v>
      </c>
      <c r="AB625" s="132">
        <f t="shared" si="19"/>
        <v>99</v>
      </c>
      <c r="AC625" s="79"/>
    </row>
    <row r="626" spans="1:29" ht="20.100000000000001" customHeight="1">
      <c r="A626" s="91">
        <v>45906</v>
      </c>
      <c r="B626" s="92" t="str">
        <v>Orillie</v>
      </c>
      <c r="C626" s="92" t="str">
        <v>Megan</v>
      </c>
      <c r="D626" s="92" t="str">
        <v>Case Grande</v>
      </c>
      <c r="E626" s="92">
        <v>85122</v>
      </c>
      <c r="F626" s="137" t="str">
        <v>Cost are already obscene</v>
      </c>
      <c r="G626" s="93" t="str">
        <v>https://docket.images.azcc.gov/E000046266.pdf</v>
      </c>
      <c r="H626" s="150" t="s">
        <v>6334</v>
      </c>
      <c r="I626" s="114" t="str">
        <v>R3-47</v>
      </c>
      <c r="J626" s="94" t="str">
        <v>No</v>
      </c>
      <c r="K626" s="94" t="str">
        <v>No</v>
      </c>
      <c r="L626" s="137" t="str">
        <v>Yes</v>
      </c>
      <c r="M626" s="94" t="str">
        <v>No</v>
      </c>
      <c r="N626" s="134" t="str">
        <v>No</v>
      </c>
      <c r="O626" s="119" t="str">
        <v>Yes</v>
      </c>
      <c r="P626" s="92" t="str">
        <v>N</v>
      </c>
      <c r="Q626" s="91">
        <v>45964</v>
      </c>
      <c r="R626" s="140">
        <v>0</v>
      </c>
      <c r="S626" s="92">
        <v>0</v>
      </c>
      <c r="T626" s="92">
        <v>0</v>
      </c>
      <c r="U626" s="137">
        <v>0</v>
      </c>
      <c r="V626" s="126" t="str">
        <f t="shared" si="18"/>
        <v>✅ On Best Plan</v>
      </c>
      <c r="W626" s="130">
        <f>IFERROR(_xlfn.XLOOKUP(TEXT(H626,"0000000000"),'📞 Call Tracker'!A$2:A$2000,'📞 Call Tracker'!B$2:B$2000,""),"")</f>
        <v>0</v>
      </c>
      <c r="X626" s="96">
        <f>IFERROR(_xlfn.XLOOKUP(TEXT(H626,"0000000000"),'📞 Call Tracker'!A$2:A$2000,'📞 Call Tracker'!C$2:C$2000,""),"")</f>
        <v>0</v>
      </c>
      <c r="Y626" s="95">
        <f>IFERROR(_xlfn.XLOOKUP(TEXT(H626,"0000000000"),'📞 Call Tracker'!A$2:A$2000,'📞 Call Tracker'!D$2:D$2000,""),"")</f>
        <v>0</v>
      </c>
      <c r="Z626" s="95">
        <f>IFERROR(_xlfn.XLOOKUP(TEXT(H626,"0000000000"),'📞 Call Tracker'!A$2:A$2000,'📞 Call Tracker'!E$2:E$2000,""),"")</f>
        <v>0</v>
      </c>
      <c r="AA626" s="145">
        <f>IFERROR(_xlfn.XLOOKUP(TEXT(H626,"0000000000"),'📞 Call Tracker'!A$2:A$2000,'📞 Call Tracker'!F$2:F$2000,""),"")</f>
        <v>0</v>
      </c>
      <c r="AB626" s="132">
        <f t="shared" si="19"/>
        <v>99</v>
      </c>
      <c r="AC626" s="79"/>
    </row>
    <row r="627" spans="1:29" ht="20.100000000000001" customHeight="1">
      <c r="A627" s="91">
        <v>45906</v>
      </c>
      <c r="B627" s="92" t="str">
        <v>Kulandaivadivelu</v>
      </c>
      <c r="C627" s="92" t="str">
        <v>Rajesh</v>
      </c>
      <c r="D627" s="92" t="str">
        <v>Peoria</v>
      </c>
      <c r="E627" s="92">
        <v>85383</v>
      </c>
      <c r="F627" s="137" t="str">
        <v>Form letter</v>
      </c>
      <c r="G627" s="93" t="str">
        <v>https://docket.images.azcc.gov/E000046266.pdf</v>
      </c>
      <c r="H627" s="150" t="s">
        <v>6335</v>
      </c>
      <c r="I627" s="114" t="str">
        <v>R-BASICL</v>
      </c>
      <c r="J627" s="94" t="str">
        <v>No</v>
      </c>
      <c r="K627" s="94" t="str">
        <v>No</v>
      </c>
      <c r="L627" s="137" t="str">
        <v>No MEP RTOUE47($181.10)</v>
      </c>
      <c r="M627" s="94" t="str">
        <v>No</v>
      </c>
      <c r="N627" s="134" t="str">
        <v>No</v>
      </c>
      <c r="O627" s="119" t="str">
        <v>Yes</v>
      </c>
      <c r="P627" s="92">
        <v>45939</v>
      </c>
      <c r="Q627" s="91">
        <v>45964</v>
      </c>
      <c r="R627" s="140" t="str">
        <v>10/9 Left VM</v>
      </c>
      <c r="S627" s="92">
        <v>0</v>
      </c>
      <c r="T627" s="92">
        <v>0</v>
      </c>
      <c r="U627" s="137">
        <v>0</v>
      </c>
      <c r="V627" s="126" t="str">
        <f t="shared" si="18"/>
        <v>❌ Not on Best Plan</v>
      </c>
      <c r="W627" s="130">
        <f>IFERROR(_xlfn.XLOOKUP(TEXT(H627,"0000000000"),'📞 Call Tracker'!A$2:A$2000,'📞 Call Tracker'!B$2:B$2000,""),"")</f>
        <v>0</v>
      </c>
      <c r="X627" s="96">
        <f>IFERROR(_xlfn.XLOOKUP(TEXT(H627,"0000000000"),'📞 Call Tracker'!A$2:A$2000,'📞 Call Tracker'!C$2:C$2000,""),"")</f>
        <v>0</v>
      </c>
      <c r="Y627" s="95">
        <f>IFERROR(_xlfn.XLOOKUP(TEXT(H627,"0000000000"),'📞 Call Tracker'!A$2:A$2000,'📞 Call Tracker'!D$2:D$2000,""),"")</f>
        <v>0</v>
      </c>
      <c r="Z627" s="95">
        <f>IFERROR(_xlfn.XLOOKUP(TEXT(H627,"0000000000"),'📞 Call Tracker'!A$2:A$2000,'📞 Call Tracker'!E$2:E$2000,""),"")</f>
        <v>0</v>
      </c>
      <c r="AA627" s="145">
        <f>IFERROR(_xlfn.XLOOKUP(TEXT(H627,"0000000000"),'📞 Call Tracker'!A$2:A$2000,'📞 Call Tracker'!F$2:F$2000,""),"")</f>
        <v>0</v>
      </c>
      <c r="AB627" s="132">
        <f t="shared" si="19"/>
        <v>99</v>
      </c>
      <c r="AC627" s="79"/>
    </row>
    <row r="628" spans="1:29" ht="20.100000000000001" customHeight="1">
      <c r="A628" s="91">
        <v>45906</v>
      </c>
      <c r="B628" s="92" t="str">
        <v>Gunderson</v>
      </c>
      <c r="C628" s="92" t="str">
        <v>Adam</v>
      </c>
      <c r="D628" s="92" t="str">
        <v>Glendale</v>
      </c>
      <c r="E628" s="92">
        <v>85307</v>
      </c>
      <c r="F628" s="137" t="str">
        <v>Massive financial burden on my family</v>
      </c>
      <c r="G628" s="93" t="str">
        <v>https://docket.images.azcc.gov/E000046266.pdf</v>
      </c>
      <c r="H628" s="150" t="s">
        <v>6336</v>
      </c>
      <c r="I628" s="114" t="str">
        <v>RCPw/RTOUE47</v>
      </c>
      <c r="J628" s="94" t="str">
        <v>No</v>
      </c>
      <c r="K628" s="94" t="str">
        <v>No</v>
      </c>
      <c r="L628" s="137" t="str">
        <v>Yes</v>
      </c>
      <c r="M628" s="94" t="str">
        <v>No</v>
      </c>
      <c r="N628" s="134" t="str">
        <v>No</v>
      </c>
      <c r="O628" s="119" t="str">
        <v>Yes</v>
      </c>
      <c r="P628" s="92" t="str">
        <v>N</v>
      </c>
      <c r="Q628" s="91">
        <v>45964</v>
      </c>
      <c r="R628" s="140">
        <v>0</v>
      </c>
      <c r="S628" s="92">
        <v>0</v>
      </c>
      <c r="T628" s="92">
        <v>0</v>
      </c>
      <c r="U628" s="137">
        <v>0</v>
      </c>
      <c r="V628" s="126" t="str">
        <f t="shared" si="18"/>
        <v>✅ On Best Plan</v>
      </c>
      <c r="W628" s="130">
        <f>IFERROR(_xlfn.XLOOKUP(TEXT(H628,"0000000000"),'📞 Call Tracker'!A$2:A$2000,'📞 Call Tracker'!B$2:B$2000,""),"")</f>
        <v>0</v>
      </c>
      <c r="X628" s="96">
        <f>IFERROR(_xlfn.XLOOKUP(TEXT(H628,"0000000000"),'📞 Call Tracker'!A$2:A$2000,'📞 Call Tracker'!C$2:C$2000,""),"")</f>
        <v>0</v>
      </c>
      <c r="Y628" s="95">
        <f>IFERROR(_xlfn.XLOOKUP(TEXT(H628,"0000000000"),'📞 Call Tracker'!A$2:A$2000,'📞 Call Tracker'!D$2:D$2000,""),"")</f>
        <v>0</v>
      </c>
      <c r="Z628" s="95">
        <f>IFERROR(_xlfn.XLOOKUP(TEXT(H628,"0000000000"),'📞 Call Tracker'!A$2:A$2000,'📞 Call Tracker'!E$2:E$2000,""),"")</f>
        <v>0</v>
      </c>
      <c r="AA628" s="145">
        <f>IFERROR(_xlfn.XLOOKUP(TEXT(H628,"0000000000"),'📞 Call Tracker'!A$2:A$2000,'📞 Call Tracker'!F$2:F$2000,""),"")</f>
        <v>0</v>
      </c>
      <c r="AB628" s="132">
        <f t="shared" si="19"/>
        <v>99</v>
      </c>
      <c r="AC628" s="79"/>
    </row>
    <row r="629" spans="1:29" ht="20.100000000000001" customHeight="1">
      <c r="A629" s="91">
        <v>45906</v>
      </c>
      <c r="B629" s="92" t="str">
        <v>McPherson</v>
      </c>
      <c r="C629" s="92" t="str">
        <v>Amy</v>
      </c>
      <c r="D629" s="92" t="str">
        <v>Phoenix</v>
      </c>
      <c r="E629" s="92">
        <v>85053</v>
      </c>
      <c r="F629" s="137" t="str">
        <v>Form letter</v>
      </c>
      <c r="G629" s="93" t="str">
        <v>https://docket.images.azcc.gov/E000046266.pdf</v>
      </c>
      <c r="H629" s="150" t="s">
        <v>6070</v>
      </c>
      <c r="I629" s="114" t="str">
        <v>R3-47</v>
      </c>
      <c r="J629" s="94" t="str">
        <v>No</v>
      </c>
      <c r="K629" s="94" t="str">
        <v>No</v>
      </c>
      <c r="L629" s="137" t="str">
        <v>Yes</v>
      </c>
      <c r="M629" s="94" t="str">
        <v>No</v>
      </c>
      <c r="N629" s="134" t="str">
        <v>No</v>
      </c>
      <c r="O629" s="119" t="str">
        <v>Yes</v>
      </c>
      <c r="P629" s="92" t="str">
        <v>N</v>
      </c>
      <c r="Q629" s="91">
        <v>45964</v>
      </c>
      <c r="R629" s="140">
        <v>0</v>
      </c>
      <c r="S629" s="92">
        <v>0</v>
      </c>
      <c r="T629" s="92">
        <v>0</v>
      </c>
      <c r="U629" s="137">
        <v>0</v>
      </c>
      <c r="V629" s="126" t="str">
        <f t="shared" si="18"/>
        <v>✅ On Best Plan</v>
      </c>
      <c r="W629" s="130" t="str">
        <f>IFERROR(_xlfn.XLOOKUP(TEXT(H629,"0000000000"),'📞 Call Tracker'!A$2:A$2000,'📞 Call Tracker'!B$2:B$2000,""),"")</f>
        <v>Joaquin</v>
      </c>
      <c r="X629" s="96">
        <f>IFERROR(_xlfn.XLOOKUP(TEXT(H629,"0000000000"),'📞 Call Tracker'!A$2:A$2000,'📞 Call Tracker'!C$2:C$2000,""),"")</f>
        <v>46060</v>
      </c>
      <c r="Y629" s="95" t="str">
        <f>IFERROR(_xlfn.XLOOKUP(TEXT(H629,"0000000000"),'📞 Call Tracker'!A$2:A$2000,'📞 Call Tracker'!D$2:D$2000,""),"")</f>
        <v>NO</v>
      </c>
      <c r="Z629" s="95" t="str">
        <f>IFERROR(_xlfn.XLOOKUP(TEXT(H629,"0000000000"),'📞 Call Tracker'!A$2:A$2000,'📞 Call Tracker'!E$2:E$2000,""),"")</f>
        <v>General Education</v>
      </c>
      <c r="AA629" s="145">
        <f>IFERROR(_xlfn.XLOOKUP(TEXT(H629,"0000000000"),'📞 Call Tracker'!A$2:A$2000,'📞 Call Tracker'!F$2:F$2000,""),"")</f>
        <v>0</v>
      </c>
      <c r="AB629" s="132">
        <f t="shared" si="19"/>
        <v>99</v>
      </c>
      <c r="AC629" s="79"/>
    </row>
    <row r="630" spans="1:29" ht="20.100000000000001" customHeight="1">
      <c r="A630" s="91">
        <v>45906</v>
      </c>
      <c r="B630" s="92" t="str">
        <v>Neville</v>
      </c>
      <c r="C630" s="92" t="str">
        <v>John</v>
      </c>
      <c r="D630" s="92" t="str">
        <v>Sedona</v>
      </c>
      <c r="E630" s="92">
        <v>86336</v>
      </c>
      <c r="F630" s="137" t="str">
        <v>Unnecessary</v>
      </c>
      <c r="G630" s="93" t="str">
        <v>https://docket.images.azcc.gov/E000046266.pdf</v>
      </c>
      <c r="H630" s="150" t="s">
        <v>6337</v>
      </c>
      <c r="I630" s="114" t="str">
        <v>EPR-6w/E-12</v>
      </c>
      <c r="J630" s="94" t="str">
        <v>No</v>
      </c>
      <c r="K630" s="94" t="str">
        <v>No</v>
      </c>
      <c r="L630" s="137" t="str">
        <v>Frozen Rate</v>
      </c>
      <c r="M630" s="94" t="str">
        <v>No</v>
      </c>
      <c r="N630" s="134" t="str">
        <v>No</v>
      </c>
      <c r="O630" s="119" t="str">
        <v>Yes</v>
      </c>
      <c r="P630" s="92" t="str">
        <v>N</v>
      </c>
      <c r="Q630" s="91">
        <v>45964</v>
      </c>
      <c r="R630" s="140">
        <v>0</v>
      </c>
      <c r="S630" s="92">
        <v>0</v>
      </c>
      <c r="T630" s="92">
        <v>0</v>
      </c>
      <c r="U630" s="137">
        <v>0</v>
      </c>
      <c r="V630" s="126" t="str">
        <f t="shared" si="18"/>
        <v>❄ Frozen Rate</v>
      </c>
      <c r="W630" s="130">
        <f>IFERROR(_xlfn.XLOOKUP(TEXT(H630,"0000000000"),'📞 Call Tracker'!A$2:A$2000,'📞 Call Tracker'!B$2:B$2000,""),"")</f>
        <v>0</v>
      </c>
      <c r="X630" s="96">
        <f>IFERROR(_xlfn.XLOOKUP(TEXT(H630,"0000000000"),'📞 Call Tracker'!A$2:A$2000,'📞 Call Tracker'!C$2:C$2000,""),"")</f>
        <v>0</v>
      </c>
      <c r="Y630" s="95">
        <f>IFERROR(_xlfn.XLOOKUP(TEXT(H630,"0000000000"),'📞 Call Tracker'!A$2:A$2000,'📞 Call Tracker'!D$2:D$2000,""),"")</f>
        <v>0</v>
      </c>
      <c r="Z630" s="95">
        <f>IFERROR(_xlfn.XLOOKUP(TEXT(H630,"0000000000"),'📞 Call Tracker'!A$2:A$2000,'📞 Call Tracker'!E$2:E$2000,""),"")</f>
        <v>0</v>
      </c>
      <c r="AA630" s="145">
        <f>IFERROR(_xlfn.XLOOKUP(TEXT(H630,"0000000000"),'📞 Call Tracker'!A$2:A$2000,'📞 Call Tracker'!F$2:F$2000,""),"")</f>
        <v>0</v>
      </c>
      <c r="AB630" s="132">
        <f t="shared" si="19"/>
        <v>99</v>
      </c>
      <c r="AC630" s="79"/>
    </row>
    <row r="631" spans="1:29" ht="20.100000000000001" customHeight="1">
      <c r="A631" s="91">
        <v>45906</v>
      </c>
      <c r="B631" s="92" t="str">
        <v>Ezrre</v>
      </c>
      <c r="C631" s="92" t="str">
        <v>Diego</v>
      </c>
      <c r="D631" s="92" t="str">
        <v>Phoenix</v>
      </c>
      <c r="E631" s="92">
        <v>85012</v>
      </c>
      <c r="F631" s="137" t="str">
        <v>Form letter</v>
      </c>
      <c r="G631" s="93" t="str">
        <v>https://docket.images.azcc.gov/E000046266.pdf</v>
      </c>
      <c r="H631" s="150" t="s">
        <v>6338</v>
      </c>
      <c r="I631" s="114" t="str">
        <v>R3-47</v>
      </c>
      <c r="J631" s="94" t="str">
        <v>No</v>
      </c>
      <c r="K631" s="94" t="str">
        <v>No</v>
      </c>
      <c r="L631" s="137" t="str">
        <v>Not eligible yet (needs 3 months)</v>
      </c>
      <c r="M631" s="94" t="str">
        <v>No</v>
      </c>
      <c r="N631" s="134" t="str">
        <v>No</v>
      </c>
      <c r="O631" s="119" t="str">
        <v>Yes</v>
      </c>
      <c r="P631" s="92" t="str">
        <v>N</v>
      </c>
      <c r="Q631" s="91">
        <v>45964</v>
      </c>
      <c r="R631" s="140">
        <v>0</v>
      </c>
      <c r="S631" s="92">
        <v>0</v>
      </c>
      <c r="T631" s="92">
        <v>0</v>
      </c>
      <c r="U631" s="137">
        <v>0</v>
      </c>
      <c r="V631" s="126" t="str">
        <f t="shared" si="18"/>
        <v>❌ Not on Best Plan</v>
      </c>
      <c r="W631" s="130">
        <f>IFERROR(_xlfn.XLOOKUP(TEXT(H631,"0000000000"),'📞 Call Tracker'!A$2:A$2000,'📞 Call Tracker'!B$2:B$2000,""),"")</f>
        <v>0</v>
      </c>
      <c r="X631" s="96">
        <f>IFERROR(_xlfn.XLOOKUP(TEXT(H631,"0000000000"),'📞 Call Tracker'!A$2:A$2000,'📞 Call Tracker'!C$2:C$2000,""),"")</f>
        <v>0</v>
      </c>
      <c r="Y631" s="95">
        <f>IFERROR(_xlfn.XLOOKUP(TEXT(H631,"0000000000"),'📞 Call Tracker'!A$2:A$2000,'📞 Call Tracker'!D$2:D$2000,""),"")</f>
        <v>0</v>
      </c>
      <c r="Z631" s="95">
        <f>IFERROR(_xlfn.XLOOKUP(TEXT(H631,"0000000000"),'📞 Call Tracker'!A$2:A$2000,'📞 Call Tracker'!E$2:E$2000,""),"")</f>
        <v>0</v>
      </c>
      <c r="AA631" s="145">
        <f>IFERROR(_xlfn.XLOOKUP(TEXT(H631,"0000000000"),'📞 Call Tracker'!A$2:A$2000,'📞 Call Tracker'!F$2:F$2000,""),"")</f>
        <v>0</v>
      </c>
      <c r="AB631" s="132">
        <f t="shared" si="19"/>
        <v>99</v>
      </c>
      <c r="AC631" s="79"/>
    </row>
    <row r="632" spans="1:29" ht="20.100000000000001" customHeight="1">
      <c r="A632" s="91">
        <v>45906</v>
      </c>
      <c r="B632" s="92" t="str">
        <v>Cafagna</v>
      </c>
      <c r="C632" s="92" t="str">
        <v>Caryn</v>
      </c>
      <c r="D632" s="92" t="str">
        <v>Cornville</v>
      </c>
      <c r="E632" s="92">
        <v>86325</v>
      </c>
      <c r="F632" s="137" t="str">
        <v>Will be burdensome on a fixed income</v>
      </c>
      <c r="G632" s="93" t="str">
        <v>https://docket.images.azcc.gov/E000046266.pdf</v>
      </c>
      <c r="H632" s="150" t="s">
        <v>2113</v>
      </c>
      <c r="I632" s="114" t="str">
        <v>R-XS</v>
      </c>
      <c r="J632" s="94" t="str">
        <v>No</v>
      </c>
      <c r="K632" s="94" t="str">
        <v>No</v>
      </c>
      <c r="L632" s="137" t="str">
        <v>Yes</v>
      </c>
      <c r="M632" s="94" t="str">
        <v>No</v>
      </c>
      <c r="N632" s="134" t="str">
        <v>No</v>
      </c>
      <c r="O632" s="119" t="str">
        <v>Yes</v>
      </c>
      <c r="P632" s="92" t="str">
        <v>N</v>
      </c>
      <c r="Q632" s="91">
        <v>45964</v>
      </c>
      <c r="R632" s="140">
        <v>0</v>
      </c>
      <c r="S632" s="92">
        <v>0</v>
      </c>
      <c r="T632" s="92">
        <v>0</v>
      </c>
      <c r="U632" s="137">
        <v>0</v>
      </c>
      <c r="V632" s="126" t="str">
        <f t="shared" si="18"/>
        <v>✅ On Best Plan</v>
      </c>
      <c r="W632" s="130">
        <f>IFERROR(_xlfn.XLOOKUP(TEXT(H632,"0000000000"),'📞 Call Tracker'!A$2:A$2000,'📞 Call Tracker'!B$2:B$2000,""),"")</f>
        <v>0</v>
      </c>
      <c r="X632" s="96">
        <f>IFERROR(_xlfn.XLOOKUP(TEXT(H632,"0000000000"),'📞 Call Tracker'!A$2:A$2000,'📞 Call Tracker'!C$2:C$2000,""),"")</f>
        <v>0</v>
      </c>
      <c r="Y632" s="95">
        <f>IFERROR(_xlfn.XLOOKUP(TEXT(H632,"0000000000"),'📞 Call Tracker'!A$2:A$2000,'📞 Call Tracker'!D$2:D$2000,""),"")</f>
        <v>0</v>
      </c>
      <c r="Z632" s="95">
        <f>IFERROR(_xlfn.XLOOKUP(TEXT(H632,"0000000000"),'📞 Call Tracker'!A$2:A$2000,'📞 Call Tracker'!E$2:E$2000,""),"")</f>
        <v>0</v>
      </c>
      <c r="AA632" s="145">
        <f>IFERROR(_xlfn.XLOOKUP(TEXT(H632,"0000000000"),'📞 Call Tracker'!A$2:A$2000,'📞 Call Tracker'!F$2:F$2000,""),"")</f>
        <v>0</v>
      </c>
      <c r="AB632" s="132">
        <f t="shared" si="19"/>
        <v>99</v>
      </c>
      <c r="AC632" s="79"/>
    </row>
    <row r="633" spans="1:29" ht="20.100000000000001" customHeight="1">
      <c r="A633" s="91">
        <v>45906</v>
      </c>
      <c r="B633" s="92" t="str">
        <v>Weiner</v>
      </c>
      <c r="C633" s="92" t="str">
        <v>Christian</v>
      </c>
      <c r="D633" s="92" t="str">
        <v>Phoenix</v>
      </c>
      <c r="E633" s="92">
        <v>85003</v>
      </c>
      <c r="F633" s="137" t="str">
        <v>Form letter</v>
      </c>
      <c r="G633" s="93" t="str">
        <v>https://docket.images.azcc.gov/E000046266.pdf</v>
      </c>
      <c r="H633" s="150" t="s">
        <v>6339</v>
      </c>
      <c r="I633" s="114" t="str">
        <v>R-XS</v>
      </c>
      <c r="J633" s="94" t="str">
        <v>No</v>
      </c>
      <c r="K633" s="94" t="str">
        <v>No</v>
      </c>
      <c r="L633" s="137" t="str">
        <v>Yes</v>
      </c>
      <c r="M633" s="94" t="str">
        <v>No</v>
      </c>
      <c r="N633" s="134" t="str">
        <v>No</v>
      </c>
      <c r="O633" s="119" t="str">
        <v>Yes</v>
      </c>
      <c r="P633" s="92" t="str">
        <v>N</v>
      </c>
      <c r="Q633" s="91">
        <v>45964</v>
      </c>
      <c r="R633" s="140">
        <v>0</v>
      </c>
      <c r="S633" s="92">
        <v>0</v>
      </c>
      <c r="T633" s="92">
        <v>0</v>
      </c>
      <c r="U633" s="137">
        <v>0</v>
      </c>
      <c r="V633" s="126" t="str">
        <f t="shared" si="18"/>
        <v>✅ On Best Plan</v>
      </c>
      <c r="W633" s="130">
        <f>IFERROR(_xlfn.XLOOKUP(TEXT(H633,"0000000000"),'📞 Call Tracker'!A$2:A$2000,'📞 Call Tracker'!B$2:B$2000,""),"")</f>
        <v>0</v>
      </c>
      <c r="X633" s="96">
        <f>IFERROR(_xlfn.XLOOKUP(TEXT(H633,"0000000000"),'📞 Call Tracker'!A$2:A$2000,'📞 Call Tracker'!C$2:C$2000,""),"")</f>
        <v>0</v>
      </c>
      <c r="Y633" s="95">
        <f>IFERROR(_xlfn.XLOOKUP(TEXT(H633,"0000000000"),'📞 Call Tracker'!A$2:A$2000,'📞 Call Tracker'!D$2:D$2000,""),"")</f>
        <v>0</v>
      </c>
      <c r="Z633" s="95">
        <f>IFERROR(_xlfn.XLOOKUP(TEXT(H633,"0000000000"),'📞 Call Tracker'!A$2:A$2000,'📞 Call Tracker'!E$2:E$2000,""),"")</f>
        <v>0</v>
      </c>
      <c r="AA633" s="145">
        <f>IFERROR(_xlfn.XLOOKUP(TEXT(H633,"0000000000"),'📞 Call Tracker'!A$2:A$2000,'📞 Call Tracker'!F$2:F$2000,""),"")</f>
        <v>0</v>
      </c>
      <c r="AB633" s="132">
        <f t="shared" si="19"/>
        <v>99</v>
      </c>
      <c r="AC633" s="79"/>
    </row>
    <row r="634" spans="1:29" ht="20.100000000000001" customHeight="1">
      <c r="A634" s="91">
        <v>45906</v>
      </c>
      <c r="B634" s="92" t="str">
        <v>Verdi</v>
      </c>
      <c r="C634" s="92" t="str">
        <v>Richard</v>
      </c>
      <c r="D634" s="92" t="str">
        <v>Peoria</v>
      </c>
      <c r="E634" s="92">
        <v>85383</v>
      </c>
      <c r="F634" s="137" t="str">
        <v>Enough already</v>
      </c>
      <c r="G634" s="93" t="str">
        <v>https://docket.images.azcc.gov/E000046266.pdf</v>
      </c>
      <c r="H634" s="150" t="s">
        <v>6071</v>
      </c>
      <c r="I634" s="114" t="str">
        <v>EPR-6w/ET-2</v>
      </c>
      <c r="J634" s="94" t="str">
        <v>Yes</v>
      </c>
      <c r="K634" s="94" t="str">
        <v>No</v>
      </c>
      <c r="L634" s="137" t="str">
        <v>Frozen Rate</v>
      </c>
      <c r="M634" s="94" t="str">
        <v>No</v>
      </c>
      <c r="N634" s="134" t="str">
        <v>No</v>
      </c>
      <c r="O634" s="119" t="str">
        <v>Yes</v>
      </c>
      <c r="P634" s="92" t="str">
        <v>N</v>
      </c>
      <c r="Q634" s="91">
        <v>45964</v>
      </c>
      <c r="R634" s="140">
        <v>0</v>
      </c>
      <c r="S634" s="92">
        <v>0</v>
      </c>
      <c r="T634" s="92">
        <v>0</v>
      </c>
      <c r="U634" s="137">
        <v>0</v>
      </c>
      <c r="V634" s="126" t="str">
        <f t="shared" si="18"/>
        <v>❄ Frozen Rate</v>
      </c>
      <c r="W634" s="130" t="str">
        <f>IFERROR(_xlfn.XLOOKUP(TEXT(H634,"0000000000"),'📞 Call Tracker'!A$2:A$2000,'📞 Call Tracker'!B$2:B$2000,""),"")</f>
        <v>Joaquin</v>
      </c>
      <c r="X634" s="96">
        <f>IFERROR(_xlfn.XLOOKUP(TEXT(H634,"0000000000"),'📞 Call Tracker'!A$2:A$2000,'📞 Call Tracker'!C$2:C$2000,""),"")</f>
        <v>46039</v>
      </c>
      <c r="Y634" s="95" t="str">
        <f>IFERROR(_xlfn.XLOOKUP(TEXT(H634,"0000000000"),'📞 Call Tracker'!A$2:A$2000,'📞 Call Tracker'!D$2:D$2000,""),"")</f>
        <v>YES</v>
      </c>
      <c r="Z634" s="95">
        <f>IFERROR(_xlfn.XLOOKUP(TEXT(H634,"0000000000"),'📞 Call Tracker'!A$2:A$2000,'📞 Call Tracker'!E$2:E$2000,""),"")</f>
        <v>0</v>
      </c>
      <c r="AA634" s="145">
        <f>IFERROR(_xlfn.XLOOKUP(TEXT(H634,"0000000000"),'📞 Call Tracker'!A$2:A$2000,'📞 Call Tracker'!F$2:F$2000,""),"")</f>
        <v>0</v>
      </c>
      <c r="AB634" s="132">
        <f t="shared" si="19"/>
        <v>99</v>
      </c>
      <c r="AC634" s="79"/>
    </row>
    <row r="635" spans="1:29" ht="20.100000000000001" customHeight="1">
      <c r="A635" s="91">
        <v>45906</v>
      </c>
      <c r="B635" s="92" t="str">
        <v>Duckworth</v>
      </c>
      <c r="C635" s="92" t="str">
        <v>Loyiel</v>
      </c>
      <c r="D635" s="92" t="str">
        <v>Goodyear</v>
      </c>
      <c r="E635" s="92">
        <v>85338</v>
      </c>
      <c r="F635" s="137" t="str">
        <v>Opposed</v>
      </c>
      <c r="G635" s="93" t="str">
        <v>https://docket.images.azcc.gov/E000046266.pdf</v>
      </c>
      <c r="H635" s="150" t="s">
        <v>6340</v>
      </c>
      <c r="I635" s="114" t="str">
        <v>R3-47</v>
      </c>
      <c r="J635" s="94" t="str">
        <v>No</v>
      </c>
      <c r="K635" s="94" t="str">
        <v>No</v>
      </c>
      <c r="L635" s="137" t="str">
        <v>Yes</v>
      </c>
      <c r="M635" s="94" t="str">
        <v>No</v>
      </c>
      <c r="N635" s="134" t="str">
        <v>No</v>
      </c>
      <c r="O635" s="119" t="str">
        <v>Yes</v>
      </c>
      <c r="P635" s="92" t="str">
        <v>N</v>
      </c>
      <c r="Q635" s="91">
        <v>45964</v>
      </c>
      <c r="R635" s="140">
        <v>0</v>
      </c>
      <c r="S635" s="92">
        <v>0</v>
      </c>
      <c r="T635" s="92">
        <v>0</v>
      </c>
      <c r="U635" s="137">
        <v>0</v>
      </c>
      <c r="V635" s="126" t="str">
        <f t="shared" si="18"/>
        <v>✅ On Best Plan</v>
      </c>
      <c r="W635" s="130">
        <f>IFERROR(_xlfn.XLOOKUP(TEXT(H635,"0000000000"),'📞 Call Tracker'!A$2:A$2000,'📞 Call Tracker'!B$2:B$2000,""),"")</f>
        <v>0</v>
      </c>
      <c r="X635" s="96">
        <f>IFERROR(_xlfn.XLOOKUP(TEXT(H635,"0000000000"),'📞 Call Tracker'!A$2:A$2000,'📞 Call Tracker'!C$2:C$2000,""),"")</f>
        <v>0</v>
      </c>
      <c r="Y635" s="95">
        <f>IFERROR(_xlfn.XLOOKUP(TEXT(H635,"0000000000"),'📞 Call Tracker'!A$2:A$2000,'📞 Call Tracker'!D$2:D$2000,""),"")</f>
        <v>0</v>
      </c>
      <c r="Z635" s="95">
        <f>IFERROR(_xlfn.XLOOKUP(TEXT(H635,"0000000000"),'📞 Call Tracker'!A$2:A$2000,'📞 Call Tracker'!E$2:E$2000,""),"")</f>
        <v>0</v>
      </c>
      <c r="AA635" s="145">
        <f>IFERROR(_xlfn.XLOOKUP(TEXT(H635,"0000000000"),'📞 Call Tracker'!A$2:A$2000,'📞 Call Tracker'!F$2:F$2000,""),"")</f>
        <v>0</v>
      </c>
      <c r="AB635" s="132">
        <f t="shared" si="19"/>
        <v>99</v>
      </c>
      <c r="AC635" s="79"/>
    </row>
    <row r="636" spans="1:29" ht="20.100000000000001" customHeight="1">
      <c r="A636" s="91">
        <v>45906</v>
      </c>
      <c r="B636" s="92" t="str">
        <v>Holt</v>
      </c>
      <c r="C636" s="92" t="str">
        <v>Brianna</v>
      </c>
      <c r="D636" s="92" t="str">
        <v>Phoenix</v>
      </c>
      <c r="E636" s="92">
        <v>85032</v>
      </c>
      <c r="F636" s="137" t="str">
        <v>Form letter</v>
      </c>
      <c r="G636" s="93" t="str">
        <v>https://docket.images.azcc.gov/E000046266.pdf</v>
      </c>
      <c r="H636" s="150" t="s">
        <v>6341</v>
      </c>
      <c r="I636" s="114" t="str">
        <v>R-BASICL</v>
      </c>
      <c r="J636" s="94" t="str">
        <v>No</v>
      </c>
      <c r="K636" s="94" t="str">
        <v>No</v>
      </c>
      <c r="L636" s="137" t="str">
        <v>No MEP RTOUE47($42.59)</v>
      </c>
      <c r="M636" s="94" t="str">
        <v>No</v>
      </c>
      <c r="N636" s="134" t="str">
        <v>No</v>
      </c>
      <c r="O636" s="119" t="str">
        <v>Yes</v>
      </c>
      <c r="P636" s="92" t="str">
        <v>N</v>
      </c>
      <c r="Q636" s="91">
        <v>45964</v>
      </c>
      <c r="R636" s="140">
        <v>0</v>
      </c>
      <c r="S636" s="92">
        <v>0</v>
      </c>
      <c r="T636" s="92">
        <v>0</v>
      </c>
      <c r="U636" s="137">
        <v>0</v>
      </c>
      <c r="V636" s="126" t="str">
        <f t="shared" si="18"/>
        <v>❌ Not on Best Plan</v>
      </c>
      <c r="W636" s="130">
        <f>IFERROR(_xlfn.XLOOKUP(TEXT(H636,"0000000000"),'📞 Call Tracker'!A$2:A$2000,'📞 Call Tracker'!B$2:B$2000,""),"")</f>
        <v>0</v>
      </c>
      <c r="X636" s="96">
        <f>IFERROR(_xlfn.XLOOKUP(TEXT(H636,"0000000000"),'📞 Call Tracker'!A$2:A$2000,'📞 Call Tracker'!C$2:C$2000,""),"")</f>
        <v>0</v>
      </c>
      <c r="Y636" s="95">
        <f>IFERROR(_xlfn.XLOOKUP(TEXT(H636,"0000000000"),'📞 Call Tracker'!A$2:A$2000,'📞 Call Tracker'!D$2:D$2000,""),"")</f>
        <v>0</v>
      </c>
      <c r="Z636" s="95">
        <f>IFERROR(_xlfn.XLOOKUP(TEXT(H636,"0000000000"),'📞 Call Tracker'!A$2:A$2000,'📞 Call Tracker'!E$2:E$2000,""),"")</f>
        <v>0</v>
      </c>
      <c r="AA636" s="145">
        <f>IFERROR(_xlfn.XLOOKUP(TEXT(H636,"0000000000"),'📞 Call Tracker'!A$2:A$2000,'📞 Call Tracker'!F$2:F$2000,""),"")</f>
        <v>0</v>
      </c>
      <c r="AB636" s="132">
        <f t="shared" si="19"/>
        <v>99</v>
      </c>
      <c r="AC636" s="79"/>
    </row>
    <row r="637" spans="1:29" ht="20.100000000000001" customHeight="1">
      <c r="A637" s="91">
        <v>45906</v>
      </c>
      <c r="B637" s="92" t="str">
        <v>Prakriya</v>
      </c>
      <c r="C637" s="92" t="str">
        <v>Veena</v>
      </c>
      <c r="D637" s="92" t="str">
        <v>Phoenix</v>
      </c>
      <c r="E637" s="92">
        <v>85014</v>
      </c>
      <c r="F637" s="137" t="str">
        <v>Unaffordable</v>
      </c>
      <c r="G637" s="93" t="str">
        <v>https://docket.images.azcc.gov/E000046266.pdf</v>
      </c>
      <c r="H637" s="150" t="s">
        <v>6342</v>
      </c>
      <c r="I637" s="114" t="str">
        <v>R-XS</v>
      </c>
      <c r="J637" s="94" t="str">
        <v>No</v>
      </c>
      <c r="K637" s="94" t="str">
        <v>No</v>
      </c>
      <c r="L637" s="137" t="str">
        <v>Yes</v>
      </c>
      <c r="M637" s="94" t="str">
        <v>No</v>
      </c>
      <c r="N637" s="134" t="str">
        <v>No</v>
      </c>
      <c r="O637" s="119" t="str">
        <v>Yes</v>
      </c>
      <c r="P637" s="92" t="str">
        <v>N</v>
      </c>
      <c r="Q637" s="91">
        <v>45964</v>
      </c>
      <c r="R637" s="140">
        <v>0</v>
      </c>
      <c r="S637" s="92">
        <v>0</v>
      </c>
      <c r="T637" s="92">
        <v>0</v>
      </c>
      <c r="U637" s="137">
        <v>0</v>
      </c>
      <c r="V637" s="126" t="str">
        <f t="shared" si="18"/>
        <v>✅ On Best Plan</v>
      </c>
      <c r="W637" s="130">
        <f>IFERROR(_xlfn.XLOOKUP(TEXT(H637,"0000000000"),'📞 Call Tracker'!A$2:A$2000,'📞 Call Tracker'!B$2:B$2000,""),"")</f>
        <v>0</v>
      </c>
      <c r="X637" s="96">
        <f>IFERROR(_xlfn.XLOOKUP(TEXT(H637,"0000000000"),'📞 Call Tracker'!A$2:A$2000,'📞 Call Tracker'!C$2:C$2000,""),"")</f>
        <v>0</v>
      </c>
      <c r="Y637" s="95">
        <f>IFERROR(_xlfn.XLOOKUP(TEXT(H637,"0000000000"),'📞 Call Tracker'!A$2:A$2000,'📞 Call Tracker'!D$2:D$2000,""),"")</f>
        <v>0</v>
      </c>
      <c r="Z637" s="95">
        <f>IFERROR(_xlfn.XLOOKUP(TEXT(H637,"0000000000"),'📞 Call Tracker'!A$2:A$2000,'📞 Call Tracker'!E$2:E$2000,""),"")</f>
        <v>0</v>
      </c>
      <c r="AA637" s="145">
        <f>IFERROR(_xlfn.XLOOKUP(TEXT(H637,"0000000000"),'📞 Call Tracker'!A$2:A$2000,'📞 Call Tracker'!F$2:F$2000,""),"")</f>
        <v>0</v>
      </c>
      <c r="AB637" s="132">
        <f t="shared" si="19"/>
        <v>99</v>
      </c>
      <c r="AC637" s="79"/>
    </row>
    <row r="638" spans="1:29" ht="20.100000000000001" customHeight="1">
      <c r="A638" s="91">
        <v>45906</v>
      </c>
      <c r="B638" s="92" t="str">
        <v>Funk</v>
      </c>
      <c r="C638" s="92" t="str">
        <v>Cecilia</v>
      </c>
      <c r="D638" s="92" t="str">
        <v>Surprise</v>
      </c>
      <c r="E638" s="92">
        <v>85388</v>
      </c>
      <c r="F638" s="137" t="str">
        <v>Form letter</v>
      </c>
      <c r="G638" s="93" t="str">
        <v>https://docket.images.azcc.gov/E000046554.pdf</v>
      </c>
      <c r="H638" s="150" t="s">
        <v>2128</v>
      </c>
      <c r="I638" s="114" t="str">
        <v>RCPw/RTOUE47</v>
      </c>
      <c r="J638" s="94" t="str">
        <v>No</v>
      </c>
      <c r="K638" s="94" t="str">
        <v>No</v>
      </c>
      <c r="L638" s="137" t="str">
        <v>Y</v>
      </c>
      <c r="M638" s="94" t="str">
        <v>No</v>
      </c>
      <c r="N638" s="134" t="str">
        <v>No</v>
      </c>
      <c r="O638" s="119" t="str">
        <v>Yes</v>
      </c>
      <c r="P638" s="92" t="str">
        <v>N</v>
      </c>
      <c r="Q638" s="91">
        <v>45960</v>
      </c>
      <c r="R638" s="140" t="str">
        <v>Filed Twice</v>
      </c>
      <c r="S638" s="92">
        <v>0</v>
      </c>
      <c r="T638" s="92">
        <v>0</v>
      </c>
      <c r="U638" s="137">
        <v>0</v>
      </c>
      <c r="V638" s="126" t="str">
        <f t="shared" si="18"/>
        <v>✅ On Best Plan</v>
      </c>
      <c r="W638" s="130" t="str">
        <f>IFERROR(_xlfn.XLOOKUP(TEXT(H638,"0000000000"),'📞 Call Tracker'!A$2:A$2000,'📞 Call Tracker'!B$2:B$2000,""),"")</f>
        <v>Joaquin</v>
      </c>
      <c r="X638" s="96">
        <f>IFERROR(_xlfn.XLOOKUP(TEXT(H638,"0000000000"),'📞 Call Tracker'!A$2:A$2000,'📞 Call Tracker'!C$2:C$2000,""),"")</f>
        <v>46060</v>
      </c>
      <c r="Y638" s="95" t="str">
        <f>IFERROR(_xlfn.XLOOKUP(TEXT(H638,"0000000000"),'📞 Call Tracker'!A$2:A$2000,'📞 Call Tracker'!D$2:D$2000,""),"")</f>
        <v>YES</v>
      </c>
      <c r="Z638" s="95">
        <f>IFERROR(_xlfn.XLOOKUP(TEXT(H638,"0000000000"),'📞 Call Tracker'!A$2:A$2000,'📞 Call Tracker'!E$2:E$2000,""),"")</f>
        <v>0</v>
      </c>
      <c r="AA638" s="145" t="str">
        <f>IFERROR(_xlfn.XLOOKUP(TEXT(H638,"0000000000"),'📞 Call Tracker'!A$2:A$2000,'📞 Call Tracker'!F$2:F$2000,""),"")</f>
        <v>LEFT VOICE MAIL</v>
      </c>
      <c r="AB638" s="132">
        <f t="shared" si="19"/>
        <v>99</v>
      </c>
      <c r="AC638" s="79"/>
    </row>
    <row r="639" spans="1:29" ht="20.100000000000001" customHeight="1">
      <c r="A639" s="91">
        <v>45906</v>
      </c>
      <c r="B639" s="92" t="str">
        <v>Sesha</v>
      </c>
      <c r="C639" s="92" t="str">
        <v>Arun Kumar</v>
      </c>
      <c r="D639" s="92" t="str">
        <v>Peoria</v>
      </c>
      <c r="E639" s="92">
        <v>85383</v>
      </c>
      <c r="F639" s="137" t="str">
        <v xml:space="preserve">Opposed </v>
      </c>
      <c r="G639" s="93" t="str">
        <v>https://docket.images.azcc.gov/E000046266.pdf</v>
      </c>
      <c r="H639" s="150" t="s">
        <v>6343</v>
      </c>
      <c r="I639" s="114" t="str">
        <v>R3-47</v>
      </c>
      <c r="J639" s="94" t="str">
        <v>No</v>
      </c>
      <c r="K639" s="94" t="str">
        <v>No</v>
      </c>
      <c r="L639" s="137" t="str">
        <v>Yes</v>
      </c>
      <c r="M639" s="94" t="str">
        <v>No</v>
      </c>
      <c r="N639" s="134" t="str">
        <v>No</v>
      </c>
      <c r="O639" s="119" t="str">
        <v>Yes</v>
      </c>
      <c r="P639" s="92" t="str">
        <v>N</v>
      </c>
      <c r="Q639" s="91">
        <v>45964</v>
      </c>
      <c r="R639" s="140">
        <v>0</v>
      </c>
      <c r="S639" s="92">
        <v>0</v>
      </c>
      <c r="T639" s="92">
        <v>0</v>
      </c>
      <c r="U639" s="137">
        <v>0</v>
      </c>
      <c r="V639" s="126" t="str">
        <f t="shared" si="18"/>
        <v>✅ On Best Plan</v>
      </c>
      <c r="W639" s="130">
        <f>IFERROR(_xlfn.XLOOKUP(TEXT(H639,"0000000000"),'📞 Call Tracker'!A$2:A$2000,'📞 Call Tracker'!B$2:B$2000,""),"")</f>
        <v>0</v>
      </c>
      <c r="X639" s="96">
        <f>IFERROR(_xlfn.XLOOKUP(TEXT(H639,"0000000000"),'📞 Call Tracker'!A$2:A$2000,'📞 Call Tracker'!C$2:C$2000,""),"")</f>
        <v>0</v>
      </c>
      <c r="Y639" s="95">
        <f>IFERROR(_xlfn.XLOOKUP(TEXT(H639,"0000000000"),'📞 Call Tracker'!A$2:A$2000,'📞 Call Tracker'!D$2:D$2000,""),"")</f>
        <v>0</v>
      </c>
      <c r="Z639" s="95">
        <f>IFERROR(_xlfn.XLOOKUP(TEXT(H639,"0000000000"),'📞 Call Tracker'!A$2:A$2000,'📞 Call Tracker'!E$2:E$2000,""),"")</f>
        <v>0</v>
      </c>
      <c r="AA639" s="145">
        <f>IFERROR(_xlfn.XLOOKUP(TEXT(H639,"0000000000"),'📞 Call Tracker'!A$2:A$2000,'📞 Call Tracker'!F$2:F$2000,""),"")</f>
        <v>0</v>
      </c>
      <c r="AB639" s="132">
        <f t="shared" si="19"/>
        <v>99</v>
      </c>
      <c r="AC639" s="79"/>
    </row>
    <row r="640" spans="1:29" ht="20.100000000000001" customHeight="1">
      <c r="A640" s="91">
        <v>45907</v>
      </c>
      <c r="B640" s="92" t="str">
        <v>Fehr</v>
      </c>
      <c r="C640" s="92" t="str">
        <v>David</v>
      </c>
      <c r="D640" s="92" t="str">
        <v>Scottsdale</v>
      </c>
      <c r="E640" s="92">
        <v>85254</v>
      </c>
      <c r="F640" s="137" t="str">
        <v>Unreasonably high</v>
      </c>
      <c r="G640" s="93" t="str">
        <v>https://docket.images.azcc.gov/E000046266.pdf</v>
      </c>
      <c r="H640" s="150" t="s">
        <v>6344</v>
      </c>
      <c r="I640" s="114" t="str">
        <v>R3-47</v>
      </c>
      <c r="J640" s="94" t="str">
        <v>No</v>
      </c>
      <c r="K640" s="94" t="str">
        <v>No</v>
      </c>
      <c r="L640" s="137" t="str">
        <v>Yes</v>
      </c>
      <c r="M640" s="94" t="str">
        <v>No</v>
      </c>
      <c r="N640" s="134" t="str">
        <v>No</v>
      </c>
      <c r="O640" s="119" t="str">
        <v>Yes</v>
      </c>
      <c r="P640" s="92" t="str">
        <v>N</v>
      </c>
      <c r="Q640" s="91">
        <v>45964</v>
      </c>
      <c r="R640" s="140">
        <v>0</v>
      </c>
      <c r="S640" s="92">
        <v>0</v>
      </c>
      <c r="T640" s="92">
        <v>0</v>
      </c>
      <c r="U640" s="137">
        <v>0</v>
      </c>
      <c r="V640" s="126" t="str">
        <f t="shared" si="18"/>
        <v>✅ On Best Plan</v>
      </c>
      <c r="W640" s="130">
        <f>IFERROR(_xlfn.XLOOKUP(TEXT(H640,"0000000000"),'📞 Call Tracker'!A$2:A$2000,'📞 Call Tracker'!B$2:B$2000,""),"")</f>
        <v>0</v>
      </c>
      <c r="X640" s="96">
        <f>IFERROR(_xlfn.XLOOKUP(TEXT(H640,"0000000000"),'📞 Call Tracker'!A$2:A$2000,'📞 Call Tracker'!C$2:C$2000,""),"")</f>
        <v>0</v>
      </c>
      <c r="Y640" s="95">
        <f>IFERROR(_xlfn.XLOOKUP(TEXT(H640,"0000000000"),'📞 Call Tracker'!A$2:A$2000,'📞 Call Tracker'!D$2:D$2000,""),"")</f>
        <v>0</v>
      </c>
      <c r="Z640" s="95">
        <f>IFERROR(_xlfn.XLOOKUP(TEXT(H640,"0000000000"),'📞 Call Tracker'!A$2:A$2000,'📞 Call Tracker'!E$2:E$2000,""),"")</f>
        <v>0</v>
      </c>
      <c r="AA640" s="145">
        <f>IFERROR(_xlfn.XLOOKUP(TEXT(H640,"0000000000"),'📞 Call Tracker'!A$2:A$2000,'📞 Call Tracker'!F$2:F$2000,""),"")</f>
        <v>0</v>
      </c>
      <c r="AB640" s="132">
        <f t="shared" si="19"/>
        <v>99</v>
      </c>
      <c r="AC640" s="79"/>
    </row>
    <row r="641" spans="1:29" ht="20.100000000000001" customHeight="1">
      <c r="A641" s="91">
        <v>45907</v>
      </c>
      <c r="B641" s="92" t="str">
        <v>Greibesland</v>
      </c>
      <c r="C641" s="92" t="str">
        <v>Bevan</v>
      </c>
      <c r="D641" s="92" t="str">
        <v>Peoria</v>
      </c>
      <c r="E641" s="92">
        <v>85382</v>
      </c>
      <c r="F641" s="137" t="str">
        <v>Form letter</v>
      </c>
      <c r="G641" s="93" t="str">
        <v>https://docket.images.azcc.gov/E000046266.pdf</v>
      </c>
      <c r="H641" s="150" t="s">
        <v>6345</v>
      </c>
      <c r="I641" s="114" t="str">
        <v>RTOUE47</v>
      </c>
      <c r="J641" s="94" t="str">
        <v>No</v>
      </c>
      <c r="K641" s="94" t="str">
        <v>No</v>
      </c>
      <c r="L641" s="137" t="str">
        <v>No MEP R3-47($138.04)</v>
      </c>
      <c r="M641" s="94" t="str">
        <v>No</v>
      </c>
      <c r="N641" s="134" t="str">
        <v>No</v>
      </c>
      <c r="O641" s="119" t="str">
        <v>Yes</v>
      </c>
      <c r="P641" s="92">
        <v>45939</v>
      </c>
      <c r="Q641" s="91">
        <v>45964</v>
      </c>
      <c r="R641" s="140" t="str">
        <v>10/9 Left VM</v>
      </c>
      <c r="S641" s="92">
        <v>0</v>
      </c>
      <c r="T641" s="92">
        <v>0</v>
      </c>
      <c r="U641" s="137">
        <v>0</v>
      </c>
      <c r="V641" s="126" t="str">
        <f t="shared" si="18"/>
        <v>❌ Not on Best Plan</v>
      </c>
      <c r="W641" s="130">
        <f>IFERROR(_xlfn.XLOOKUP(TEXT(H641,"0000000000"),'📞 Call Tracker'!A$2:A$2000,'📞 Call Tracker'!B$2:B$2000,""),"")</f>
        <v>0</v>
      </c>
      <c r="X641" s="96">
        <f>IFERROR(_xlfn.XLOOKUP(TEXT(H641,"0000000000"),'📞 Call Tracker'!A$2:A$2000,'📞 Call Tracker'!C$2:C$2000,""),"")</f>
        <v>0</v>
      </c>
      <c r="Y641" s="95">
        <f>IFERROR(_xlfn.XLOOKUP(TEXT(H641,"0000000000"),'📞 Call Tracker'!A$2:A$2000,'📞 Call Tracker'!D$2:D$2000,""),"")</f>
        <v>0</v>
      </c>
      <c r="Z641" s="95">
        <f>IFERROR(_xlfn.XLOOKUP(TEXT(H641,"0000000000"),'📞 Call Tracker'!A$2:A$2000,'📞 Call Tracker'!E$2:E$2000,""),"")</f>
        <v>0</v>
      </c>
      <c r="AA641" s="145">
        <f>IFERROR(_xlfn.XLOOKUP(TEXT(H641,"0000000000"),'📞 Call Tracker'!A$2:A$2000,'📞 Call Tracker'!F$2:F$2000,""),"")</f>
        <v>0</v>
      </c>
      <c r="AB641" s="132">
        <f t="shared" si="19"/>
        <v>99</v>
      </c>
      <c r="AC641" s="79"/>
    </row>
    <row r="642" spans="1:29" ht="20.100000000000001" customHeight="1">
      <c r="A642" s="91">
        <v>45907</v>
      </c>
      <c r="B642" s="92" t="str">
        <v>Hepner</v>
      </c>
      <c r="C642" s="92" t="str">
        <v>Sean</v>
      </c>
      <c r="D642" s="92" t="str">
        <v>Phoenix</v>
      </c>
      <c r="E642" s="92">
        <v>85022</v>
      </c>
      <c r="F642" s="137" t="str">
        <v>Supports FRM</v>
      </c>
      <c r="G642" s="93" t="str">
        <v>https://docket.images.azcc.gov/E000046266.pdf</v>
      </c>
      <c r="H642" s="150" t="s">
        <v>6346</v>
      </c>
      <c r="I642" s="114" t="str">
        <v>R3-47</v>
      </c>
      <c r="J642" s="94" t="str">
        <v>No</v>
      </c>
      <c r="K642" s="94" t="str">
        <v>No</v>
      </c>
      <c r="L642" s="137" t="str">
        <v>Yes</v>
      </c>
      <c r="M642" s="94" t="str">
        <v>No</v>
      </c>
      <c r="N642" s="134" t="str">
        <v>No</v>
      </c>
      <c r="O642" s="119" t="str">
        <v>Yes</v>
      </c>
      <c r="P642" s="92" t="str">
        <v>N</v>
      </c>
      <c r="Q642" s="91">
        <v>45964</v>
      </c>
      <c r="R642" s="140">
        <v>0</v>
      </c>
      <c r="S642" s="92">
        <v>0</v>
      </c>
      <c r="T642" s="92">
        <v>0</v>
      </c>
      <c r="U642" s="137">
        <v>0</v>
      </c>
      <c r="V642" s="126" t="str">
        <f t="shared" si="18"/>
        <v>✅ On Best Plan</v>
      </c>
      <c r="W642" s="130">
        <f>IFERROR(_xlfn.XLOOKUP(TEXT(H642,"0000000000"),'📞 Call Tracker'!A$2:A$2000,'📞 Call Tracker'!B$2:B$2000,""),"")</f>
        <v>0</v>
      </c>
      <c r="X642" s="96">
        <f>IFERROR(_xlfn.XLOOKUP(TEXT(H642,"0000000000"),'📞 Call Tracker'!A$2:A$2000,'📞 Call Tracker'!C$2:C$2000,""),"")</f>
        <v>0</v>
      </c>
      <c r="Y642" s="95">
        <f>IFERROR(_xlfn.XLOOKUP(TEXT(H642,"0000000000"),'📞 Call Tracker'!A$2:A$2000,'📞 Call Tracker'!D$2:D$2000,""),"")</f>
        <v>0</v>
      </c>
      <c r="Z642" s="95">
        <f>IFERROR(_xlfn.XLOOKUP(TEXT(H642,"0000000000"),'📞 Call Tracker'!A$2:A$2000,'📞 Call Tracker'!E$2:E$2000,""),"")</f>
        <v>0</v>
      </c>
      <c r="AA642" s="145">
        <f>IFERROR(_xlfn.XLOOKUP(TEXT(H642,"0000000000"),'📞 Call Tracker'!A$2:A$2000,'📞 Call Tracker'!F$2:F$2000,""),"")</f>
        <v>0</v>
      </c>
      <c r="AB642" s="132">
        <f t="shared" si="19"/>
        <v>99</v>
      </c>
      <c r="AC642" s="79"/>
    </row>
    <row r="643" spans="1:29" ht="20.100000000000001" customHeight="1">
      <c r="A643" s="91">
        <v>45907</v>
      </c>
      <c r="B643" s="92" t="str">
        <v>Hart</v>
      </c>
      <c r="C643" s="92" t="str">
        <v>Kyle</v>
      </c>
      <c r="D643" s="92" t="str">
        <v>Surprise</v>
      </c>
      <c r="E643" s="92">
        <v>85387</v>
      </c>
      <c r="F643" s="137" t="str">
        <v>Form letter</v>
      </c>
      <c r="G643" s="93" t="str">
        <v>https://docket.images.azcc.gov/E000046266.pdf</v>
      </c>
      <c r="H643" s="150" t="s">
        <v>6722</v>
      </c>
      <c r="I643" s="114" t="str">
        <v>RTOUE47</v>
      </c>
      <c r="J643" s="94" t="str">
        <v>No</v>
      </c>
      <c r="K643" s="94" t="str">
        <v>No</v>
      </c>
      <c r="L643" s="137" t="str">
        <v>Yes</v>
      </c>
      <c r="M643" s="94" t="str">
        <v>No</v>
      </c>
      <c r="N643" s="134" t="str">
        <v>No</v>
      </c>
      <c r="O643" s="119" t="str">
        <v>Yes</v>
      </c>
      <c r="P643" s="92" t="str">
        <v>N</v>
      </c>
      <c r="Q643" s="91">
        <v>45964</v>
      </c>
      <c r="R643" s="140">
        <v>0</v>
      </c>
      <c r="S643" s="92">
        <v>0</v>
      </c>
      <c r="T643" s="92">
        <v>0</v>
      </c>
      <c r="U643" s="137">
        <v>0</v>
      </c>
      <c r="V643" s="126" t="str">
        <f t="shared" ref="V643:V706" si="20">IF(OR(LEFT(TRIM(L643),3)="Yes",TRIM(L643)="Y"),"✅ On Best Plan",IF(OR(L643="Frozen Rate",L643="Frozen Plan"),"❄ Frozen Rate",IF(OR(L643="Not able to Compare",L643="Info Not Avail",L643="NA",L643=""),"⚠ Unknown","❌ Not on Best Plan")))</f>
        <v>✅ On Best Plan</v>
      </c>
      <c r="W643" s="130" t="str">
        <f>IFERROR(_xlfn.XLOOKUP(TEXT(H643,"0000000000"),'📞 Call Tracker'!A$2:A$2000,'📞 Call Tracker'!B$2:B$2000,""),"")</f>
        <v/>
      </c>
      <c r="X643" s="96" t="str">
        <f>IFERROR(_xlfn.XLOOKUP(TEXT(H643,"0000000000"),'📞 Call Tracker'!A$2:A$2000,'📞 Call Tracker'!C$2:C$2000,""),"")</f>
        <v/>
      </c>
      <c r="Y643" s="95" t="str">
        <f>IFERROR(_xlfn.XLOOKUP(TEXT(H643,"0000000000"),'📞 Call Tracker'!A$2:A$2000,'📞 Call Tracker'!D$2:D$2000,""),"")</f>
        <v/>
      </c>
      <c r="Z643" s="95" t="str">
        <f>IFERROR(_xlfn.XLOOKUP(TEXT(H643,"0000000000"),'📞 Call Tracker'!A$2:A$2000,'📞 Call Tracker'!E$2:E$2000,""),"")</f>
        <v/>
      </c>
      <c r="AA643" s="145" t="str">
        <f>IFERROR(_xlfn.XLOOKUP(TEXT(H643,"0000000000"),'📞 Call Tracker'!A$2:A$2000,'📞 Call Tracker'!F$2:F$2000,""),"")</f>
        <v/>
      </c>
      <c r="AB643" s="132">
        <f t="shared" ref="AB643:AB706" si="21">IF(OR(H643="",X643&lt;&gt;""),99,IF(AND(NOT(OR(LEFT(TRIM(L643),3)="Yes",TRIM(L643)="Y",L643="Frozen Rate",L643="Frozen Plan",L643="Not able to Compare",L643="Info Not Avail",L643="NA",L643="")),AND(N643&lt;&gt;"No",N643&lt;&gt;"")),1,IF(NOT(OR(LEFT(TRIM(L643),3)="Yes",TRIM(L643)="Y",L643="Frozen Rate",L643="Frozen Plan",L643="Not able to Compare",L643="Info Not Avail",L643="NA",L643="")),2,IF(AND(N643&lt;&gt;"No",N643&lt;&gt;""),3,4))))</f>
        <v>4</v>
      </c>
      <c r="AC643" s="79"/>
    </row>
    <row r="644" spans="1:29" ht="20.100000000000001" customHeight="1">
      <c r="A644" s="91">
        <v>45907</v>
      </c>
      <c r="B644" s="92" t="str">
        <v>Kosowicz</v>
      </c>
      <c r="C644" s="92" t="str">
        <v>Diane</v>
      </c>
      <c r="D644" s="92" t="str">
        <v>Scottsdale</v>
      </c>
      <c r="E644" s="92">
        <v>85251</v>
      </c>
      <c r="F644" s="137" t="str">
        <v>becoming unaffordable</v>
      </c>
      <c r="G644" s="93" t="str">
        <v>https://docket.images.azcc.gov/E000046266.pdf</v>
      </c>
      <c r="H644" s="150" t="s">
        <v>6347</v>
      </c>
      <c r="I644" s="114" t="str">
        <v>R-XS</v>
      </c>
      <c r="J644" s="94" t="str">
        <v>No</v>
      </c>
      <c r="K644" s="94" t="str">
        <v>No</v>
      </c>
      <c r="L644" s="137" t="str">
        <v>Yes</v>
      </c>
      <c r="M644" s="94" t="str">
        <v>No</v>
      </c>
      <c r="N644" s="134" t="str">
        <v>No</v>
      </c>
      <c r="O644" s="119" t="str">
        <v>Yes</v>
      </c>
      <c r="P644" s="92" t="str">
        <v>N</v>
      </c>
      <c r="Q644" s="91">
        <v>45964</v>
      </c>
      <c r="R644" s="140">
        <v>0</v>
      </c>
      <c r="S644" s="92">
        <v>0</v>
      </c>
      <c r="T644" s="92">
        <v>0</v>
      </c>
      <c r="U644" s="137">
        <v>0</v>
      </c>
      <c r="V644" s="126" t="str">
        <f t="shared" si="20"/>
        <v>✅ On Best Plan</v>
      </c>
      <c r="W644" s="130">
        <f>IFERROR(_xlfn.XLOOKUP(TEXT(H644,"0000000000"),'📞 Call Tracker'!A$2:A$2000,'📞 Call Tracker'!B$2:B$2000,""),"")</f>
        <v>0</v>
      </c>
      <c r="X644" s="96">
        <f>IFERROR(_xlfn.XLOOKUP(TEXT(H644,"0000000000"),'📞 Call Tracker'!A$2:A$2000,'📞 Call Tracker'!C$2:C$2000,""),"")</f>
        <v>0</v>
      </c>
      <c r="Y644" s="95">
        <f>IFERROR(_xlfn.XLOOKUP(TEXT(H644,"0000000000"),'📞 Call Tracker'!A$2:A$2000,'📞 Call Tracker'!D$2:D$2000,""),"")</f>
        <v>0</v>
      </c>
      <c r="Z644" s="95">
        <f>IFERROR(_xlfn.XLOOKUP(TEXT(H644,"0000000000"),'📞 Call Tracker'!A$2:A$2000,'📞 Call Tracker'!E$2:E$2000,""),"")</f>
        <v>0</v>
      </c>
      <c r="AA644" s="145">
        <f>IFERROR(_xlfn.XLOOKUP(TEXT(H644,"0000000000"),'📞 Call Tracker'!A$2:A$2000,'📞 Call Tracker'!F$2:F$2000,""),"")</f>
        <v>0</v>
      </c>
      <c r="AB644" s="132">
        <f t="shared" si="21"/>
        <v>99</v>
      </c>
      <c r="AC644" s="79"/>
    </row>
    <row r="645" spans="1:29" ht="20.100000000000001" customHeight="1">
      <c r="A645" s="91">
        <v>45907</v>
      </c>
      <c r="B645" s="92" t="str">
        <v>McCloud</v>
      </c>
      <c r="C645" s="92" t="str">
        <v>Jason</v>
      </c>
      <c r="D645" s="92" t="str">
        <v>Surprise</v>
      </c>
      <c r="E645" s="92">
        <v>85379</v>
      </c>
      <c r="F645" s="137" t="str">
        <v>Unchecked greed</v>
      </c>
      <c r="G645" s="93" t="str">
        <v>https://docket.images.azcc.gov/E000046266.pdf</v>
      </c>
      <c r="H645" s="150" t="s">
        <v>2147</v>
      </c>
      <c r="I645" s="114" t="str">
        <v>RTOUE47</v>
      </c>
      <c r="J645" s="94" t="str">
        <v>No</v>
      </c>
      <c r="K645" s="94" t="str">
        <v>No</v>
      </c>
      <c r="L645" s="137" t="str">
        <v>No MEP R3-47($74.50)</v>
      </c>
      <c r="M645" s="94" t="str">
        <v>Yes</v>
      </c>
      <c r="N645" s="134">
        <v>803.66</v>
      </c>
      <c r="O645" s="119" t="str">
        <v>Yes</v>
      </c>
      <c r="P645" s="92">
        <v>0</v>
      </c>
      <c r="Q645" s="91">
        <v>45964</v>
      </c>
      <c r="R645" s="140" t="str">
        <v>Assistance?</v>
      </c>
      <c r="S645" s="92">
        <v>0</v>
      </c>
      <c r="T645" s="92">
        <v>0</v>
      </c>
      <c r="U645" s="137">
        <v>0</v>
      </c>
      <c r="V645" s="126" t="str">
        <f t="shared" si="20"/>
        <v>❌ Not on Best Plan</v>
      </c>
      <c r="W645" s="130" t="str">
        <f>IFERROR(_xlfn.XLOOKUP(TEXT(H645,"0000000000"),'📞 Call Tracker'!A$2:A$2000,'📞 Call Tracker'!B$2:B$2000,""),"")</f>
        <v>Joaquin</v>
      </c>
      <c r="X645" s="96">
        <f>IFERROR(_xlfn.XLOOKUP(TEXT(H645,"0000000000"),'📞 Call Tracker'!A$2:A$2000,'📞 Call Tracker'!C$2:C$2000,""),"")</f>
        <v>46074</v>
      </c>
      <c r="Y645" s="95" t="str">
        <f>IFERROR(_xlfn.XLOOKUP(TEXT(H645,"0000000000"),'📞 Call Tracker'!A$2:A$2000,'📞 Call Tracker'!D$2:D$2000,""),"")</f>
        <v>YES</v>
      </c>
      <c r="Z645" s="95">
        <f>IFERROR(_xlfn.XLOOKUP(TEXT(H645,"0000000000"),'📞 Call Tracker'!A$2:A$2000,'📞 Call Tracker'!E$2:E$2000,""),"")</f>
        <v>0</v>
      </c>
      <c r="AA645" s="145" t="str">
        <f>IFERROR(_xlfn.XLOOKUP(TEXT(H645,"0000000000"),'📞 Call Tracker'!A$2:A$2000,'📞 Call Tracker'!F$2:F$2000,""),"")</f>
        <v>LEFT VOICE MAIL</v>
      </c>
      <c r="AB645" s="132">
        <f t="shared" si="21"/>
        <v>99</v>
      </c>
      <c r="AC645" s="79"/>
    </row>
    <row r="646" spans="1:29" ht="20.100000000000001" customHeight="1">
      <c r="A646" s="91">
        <v>45907</v>
      </c>
      <c r="B646" s="92" t="str">
        <v>Martinez</v>
      </c>
      <c r="C646" s="92" t="str">
        <v>Evelin</v>
      </c>
      <c r="D646" s="92" t="str">
        <v>Somerton</v>
      </c>
      <c r="E646" s="92">
        <v>85350</v>
      </c>
      <c r="F646" s="137" t="str">
        <v>Unaffordable and unfair</v>
      </c>
      <c r="G646" s="93" t="str">
        <v>https://docket.images.azcc.gov/E000046266.pdf</v>
      </c>
      <c r="H646" s="150" t="s">
        <v>6723</v>
      </c>
      <c r="I646" s="114" t="str">
        <v>R3-47</v>
      </c>
      <c r="J646" s="94" t="str">
        <v>Yes</v>
      </c>
      <c r="K646" s="94" t="str">
        <v>No</v>
      </c>
      <c r="L646" s="137" t="str">
        <v>Yes</v>
      </c>
      <c r="M646" s="94" t="str">
        <v>Yes</v>
      </c>
      <c r="N646" s="134">
        <v>1530.91</v>
      </c>
      <c r="O646" s="119" t="str">
        <v>Yes</v>
      </c>
      <c r="P646" s="92">
        <v>0</v>
      </c>
      <c r="Q646" s="91">
        <v>45964</v>
      </c>
      <c r="R646" s="140" t="str">
        <v>Assistance?</v>
      </c>
      <c r="S646" s="92">
        <v>0</v>
      </c>
      <c r="T646" s="92">
        <v>0</v>
      </c>
      <c r="U646" s="137">
        <v>0</v>
      </c>
      <c r="V646" s="126" t="str">
        <f t="shared" si="20"/>
        <v>✅ On Best Plan</v>
      </c>
      <c r="W646" s="130" t="str">
        <f>IFERROR(_xlfn.XLOOKUP(TEXT(H646,"0000000000"),'📞 Call Tracker'!A$2:A$2000,'📞 Call Tracker'!B$2:B$2000,""),"")</f>
        <v/>
      </c>
      <c r="X646" s="96" t="str">
        <f>IFERROR(_xlfn.XLOOKUP(TEXT(H646,"0000000000"),'📞 Call Tracker'!A$2:A$2000,'📞 Call Tracker'!C$2:C$2000,""),"")</f>
        <v/>
      </c>
      <c r="Y646" s="95" t="str">
        <f>IFERROR(_xlfn.XLOOKUP(TEXT(H646,"0000000000"),'📞 Call Tracker'!A$2:A$2000,'📞 Call Tracker'!D$2:D$2000,""),"")</f>
        <v/>
      </c>
      <c r="Z646" s="95" t="str">
        <f>IFERROR(_xlfn.XLOOKUP(TEXT(H646,"0000000000"),'📞 Call Tracker'!A$2:A$2000,'📞 Call Tracker'!E$2:E$2000,""),"")</f>
        <v/>
      </c>
      <c r="AA646" s="145" t="str">
        <f>IFERROR(_xlfn.XLOOKUP(TEXT(H646,"0000000000"),'📞 Call Tracker'!A$2:A$2000,'📞 Call Tracker'!F$2:F$2000,""),"")</f>
        <v/>
      </c>
      <c r="AB646" s="132">
        <f t="shared" si="21"/>
        <v>3</v>
      </c>
      <c r="AC646" s="79"/>
    </row>
    <row r="647" spans="1:29" ht="20.100000000000001" customHeight="1">
      <c r="A647" s="91">
        <v>45907</v>
      </c>
      <c r="B647" s="92" t="str">
        <v>Litton</v>
      </c>
      <c r="C647" s="92" t="str">
        <v>Miranda</v>
      </c>
      <c r="D647" s="92" t="str">
        <v>Youngtown</v>
      </c>
      <c r="E647" s="92">
        <v>85363</v>
      </c>
      <c r="F647" s="137" t="str">
        <v>Form letter</v>
      </c>
      <c r="G647" s="93" t="str">
        <v>https://docket.images.azcc.gov/E000046266.pdf</v>
      </c>
      <c r="H647" s="150" t="s">
        <v>2157</v>
      </c>
      <c r="I647" s="114" t="str">
        <v>RTOUE47</v>
      </c>
      <c r="J647" s="94" t="str">
        <v>No</v>
      </c>
      <c r="K647" s="94" t="str">
        <v>No</v>
      </c>
      <c r="L647" s="137" t="str">
        <v>No MEP R3-47 ($110.70)</v>
      </c>
      <c r="M647" s="94" t="str">
        <v>No</v>
      </c>
      <c r="N647" s="134" t="str">
        <v>No</v>
      </c>
      <c r="O647" s="119" t="str">
        <v>Yes</v>
      </c>
      <c r="P647" s="92">
        <v>45964</v>
      </c>
      <c r="Q647" s="91">
        <v>45964</v>
      </c>
      <c r="R647" s="140" t="str">
        <v>11/03 - LM</v>
      </c>
      <c r="S647" s="92">
        <v>0</v>
      </c>
      <c r="T647" s="92">
        <v>0</v>
      </c>
      <c r="U647" s="137">
        <v>0</v>
      </c>
      <c r="V647" s="126" t="str">
        <f t="shared" si="20"/>
        <v>❌ Not on Best Plan</v>
      </c>
      <c r="W647" s="130">
        <f>IFERROR(_xlfn.XLOOKUP(TEXT(H647,"0000000000"),'📞 Call Tracker'!A$2:A$2000,'📞 Call Tracker'!B$2:B$2000,""),"")</f>
        <v>0</v>
      </c>
      <c r="X647" s="96">
        <f>IFERROR(_xlfn.XLOOKUP(TEXT(H647,"0000000000"),'📞 Call Tracker'!A$2:A$2000,'📞 Call Tracker'!C$2:C$2000,""),"")</f>
        <v>0</v>
      </c>
      <c r="Y647" s="95">
        <f>IFERROR(_xlfn.XLOOKUP(TEXT(H647,"0000000000"),'📞 Call Tracker'!A$2:A$2000,'📞 Call Tracker'!D$2:D$2000,""),"")</f>
        <v>0</v>
      </c>
      <c r="Z647" s="95">
        <f>IFERROR(_xlfn.XLOOKUP(TEXT(H647,"0000000000"),'📞 Call Tracker'!A$2:A$2000,'📞 Call Tracker'!E$2:E$2000,""),"")</f>
        <v>0</v>
      </c>
      <c r="AA647" s="145">
        <f>IFERROR(_xlfn.XLOOKUP(TEXT(H647,"0000000000"),'📞 Call Tracker'!A$2:A$2000,'📞 Call Tracker'!F$2:F$2000,""),"")</f>
        <v>0</v>
      </c>
      <c r="AB647" s="132">
        <f t="shared" si="21"/>
        <v>99</v>
      </c>
      <c r="AC647" s="79"/>
    </row>
    <row r="648" spans="1:29" ht="20.100000000000001" customHeight="1">
      <c r="A648" s="91">
        <v>45907</v>
      </c>
      <c r="B648" s="92" t="str">
        <v>Watson</v>
      </c>
      <c r="C648" s="92" t="str">
        <v>Mary Ann</v>
      </c>
      <c r="D648" s="92" t="str">
        <v>Sun City West</v>
      </c>
      <c r="E648" s="92">
        <v>85376</v>
      </c>
      <c r="F648" s="137" t="str">
        <v>Too much too often</v>
      </c>
      <c r="G648" s="93" t="str">
        <v>https://docket.images.azcc.gov/E000046266.pdf</v>
      </c>
      <c r="H648" s="150" t="s">
        <v>6072</v>
      </c>
      <c r="I648" s="114" t="str">
        <v>RTOUE47</v>
      </c>
      <c r="J648" s="94" t="str">
        <v>No</v>
      </c>
      <c r="K648" s="94" t="str">
        <v>No</v>
      </c>
      <c r="L648" s="137" t="str">
        <v>No MEP R3-47($130.18)</v>
      </c>
      <c r="M648" s="94" t="str">
        <v>No</v>
      </c>
      <c r="N648" s="134" t="str">
        <v>No</v>
      </c>
      <c r="O648" s="119" t="str">
        <v>Yes</v>
      </c>
      <c r="P648" s="92" t="str">
        <v>N</v>
      </c>
      <c r="Q648" s="91">
        <v>45964</v>
      </c>
      <c r="R648" s="140" t="str">
        <v>10/9 - tried to call, phone number is no longer in service</v>
      </c>
      <c r="S648" s="92">
        <v>0</v>
      </c>
      <c r="T648" s="92">
        <v>0</v>
      </c>
      <c r="U648" s="137">
        <v>0</v>
      </c>
      <c r="V648" s="126" t="str">
        <f t="shared" si="20"/>
        <v>❌ Not on Best Plan</v>
      </c>
      <c r="W648" s="130" t="str">
        <f>IFERROR(_xlfn.XLOOKUP(TEXT(H648,"0000000000"),'📞 Call Tracker'!A$2:A$2000,'📞 Call Tracker'!B$2:B$2000,""),"")</f>
        <v>Joaquin</v>
      </c>
      <c r="X648" s="96">
        <f>IFERROR(_xlfn.XLOOKUP(TEXT(H648,"0000000000"),'📞 Call Tracker'!A$2:A$2000,'📞 Call Tracker'!C$2:C$2000,""),"")</f>
        <v>46039</v>
      </c>
      <c r="Y648" s="95" t="str">
        <f>IFERROR(_xlfn.XLOOKUP(TEXT(H648,"0000000000"),'📞 Call Tracker'!A$2:A$2000,'📞 Call Tracker'!D$2:D$2000,""),"")</f>
        <v>NO</v>
      </c>
      <c r="Z648" s="95" t="str">
        <f>IFERROR(_xlfn.XLOOKUP(TEXT(H648,"0000000000"),'📞 Call Tracker'!A$2:A$2000,'📞 Call Tracker'!E$2:E$2000,""),"")</f>
        <v>General Education</v>
      </c>
      <c r="AA648" s="145" t="str">
        <f>IFERROR(_xlfn.XLOOKUP(TEXT(H648,"0000000000"),'📞 Call Tracker'!A$2:A$2000,'📞 Call Tracker'!F$2:F$2000,""),"")</f>
        <v>WILL CB TO MAKE CHANGES</v>
      </c>
      <c r="AB648" s="132">
        <f t="shared" si="21"/>
        <v>99</v>
      </c>
      <c r="AC648" s="79"/>
    </row>
    <row r="649" spans="1:29" ht="20.100000000000001" customHeight="1">
      <c r="A649" s="91">
        <v>45907</v>
      </c>
      <c r="B649" s="92" t="str">
        <v>Bahrie</v>
      </c>
      <c r="C649" s="92" t="str">
        <v>Atul</v>
      </c>
      <c r="D649" s="92" t="str">
        <v>Phoenix</v>
      </c>
      <c r="E649" s="92">
        <v>85024</v>
      </c>
      <c r="F649" s="137" t="str">
        <v>Form letter</v>
      </c>
      <c r="G649" s="93" t="str">
        <v>https://docket.images.azcc.gov/E000046266.pdf</v>
      </c>
      <c r="H649" s="150" t="s">
        <v>6348</v>
      </c>
      <c r="I649" s="114" t="str">
        <v>R-BASICL</v>
      </c>
      <c r="J649" s="94" t="str">
        <v>No</v>
      </c>
      <c r="K649" s="94" t="str">
        <v>No</v>
      </c>
      <c r="L649" s="137" t="str">
        <v>No MEP R3-47($481.47)</v>
      </c>
      <c r="M649" s="94" t="str">
        <v>No</v>
      </c>
      <c r="N649" s="134" t="str">
        <v>No</v>
      </c>
      <c r="O649" s="119" t="str">
        <v>Yes</v>
      </c>
      <c r="P649" s="92">
        <v>45939</v>
      </c>
      <c r="Q649" s="91">
        <v>45964</v>
      </c>
      <c r="R649" s="140" t="str">
        <v>10/9 Left VM</v>
      </c>
      <c r="S649" s="92">
        <v>0</v>
      </c>
      <c r="T649" s="92">
        <v>0</v>
      </c>
      <c r="U649" s="137">
        <v>0</v>
      </c>
      <c r="V649" s="126" t="str">
        <f t="shared" si="20"/>
        <v>❌ Not on Best Plan</v>
      </c>
      <c r="W649" s="130">
        <f>IFERROR(_xlfn.XLOOKUP(TEXT(H649,"0000000000"),'📞 Call Tracker'!A$2:A$2000,'📞 Call Tracker'!B$2:B$2000,""),"")</f>
        <v>0</v>
      </c>
      <c r="X649" s="96">
        <f>IFERROR(_xlfn.XLOOKUP(TEXT(H649,"0000000000"),'📞 Call Tracker'!A$2:A$2000,'📞 Call Tracker'!C$2:C$2000,""),"")</f>
        <v>0</v>
      </c>
      <c r="Y649" s="95">
        <f>IFERROR(_xlfn.XLOOKUP(TEXT(H649,"0000000000"),'📞 Call Tracker'!A$2:A$2000,'📞 Call Tracker'!D$2:D$2000,""),"")</f>
        <v>0</v>
      </c>
      <c r="Z649" s="95">
        <f>IFERROR(_xlfn.XLOOKUP(TEXT(H649,"0000000000"),'📞 Call Tracker'!A$2:A$2000,'📞 Call Tracker'!E$2:E$2000,""),"")</f>
        <v>0</v>
      </c>
      <c r="AA649" s="145">
        <f>IFERROR(_xlfn.XLOOKUP(TEXT(H649,"0000000000"),'📞 Call Tracker'!A$2:A$2000,'📞 Call Tracker'!F$2:F$2000,""),"")</f>
        <v>0</v>
      </c>
      <c r="AB649" s="132">
        <f t="shared" si="21"/>
        <v>99</v>
      </c>
      <c r="AC649" s="79"/>
    </row>
    <row r="650" spans="1:29" ht="20.100000000000001" customHeight="1">
      <c r="A650" s="91">
        <v>45907</v>
      </c>
      <c r="B650" s="92" t="str">
        <v>Pludowski</v>
      </c>
      <c r="C650" s="92" t="str">
        <v>Andrew</v>
      </c>
      <c r="D650" s="92" t="str">
        <v>Surprise</v>
      </c>
      <c r="E650" s="92">
        <v>85387</v>
      </c>
      <c r="F650" s="137" t="str">
        <v>Increase approved last year</v>
      </c>
      <c r="G650" s="93" t="str">
        <v>https://docket.images.azcc.gov/E000046266.pdf</v>
      </c>
      <c r="H650" s="150" t="s">
        <v>6349</v>
      </c>
      <c r="I650" s="114" t="str">
        <v>RTOUE47</v>
      </c>
      <c r="J650" s="94" t="str">
        <v>No</v>
      </c>
      <c r="K650" s="94" t="str">
        <v>No</v>
      </c>
      <c r="L650" s="137" t="str">
        <v>No MRP R3-47($305.33)</v>
      </c>
      <c r="M650" s="94" t="str">
        <v>No</v>
      </c>
      <c r="N650" s="134" t="str">
        <v>No</v>
      </c>
      <c r="O650" s="119" t="str">
        <v>Yes</v>
      </c>
      <c r="P650" s="92" t="str">
        <v>N</v>
      </c>
      <c r="Q650" s="91">
        <v>45964</v>
      </c>
      <c r="R650" s="140" t="str">
        <v xml:space="preserve">10/9 reviewed account and notes indicate he spoke to an advisor within the last several  months and specifically asked to be removed from the demand plan. </v>
      </c>
      <c r="S650" s="92">
        <v>0</v>
      </c>
      <c r="T650" s="92">
        <v>0</v>
      </c>
      <c r="U650" s="137">
        <v>0</v>
      </c>
      <c r="V650" s="126" t="str">
        <f t="shared" si="20"/>
        <v>❌ Not on Best Plan</v>
      </c>
      <c r="W650" s="130">
        <f>IFERROR(_xlfn.XLOOKUP(TEXT(H650,"0000000000"),'📞 Call Tracker'!A$2:A$2000,'📞 Call Tracker'!B$2:B$2000,""),"")</f>
        <v>0</v>
      </c>
      <c r="X650" s="96">
        <f>IFERROR(_xlfn.XLOOKUP(TEXT(H650,"0000000000"),'📞 Call Tracker'!A$2:A$2000,'📞 Call Tracker'!C$2:C$2000,""),"")</f>
        <v>0</v>
      </c>
      <c r="Y650" s="95">
        <f>IFERROR(_xlfn.XLOOKUP(TEXT(H650,"0000000000"),'📞 Call Tracker'!A$2:A$2000,'📞 Call Tracker'!D$2:D$2000,""),"")</f>
        <v>0</v>
      </c>
      <c r="Z650" s="95">
        <f>IFERROR(_xlfn.XLOOKUP(TEXT(H650,"0000000000"),'📞 Call Tracker'!A$2:A$2000,'📞 Call Tracker'!E$2:E$2000,""),"")</f>
        <v>0</v>
      </c>
      <c r="AA650" s="145">
        <f>IFERROR(_xlfn.XLOOKUP(TEXT(H650,"0000000000"),'📞 Call Tracker'!A$2:A$2000,'📞 Call Tracker'!F$2:F$2000,""),"")</f>
        <v>0</v>
      </c>
      <c r="AB650" s="132">
        <f t="shared" si="21"/>
        <v>99</v>
      </c>
      <c r="AC650" s="79"/>
    </row>
    <row r="651" spans="1:29" ht="20.100000000000001" customHeight="1">
      <c r="A651" s="91">
        <v>45907</v>
      </c>
      <c r="B651" s="92" t="str">
        <v>Tucker</v>
      </c>
      <c r="C651" s="92" t="str">
        <v>Caitlin</v>
      </c>
      <c r="D651" s="92" t="str">
        <v>Phoenix</v>
      </c>
      <c r="E651" s="92">
        <v>85032</v>
      </c>
      <c r="F651" s="137" t="str">
        <v>against any increase</v>
      </c>
      <c r="G651" s="93" t="str">
        <v>https://docket.images.azcc.gov/E000046266.pdf</v>
      </c>
      <c r="H651" s="150" t="s">
        <v>6724</v>
      </c>
      <c r="I651" s="114" t="str">
        <v>R-XS</v>
      </c>
      <c r="J651" s="94" t="str">
        <v>No</v>
      </c>
      <c r="K651" s="94" t="str">
        <v>No</v>
      </c>
      <c r="L651" s="137" t="str">
        <v>Yes</v>
      </c>
      <c r="M651" s="94" t="str">
        <v>No</v>
      </c>
      <c r="N651" s="134" t="str">
        <v>No</v>
      </c>
      <c r="O651" s="119" t="str">
        <v>Yes</v>
      </c>
      <c r="P651" s="92" t="str">
        <v>N</v>
      </c>
      <c r="Q651" s="91">
        <v>45964</v>
      </c>
      <c r="R651" s="140" t="str">
        <v>Trending over average monthly usage limit</v>
      </c>
      <c r="S651" s="92">
        <v>0</v>
      </c>
      <c r="T651" s="92">
        <v>0</v>
      </c>
      <c r="U651" s="137">
        <v>0</v>
      </c>
      <c r="V651" s="126" t="str">
        <f t="shared" si="20"/>
        <v>✅ On Best Plan</v>
      </c>
      <c r="W651" s="130" t="str">
        <f>IFERROR(_xlfn.XLOOKUP(TEXT(H651,"0000000000"),'📞 Call Tracker'!A$2:A$2000,'📞 Call Tracker'!B$2:B$2000,""),"")</f>
        <v/>
      </c>
      <c r="X651" s="96" t="str">
        <f>IFERROR(_xlfn.XLOOKUP(TEXT(H651,"0000000000"),'📞 Call Tracker'!A$2:A$2000,'📞 Call Tracker'!C$2:C$2000,""),"")</f>
        <v/>
      </c>
      <c r="Y651" s="95" t="str">
        <f>IFERROR(_xlfn.XLOOKUP(TEXT(H651,"0000000000"),'📞 Call Tracker'!A$2:A$2000,'📞 Call Tracker'!D$2:D$2000,""),"")</f>
        <v/>
      </c>
      <c r="Z651" s="95" t="str">
        <f>IFERROR(_xlfn.XLOOKUP(TEXT(H651,"0000000000"),'📞 Call Tracker'!A$2:A$2000,'📞 Call Tracker'!E$2:E$2000,""),"")</f>
        <v/>
      </c>
      <c r="AA651" s="145" t="str">
        <f>IFERROR(_xlfn.XLOOKUP(TEXT(H651,"0000000000"),'📞 Call Tracker'!A$2:A$2000,'📞 Call Tracker'!F$2:F$2000,""),"")</f>
        <v/>
      </c>
      <c r="AB651" s="132">
        <f t="shared" si="21"/>
        <v>4</v>
      </c>
      <c r="AC651" s="79"/>
    </row>
    <row r="652" spans="1:29" ht="20.100000000000001" customHeight="1">
      <c r="A652" s="91">
        <v>45907</v>
      </c>
      <c r="B652" s="92" t="str">
        <v>Jimenez</v>
      </c>
      <c r="C652" s="92" t="str">
        <v>David</v>
      </c>
      <c r="D652" s="92" t="str">
        <v>Phoenix</v>
      </c>
      <c r="E652" s="92">
        <v>85027</v>
      </c>
      <c r="F652" s="137" t="str">
        <v>No more rate hikes</v>
      </c>
      <c r="G652" s="93" t="str">
        <v>https://docket.images.azcc.gov/E000046266.pdf</v>
      </c>
      <c r="H652" s="150" t="s">
        <v>6002</v>
      </c>
      <c r="I652" s="114" t="str">
        <v>R3-47</v>
      </c>
      <c r="J652" s="94" t="str">
        <v>No</v>
      </c>
      <c r="K652" s="94" t="str">
        <v>No</v>
      </c>
      <c r="L652" s="137" t="str">
        <v>Yes</v>
      </c>
      <c r="M652" s="94" t="str">
        <v>No</v>
      </c>
      <c r="N652" s="134" t="str">
        <v>No</v>
      </c>
      <c r="O652" s="119" t="str">
        <v>Yes</v>
      </c>
      <c r="P652" s="92" t="str">
        <v>N</v>
      </c>
      <c r="Q652" s="91">
        <v>45964</v>
      </c>
      <c r="R652" s="140">
        <v>0</v>
      </c>
      <c r="S652" s="92">
        <v>0</v>
      </c>
      <c r="T652" s="92">
        <v>0</v>
      </c>
      <c r="U652" s="137">
        <v>0</v>
      </c>
      <c r="V652" s="126" t="str">
        <f t="shared" si="20"/>
        <v>✅ On Best Plan</v>
      </c>
      <c r="W652" s="130" t="str">
        <f>IFERROR(_xlfn.XLOOKUP(TEXT(H652,"0000000000"),'📞 Call Tracker'!A$2:A$2000,'📞 Call Tracker'!B$2:B$2000,""),"")</f>
        <v>Joaquin</v>
      </c>
      <c r="X652" s="96">
        <f>IFERROR(_xlfn.XLOOKUP(TEXT(H652,"0000000000"),'📞 Call Tracker'!A$2:A$2000,'📞 Call Tracker'!C$2:C$2000,""),"")</f>
        <v>46039</v>
      </c>
      <c r="Y652" s="95" t="str">
        <f>IFERROR(_xlfn.XLOOKUP(TEXT(H652,"0000000000"),'📞 Call Tracker'!A$2:A$2000,'📞 Call Tracker'!D$2:D$2000,""),"")</f>
        <v>YES</v>
      </c>
      <c r="Z652" s="95">
        <f>IFERROR(_xlfn.XLOOKUP(TEXT(H652,"0000000000"),'📞 Call Tracker'!A$2:A$2000,'📞 Call Tracker'!E$2:E$2000,""),"")</f>
        <v>0</v>
      </c>
      <c r="AA652" s="145">
        <f>IFERROR(_xlfn.XLOOKUP(TEXT(H652,"0000000000"),'📞 Call Tracker'!A$2:A$2000,'📞 Call Tracker'!F$2:F$2000,""),"")</f>
        <v>0</v>
      </c>
      <c r="AB652" s="132">
        <f t="shared" si="21"/>
        <v>99</v>
      </c>
      <c r="AC652" s="79"/>
    </row>
    <row r="653" spans="1:29" ht="20.100000000000001" customHeight="1">
      <c r="A653" s="91">
        <v>45907</v>
      </c>
      <c r="B653" s="92" t="str">
        <v>Nicholson</v>
      </c>
      <c r="C653" s="92" t="str">
        <v>Kirsten</v>
      </c>
      <c r="D653" s="92" t="str">
        <v>Phoenix</v>
      </c>
      <c r="E653" s="92">
        <v>85008</v>
      </c>
      <c r="F653" s="137" t="str">
        <v>Form letter</v>
      </c>
      <c r="G653" s="93" t="str">
        <v>https://docket.images.azcc.gov/E000046266.pdf</v>
      </c>
      <c r="H653" s="150" t="s">
        <v>6153</v>
      </c>
      <c r="I653" s="114" t="str">
        <v>R-BASIC</v>
      </c>
      <c r="J653" s="94" t="str">
        <v>No</v>
      </c>
      <c r="K653" s="94" t="str">
        <v>No</v>
      </c>
      <c r="L653" s="137" t="str">
        <v>No R3-47($76.57)</v>
      </c>
      <c r="M653" s="94" t="str">
        <v>No</v>
      </c>
      <c r="N653" s="134" t="str">
        <v>No</v>
      </c>
      <c r="O653" s="119" t="str">
        <v>Yes</v>
      </c>
      <c r="P653" s="92" t="str">
        <v>N</v>
      </c>
      <c r="Q653" s="91">
        <v>45964</v>
      </c>
      <c r="R653" s="140">
        <v>0</v>
      </c>
      <c r="S653" s="92">
        <v>0</v>
      </c>
      <c r="T653" s="92">
        <v>0</v>
      </c>
      <c r="U653" s="137">
        <v>0</v>
      </c>
      <c r="V653" s="126" t="str">
        <f t="shared" si="20"/>
        <v>❌ Not on Best Plan</v>
      </c>
      <c r="W653" s="130" t="str">
        <f>IFERROR(_xlfn.XLOOKUP(TEXT(H653,"0000000000"),'📞 Call Tracker'!A$2:A$2000,'📞 Call Tracker'!B$2:B$2000,""),"")</f>
        <v>Joaquin</v>
      </c>
      <c r="X653" s="96">
        <f>IFERROR(_xlfn.XLOOKUP(TEXT(H653,"0000000000"),'📞 Call Tracker'!A$2:A$2000,'📞 Call Tracker'!C$2:C$2000,""),"")</f>
        <v>46039</v>
      </c>
      <c r="Y653" s="95" t="str">
        <f>IFERROR(_xlfn.XLOOKUP(TEXT(H653,"0000000000"),'📞 Call Tracker'!A$2:A$2000,'📞 Call Tracker'!D$2:D$2000,""),"")</f>
        <v>YES</v>
      </c>
      <c r="Z653" s="95">
        <f>IFERROR(_xlfn.XLOOKUP(TEXT(H653,"0000000000"),'📞 Call Tracker'!A$2:A$2000,'📞 Call Tracker'!E$2:E$2000,""),"")</f>
        <v>0</v>
      </c>
      <c r="AA653" s="145">
        <f>IFERROR(_xlfn.XLOOKUP(TEXT(H653,"0000000000"),'📞 Call Tracker'!A$2:A$2000,'📞 Call Tracker'!F$2:F$2000,""),"")</f>
        <v>0</v>
      </c>
      <c r="AB653" s="132">
        <f t="shared" si="21"/>
        <v>99</v>
      </c>
      <c r="AC653" s="79"/>
    </row>
    <row r="654" spans="1:29" ht="20.100000000000001" customHeight="1">
      <c r="A654" s="91">
        <v>45907</v>
      </c>
      <c r="B654" s="92" t="str">
        <v>Haynes</v>
      </c>
      <c r="C654" s="92" t="str">
        <v>Melissa</v>
      </c>
      <c r="D654" s="92" t="str">
        <v>Surprise</v>
      </c>
      <c r="E654" s="92">
        <v>85379</v>
      </c>
      <c r="F654" s="137" t="str">
        <v>Absolutely insane</v>
      </c>
      <c r="G654" s="93" t="str">
        <v>https://docket.images.azcc.gov/E000046266.pdf</v>
      </c>
      <c r="H654" s="150" t="s">
        <v>6073</v>
      </c>
      <c r="I654" s="114" t="str">
        <v>R-XS</v>
      </c>
      <c r="J654" s="94" t="str">
        <v>No</v>
      </c>
      <c r="K654" s="94" t="str">
        <v>No</v>
      </c>
      <c r="L654" s="137" t="str">
        <v>No R3-47($147.75)</v>
      </c>
      <c r="M654" s="94" t="str">
        <v>No</v>
      </c>
      <c r="N654" s="134" t="str">
        <v>No</v>
      </c>
      <c r="O654" s="119" t="str">
        <v>Yes</v>
      </c>
      <c r="P654" s="92">
        <v>45939</v>
      </c>
      <c r="Q654" s="91">
        <v>45964</v>
      </c>
      <c r="R654" s="140" t="str">
        <v xml:space="preserve">10/9 Spoke with Ms. Haynes regarding her MEP, R3-47. She does not want to change at this time. Advised her to monitor monthly plan comparison details. </v>
      </c>
      <c r="S654" s="92">
        <v>0</v>
      </c>
      <c r="T654" s="92">
        <v>0</v>
      </c>
      <c r="U654" s="137">
        <v>0</v>
      </c>
      <c r="V654" s="126" t="str">
        <f t="shared" si="20"/>
        <v>❌ Not on Best Plan</v>
      </c>
      <c r="W654" s="130" t="str">
        <f>IFERROR(_xlfn.XLOOKUP(TEXT(H654,"0000000000"),'📞 Call Tracker'!A$2:A$2000,'📞 Call Tracker'!B$2:B$2000,""),"")</f>
        <v>Joaquin</v>
      </c>
      <c r="X654" s="96">
        <f>IFERROR(_xlfn.XLOOKUP(TEXT(H654,"0000000000"),'📞 Call Tracker'!A$2:A$2000,'📞 Call Tracker'!C$2:C$2000,""),"")</f>
        <v>46039</v>
      </c>
      <c r="Y654" s="95" t="str">
        <f>IFERROR(_xlfn.XLOOKUP(TEXT(H654,"0000000000"),'📞 Call Tracker'!A$2:A$2000,'📞 Call Tracker'!D$2:D$2000,""),"")</f>
        <v>YES</v>
      </c>
      <c r="Z654" s="95">
        <f>IFERROR(_xlfn.XLOOKUP(TEXT(H654,"0000000000"),'📞 Call Tracker'!A$2:A$2000,'📞 Call Tracker'!E$2:E$2000,""),"")</f>
        <v>0</v>
      </c>
      <c r="AA654" s="145">
        <f>IFERROR(_xlfn.XLOOKUP(TEXT(H654,"0000000000"),'📞 Call Tracker'!A$2:A$2000,'📞 Call Tracker'!F$2:F$2000,""),"")</f>
        <v>0</v>
      </c>
      <c r="AB654" s="132">
        <f t="shared" si="21"/>
        <v>99</v>
      </c>
      <c r="AC654" s="79"/>
    </row>
    <row r="655" spans="1:29" ht="20.100000000000001" customHeight="1">
      <c r="A655" s="91">
        <v>45907</v>
      </c>
      <c r="B655" s="92" t="str">
        <v>Bauer</v>
      </c>
      <c r="C655" s="92" t="str">
        <v>Heather</v>
      </c>
      <c r="D655" s="92" t="str">
        <v>Chandler</v>
      </c>
      <c r="E655" s="92">
        <v>85225</v>
      </c>
      <c r="F655" s="137" t="str">
        <v>Form letter</v>
      </c>
      <c r="G655" s="93" t="str">
        <v>https://docket.images.azcc.gov/E000046266.pdf</v>
      </c>
      <c r="H655" s="150" t="s">
        <v>6074</v>
      </c>
      <c r="I655" s="114" t="str">
        <v>EPR-6w/E-12</v>
      </c>
      <c r="J655" s="94" t="str">
        <v>No</v>
      </c>
      <c r="K655" s="94" t="str">
        <v>No</v>
      </c>
      <c r="L655" s="137" t="str">
        <v>Frozen Rate</v>
      </c>
      <c r="M655" s="94" t="str">
        <v>No</v>
      </c>
      <c r="N655" s="134" t="str">
        <v>No</v>
      </c>
      <c r="O655" s="119" t="str">
        <v>Yes</v>
      </c>
      <c r="P655" s="92" t="str">
        <v>N</v>
      </c>
      <c r="Q655" s="91">
        <v>45964</v>
      </c>
      <c r="R655" s="140">
        <v>0</v>
      </c>
      <c r="S655" s="92">
        <v>0</v>
      </c>
      <c r="T655" s="92">
        <v>0</v>
      </c>
      <c r="U655" s="137">
        <v>0</v>
      </c>
      <c r="V655" s="126" t="str">
        <f t="shared" si="20"/>
        <v>❄ Frozen Rate</v>
      </c>
      <c r="W655" s="130" t="str">
        <f>IFERROR(_xlfn.XLOOKUP(TEXT(H655,"0000000000"),'📞 Call Tracker'!A$2:A$2000,'📞 Call Tracker'!B$2:B$2000,""),"")</f>
        <v>Joaquin</v>
      </c>
      <c r="X655" s="96">
        <f>IFERROR(_xlfn.XLOOKUP(TEXT(H655,"0000000000"),'📞 Call Tracker'!A$2:A$2000,'📞 Call Tracker'!C$2:C$2000,""),"")</f>
        <v>46025</v>
      </c>
      <c r="Y655" s="95" t="str">
        <f>IFERROR(_xlfn.XLOOKUP(TEXT(H655,"0000000000"),'📞 Call Tracker'!A$2:A$2000,'📞 Call Tracker'!D$2:D$2000,""),"")</f>
        <v>NO</v>
      </c>
      <c r="Z655" s="95">
        <f>IFERROR(_xlfn.XLOOKUP(TEXT(H655,"0000000000"),'📞 Call Tracker'!A$2:A$2000,'📞 Call Tracker'!E$2:E$2000,""),"")</f>
        <v>0</v>
      </c>
      <c r="AA655" s="145" t="str">
        <f>IFERROR(_xlfn.XLOOKUP(TEXT(H655,"0000000000"),'📞 Call Tracker'!A$2:A$2000,'📞 Call Tracker'!F$2:F$2000,""),"")</f>
        <v>NO GOOD CONTACT # ON ACCT</v>
      </c>
      <c r="AB655" s="132">
        <f t="shared" si="21"/>
        <v>99</v>
      </c>
      <c r="AC655" s="79"/>
    </row>
    <row r="656" spans="1:29" ht="20.100000000000001" customHeight="1">
      <c r="A656" s="91">
        <v>45907</v>
      </c>
      <c r="B656" s="92" t="str">
        <v>Carroll</v>
      </c>
      <c r="C656" s="92" t="str">
        <v>Cecilia</v>
      </c>
      <c r="D656" s="92" t="str">
        <v>Waddell</v>
      </c>
      <c r="E656" s="92">
        <v>85355</v>
      </c>
      <c r="F656" s="137" t="str">
        <v>Can't afford higher bills</v>
      </c>
      <c r="G656" s="93" t="str">
        <v>https://docket.images.azcc.gov/E000046266.pdf</v>
      </c>
      <c r="H656" s="150" t="s">
        <v>6075</v>
      </c>
      <c r="I656" s="114" t="str">
        <v>R3-47</v>
      </c>
      <c r="J656" s="94" t="str">
        <v>No</v>
      </c>
      <c r="K656" s="94" t="str">
        <v>No</v>
      </c>
      <c r="L656" s="137" t="str">
        <v>Yes</v>
      </c>
      <c r="M656" s="94" t="str">
        <v>Yes</v>
      </c>
      <c r="N656" s="134">
        <v>189.57</v>
      </c>
      <c r="O656" s="119" t="str">
        <v>Yes</v>
      </c>
      <c r="P656" s="92" t="str">
        <v>N</v>
      </c>
      <c r="Q656" s="91">
        <v>45964</v>
      </c>
      <c r="R656" s="140">
        <v>0</v>
      </c>
      <c r="S656" s="92">
        <v>0</v>
      </c>
      <c r="T656" s="92">
        <v>0</v>
      </c>
      <c r="U656" s="137">
        <v>0</v>
      </c>
      <c r="V656" s="126" t="str">
        <f t="shared" si="20"/>
        <v>✅ On Best Plan</v>
      </c>
      <c r="W656" s="130" t="str">
        <f>IFERROR(_xlfn.XLOOKUP(TEXT(H656,"0000000000"),'📞 Call Tracker'!A$2:A$2000,'📞 Call Tracker'!B$2:B$2000,""),"")</f>
        <v>Joaquin</v>
      </c>
      <c r="X656" s="96">
        <f>IFERROR(_xlfn.XLOOKUP(TEXT(H656,"0000000000"),'📞 Call Tracker'!A$2:A$2000,'📞 Call Tracker'!C$2:C$2000,""),"")</f>
        <v>46025</v>
      </c>
      <c r="Y656" s="95" t="str">
        <f>IFERROR(_xlfn.XLOOKUP(TEXT(H656,"0000000000"),'📞 Call Tracker'!A$2:A$2000,'📞 Call Tracker'!D$2:D$2000,""),"")</f>
        <v>NO</v>
      </c>
      <c r="Z656" s="95">
        <f>IFERROR(_xlfn.XLOOKUP(TEXT(H656,"0000000000"),'📞 Call Tracker'!A$2:A$2000,'📞 Call Tracker'!E$2:E$2000,""),"")</f>
        <v>0</v>
      </c>
      <c r="AA656" s="145" t="str">
        <f>IFERROR(_xlfn.XLOOKUP(TEXT(H656,"0000000000"),'📞 Call Tracker'!A$2:A$2000,'📞 Call Tracker'!F$2:F$2000,""),"")</f>
        <v>LEFT VOICE MAIL</v>
      </c>
      <c r="AB656" s="132">
        <f t="shared" si="21"/>
        <v>99</v>
      </c>
      <c r="AC656" s="79"/>
    </row>
    <row r="657" spans="1:29" ht="20.100000000000001" customHeight="1">
      <c r="A657" s="91">
        <v>45907</v>
      </c>
      <c r="B657" s="92" t="str">
        <v>Dutta</v>
      </c>
      <c r="C657" s="92" t="str">
        <v>Samrat</v>
      </c>
      <c r="D657" s="92" t="str">
        <v>Peoria</v>
      </c>
      <c r="E657" s="92">
        <v>85383</v>
      </c>
      <c r="F657" s="137" t="str">
        <v>Opposed</v>
      </c>
      <c r="G657" s="93" t="str">
        <v>https://docket.images.azcc.gov/E000046266.pdf</v>
      </c>
      <c r="H657" s="150" t="s">
        <v>6076</v>
      </c>
      <c r="I657" s="114" t="str">
        <v>R3-47</v>
      </c>
      <c r="J657" s="94" t="str">
        <v>No</v>
      </c>
      <c r="K657" s="94" t="str">
        <v>No</v>
      </c>
      <c r="L657" s="137" t="str">
        <v>Yes</v>
      </c>
      <c r="M657" s="94" t="str">
        <v>No</v>
      </c>
      <c r="N657" s="134" t="str">
        <v>No</v>
      </c>
      <c r="O657" s="119" t="str">
        <v>Yes</v>
      </c>
      <c r="P657" s="92" t="str">
        <v>N</v>
      </c>
      <c r="Q657" s="91">
        <v>45964</v>
      </c>
      <c r="R657" s="140">
        <v>0</v>
      </c>
      <c r="S657" s="92">
        <v>0</v>
      </c>
      <c r="T657" s="92">
        <v>0</v>
      </c>
      <c r="U657" s="137">
        <v>0</v>
      </c>
      <c r="V657" s="126" t="str">
        <f t="shared" si="20"/>
        <v>✅ On Best Plan</v>
      </c>
      <c r="W657" s="130" t="str">
        <f>IFERROR(_xlfn.XLOOKUP(TEXT(H657,"0000000000"),'📞 Call Tracker'!A$2:A$2000,'📞 Call Tracker'!B$2:B$2000,""),"")</f>
        <v>Joaquin</v>
      </c>
      <c r="X657" s="96">
        <f>IFERROR(_xlfn.XLOOKUP(TEXT(H657,"0000000000"),'📞 Call Tracker'!A$2:A$2000,'📞 Call Tracker'!C$2:C$2000,""),"")</f>
        <v>46025</v>
      </c>
      <c r="Y657" s="95" t="str">
        <f>IFERROR(_xlfn.XLOOKUP(TEXT(H657,"0000000000"),'📞 Call Tracker'!A$2:A$2000,'📞 Call Tracker'!D$2:D$2000,""),"")</f>
        <v>YES</v>
      </c>
      <c r="Z657" s="95">
        <f>IFERROR(_xlfn.XLOOKUP(TEXT(H657,"0000000000"),'📞 Call Tracker'!A$2:A$2000,'📞 Call Tracker'!E$2:E$2000,""),"")</f>
        <v>0</v>
      </c>
      <c r="AA657" s="145">
        <f>IFERROR(_xlfn.XLOOKUP(TEXT(H657,"0000000000"),'📞 Call Tracker'!A$2:A$2000,'📞 Call Tracker'!F$2:F$2000,""),"")</f>
        <v>0</v>
      </c>
      <c r="AB657" s="132">
        <f t="shared" si="21"/>
        <v>99</v>
      </c>
      <c r="AC657" s="79"/>
    </row>
    <row r="658" spans="1:29" ht="20.100000000000001" customHeight="1">
      <c r="A658" s="91">
        <v>45907</v>
      </c>
      <c r="B658" s="92" t="str">
        <v xml:space="preserve">Willer </v>
      </c>
      <c r="C658" s="92" t="str">
        <v>Matthew</v>
      </c>
      <c r="D658" s="92" t="str">
        <v>New River</v>
      </c>
      <c r="E658" s="92">
        <v>85087</v>
      </c>
      <c r="F658" s="137" t="str">
        <v>Opposed</v>
      </c>
      <c r="G658" s="93" t="str">
        <v>https://docket.images.azcc.gov/E000046266.pdf</v>
      </c>
      <c r="H658" s="150" t="s">
        <v>6350</v>
      </c>
      <c r="I658" s="114" t="str">
        <v>RCPw/R3-47</v>
      </c>
      <c r="J658" s="94" t="str">
        <v>No</v>
      </c>
      <c r="K658" s="94" t="str">
        <v>No</v>
      </c>
      <c r="L658" s="137" t="str">
        <v>Yes</v>
      </c>
      <c r="M658" s="94" t="str">
        <v>No</v>
      </c>
      <c r="N658" s="134" t="str">
        <v>No</v>
      </c>
      <c r="O658" s="119" t="str">
        <v>Yes</v>
      </c>
      <c r="P658" s="92" t="str">
        <v>N</v>
      </c>
      <c r="Q658" s="91">
        <v>45964</v>
      </c>
      <c r="R658" s="140">
        <v>0</v>
      </c>
      <c r="S658" s="92">
        <v>0</v>
      </c>
      <c r="T658" s="92">
        <v>0</v>
      </c>
      <c r="U658" s="137">
        <v>0</v>
      </c>
      <c r="V658" s="126" t="str">
        <f t="shared" si="20"/>
        <v>✅ On Best Plan</v>
      </c>
      <c r="W658" s="130">
        <f>IFERROR(_xlfn.XLOOKUP(TEXT(H658,"0000000000"),'📞 Call Tracker'!A$2:A$2000,'📞 Call Tracker'!B$2:B$2000,""),"")</f>
        <v>0</v>
      </c>
      <c r="X658" s="96">
        <f>IFERROR(_xlfn.XLOOKUP(TEXT(H658,"0000000000"),'📞 Call Tracker'!A$2:A$2000,'📞 Call Tracker'!C$2:C$2000,""),"")</f>
        <v>0</v>
      </c>
      <c r="Y658" s="95">
        <f>IFERROR(_xlfn.XLOOKUP(TEXT(H658,"0000000000"),'📞 Call Tracker'!A$2:A$2000,'📞 Call Tracker'!D$2:D$2000,""),"")</f>
        <v>0</v>
      </c>
      <c r="Z658" s="95">
        <f>IFERROR(_xlfn.XLOOKUP(TEXT(H658,"0000000000"),'📞 Call Tracker'!A$2:A$2000,'📞 Call Tracker'!E$2:E$2000,""),"")</f>
        <v>0</v>
      </c>
      <c r="AA658" s="145">
        <f>IFERROR(_xlfn.XLOOKUP(TEXT(H658,"0000000000"),'📞 Call Tracker'!A$2:A$2000,'📞 Call Tracker'!F$2:F$2000,""),"")</f>
        <v>0</v>
      </c>
      <c r="AB658" s="132">
        <f t="shared" si="21"/>
        <v>99</v>
      </c>
      <c r="AC658" s="79"/>
    </row>
    <row r="659" spans="1:29" ht="20.100000000000001" customHeight="1">
      <c r="A659" s="91">
        <v>45907</v>
      </c>
      <c r="B659" s="92" t="str">
        <v>Johnston</v>
      </c>
      <c r="C659" s="92" t="str">
        <v>Madeline</v>
      </c>
      <c r="D659" s="92" t="str">
        <v>Phoenix</v>
      </c>
      <c r="E659" s="92">
        <v>85013</v>
      </c>
      <c r="F659" s="137" t="str">
        <v>Form letter</v>
      </c>
      <c r="G659" s="93" t="str">
        <v>https://docket.images.azcc.gov/E000046266.pdf</v>
      </c>
      <c r="H659" s="150" t="s">
        <v>6351</v>
      </c>
      <c r="I659" s="114" t="str">
        <v>R-BASIC</v>
      </c>
      <c r="J659" s="94" t="str">
        <v>No</v>
      </c>
      <c r="K659" s="94" t="str">
        <v>No</v>
      </c>
      <c r="L659" s="137" t="str">
        <v>Yes</v>
      </c>
      <c r="M659" s="94" t="str">
        <v>No</v>
      </c>
      <c r="N659" s="134" t="str">
        <v>No</v>
      </c>
      <c r="O659" s="119" t="str">
        <v>Yes</v>
      </c>
      <c r="P659" s="92" t="str">
        <v>N</v>
      </c>
      <c r="Q659" s="91">
        <v>45964</v>
      </c>
      <c r="R659" s="140">
        <v>0</v>
      </c>
      <c r="S659" s="92">
        <v>0</v>
      </c>
      <c r="T659" s="92">
        <v>0</v>
      </c>
      <c r="U659" s="137">
        <v>0</v>
      </c>
      <c r="V659" s="126" t="str">
        <f t="shared" si="20"/>
        <v>✅ On Best Plan</v>
      </c>
      <c r="W659" s="130">
        <f>IFERROR(_xlfn.XLOOKUP(TEXT(H659,"0000000000"),'📞 Call Tracker'!A$2:A$2000,'📞 Call Tracker'!B$2:B$2000,""),"")</f>
        <v>0</v>
      </c>
      <c r="X659" s="96">
        <f>IFERROR(_xlfn.XLOOKUP(TEXT(H659,"0000000000"),'📞 Call Tracker'!A$2:A$2000,'📞 Call Tracker'!C$2:C$2000,""),"")</f>
        <v>0</v>
      </c>
      <c r="Y659" s="95">
        <f>IFERROR(_xlfn.XLOOKUP(TEXT(H659,"0000000000"),'📞 Call Tracker'!A$2:A$2000,'📞 Call Tracker'!D$2:D$2000,""),"")</f>
        <v>0</v>
      </c>
      <c r="Z659" s="95">
        <f>IFERROR(_xlfn.XLOOKUP(TEXT(H659,"0000000000"),'📞 Call Tracker'!A$2:A$2000,'📞 Call Tracker'!E$2:E$2000,""),"")</f>
        <v>0</v>
      </c>
      <c r="AA659" s="145">
        <f>IFERROR(_xlfn.XLOOKUP(TEXT(H659,"0000000000"),'📞 Call Tracker'!A$2:A$2000,'📞 Call Tracker'!F$2:F$2000,""),"")</f>
        <v>0</v>
      </c>
      <c r="AB659" s="132">
        <f t="shared" si="21"/>
        <v>99</v>
      </c>
      <c r="AC659" s="79"/>
    </row>
    <row r="660" spans="1:29" ht="20.100000000000001" customHeight="1">
      <c r="A660" s="91">
        <v>45907</v>
      </c>
      <c r="B660" s="92" t="str">
        <v>Valeev</v>
      </c>
      <c r="C660" s="92" t="str">
        <v>Margaret</v>
      </c>
      <c r="D660" s="92" t="str">
        <v>Phoenix</v>
      </c>
      <c r="E660" s="92">
        <v>85023</v>
      </c>
      <c r="F660" s="137" t="str">
        <v>Furious</v>
      </c>
      <c r="G660" s="93" t="str">
        <v>https://docket.images.azcc.gov/E000046266.pdf</v>
      </c>
      <c r="H660" s="150" t="s">
        <v>6077</v>
      </c>
      <c r="I660" s="114" t="str">
        <v>R-XS</v>
      </c>
      <c r="J660" s="94" t="str">
        <v>No</v>
      </c>
      <c r="K660" s="94" t="str">
        <v>No</v>
      </c>
      <c r="L660" s="137" t="str">
        <v>Yes</v>
      </c>
      <c r="M660" s="94" t="str">
        <v>No</v>
      </c>
      <c r="N660" s="134" t="str">
        <v>No</v>
      </c>
      <c r="O660" s="119" t="str">
        <v>Yes</v>
      </c>
      <c r="P660" s="92" t="str">
        <v>N</v>
      </c>
      <c r="Q660" s="91">
        <v>45964</v>
      </c>
      <c r="R660" s="140">
        <v>0</v>
      </c>
      <c r="S660" s="92">
        <v>0</v>
      </c>
      <c r="T660" s="92">
        <v>0</v>
      </c>
      <c r="U660" s="137">
        <v>0</v>
      </c>
      <c r="V660" s="126" t="str">
        <f t="shared" si="20"/>
        <v>✅ On Best Plan</v>
      </c>
      <c r="W660" s="130" t="str">
        <f>IFERROR(_xlfn.XLOOKUP(TEXT(H660,"0000000000"),'📞 Call Tracker'!A$2:A$2000,'📞 Call Tracker'!B$2:B$2000,""),"")</f>
        <v>Joaquin</v>
      </c>
      <c r="X660" s="96">
        <f>IFERROR(_xlfn.XLOOKUP(TEXT(H660,"0000000000"),'📞 Call Tracker'!A$2:A$2000,'📞 Call Tracker'!C$2:C$2000,""),"")</f>
        <v>46025</v>
      </c>
      <c r="Y660" s="95" t="str">
        <f>IFERROR(_xlfn.XLOOKUP(TEXT(H660,"0000000000"),'📞 Call Tracker'!A$2:A$2000,'📞 Call Tracker'!D$2:D$2000,""),"")</f>
        <v>NO</v>
      </c>
      <c r="Z660" s="95" t="str">
        <f>IFERROR(_xlfn.XLOOKUP(TEXT(H660,"0000000000"),'📞 Call Tracker'!A$2:A$2000,'📞 Call Tracker'!E$2:E$2000,""),"")</f>
        <v>General Education</v>
      </c>
      <c r="AA660" s="145" t="str">
        <f>IFERROR(_xlfn.XLOOKUP(TEXT(H660,"0000000000"),'📞 Call Tracker'!A$2:A$2000,'📞 Call Tracker'!F$2:F$2000,""),"")</f>
        <v>DID OFFER OPTION TO LOWER BILL</v>
      </c>
      <c r="AB660" s="132">
        <f t="shared" si="21"/>
        <v>99</v>
      </c>
      <c r="AC660" s="79"/>
    </row>
    <row r="661" spans="1:29" ht="20.100000000000001" customHeight="1">
      <c r="A661" s="91">
        <v>45907</v>
      </c>
      <c r="B661" s="92" t="str">
        <v>Hareza</v>
      </c>
      <c r="C661" s="92" t="str">
        <v>Darla</v>
      </c>
      <c r="D661" s="92" t="str">
        <v>Peoria</v>
      </c>
      <c r="E661" s="92">
        <v>85383</v>
      </c>
      <c r="F661" s="137" t="str">
        <v>Stop being so greedy</v>
      </c>
      <c r="G661" s="93" t="str">
        <v>https://docket.images.azcc.gov/E000046266.pdf</v>
      </c>
      <c r="H661" s="150" t="s">
        <v>6078</v>
      </c>
      <c r="I661" s="114" t="str">
        <v>R3-47</v>
      </c>
      <c r="J661" s="94" t="str">
        <v>No</v>
      </c>
      <c r="K661" s="94" t="str">
        <v>No</v>
      </c>
      <c r="L661" s="137" t="str">
        <v>Yes</v>
      </c>
      <c r="M661" s="94" t="str">
        <v>No</v>
      </c>
      <c r="N661" s="134" t="str">
        <v>No</v>
      </c>
      <c r="O661" s="119" t="str">
        <v>Yes</v>
      </c>
      <c r="P661" s="92" t="str">
        <v>N</v>
      </c>
      <c r="Q661" s="91">
        <v>45964</v>
      </c>
      <c r="R661" s="140">
        <v>0</v>
      </c>
      <c r="S661" s="92">
        <v>0</v>
      </c>
      <c r="T661" s="92">
        <v>0</v>
      </c>
      <c r="U661" s="137">
        <v>0</v>
      </c>
      <c r="V661" s="126" t="str">
        <f t="shared" si="20"/>
        <v>✅ On Best Plan</v>
      </c>
      <c r="W661" s="130" t="str">
        <f>IFERROR(_xlfn.XLOOKUP(TEXT(H661,"0000000000"),'📞 Call Tracker'!A$2:A$2000,'📞 Call Tracker'!B$2:B$2000,""),"")</f>
        <v>Joaquin</v>
      </c>
      <c r="X661" s="96">
        <f>IFERROR(_xlfn.XLOOKUP(TEXT(H661,"0000000000"),'📞 Call Tracker'!A$2:A$2000,'📞 Call Tracker'!C$2:C$2000,""),"")</f>
        <v>46025</v>
      </c>
      <c r="Y661" s="95">
        <f>IFERROR(_xlfn.XLOOKUP(TEXT(H661,"0000000000"),'📞 Call Tracker'!A$2:A$2000,'📞 Call Tracker'!D$2:D$2000,""),"")</f>
        <v>0</v>
      </c>
      <c r="Z661" s="95" t="str">
        <f>IFERROR(_xlfn.XLOOKUP(TEXT(H661,"0000000000"),'📞 Call Tracker'!A$2:A$2000,'📞 Call Tracker'!E$2:E$2000,""),"")</f>
        <v>General Education</v>
      </c>
      <c r="AA661" s="145" t="str">
        <f>IFERROR(_xlfn.XLOOKUP(TEXT(H661,"0000000000"),'📞 Call Tracker'!A$2:A$2000,'📞 Call Tracker'!F$2:F$2000,""),"")</f>
        <v>S-A WAS STOPPED AS OF 12/11/25</v>
      </c>
      <c r="AB661" s="132">
        <f t="shared" si="21"/>
        <v>99</v>
      </c>
      <c r="AC661" s="79"/>
    </row>
    <row r="662" spans="1:29" ht="20.100000000000001" customHeight="1">
      <c r="A662" s="91">
        <v>45907</v>
      </c>
      <c r="B662" s="92" t="str">
        <v>Gardner</v>
      </c>
      <c r="C662" s="92" t="str">
        <v>Jeffrey</v>
      </c>
      <c r="D662" s="92" t="str">
        <v>Scottsdale</v>
      </c>
      <c r="E662" s="92">
        <v>85266</v>
      </c>
      <c r="F662" s="137" t="str">
        <v>Opposed</v>
      </c>
      <c r="G662" s="93" t="str">
        <v>https://docket.images.azcc.gov/E000046266.pdf</v>
      </c>
      <c r="H662" s="150" t="s">
        <v>2199</v>
      </c>
      <c r="I662" s="114" t="str">
        <v>R3-47</v>
      </c>
      <c r="J662" s="94" t="str">
        <v>No</v>
      </c>
      <c r="K662" s="94" t="str">
        <v>No</v>
      </c>
      <c r="L662" s="137" t="str">
        <v>Yes</v>
      </c>
      <c r="M662" s="94" t="str">
        <v>No</v>
      </c>
      <c r="N662" s="134" t="str">
        <v>No</v>
      </c>
      <c r="O662" s="119" t="str">
        <v>Yes</v>
      </c>
      <c r="P662" s="92" t="str">
        <v>N</v>
      </c>
      <c r="Q662" s="91">
        <v>45964</v>
      </c>
      <c r="R662" s="140">
        <v>0</v>
      </c>
      <c r="S662" s="92">
        <v>0</v>
      </c>
      <c r="T662" s="92">
        <v>0</v>
      </c>
      <c r="U662" s="137">
        <v>0</v>
      </c>
      <c r="V662" s="126" t="str">
        <f t="shared" si="20"/>
        <v>✅ On Best Plan</v>
      </c>
      <c r="W662" s="130">
        <f>IFERROR(_xlfn.XLOOKUP(TEXT(H662,"0000000000"),'📞 Call Tracker'!A$2:A$2000,'📞 Call Tracker'!B$2:B$2000,""),"")</f>
        <v>0</v>
      </c>
      <c r="X662" s="96">
        <f>IFERROR(_xlfn.XLOOKUP(TEXT(H662,"0000000000"),'📞 Call Tracker'!A$2:A$2000,'📞 Call Tracker'!C$2:C$2000,""),"")</f>
        <v>0</v>
      </c>
      <c r="Y662" s="95">
        <f>IFERROR(_xlfn.XLOOKUP(TEXT(H662,"0000000000"),'📞 Call Tracker'!A$2:A$2000,'📞 Call Tracker'!D$2:D$2000,""),"")</f>
        <v>0</v>
      </c>
      <c r="Z662" s="95">
        <f>IFERROR(_xlfn.XLOOKUP(TEXT(H662,"0000000000"),'📞 Call Tracker'!A$2:A$2000,'📞 Call Tracker'!E$2:E$2000,""),"")</f>
        <v>0</v>
      </c>
      <c r="AA662" s="145">
        <f>IFERROR(_xlfn.XLOOKUP(TEXT(H662,"0000000000"),'📞 Call Tracker'!A$2:A$2000,'📞 Call Tracker'!F$2:F$2000,""),"")</f>
        <v>0</v>
      </c>
      <c r="AB662" s="132">
        <f t="shared" si="21"/>
        <v>99</v>
      </c>
      <c r="AC662" s="79"/>
    </row>
    <row r="663" spans="1:29" ht="20.100000000000001" customHeight="1">
      <c r="A663" s="91">
        <v>45907</v>
      </c>
      <c r="B663" s="92" t="str">
        <v>Klug</v>
      </c>
      <c r="C663" s="92" t="str">
        <v>Sheri</v>
      </c>
      <c r="D663" s="92" t="str">
        <v>Goodyear</v>
      </c>
      <c r="E663" s="92">
        <v>85395</v>
      </c>
      <c r="F663" s="137" t="str">
        <v>Opposed</v>
      </c>
      <c r="G663" s="93" t="str">
        <v>https://docket.images.azcc.gov/E000046266.pdf</v>
      </c>
      <c r="H663" s="150" t="s">
        <v>6154</v>
      </c>
      <c r="I663" s="114" t="str">
        <v>Multiple SAs</v>
      </c>
      <c r="J663" s="94" t="str">
        <v>No</v>
      </c>
      <c r="K663" s="94" t="str">
        <v>No</v>
      </c>
      <c r="L663" s="137" t="str">
        <v>Yes</v>
      </c>
      <c r="M663" s="94" t="str">
        <v>No</v>
      </c>
      <c r="N663" s="134" t="str">
        <v>No</v>
      </c>
      <c r="O663" s="119" t="str">
        <v>Yes</v>
      </c>
      <c r="P663" s="92" t="str">
        <v>N</v>
      </c>
      <c r="Q663" s="91">
        <v>45964</v>
      </c>
      <c r="R663" s="140">
        <v>0</v>
      </c>
      <c r="S663" s="92">
        <v>0</v>
      </c>
      <c r="T663" s="92">
        <v>0</v>
      </c>
      <c r="U663" s="137">
        <v>0</v>
      </c>
      <c r="V663" s="126" t="str">
        <f t="shared" si="20"/>
        <v>✅ On Best Plan</v>
      </c>
      <c r="W663" s="130" t="str">
        <f>IFERROR(_xlfn.XLOOKUP(TEXT(H663,"0000000000"),'📞 Call Tracker'!A$2:A$2000,'📞 Call Tracker'!B$2:B$2000,""),"")</f>
        <v>Joaquin</v>
      </c>
      <c r="X663" s="96">
        <f>IFERROR(_xlfn.XLOOKUP(TEXT(H663,"0000000000"),'📞 Call Tracker'!A$2:A$2000,'📞 Call Tracker'!C$2:C$2000,""),"")</f>
        <v>46025</v>
      </c>
      <c r="Y663" s="95" t="str">
        <f>IFERROR(_xlfn.XLOOKUP(TEXT(H663,"0000000000"),'📞 Call Tracker'!A$2:A$2000,'📞 Call Tracker'!D$2:D$2000,""),"")</f>
        <v>NO</v>
      </c>
      <c r="Z663" s="95">
        <f>IFERROR(_xlfn.XLOOKUP(TEXT(H663,"0000000000"),'📞 Call Tracker'!A$2:A$2000,'📞 Call Tracker'!E$2:E$2000,""),"")</f>
        <v>0</v>
      </c>
      <c r="AA663" s="145" t="str">
        <f>IFERROR(_xlfn.XLOOKUP(TEXT(H663,"0000000000"),'📞 Call Tracker'!A$2:A$2000,'📞 Call Tracker'!F$2:F$2000,""),"")</f>
        <v>NO VM OPTION</v>
      </c>
      <c r="AB663" s="132">
        <f t="shared" si="21"/>
        <v>99</v>
      </c>
      <c r="AC663" s="79"/>
    </row>
    <row r="664" spans="1:29" ht="20.100000000000001" customHeight="1">
      <c r="A664" s="91">
        <v>45907</v>
      </c>
      <c r="B664" s="92" t="str">
        <v>Downey</v>
      </c>
      <c r="C664" s="92" t="str">
        <v>Aaron</v>
      </c>
      <c r="D664" s="92" t="str">
        <v>Goodyear</v>
      </c>
      <c r="E664" s="92">
        <v>85395</v>
      </c>
      <c r="F664" s="137" t="str">
        <v>Enough already</v>
      </c>
      <c r="G664" s="93" t="str">
        <v>https://docket.images.azcc.gov/E000046266.pdf</v>
      </c>
      <c r="H664" s="150" t="s">
        <v>6725</v>
      </c>
      <c r="I664" s="114" t="str">
        <v>R3-47</v>
      </c>
      <c r="J664" s="94" t="str">
        <v>No</v>
      </c>
      <c r="K664" s="94" t="str">
        <v>No</v>
      </c>
      <c r="L664" s="137" t="str">
        <v>Yes</v>
      </c>
      <c r="M664" s="94" t="str">
        <v>No</v>
      </c>
      <c r="N664" s="134" t="str">
        <v>No</v>
      </c>
      <c r="O664" s="119" t="str">
        <v>Yes</v>
      </c>
      <c r="P664" s="92" t="str">
        <v>N</v>
      </c>
      <c r="Q664" s="91">
        <v>45964</v>
      </c>
      <c r="R664" s="140">
        <v>0</v>
      </c>
      <c r="S664" s="92">
        <v>0</v>
      </c>
      <c r="T664" s="92">
        <v>0</v>
      </c>
      <c r="U664" s="137">
        <v>0</v>
      </c>
      <c r="V664" s="126" t="str">
        <f t="shared" si="20"/>
        <v>✅ On Best Plan</v>
      </c>
      <c r="W664" s="130" t="str">
        <f>IFERROR(_xlfn.XLOOKUP(TEXT(H664,"0000000000"),'📞 Call Tracker'!A$2:A$2000,'📞 Call Tracker'!B$2:B$2000,""),"")</f>
        <v/>
      </c>
      <c r="X664" s="96" t="str">
        <f>IFERROR(_xlfn.XLOOKUP(TEXT(H664,"0000000000"),'📞 Call Tracker'!A$2:A$2000,'📞 Call Tracker'!C$2:C$2000,""),"")</f>
        <v/>
      </c>
      <c r="Y664" s="95" t="str">
        <f>IFERROR(_xlfn.XLOOKUP(TEXT(H664,"0000000000"),'📞 Call Tracker'!A$2:A$2000,'📞 Call Tracker'!D$2:D$2000,""),"")</f>
        <v/>
      </c>
      <c r="Z664" s="95" t="str">
        <f>IFERROR(_xlfn.XLOOKUP(TEXT(H664,"0000000000"),'📞 Call Tracker'!A$2:A$2000,'📞 Call Tracker'!E$2:E$2000,""),"")</f>
        <v/>
      </c>
      <c r="AA664" s="145" t="str">
        <f>IFERROR(_xlfn.XLOOKUP(TEXT(H664,"0000000000"),'📞 Call Tracker'!A$2:A$2000,'📞 Call Tracker'!F$2:F$2000,""),"")</f>
        <v/>
      </c>
      <c r="AB664" s="132">
        <f t="shared" si="21"/>
        <v>4</v>
      </c>
      <c r="AC664" s="79"/>
    </row>
    <row r="665" spans="1:29" ht="20.100000000000001" customHeight="1">
      <c r="A665" s="91">
        <v>45907</v>
      </c>
      <c r="B665" s="92" t="str">
        <v>Yip</v>
      </c>
      <c r="C665" s="92" t="str">
        <v>Indy</v>
      </c>
      <c r="D665" s="92" t="str">
        <v>Gilbert</v>
      </c>
      <c r="E665" s="92">
        <v>85223</v>
      </c>
      <c r="F665" s="137" t="str">
        <v>Form letter</v>
      </c>
      <c r="G665" s="93" t="str">
        <v>https://docket.images.azcc.gov/E000046266.pdf</v>
      </c>
      <c r="H665" s="150" t="s">
        <v>6352</v>
      </c>
      <c r="I665" s="114" t="str">
        <v>R-BASICL</v>
      </c>
      <c r="J665" s="94" t="str">
        <v>No</v>
      </c>
      <c r="K665" s="94" t="str">
        <v>No</v>
      </c>
      <c r="L665" s="137" t="str">
        <v>No MEP R3-47($37.53)</v>
      </c>
      <c r="M665" s="94" t="str">
        <v>No</v>
      </c>
      <c r="N665" s="134" t="str">
        <v>No</v>
      </c>
      <c r="O665" s="119" t="str">
        <v>Yes</v>
      </c>
      <c r="P665" s="92" t="str">
        <v>N</v>
      </c>
      <c r="Q665" s="91">
        <v>45964</v>
      </c>
      <c r="R665" s="140">
        <v>0</v>
      </c>
      <c r="S665" s="92">
        <v>0</v>
      </c>
      <c r="T665" s="92">
        <v>0</v>
      </c>
      <c r="U665" s="137">
        <v>0</v>
      </c>
      <c r="V665" s="126" t="str">
        <f t="shared" si="20"/>
        <v>❌ Not on Best Plan</v>
      </c>
      <c r="W665" s="130">
        <f>IFERROR(_xlfn.XLOOKUP(TEXT(H665,"0000000000"),'📞 Call Tracker'!A$2:A$2000,'📞 Call Tracker'!B$2:B$2000,""),"")</f>
        <v>0</v>
      </c>
      <c r="X665" s="96">
        <f>IFERROR(_xlfn.XLOOKUP(TEXT(H665,"0000000000"),'📞 Call Tracker'!A$2:A$2000,'📞 Call Tracker'!C$2:C$2000,""),"")</f>
        <v>0</v>
      </c>
      <c r="Y665" s="95">
        <f>IFERROR(_xlfn.XLOOKUP(TEXT(H665,"0000000000"),'📞 Call Tracker'!A$2:A$2000,'📞 Call Tracker'!D$2:D$2000,""),"")</f>
        <v>0</v>
      </c>
      <c r="Z665" s="95">
        <f>IFERROR(_xlfn.XLOOKUP(TEXT(H665,"0000000000"),'📞 Call Tracker'!A$2:A$2000,'📞 Call Tracker'!E$2:E$2000,""),"")</f>
        <v>0</v>
      </c>
      <c r="AA665" s="145">
        <f>IFERROR(_xlfn.XLOOKUP(TEXT(H665,"0000000000"),'📞 Call Tracker'!A$2:A$2000,'📞 Call Tracker'!F$2:F$2000,""),"")</f>
        <v>0</v>
      </c>
      <c r="AB665" s="132">
        <f t="shared" si="21"/>
        <v>99</v>
      </c>
      <c r="AC665" s="79"/>
    </row>
    <row r="666" spans="1:29" ht="20.100000000000001" customHeight="1">
      <c r="A666" s="91">
        <v>45907</v>
      </c>
      <c r="B666" s="92" t="str">
        <v>Handelman</v>
      </c>
      <c r="C666" s="92" t="str">
        <v xml:space="preserve">Jeff </v>
      </c>
      <c r="D666" s="92" t="str">
        <v>Carefree</v>
      </c>
      <c r="E666" s="92">
        <v>85377</v>
      </c>
      <c r="F666" s="137" t="str">
        <v>Opposed, gouging customers</v>
      </c>
      <c r="G666" s="93" t="str">
        <v>https://docket.images.azcc.gov/E000046266.pdf</v>
      </c>
      <c r="H666" s="150" t="s">
        <v>6353</v>
      </c>
      <c r="I666" s="114" t="str">
        <v>R3-47</v>
      </c>
      <c r="J666" s="94" t="str">
        <v>No</v>
      </c>
      <c r="K666" s="94" t="str">
        <v>No</v>
      </c>
      <c r="L666" s="137" t="str">
        <v>Yes</v>
      </c>
      <c r="M666" s="94" t="str">
        <v>No</v>
      </c>
      <c r="N666" s="134" t="str">
        <v>No</v>
      </c>
      <c r="O666" s="119" t="str">
        <v>Yes</v>
      </c>
      <c r="P666" s="92" t="str">
        <v>N</v>
      </c>
      <c r="Q666" s="91">
        <v>45961</v>
      </c>
      <c r="R666" s="140">
        <v>0</v>
      </c>
      <c r="S666" s="92">
        <v>0</v>
      </c>
      <c r="T666" s="92">
        <v>0</v>
      </c>
      <c r="U666" s="137">
        <v>0</v>
      </c>
      <c r="V666" s="126" t="str">
        <f t="shared" si="20"/>
        <v>✅ On Best Plan</v>
      </c>
      <c r="W666" s="130">
        <f>IFERROR(_xlfn.XLOOKUP(TEXT(H666,"0000000000"),'📞 Call Tracker'!A$2:A$2000,'📞 Call Tracker'!B$2:B$2000,""),"")</f>
        <v>0</v>
      </c>
      <c r="X666" s="96">
        <f>IFERROR(_xlfn.XLOOKUP(TEXT(H666,"0000000000"),'📞 Call Tracker'!A$2:A$2000,'📞 Call Tracker'!C$2:C$2000,""),"")</f>
        <v>0</v>
      </c>
      <c r="Y666" s="95">
        <f>IFERROR(_xlfn.XLOOKUP(TEXT(H666,"0000000000"),'📞 Call Tracker'!A$2:A$2000,'📞 Call Tracker'!D$2:D$2000,""),"")</f>
        <v>0</v>
      </c>
      <c r="Z666" s="95">
        <f>IFERROR(_xlfn.XLOOKUP(TEXT(H666,"0000000000"),'📞 Call Tracker'!A$2:A$2000,'📞 Call Tracker'!E$2:E$2000,""),"")</f>
        <v>0</v>
      </c>
      <c r="AA666" s="145">
        <f>IFERROR(_xlfn.XLOOKUP(TEXT(H666,"0000000000"),'📞 Call Tracker'!A$2:A$2000,'📞 Call Tracker'!F$2:F$2000,""),"")</f>
        <v>0</v>
      </c>
      <c r="AB666" s="132">
        <f t="shared" si="21"/>
        <v>99</v>
      </c>
      <c r="AC666" s="79"/>
    </row>
    <row r="667" spans="1:29" ht="20.100000000000001" customHeight="1">
      <c r="A667" s="91">
        <v>45907</v>
      </c>
      <c r="B667" s="92" t="str">
        <v>Wollman</v>
      </c>
      <c r="C667" s="92" t="str">
        <v>Kenneth</v>
      </c>
      <c r="D667" s="92" t="str">
        <v>Anthem</v>
      </c>
      <c r="E667" s="92">
        <v>85086</v>
      </c>
      <c r="F667" s="137" t="str">
        <v>Ridiculous and a hardship</v>
      </c>
      <c r="G667" s="93" t="str">
        <v>https://docket.images.azcc.gov/E000046266.pdf</v>
      </c>
      <c r="H667" s="150" t="s">
        <v>6354</v>
      </c>
      <c r="I667" s="114" t="str">
        <v>RTOUE47</v>
      </c>
      <c r="J667" s="94" t="str">
        <v>No</v>
      </c>
      <c r="K667" s="94" t="str">
        <v>No</v>
      </c>
      <c r="L667" s="137" t="str">
        <v>No MEP R3-47($88.73)</v>
      </c>
      <c r="M667" s="94" t="str">
        <v>No</v>
      </c>
      <c r="N667" s="134" t="str">
        <v>No</v>
      </c>
      <c r="O667" s="119" t="str">
        <v>Yes</v>
      </c>
      <c r="P667" s="92" t="str">
        <v>N</v>
      </c>
      <c r="Q667" s="91">
        <v>45961</v>
      </c>
      <c r="R667" s="140">
        <v>0</v>
      </c>
      <c r="S667" s="92">
        <v>0</v>
      </c>
      <c r="T667" s="92">
        <v>0</v>
      </c>
      <c r="U667" s="137">
        <v>0</v>
      </c>
      <c r="V667" s="126" t="str">
        <f t="shared" si="20"/>
        <v>❌ Not on Best Plan</v>
      </c>
      <c r="W667" s="130">
        <f>IFERROR(_xlfn.XLOOKUP(TEXT(H667,"0000000000"),'📞 Call Tracker'!A$2:A$2000,'📞 Call Tracker'!B$2:B$2000,""),"")</f>
        <v>0</v>
      </c>
      <c r="X667" s="96">
        <f>IFERROR(_xlfn.XLOOKUP(TEXT(H667,"0000000000"),'📞 Call Tracker'!A$2:A$2000,'📞 Call Tracker'!C$2:C$2000,""),"")</f>
        <v>0</v>
      </c>
      <c r="Y667" s="95">
        <f>IFERROR(_xlfn.XLOOKUP(TEXT(H667,"0000000000"),'📞 Call Tracker'!A$2:A$2000,'📞 Call Tracker'!D$2:D$2000,""),"")</f>
        <v>0</v>
      </c>
      <c r="Z667" s="95">
        <f>IFERROR(_xlfn.XLOOKUP(TEXT(H667,"0000000000"),'📞 Call Tracker'!A$2:A$2000,'📞 Call Tracker'!E$2:E$2000,""),"")</f>
        <v>0</v>
      </c>
      <c r="AA667" s="145">
        <f>IFERROR(_xlfn.XLOOKUP(TEXT(H667,"0000000000"),'📞 Call Tracker'!A$2:A$2000,'📞 Call Tracker'!F$2:F$2000,""),"")</f>
        <v>0</v>
      </c>
      <c r="AB667" s="132">
        <f t="shared" si="21"/>
        <v>99</v>
      </c>
      <c r="AC667" s="79"/>
    </row>
    <row r="668" spans="1:29" ht="20.100000000000001" customHeight="1">
      <c r="A668" s="91">
        <v>45907</v>
      </c>
      <c r="B668" s="92" t="str">
        <v>Lassner</v>
      </c>
      <c r="C668" s="92" t="str">
        <v>Zachary</v>
      </c>
      <c r="D668" s="92" t="str">
        <v>Morristown</v>
      </c>
      <c r="E668" s="92">
        <v>85342</v>
      </c>
      <c r="F668" s="137" t="str">
        <v>Opposed</v>
      </c>
      <c r="G668" s="93" t="str">
        <v>https://docket.images.azcc.gov/E000046266.pdf</v>
      </c>
      <c r="H668" s="150" t="s">
        <v>6355</v>
      </c>
      <c r="I668" s="114" t="str">
        <v>R3-47</v>
      </c>
      <c r="J668" s="94" t="str">
        <v>No</v>
      </c>
      <c r="K668" s="94" t="str">
        <v>No</v>
      </c>
      <c r="L668" s="137" t="str">
        <v>No MEP R-BASIC($42.83)</v>
      </c>
      <c r="M668" s="94" t="str">
        <v>No</v>
      </c>
      <c r="N668" s="134" t="str">
        <v>No</v>
      </c>
      <c r="O668" s="119" t="str">
        <v>Yes</v>
      </c>
      <c r="P668" s="92" t="str">
        <v>N</v>
      </c>
      <c r="Q668" s="91">
        <v>45961</v>
      </c>
      <c r="R668" s="140">
        <v>0</v>
      </c>
      <c r="S668" s="92">
        <v>0</v>
      </c>
      <c r="T668" s="92">
        <v>0</v>
      </c>
      <c r="U668" s="137">
        <v>0</v>
      </c>
      <c r="V668" s="126" t="str">
        <f t="shared" si="20"/>
        <v>❌ Not on Best Plan</v>
      </c>
      <c r="W668" s="130">
        <f>IFERROR(_xlfn.XLOOKUP(TEXT(H668,"0000000000"),'📞 Call Tracker'!A$2:A$2000,'📞 Call Tracker'!B$2:B$2000,""),"")</f>
        <v>0</v>
      </c>
      <c r="X668" s="96">
        <f>IFERROR(_xlfn.XLOOKUP(TEXT(H668,"0000000000"),'📞 Call Tracker'!A$2:A$2000,'📞 Call Tracker'!C$2:C$2000,""),"")</f>
        <v>0</v>
      </c>
      <c r="Y668" s="95">
        <f>IFERROR(_xlfn.XLOOKUP(TEXT(H668,"0000000000"),'📞 Call Tracker'!A$2:A$2000,'📞 Call Tracker'!D$2:D$2000,""),"")</f>
        <v>0</v>
      </c>
      <c r="Z668" s="95">
        <f>IFERROR(_xlfn.XLOOKUP(TEXT(H668,"0000000000"),'📞 Call Tracker'!A$2:A$2000,'📞 Call Tracker'!E$2:E$2000,""),"")</f>
        <v>0</v>
      </c>
      <c r="AA668" s="145">
        <f>IFERROR(_xlfn.XLOOKUP(TEXT(H668,"0000000000"),'📞 Call Tracker'!A$2:A$2000,'📞 Call Tracker'!F$2:F$2000,""),"")</f>
        <v>0</v>
      </c>
      <c r="AB668" s="132">
        <f t="shared" si="21"/>
        <v>99</v>
      </c>
      <c r="AC668" s="79"/>
    </row>
    <row r="669" spans="1:29" ht="20.100000000000001" customHeight="1">
      <c r="A669" s="91">
        <v>45907</v>
      </c>
      <c r="B669" s="92" t="str">
        <v>Palaniraj</v>
      </c>
      <c r="C669" s="92" t="str">
        <v>Selvakumar</v>
      </c>
      <c r="D669" s="92" t="str">
        <v>Peoria</v>
      </c>
      <c r="E669" s="92">
        <v>85383</v>
      </c>
      <c r="F669" s="137" t="str">
        <v>Opposed</v>
      </c>
      <c r="G669" s="93" t="str">
        <v>https://docket.images.azcc.gov/E000046266.pdf</v>
      </c>
      <c r="H669" s="150" t="s">
        <v>6726</v>
      </c>
      <c r="I669" s="114" t="str">
        <v>R-XS</v>
      </c>
      <c r="J669" s="94" t="str">
        <v>No</v>
      </c>
      <c r="K669" s="94" t="str">
        <v>No</v>
      </c>
      <c r="L669" s="137" t="str">
        <v>Yes</v>
      </c>
      <c r="M669" s="94" t="str">
        <v>No</v>
      </c>
      <c r="N669" s="134" t="str">
        <v>No</v>
      </c>
      <c r="O669" s="119" t="str">
        <v>Yes</v>
      </c>
      <c r="P669" s="92" t="str">
        <v>N</v>
      </c>
      <c r="Q669" s="91">
        <v>45961</v>
      </c>
      <c r="R669" s="140">
        <v>0</v>
      </c>
      <c r="S669" s="92">
        <v>0</v>
      </c>
      <c r="T669" s="92">
        <v>0</v>
      </c>
      <c r="U669" s="137">
        <v>0</v>
      </c>
      <c r="V669" s="126" t="str">
        <f t="shared" si="20"/>
        <v>✅ On Best Plan</v>
      </c>
      <c r="W669" s="130" t="str">
        <f>IFERROR(_xlfn.XLOOKUP(TEXT(H669,"0000000000"),'📞 Call Tracker'!A$2:A$2000,'📞 Call Tracker'!B$2:B$2000,""),"")</f>
        <v/>
      </c>
      <c r="X669" s="96" t="str">
        <f>IFERROR(_xlfn.XLOOKUP(TEXT(H669,"0000000000"),'📞 Call Tracker'!A$2:A$2000,'📞 Call Tracker'!C$2:C$2000,""),"")</f>
        <v/>
      </c>
      <c r="Y669" s="95" t="str">
        <f>IFERROR(_xlfn.XLOOKUP(TEXT(H669,"0000000000"),'📞 Call Tracker'!A$2:A$2000,'📞 Call Tracker'!D$2:D$2000,""),"")</f>
        <v/>
      </c>
      <c r="Z669" s="95" t="str">
        <f>IFERROR(_xlfn.XLOOKUP(TEXT(H669,"0000000000"),'📞 Call Tracker'!A$2:A$2000,'📞 Call Tracker'!E$2:E$2000,""),"")</f>
        <v/>
      </c>
      <c r="AA669" s="145" t="str">
        <f>IFERROR(_xlfn.XLOOKUP(TEXT(H669,"0000000000"),'📞 Call Tracker'!A$2:A$2000,'📞 Call Tracker'!F$2:F$2000,""),"")</f>
        <v/>
      </c>
      <c r="AB669" s="132">
        <f t="shared" si="21"/>
        <v>4</v>
      </c>
      <c r="AC669" s="79"/>
    </row>
    <row r="670" spans="1:29" ht="20.100000000000001" customHeight="1">
      <c r="A670" s="91">
        <v>45907</v>
      </c>
      <c r="B670" s="92" t="str">
        <v>Becus</v>
      </c>
      <c r="C670" s="92" t="str">
        <v>Lucie</v>
      </c>
      <c r="D670" s="92" t="str">
        <v>Surprise</v>
      </c>
      <c r="E670" s="92">
        <v>85388</v>
      </c>
      <c r="F670" s="137" t="str">
        <v>Form letter</v>
      </c>
      <c r="G670" s="93" t="str">
        <v>https://docket.images.azcc.gov/E000046266.pdf</v>
      </c>
      <c r="H670" s="150" t="s">
        <v>6727</v>
      </c>
      <c r="I670" s="114" t="str">
        <v>RCPw/R3-47</v>
      </c>
      <c r="J670" s="94" t="str">
        <v>No</v>
      </c>
      <c r="K670" s="94" t="str">
        <v>No</v>
      </c>
      <c r="L670" s="137" t="str">
        <v>Yes</v>
      </c>
      <c r="M670" s="94" t="str">
        <v>No</v>
      </c>
      <c r="N670" s="134" t="str">
        <v>No</v>
      </c>
      <c r="O670" s="119" t="str">
        <v>Yes</v>
      </c>
      <c r="P670" s="92" t="str">
        <v>N</v>
      </c>
      <c r="Q670" s="91">
        <v>45961</v>
      </c>
      <c r="R670" s="140">
        <v>0</v>
      </c>
      <c r="S670" s="92">
        <v>0</v>
      </c>
      <c r="T670" s="92">
        <v>0</v>
      </c>
      <c r="U670" s="137">
        <v>0</v>
      </c>
      <c r="V670" s="126" t="str">
        <f t="shared" si="20"/>
        <v>✅ On Best Plan</v>
      </c>
      <c r="W670" s="130" t="str">
        <f>IFERROR(_xlfn.XLOOKUP(TEXT(H670,"0000000000"),'📞 Call Tracker'!A$2:A$2000,'📞 Call Tracker'!B$2:B$2000,""),"")</f>
        <v/>
      </c>
      <c r="X670" s="96" t="str">
        <f>IFERROR(_xlfn.XLOOKUP(TEXT(H670,"0000000000"),'📞 Call Tracker'!A$2:A$2000,'📞 Call Tracker'!C$2:C$2000,""),"")</f>
        <v/>
      </c>
      <c r="Y670" s="95" t="str">
        <f>IFERROR(_xlfn.XLOOKUP(TEXT(H670,"0000000000"),'📞 Call Tracker'!A$2:A$2000,'📞 Call Tracker'!D$2:D$2000,""),"")</f>
        <v/>
      </c>
      <c r="Z670" s="95" t="str">
        <f>IFERROR(_xlfn.XLOOKUP(TEXT(H670,"0000000000"),'📞 Call Tracker'!A$2:A$2000,'📞 Call Tracker'!E$2:E$2000,""),"")</f>
        <v/>
      </c>
      <c r="AA670" s="145" t="str">
        <f>IFERROR(_xlfn.XLOOKUP(TEXT(H670,"0000000000"),'📞 Call Tracker'!A$2:A$2000,'📞 Call Tracker'!F$2:F$2000,""),"")</f>
        <v/>
      </c>
      <c r="AB670" s="132">
        <f t="shared" si="21"/>
        <v>4</v>
      </c>
      <c r="AC670" s="79"/>
    </row>
    <row r="671" spans="1:29" ht="20.100000000000001" customHeight="1">
      <c r="A671" s="91">
        <v>45907</v>
      </c>
      <c r="B671" s="92" t="str">
        <v>Wesley</v>
      </c>
      <c r="C671" s="92" t="str">
        <v>Jason</v>
      </c>
      <c r="D671" s="92" t="str">
        <v>Peoria</v>
      </c>
      <c r="E671" s="92">
        <v>85345</v>
      </c>
      <c r="F671" s="137" t="str">
        <v>Form letter</v>
      </c>
      <c r="G671" s="93" t="str">
        <v>https://docket.images.azcc.gov/E000046266.pdf</v>
      </c>
      <c r="H671" s="150" t="s">
        <v>6356</v>
      </c>
      <c r="I671" s="114" t="str">
        <v>R-BASICL</v>
      </c>
      <c r="J671" s="94" t="str">
        <v>No</v>
      </c>
      <c r="K671" s="94" t="str">
        <v>No</v>
      </c>
      <c r="L671" s="137" t="str">
        <v>No MEP R3-47($419.59)</v>
      </c>
      <c r="M671" s="94" t="str">
        <v>No</v>
      </c>
      <c r="N671" s="134" t="str">
        <v>No</v>
      </c>
      <c r="O671" s="119" t="str">
        <v>Yes</v>
      </c>
      <c r="P671" s="92">
        <v>45939</v>
      </c>
      <c r="Q671" s="91">
        <v>45961</v>
      </c>
      <c r="R671" s="140" t="str">
        <v>10/9 Left VM</v>
      </c>
      <c r="S671" s="92">
        <v>0</v>
      </c>
      <c r="T671" s="92">
        <v>0</v>
      </c>
      <c r="U671" s="137">
        <v>0</v>
      </c>
      <c r="V671" s="126" t="str">
        <f t="shared" si="20"/>
        <v>❌ Not on Best Plan</v>
      </c>
      <c r="W671" s="130">
        <f>IFERROR(_xlfn.XLOOKUP(TEXT(H671,"0000000000"),'📞 Call Tracker'!A$2:A$2000,'📞 Call Tracker'!B$2:B$2000,""),"")</f>
        <v>0</v>
      </c>
      <c r="X671" s="96">
        <f>IFERROR(_xlfn.XLOOKUP(TEXT(H671,"0000000000"),'📞 Call Tracker'!A$2:A$2000,'📞 Call Tracker'!C$2:C$2000,""),"")</f>
        <v>0</v>
      </c>
      <c r="Y671" s="95">
        <f>IFERROR(_xlfn.XLOOKUP(TEXT(H671,"0000000000"),'📞 Call Tracker'!A$2:A$2000,'📞 Call Tracker'!D$2:D$2000,""),"")</f>
        <v>0</v>
      </c>
      <c r="Z671" s="95">
        <f>IFERROR(_xlfn.XLOOKUP(TEXT(H671,"0000000000"),'📞 Call Tracker'!A$2:A$2000,'📞 Call Tracker'!E$2:E$2000,""),"")</f>
        <v>0</v>
      </c>
      <c r="AA671" s="145">
        <f>IFERROR(_xlfn.XLOOKUP(TEXT(H671,"0000000000"),'📞 Call Tracker'!A$2:A$2000,'📞 Call Tracker'!F$2:F$2000,""),"")</f>
        <v>0</v>
      </c>
      <c r="AB671" s="132">
        <f t="shared" si="21"/>
        <v>99</v>
      </c>
      <c r="AC671" s="79"/>
    </row>
    <row r="672" spans="1:29" ht="20.100000000000001" customHeight="1">
      <c r="A672" s="91">
        <v>45907</v>
      </c>
      <c r="B672" s="92" t="str">
        <v>Zausmer</v>
      </c>
      <c r="C672" s="92" t="str">
        <v>Julie</v>
      </c>
      <c r="D672" s="92" t="str">
        <v>Scottsdale</v>
      </c>
      <c r="E672" s="92">
        <v>85260</v>
      </c>
      <c r="F672" s="137" t="str">
        <v>Form letter</v>
      </c>
      <c r="G672" s="93" t="str">
        <v>https://docket.images.azcc.gov/E000046266.pdf</v>
      </c>
      <c r="H672" s="150" t="s">
        <v>6079</v>
      </c>
      <c r="I672" s="114" t="str">
        <v>RTOUE47</v>
      </c>
      <c r="J672" s="94" t="str">
        <v>No</v>
      </c>
      <c r="K672" s="94" t="str">
        <v>No</v>
      </c>
      <c r="L672" s="137" t="str">
        <v>Yes</v>
      </c>
      <c r="M672" s="94" t="str">
        <v>No</v>
      </c>
      <c r="N672" s="134" t="str">
        <v>No</v>
      </c>
      <c r="O672" s="119" t="str">
        <v>Yes</v>
      </c>
      <c r="P672" s="92">
        <v>45938</v>
      </c>
      <c r="Q672" s="91">
        <v>45961</v>
      </c>
      <c r="R672" s="140" t="str">
        <v>10/8 Spoke with COR and discussed MEP of R3-47 - she agreed to try R3-47. Dom helped to make the rate change in C&amp;CB.</v>
      </c>
      <c r="S672" s="92">
        <v>0</v>
      </c>
      <c r="T672" s="92">
        <v>0</v>
      </c>
      <c r="U672" s="137">
        <v>0</v>
      </c>
      <c r="V672" s="126" t="str">
        <f t="shared" si="20"/>
        <v>✅ On Best Plan</v>
      </c>
      <c r="W672" s="130" t="str">
        <f>IFERROR(_xlfn.XLOOKUP(TEXT(H672,"0000000000"),'📞 Call Tracker'!A$2:A$2000,'📞 Call Tracker'!B$2:B$2000,""),"")</f>
        <v>Joaquin</v>
      </c>
      <c r="X672" s="96">
        <f>IFERROR(_xlfn.XLOOKUP(TEXT(H672,"0000000000"),'📞 Call Tracker'!A$2:A$2000,'📞 Call Tracker'!C$2:C$2000,""),"")</f>
        <v>46025</v>
      </c>
      <c r="Y672" s="95" t="str">
        <f>IFERROR(_xlfn.XLOOKUP(TEXT(H672,"0000000000"),'📞 Call Tracker'!A$2:A$2000,'📞 Call Tracker'!D$2:D$2000,""),"")</f>
        <v>YES</v>
      </c>
      <c r="Z672" s="95">
        <f>IFERROR(_xlfn.XLOOKUP(TEXT(H672,"0000000000"),'📞 Call Tracker'!A$2:A$2000,'📞 Call Tracker'!E$2:E$2000,""),"")</f>
        <v>0</v>
      </c>
      <c r="AA672" s="145" t="str">
        <f>IFERROR(_xlfn.XLOOKUP(TEXT(H672,"0000000000"),'📞 Call Tracker'!A$2:A$2000,'📞 Call Tracker'!F$2:F$2000,""),"")</f>
        <v>LEFT VOICE MAIL</v>
      </c>
      <c r="AB672" s="132">
        <f t="shared" si="21"/>
        <v>99</v>
      </c>
      <c r="AC672" s="79"/>
    </row>
    <row r="673" spans="1:29" ht="20.100000000000001" customHeight="1">
      <c r="A673" s="91">
        <v>45907</v>
      </c>
      <c r="B673" s="92" t="str">
        <v>Terry</v>
      </c>
      <c r="C673" s="92" t="str">
        <v>Jessica</v>
      </c>
      <c r="D673" s="92" t="str">
        <v>Flagstaff</v>
      </c>
      <c r="E673" s="92">
        <v>86001</v>
      </c>
      <c r="F673" s="137" t="str">
        <v>Form letter</v>
      </c>
      <c r="G673" s="93" t="str">
        <v>https://docket.images.azcc.gov/E000046266.pdf</v>
      </c>
      <c r="H673" s="150" t="s">
        <v>6357</v>
      </c>
      <c r="I673" s="114" t="str">
        <v>R-XS</v>
      </c>
      <c r="J673" s="94" t="str">
        <v>No</v>
      </c>
      <c r="K673" s="94" t="str">
        <v>No</v>
      </c>
      <c r="L673" s="137" t="str">
        <v>Yes</v>
      </c>
      <c r="M673" s="94" t="str">
        <v>No</v>
      </c>
      <c r="N673" s="134" t="str">
        <v>No</v>
      </c>
      <c r="O673" s="119" t="str">
        <v>Yes</v>
      </c>
      <c r="P673" s="92" t="str">
        <v>N</v>
      </c>
      <c r="Q673" s="91">
        <v>45961</v>
      </c>
      <c r="R673" s="140">
        <v>0</v>
      </c>
      <c r="S673" s="92">
        <v>0</v>
      </c>
      <c r="T673" s="92">
        <v>0</v>
      </c>
      <c r="U673" s="137">
        <v>0</v>
      </c>
      <c r="V673" s="126" t="str">
        <f t="shared" si="20"/>
        <v>✅ On Best Plan</v>
      </c>
      <c r="W673" s="130">
        <f>IFERROR(_xlfn.XLOOKUP(TEXT(H673,"0000000000"),'📞 Call Tracker'!A$2:A$2000,'📞 Call Tracker'!B$2:B$2000,""),"")</f>
        <v>0</v>
      </c>
      <c r="X673" s="96">
        <f>IFERROR(_xlfn.XLOOKUP(TEXT(H673,"0000000000"),'📞 Call Tracker'!A$2:A$2000,'📞 Call Tracker'!C$2:C$2000,""),"")</f>
        <v>0</v>
      </c>
      <c r="Y673" s="95">
        <f>IFERROR(_xlfn.XLOOKUP(TEXT(H673,"0000000000"),'📞 Call Tracker'!A$2:A$2000,'📞 Call Tracker'!D$2:D$2000,""),"")</f>
        <v>0</v>
      </c>
      <c r="Z673" s="95">
        <f>IFERROR(_xlfn.XLOOKUP(TEXT(H673,"0000000000"),'📞 Call Tracker'!A$2:A$2000,'📞 Call Tracker'!E$2:E$2000,""),"")</f>
        <v>0</v>
      </c>
      <c r="AA673" s="145">
        <f>IFERROR(_xlfn.XLOOKUP(TEXT(H673,"0000000000"),'📞 Call Tracker'!A$2:A$2000,'📞 Call Tracker'!F$2:F$2000,""),"")</f>
        <v>0</v>
      </c>
      <c r="AB673" s="132">
        <f t="shared" si="21"/>
        <v>99</v>
      </c>
      <c r="AC673" s="79"/>
    </row>
    <row r="674" spans="1:29" ht="20.100000000000001" customHeight="1">
      <c r="A674" s="91">
        <v>45907</v>
      </c>
      <c r="B674" s="92" t="str">
        <v>Taft</v>
      </c>
      <c r="C674" s="92" t="str">
        <v>Konrad</v>
      </c>
      <c r="D674" s="92" t="str">
        <v>Surprise</v>
      </c>
      <c r="E674" s="92">
        <v>85379</v>
      </c>
      <c r="F674" s="137" t="str">
        <v>Data centers coming in and nothing to with energy use</v>
      </c>
      <c r="G674" s="93" t="str">
        <v>https://docket.images.azcc.gov/E000046266.pdf</v>
      </c>
      <c r="H674" s="150" t="s">
        <v>6080</v>
      </c>
      <c r="I674" s="114" t="str">
        <v>R-BASIC</v>
      </c>
      <c r="J674" s="94" t="str">
        <v>No</v>
      </c>
      <c r="K674" s="94" t="str">
        <v>No</v>
      </c>
      <c r="L674" s="137" t="str">
        <v>Yes</v>
      </c>
      <c r="M674" s="94" t="str">
        <v>No</v>
      </c>
      <c r="N674" s="134" t="str">
        <v>No</v>
      </c>
      <c r="O674" s="119" t="str">
        <v>Yes</v>
      </c>
      <c r="P674" s="92" t="str">
        <v>N</v>
      </c>
      <c r="Q674" s="91">
        <v>45961</v>
      </c>
      <c r="R674" s="140">
        <v>0</v>
      </c>
      <c r="S674" s="92">
        <v>0</v>
      </c>
      <c r="T674" s="92">
        <v>0</v>
      </c>
      <c r="U674" s="137">
        <v>0</v>
      </c>
      <c r="V674" s="126" t="str">
        <f t="shared" si="20"/>
        <v>✅ On Best Plan</v>
      </c>
      <c r="W674" s="130" t="str">
        <f>IFERROR(_xlfn.XLOOKUP(TEXT(H674,"0000000000"),'📞 Call Tracker'!A$2:A$2000,'📞 Call Tracker'!B$2:B$2000,""),"")</f>
        <v>Joaquin</v>
      </c>
      <c r="X674" s="96">
        <f>IFERROR(_xlfn.XLOOKUP(TEXT(H674,"0000000000"),'📞 Call Tracker'!A$2:A$2000,'📞 Call Tracker'!C$2:C$2000,""),"")</f>
        <v>46025</v>
      </c>
      <c r="Y674" s="95" t="str">
        <f>IFERROR(_xlfn.XLOOKUP(TEXT(H674,"0000000000"),'📞 Call Tracker'!A$2:A$2000,'📞 Call Tracker'!D$2:D$2000,""),"")</f>
        <v>YES</v>
      </c>
      <c r="Z674" s="95">
        <f>IFERROR(_xlfn.XLOOKUP(TEXT(H674,"0000000000"),'📞 Call Tracker'!A$2:A$2000,'📞 Call Tracker'!E$2:E$2000,""),"")</f>
        <v>0</v>
      </c>
      <c r="AA674" s="145" t="str">
        <f>IFERROR(_xlfn.XLOOKUP(TEXT(H674,"0000000000"),'📞 Call Tracker'!A$2:A$2000,'📞 Call Tracker'!F$2:F$2000,""),"")</f>
        <v>LEFT VOICE MAIL</v>
      </c>
      <c r="AB674" s="132">
        <f t="shared" si="21"/>
        <v>99</v>
      </c>
      <c r="AC674" s="79"/>
    </row>
    <row r="675" spans="1:29" ht="20.100000000000001" customHeight="1">
      <c r="A675" s="91">
        <v>45907</v>
      </c>
      <c r="B675" s="92" t="str">
        <v>Futi</v>
      </c>
      <c r="C675" s="92" t="str">
        <v>Ruben</v>
      </c>
      <c r="D675" s="92" t="str">
        <v>Avondale</v>
      </c>
      <c r="E675" s="92">
        <v>85392</v>
      </c>
      <c r="F675" s="137" t="str">
        <v>Greedy</v>
      </c>
      <c r="G675" s="93" t="str">
        <v>https://docket.images.azcc.gov/E000046266.pdf</v>
      </c>
      <c r="H675" s="150" t="s">
        <v>6081</v>
      </c>
      <c r="I675" s="114" t="str">
        <v>Multiple SAs</v>
      </c>
      <c r="J675" s="94" t="str">
        <v>No</v>
      </c>
      <c r="K675" s="94" t="str">
        <v>No</v>
      </c>
      <c r="L675" s="137" t="str">
        <v>Not eligible yet (needs 3 months)</v>
      </c>
      <c r="M675" s="94" t="str">
        <v>No</v>
      </c>
      <c r="N675" s="134" t="str">
        <v>No</v>
      </c>
      <c r="O675" s="119" t="str">
        <v>Yes</v>
      </c>
      <c r="P675" s="92" t="str">
        <v>N</v>
      </c>
      <c r="Q675" s="91">
        <v>45961</v>
      </c>
      <c r="R675" s="140" t="str">
        <v>COR JUST STARTED SERV</v>
      </c>
      <c r="S675" s="92">
        <v>0</v>
      </c>
      <c r="T675" s="92">
        <v>0</v>
      </c>
      <c r="U675" s="137">
        <v>0</v>
      </c>
      <c r="V675" s="126" t="str">
        <f t="shared" si="20"/>
        <v>❌ Not on Best Plan</v>
      </c>
      <c r="W675" s="130" t="str">
        <f>IFERROR(_xlfn.XLOOKUP(TEXT(H675,"0000000000"),'📞 Call Tracker'!A$2:A$2000,'📞 Call Tracker'!B$2:B$2000,""),"")</f>
        <v>Joaquin</v>
      </c>
      <c r="X675" s="96">
        <f>IFERROR(_xlfn.XLOOKUP(TEXT(H675,"0000000000"),'📞 Call Tracker'!A$2:A$2000,'📞 Call Tracker'!C$2:C$2000,""),"")</f>
        <v>46025</v>
      </c>
      <c r="Y675" s="95" t="str">
        <f>IFERROR(_xlfn.XLOOKUP(TEXT(H675,"0000000000"),'📞 Call Tracker'!A$2:A$2000,'📞 Call Tracker'!D$2:D$2000,""),"")</f>
        <v>YES</v>
      </c>
      <c r="Z675" s="95">
        <f>IFERROR(_xlfn.XLOOKUP(TEXT(H675,"0000000000"),'📞 Call Tracker'!A$2:A$2000,'📞 Call Tracker'!E$2:E$2000,""),"")</f>
        <v>0</v>
      </c>
      <c r="AA675" s="145" t="str">
        <f>IFERROR(_xlfn.XLOOKUP(TEXT(H675,"0000000000"),'📞 Call Tracker'!A$2:A$2000,'📞 Call Tracker'!F$2:F$2000,""),"")</f>
        <v>LEFT VOICE MAIL</v>
      </c>
      <c r="AB675" s="132">
        <f t="shared" si="21"/>
        <v>99</v>
      </c>
      <c r="AC675" s="79"/>
    </row>
    <row r="676" spans="1:29" ht="20.100000000000001" customHeight="1">
      <c r="A676" s="91">
        <v>45907</v>
      </c>
      <c r="B676" s="92" t="str">
        <v>Reddy</v>
      </c>
      <c r="C676" s="92" t="str">
        <v>Rohit</v>
      </c>
      <c r="D676" s="92" t="str">
        <v>Peoria</v>
      </c>
      <c r="E676" s="92">
        <v>85382</v>
      </c>
      <c r="F676" s="137" t="str">
        <v>Cannot afford</v>
      </c>
      <c r="G676" s="93" t="str">
        <v>https://docket.images.azcc.gov/E000046266.pdf</v>
      </c>
      <c r="H676" s="150" t="s">
        <v>6358</v>
      </c>
      <c r="I676" s="114" t="str">
        <v>R-XS</v>
      </c>
      <c r="J676" s="94" t="str">
        <v>No</v>
      </c>
      <c r="K676" s="94" t="str">
        <v>No</v>
      </c>
      <c r="L676" s="137" t="str">
        <v>Yes</v>
      </c>
      <c r="M676" s="94" t="str">
        <v>No</v>
      </c>
      <c r="N676" s="134" t="str">
        <v>No</v>
      </c>
      <c r="O676" s="119" t="str">
        <v>Yes</v>
      </c>
      <c r="P676" s="92" t="str">
        <v>N</v>
      </c>
      <c r="Q676" s="91">
        <v>45961</v>
      </c>
      <c r="R676" s="140">
        <v>0</v>
      </c>
      <c r="S676" s="92">
        <v>0</v>
      </c>
      <c r="T676" s="92">
        <v>0</v>
      </c>
      <c r="U676" s="137">
        <v>0</v>
      </c>
      <c r="V676" s="126" t="str">
        <f t="shared" si="20"/>
        <v>✅ On Best Plan</v>
      </c>
      <c r="W676" s="130">
        <f>IFERROR(_xlfn.XLOOKUP(TEXT(H676,"0000000000"),'📞 Call Tracker'!A$2:A$2000,'📞 Call Tracker'!B$2:B$2000,""),"")</f>
        <v>0</v>
      </c>
      <c r="X676" s="96">
        <f>IFERROR(_xlfn.XLOOKUP(TEXT(H676,"0000000000"),'📞 Call Tracker'!A$2:A$2000,'📞 Call Tracker'!C$2:C$2000,""),"")</f>
        <v>0</v>
      </c>
      <c r="Y676" s="95">
        <f>IFERROR(_xlfn.XLOOKUP(TEXT(H676,"0000000000"),'📞 Call Tracker'!A$2:A$2000,'📞 Call Tracker'!D$2:D$2000,""),"")</f>
        <v>0</v>
      </c>
      <c r="Z676" s="95">
        <f>IFERROR(_xlfn.XLOOKUP(TEXT(H676,"0000000000"),'📞 Call Tracker'!A$2:A$2000,'📞 Call Tracker'!E$2:E$2000,""),"")</f>
        <v>0</v>
      </c>
      <c r="AA676" s="145">
        <f>IFERROR(_xlfn.XLOOKUP(TEXT(H676,"0000000000"),'📞 Call Tracker'!A$2:A$2000,'📞 Call Tracker'!F$2:F$2000,""),"")</f>
        <v>0</v>
      </c>
      <c r="AB676" s="132">
        <f t="shared" si="21"/>
        <v>99</v>
      </c>
      <c r="AC676" s="79"/>
    </row>
    <row r="677" spans="1:29" ht="20.100000000000001" customHeight="1">
      <c r="A677" s="91">
        <v>45907</v>
      </c>
      <c r="B677" s="92" t="str">
        <v>Stout</v>
      </c>
      <c r="C677" s="92" t="str">
        <v>Claire</v>
      </c>
      <c r="D677" s="92" t="str">
        <v>Grand Canyon</v>
      </c>
      <c r="E677" s="92">
        <v>86023</v>
      </c>
      <c r="F677" s="137" t="str">
        <v>Form letter</v>
      </c>
      <c r="G677" s="93" t="str">
        <v>https://docket.images.azcc.gov/E000046266.pdf</v>
      </c>
      <c r="H677" s="150" t="s">
        <v>6359</v>
      </c>
      <c r="I677" s="114" t="str">
        <v>R-XS</v>
      </c>
      <c r="J677" s="94" t="str">
        <v>No</v>
      </c>
      <c r="K677" s="94" t="str">
        <v>No</v>
      </c>
      <c r="L677" s="137" t="str">
        <v>Yes</v>
      </c>
      <c r="M677" s="94" t="str">
        <v>No</v>
      </c>
      <c r="N677" s="134" t="str">
        <v>No</v>
      </c>
      <c r="O677" s="119" t="str">
        <v>Yes</v>
      </c>
      <c r="P677" s="92" t="str">
        <v>N</v>
      </c>
      <c r="Q677" s="91">
        <v>45961</v>
      </c>
      <c r="R677" s="140">
        <v>0</v>
      </c>
      <c r="S677" s="92">
        <v>0</v>
      </c>
      <c r="T677" s="92">
        <v>0</v>
      </c>
      <c r="U677" s="137">
        <v>0</v>
      </c>
      <c r="V677" s="126" t="str">
        <f t="shared" si="20"/>
        <v>✅ On Best Plan</v>
      </c>
      <c r="W677" s="130">
        <f>IFERROR(_xlfn.XLOOKUP(TEXT(H677,"0000000000"),'📞 Call Tracker'!A$2:A$2000,'📞 Call Tracker'!B$2:B$2000,""),"")</f>
        <v>0</v>
      </c>
      <c r="X677" s="96">
        <f>IFERROR(_xlfn.XLOOKUP(TEXT(H677,"0000000000"),'📞 Call Tracker'!A$2:A$2000,'📞 Call Tracker'!C$2:C$2000,""),"")</f>
        <v>0</v>
      </c>
      <c r="Y677" s="95">
        <f>IFERROR(_xlfn.XLOOKUP(TEXT(H677,"0000000000"),'📞 Call Tracker'!A$2:A$2000,'📞 Call Tracker'!D$2:D$2000,""),"")</f>
        <v>0</v>
      </c>
      <c r="Z677" s="95">
        <f>IFERROR(_xlfn.XLOOKUP(TEXT(H677,"0000000000"),'📞 Call Tracker'!A$2:A$2000,'📞 Call Tracker'!E$2:E$2000,""),"")</f>
        <v>0</v>
      </c>
      <c r="AA677" s="145">
        <f>IFERROR(_xlfn.XLOOKUP(TEXT(H677,"0000000000"),'📞 Call Tracker'!A$2:A$2000,'📞 Call Tracker'!F$2:F$2000,""),"")</f>
        <v>0</v>
      </c>
      <c r="AB677" s="132">
        <f t="shared" si="21"/>
        <v>99</v>
      </c>
      <c r="AC677" s="79"/>
    </row>
    <row r="678" spans="1:29" ht="20.100000000000001" customHeight="1">
      <c r="A678" s="91">
        <v>45907</v>
      </c>
      <c r="B678" s="92" t="str">
        <v>Lenick</v>
      </c>
      <c r="C678" s="92" t="str">
        <v>Andrew</v>
      </c>
      <c r="D678" s="92" t="str">
        <v>Phoenix</v>
      </c>
      <c r="E678" s="92">
        <v>85020</v>
      </c>
      <c r="F678" s="137" t="str">
        <v>Form letter</v>
      </c>
      <c r="G678" s="93" t="str">
        <v>https://docket.images.azcc.gov/E000046266.pdf</v>
      </c>
      <c r="H678" s="150" t="s">
        <v>6082</v>
      </c>
      <c r="I678" s="114" t="str">
        <v>R-2</v>
      </c>
      <c r="J678" s="94" t="str">
        <v>No</v>
      </c>
      <c r="K678" s="94" t="str">
        <v>No</v>
      </c>
      <c r="L678" s="137" t="str">
        <v>Frozen Rate</v>
      </c>
      <c r="M678" s="94" t="str">
        <v>No</v>
      </c>
      <c r="N678" s="134" t="str">
        <v>No</v>
      </c>
      <c r="O678" s="119" t="str">
        <v>Yes</v>
      </c>
      <c r="P678" s="92" t="str">
        <v>N</v>
      </c>
      <c r="Q678" s="91">
        <v>45961</v>
      </c>
      <c r="R678" s="140">
        <v>0</v>
      </c>
      <c r="S678" s="92">
        <v>0</v>
      </c>
      <c r="T678" s="92">
        <v>0</v>
      </c>
      <c r="U678" s="137">
        <v>0</v>
      </c>
      <c r="V678" s="126" t="str">
        <f t="shared" si="20"/>
        <v>❄ Frozen Rate</v>
      </c>
      <c r="W678" s="130" t="str">
        <f>IFERROR(_xlfn.XLOOKUP(TEXT(H678,"0000000000"),'📞 Call Tracker'!A$2:A$2000,'📞 Call Tracker'!B$2:B$2000,""),"")</f>
        <v>Joaquin</v>
      </c>
      <c r="X678" s="96">
        <f>IFERROR(_xlfn.XLOOKUP(TEXT(H678,"0000000000"),'📞 Call Tracker'!A$2:A$2000,'📞 Call Tracker'!C$2:C$2000,""),"")</f>
        <v>46025</v>
      </c>
      <c r="Y678" s="95" t="str">
        <f>IFERROR(_xlfn.XLOOKUP(TEXT(H678,"0000000000"),'📞 Call Tracker'!A$2:A$2000,'📞 Call Tracker'!D$2:D$2000,""),"")</f>
        <v>YES</v>
      </c>
      <c r="Z678" s="95">
        <f>IFERROR(_xlfn.XLOOKUP(TEXT(H678,"0000000000"),'📞 Call Tracker'!A$2:A$2000,'📞 Call Tracker'!E$2:E$2000,""),"")</f>
        <v>0</v>
      </c>
      <c r="AA678" s="145" t="str">
        <f>IFERROR(_xlfn.XLOOKUP(TEXT(H678,"0000000000"),'📞 Call Tracker'!A$2:A$2000,'📞 Call Tracker'!F$2:F$2000,""),"")</f>
        <v>LEFT VOICE MAIL</v>
      </c>
      <c r="AB678" s="132">
        <f t="shared" si="21"/>
        <v>99</v>
      </c>
      <c r="AC678" s="79"/>
    </row>
    <row r="679" spans="1:29" ht="20.100000000000001" customHeight="1">
      <c r="A679" s="91">
        <v>45907</v>
      </c>
      <c r="B679" s="92" t="str">
        <v>Ramia</v>
      </c>
      <c r="C679" s="92" t="str">
        <v>Joseph</v>
      </c>
      <c r="D679" s="92" t="str">
        <v>Surprise</v>
      </c>
      <c r="E679" s="92">
        <v>85374</v>
      </c>
      <c r="F679" s="137" t="str">
        <v>Form letter</v>
      </c>
      <c r="G679" s="93" t="str">
        <v>https://docket.images.azcc.gov/E000046266.pdf</v>
      </c>
      <c r="H679" s="150" t="s">
        <v>6360</v>
      </c>
      <c r="I679" s="114" t="str">
        <v>RTOUE47</v>
      </c>
      <c r="J679" s="94" t="str">
        <v>No</v>
      </c>
      <c r="K679" s="94" t="str">
        <v>No</v>
      </c>
      <c r="L679" s="137" t="str">
        <v>No MEP R3-47 ($9.57)</v>
      </c>
      <c r="M679" s="94" t="str">
        <v>No</v>
      </c>
      <c r="N679" s="134" t="str">
        <v>No</v>
      </c>
      <c r="O679" s="119" t="str">
        <v>Yes</v>
      </c>
      <c r="P679" s="92" t="str">
        <v>N</v>
      </c>
      <c r="Q679" s="91">
        <v>45961</v>
      </c>
      <c r="R679" s="140">
        <v>0</v>
      </c>
      <c r="S679" s="92">
        <v>0</v>
      </c>
      <c r="T679" s="92">
        <v>0</v>
      </c>
      <c r="U679" s="137">
        <v>0</v>
      </c>
      <c r="V679" s="126" t="str">
        <f t="shared" si="20"/>
        <v>❌ Not on Best Plan</v>
      </c>
      <c r="W679" s="130">
        <f>IFERROR(_xlfn.XLOOKUP(TEXT(H679,"0000000000"),'📞 Call Tracker'!A$2:A$2000,'📞 Call Tracker'!B$2:B$2000,""),"")</f>
        <v>0</v>
      </c>
      <c r="X679" s="96">
        <f>IFERROR(_xlfn.XLOOKUP(TEXT(H679,"0000000000"),'📞 Call Tracker'!A$2:A$2000,'📞 Call Tracker'!C$2:C$2000,""),"")</f>
        <v>0</v>
      </c>
      <c r="Y679" s="95">
        <f>IFERROR(_xlfn.XLOOKUP(TEXT(H679,"0000000000"),'📞 Call Tracker'!A$2:A$2000,'📞 Call Tracker'!D$2:D$2000,""),"")</f>
        <v>0</v>
      </c>
      <c r="Z679" s="95">
        <f>IFERROR(_xlfn.XLOOKUP(TEXT(H679,"0000000000"),'📞 Call Tracker'!A$2:A$2000,'📞 Call Tracker'!E$2:E$2000,""),"")</f>
        <v>0</v>
      </c>
      <c r="AA679" s="145">
        <f>IFERROR(_xlfn.XLOOKUP(TEXT(H679,"0000000000"),'📞 Call Tracker'!A$2:A$2000,'📞 Call Tracker'!F$2:F$2000,""),"")</f>
        <v>0</v>
      </c>
      <c r="AB679" s="132">
        <f t="shared" si="21"/>
        <v>99</v>
      </c>
      <c r="AC679" s="79"/>
    </row>
    <row r="680" spans="1:29" ht="20.100000000000001" customHeight="1">
      <c r="A680" s="91">
        <v>45907</v>
      </c>
      <c r="B680" s="92" t="str">
        <v>Campbell</v>
      </c>
      <c r="C680" s="92" t="str">
        <v>Derek</v>
      </c>
      <c r="D680" s="92" t="str">
        <v>Phoenix</v>
      </c>
      <c r="E680" s="92">
        <v>85016</v>
      </c>
      <c r="F680" s="137" t="str">
        <v>Form letter</v>
      </c>
      <c r="G680" s="93" t="str">
        <v>https://docket.images.azcc.gov/E000046266.pdf</v>
      </c>
      <c r="H680" s="150" t="s">
        <v>6361</v>
      </c>
      <c r="I680" s="114" t="str">
        <v>R-BASIC</v>
      </c>
      <c r="J680" s="94" t="str">
        <v>No</v>
      </c>
      <c r="K680" s="94" t="str">
        <v>No</v>
      </c>
      <c r="L680" s="137" t="str">
        <v>Yes</v>
      </c>
      <c r="M680" s="94" t="str">
        <v>No</v>
      </c>
      <c r="N680" s="134" t="str">
        <v>No</v>
      </c>
      <c r="O680" s="119" t="str">
        <v>Yes</v>
      </c>
      <c r="P680" s="92" t="str">
        <v>N</v>
      </c>
      <c r="Q680" s="91">
        <v>45961</v>
      </c>
      <c r="R680" s="140">
        <v>0</v>
      </c>
      <c r="S680" s="92">
        <v>0</v>
      </c>
      <c r="T680" s="92">
        <v>0</v>
      </c>
      <c r="U680" s="137">
        <v>0</v>
      </c>
      <c r="V680" s="126" t="str">
        <f t="shared" si="20"/>
        <v>✅ On Best Plan</v>
      </c>
      <c r="W680" s="130">
        <f>IFERROR(_xlfn.XLOOKUP(TEXT(H680,"0000000000"),'📞 Call Tracker'!A$2:A$2000,'📞 Call Tracker'!B$2:B$2000,""),"")</f>
        <v>0</v>
      </c>
      <c r="X680" s="96">
        <f>IFERROR(_xlfn.XLOOKUP(TEXT(H680,"0000000000"),'📞 Call Tracker'!A$2:A$2000,'📞 Call Tracker'!C$2:C$2000,""),"")</f>
        <v>0</v>
      </c>
      <c r="Y680" s="95">
        <f>IFERROR(_xlfn.XLOOKUP(TEXT(H680,"0000000000"),'📞 Call Tracker'!A$2:A$2000,'📞 Call Tracker'!D$2:D$2000,""),"")</f>
        <v>0</v>
      </c>
      <c r="Z680" s="95">
        <f>IFERROR(_xlfn.XLOOKUP(TEXT(H680,"0000000000"),'📞 Call Tracker'!A$2:A$2000,'📞 Call Tracker'!E$2:E$2000,""),"")</f>
        <v>0</v>
      </c>
      <c r="AA680" s="145">
        <f>IFERROR(_xlfn.XLOOKUP(TEXT(H680,"0000000000"),'📞 Call Tracker'!A$2:A$2000,'📞 Call Tracker'!F$2:F$2000,""),"")</f>
        <v>0</v>
      </c>
      <c r="AB680" s="132">
        <f t="shared" si="21"/>
        <v>99</v>
      </c>
      <c r="AC680" s="79"/>
    </row>
    <row r="681" spans="1:29" ht="20.100000000000001" customHeight="1">
      <c r="A681" s="91">
        <v>45907</v>
      </c>
      <c r="B681" s="92" t="str">
        <v>Kane</v>
      </c>
      <c r="C681" s="92" t="str">
        <v>Patrick</v>
      </c>
      <c r="D681" s="92" t="str">
        <v>Phoenix</v>
      </c>
      <c r="E681" s="92">
        <v>85012</v>
      </c>
      <c r="F681" s="137" t="str">
        <v>Form letter</v>
      </c>
      <c r="G681" s="93" t="str">
        <v>https://docket.images.azcc.gov/E000046266.pdf</v>
      </c>
      <c r="H681" s="150" t="s">
        <v>6362</v>
      </c>
      <c r="I681" s="114" t="str">
        <v>R-BASIC</v>
      </c>
      <c r="J681" s="94" t="str">
        <v>No</v>
      </c>
      <c r="K681" s="94" t="str">
        <v>No</v>
      </c>
      <c r="L681" s="137" t="str">
        <v>No MEP RTOUE47 ($0.81)</v>
      </c>
      <c r="M681" s="94" t="str">
        <v>No</v>
      </c>
      <c r="N681" s="134" t="str">
        <v>No</v>
      </c>
      <c r="O681" s="119" t="str">
        <v>Yes</v>
      </c>
      <c r="P681" s="92" t="str">
        <v>N</v>
      </c>
      <c r="Q681" s="91">
        <v>45961</v>
      </c>
      <c r="R681" s="140">
        <v>0</v>
      </c>
      <c r="S681" s="92">
        <v>0</v>
      </c>
      <c r="T681" s="92">
        <v>0</v>
      </c>
      <c r="U681" s="137">
        <v>0</v>
      </c>
      <c r="V681" s="126" t="str">
        <f t="shared" si="20"/>
        <v>❌ Not on Best Plan</v>
      </c>
      <c r="W681" s="130">
        <f>IFERROR(_xlfn.XLOOKUP(TEXT(H681,"0000000000"),'📞 Call Tracker'!A$2:A$2000,'📞 Call Tracker'!B$2:B$2000,""),"")</f>
        <v>0</v>
      </c>
      <c r="X681" s="96">
        <f>IFERROR(_xlfn.XLOOKUP(TEXT(H681,"0000000000"),'📞 Call Tracker'!A$2:A$2000,'📞 Call Tracker'!C$2:C$2000,""),"")</f>
        <v>0</v>
      </c>
      <c r="Y681" s="95">
        <f>IFERROR(_xlfn.XLOOKUP(TEXT(H681,"0000000000"),'📞 Call Tracker'!A$2:A$2000,'📞 Call Tracker'!D$2:D$2000,""),"")</f>
        <v>0</v>
      </c>
      <c r="Z681" s="95">
        <f>IFERROR(_xlfn.XLOOKUP(TEXT(H681,"0000000000"),'📞 Call Tracker'!A$2:A$2000,'📞 Call Tracker'!E$2:E$2000,""),"")</f>
        <v>0</v>
      </c>
      <c r="AA681" s="145">
        <f>IFERROR(_xlfn.XLOOKUP(TEXT(H681,"0000000000"),'📞 Call Tracker'!A$2:A$2000,'📞 Call Tracker'!F$2:F$2000,""),"")</f>
        <v>0</v>
      </c>
      <c r="AB681" s="132">
        <f t="shared" si="21"/>
        <v>99</v>
      </c>
      <c r="AC681" s="79"/>
    </row>
    <row r="682" spans="1:29" ht="20.100000000000001" customHeight="1">
      <c r="A682" s="91">
        <v>45907</v>
      </c>
      <c r="B682" s="92" t="str">
        <v>Reynolds</v>
      </c>
      <c r="C682" s="92" t="str">
        <v>Jackson</v>
      </c>
      <c r="D682" s="92" t="str">
        <v>Phoenix</v>
      </c>
      <c r="E682" s="92">
        <v>85012</v>
      </c>
      <c r="F682" s="137" t="str">
        <v>Opposed</v>
      </c>
      <c r="G682" s="93" t="str">
        <v>https://docket.images.azcc.gov/E000046266.pdf</v>
      </c>
      <c r="H682" s="150" t="s">
        <v>6083</v>
      </c>
      <c r="I682" s="114" t="str">
        <v>R-BASIC</v>
      </c>
      <c r="J682" s="94" t="str">
        <v>No</v>
      </c>
      <c r="K682" s="94" t="str">
        <v>No</v>
      </c>
      <c r="L682" s="137" t="str">
        <v>Yes</v>
      </c>
      <c r="M682" s="94" t="str">
        <v>No</v>
      </c>
      <c r="N682" s="134" t="str">
        <v>No</v>
      </c>
      <c r="O682" s="119" t="str">
        <v>Yes</v>
      </c>
      <c r="P682" s="92" t="str">
        <v>N</v>
      </c>
      <c r="Q682" s="91">
        <v>45961</v>
      </c>
      <c r="R682" s="140">
        <v>0</v>
      </c>
      <c r="S682" s="92">
        <v>0</v>
      </c>
      <c r="T682" s="92">
        <v>0</v>
      </c>
      <c r="U682" s="137">
        <v>0</v>
      </c>
      <c r="V682" s="126" t="str">
        <f t="shared" si="20"/>
        <v>✅ On Best Plan</v>
      </c>
      <c r="W682" s="130" t="str">
        <f>IFERROR(_xlfn.XLOOKUP(TEXT(H682,"0000000000"),'📞 Call Tracker'!A$2:A$2000,'📞 Call Tracker'!B$2:B$2000,""),"")</f>
        <v>Joaquin</v>
      </c>
      <c r="X682" s="96">
        <f>IFERROR(_xlfn.XLOOKUP(TEXT(H682,"0000000000"),'📞 Call Tracker'!A$2:A$2000,'📞 Call Tracker'!C$2:C$2000,""),"")</f>
        <v>46060</v>
      </c>
      <c r="Y682" s="95" t="str">
        <f>IFERROR(_xlfn.XLOOKUP(TEXT(H682,"0000000000"),'📞 Call Tracker'!A$2:A$2000,'📞 Call Tracker'!D$2:D$2000,""),"")</f>
        <v>YES</v>
      </c>
      <c r="Z682" s="95">
        <f>IFERROR(_xlfn.XLOOKUP(TEXT(H682,"0000000000"),'📞 Call Tracker'!A$2:A$2000,'📞 Call Tracker'!E$2:E$2000,""),"")</f>
        <v>0</v>
      </c>
      <c r="AA682" s="145" t="str">
        <f>IFERROR(_xlfn.XLOOKUP(TEXT(H682,"0000000000"),'📞 Call Tracker'!A$2:A$2000,'📞 Call Tracker'!F$2:F$2000,""),"")</f>
        <v>LEFT VOICE MAIL</v>
      </c>
      <c r="AB682" s="132">
        <f t="shared" si="21"/>
        <v>99</v>
      </c>
      <c r="AC682" s="79"/>
    </row>
    <row r="683" spans="1:29" ht="20.100000000000001" customHeight="1">
      <c r="A683" s="91">
        <v>45907</v>
      </c>
      <c r="B683" s="92" t="str">
        <v>Wallace</v>
      </c>
      <c r="C683" s="92" t="str">
        <v>Michael</v>
      </c>
      <c r="D683" s="92" t="str">
        <v>Phoenix</v>
      </c>
      <c r="E683" s="92">
        <v>85032</v>
      </c>
      <c r="F683" s="137" t="str">
        <v>Opposed, not fair</v>
      </c>
      <c r="G683" s="93" t="str">
        <v>https://docket.images.azcc.gov/E000046266.pdf</v>
      </c>
      <c r="H683" s="150" t="s">
        <v>2258</v>
      </c>
      <c r="I683" s="114" t="str">
        <v>R3-47</v>
      </c>
      <c r="J683" s="94" t="str">
        <v>No</v>
      </c>
      <c r="K683" s="94" t="str">
        <v>No</v>
      </c>
      <c r="L683" s="137" t="str">
        <v>R3-47</v>
      </c>
      <c r="M683" s="94" t="str">
        <v>No</v>
      </c>
      <c r="N683" s="134" t="str">
        <v>No</v>
      </c>
      <c r="O683" s="119" t="str">
        <v>Yes</v>
      </c>
      <c r="P683" s="92" t="str">
        <v>N</v>
      </c>
      <c r="Q683" s="91">
        <v>45961</v>
      </c>
      <c r="R683" s="140">
        <v>0</v>
      </c>
      <c r="S683" s="92">
        <v>0</v>
      </c>
      <c r="T683" s="92">
        <v>0</v>
      </c>
      <c r="U683" s="137">
        <v>0</v>
      </c>
      <c r="V683" s="126" t="str">
        <f t="shared" si="20"/>
        <v>❌ Not on Best Plan</v>
      </c>
      <c r="W683" s="130">
        <f>IFERROR(_xlfn.XLOOKUP(TEXT(H683,"0000000000"),'📞 Call Tracker'!A$2:A$2000,'📞 Call Tracker'!B$2:B$2000,""),"")</f>
        <v>0</v>
      </c>
      <c r="X683" s="96">
        <f>IFERROR(_xlfn.XLOOKUP(TEXT(H683,"0000000000"),'📞 Call Tracker'!A$2:A$2000,'📞 Call Tracker'!C$2:C$2000,""),"")</f>
        <v>0</v>
      </c>
      <c r="Y683" s="95">
        <f>IFERROR(_xlfn.XLOOKUP(TEXT(H683,"0000000000"),'📞 Call Tracker'!A$2:A$2000,'📞 Call Tracker'!D$2:D$2000,""),"")</f>
        <v>0</v>
      </c>
      <c r="Z683" s="95">
        <f>IFERROR(_xlfn.XLOOKUP(TEXT(H683,"0000000000"),'📞 Call Tracker'!A$2:A$2000,'📞 Call Tracker'!E$2:E$2000,""),"")</f>
        <v>0</v>
      </c>
      <c r="AA683" s="145">
        <f>IFERROR(_xlfn.XLOOKUP(TEXT(H683,"0000000000"),'📞 Call Tracker'!A$2:A$2000,'📞 Call Tracker'!F$2:F$2000,""),"")</f>
        <v>0</v>
      </c>
      <c r="AB683" s="132">
        <f t="shared" si="21"/>
        <v>99</v>
      </c>
      <c r="AC683" s="79"/>
    </row>
    <row r="684" spans="1:29" ht="20.100000000000001" customHeight="1">
      <c r="A684" s="91">
        <v>45907</v>
      </c>
      <c r="B684" s="92" t="str">
        <v>Lindsey</v>
      </c>
      <c r="C684" s="92" t="str">
        <v>Jamison</v>
      </c>
      <c r="D684" s="92" t="str">
        <v>Phoenix</v>
      </c>
      <c r="E684" s="92">
        <v>85032</v>
      </c>
      <c r="F684" s="137" t="str">
        <v>Form letter</v>
      </c>
      <c r="G684" s="93" t="str">
        <v>https://docket.images.azcc.gov/E000046266.pdf</v>
      </c>
      <c r="H684" s="150" t="s">
        <v>6363</v>
      </c>
      <c r="I684" s="114" t="str">
        <v>RTOUE47</v>
      </c>
      <c r="J684" s="94" t="str">
        <v>No</v>
      </c>
      <c r="K684" s="94" t="str">
        <v>No</v>
      </c>
      <c r="L684" s="137" t="str">
        <v>No MEP R-BASIC($44.93)</v>
      </c>
      <c r="M684" s="94" t="str">
        <v>No</v>
      </c>
      <c r="N684" s="134" t="str">
        <v>No</v>
      </c>
      <c r="O684" s="119" t="str">
        <v>Yes</v>
      </c>
      <c r="P684" s="92" t="str">
        <v>N</v>
      </c>
      <c r="Q684" s="91">
        <v>45961</v>
      </c>
      <c r="R684" s="140" t="str">
        <v>Energy usage barely eligible for BASIC - Might stay on BASICL at annual reassignment</v>
      </c>
      <c r="S684" s="92">
        <v>0</v>
      </c>
      <c r="T684" s="92">
        <v>0</v>
      </c>
      <c r="U684" s="137">
        <v>0</v>
      </c>
      <c r="V684" s="126" t="str">
        <f t="shared" si="20"/>
        <v>❌ Not on Best Plan</v>
      </c>
      <c r="W684" s="130">
        <f>IFERROR(_xlfn.XLOOKUP(TEXT(H684,"0000000000"),'📞 Call Tracker'!A$2:A$2000,'📞 Call Tracker'!B$2:B$2000,""),"")</f>
        <v>0</v>
      </c>
      <c r="X684" s="96">
        <f>IFERROR(_xlfn.XLOOKUP(TEXT(H684,"0000000000"),'📞 Call Tracker'!A$2:A$2000,'📞 Call Tracker'!C$2:C$2000,""),"")</f>
        <v>0</v>
      </c>
      <c r="Y684" s="95">
        <f>IFERROR(_xlfn.XLOOKUP(TEXT(H684,"0000000000"),'📞 Call Tracker'!A$2:A$2000,'📞 Call Tracker'!D$2:D$2000,""),"")</f>
        <v>0</v>
      </c>
      <c r="Z684" s="95">
        <f>IFERROR(_xlfn.XLOOKUP(TEXT(H684,"0000000000"),'📞 Call Tracker'!A$2:A$2000,'📞 Call Tracker'!E$2:E$2000,""),"")</f>
        <v>0</v>
      </c>
      <c r="AA684" s="145">
        <f>IFERROR(_xlfn.XLOOKUP(TEXT(H684,"0000000000"),'📞 Call Tracker'!A$2:A$2000,'📞 Call Tracker'!F$2:F$2000,""),"")</f>
        <v>0</v>
      </c>
      <c r="AB684" s="132">
        <f t="shared" si="21"/>
        <v>99</v>
      </c>
      <c r="AC684" s="79"/>
    </row>
    <row r="685" spans="1:29" ht="20.100000000000001" customHeight="1">
      <c r="A685" s="91">
        <v>45907</v>
      </c>
      <c r="B685" s="92" t="str">
        <v>Corirossi</v>
      </c>
      <c r="C685" s="92" t="str">
        <v>Jason</v>
      </c>
      <c r="D685" s="92" t="str">
        <v>Glendale</v>
      </c>
      <c r="E685" s="92">
        <v>85308</v>
      </c>
      <c r="F685" s="137" t="str">
        <v>Form letter</v>
      </c>
      <c r="G685" s="93" t="str">
        <v>https://docket.images.azcc.gov/E000046266.pdf</v>
      </c>
      <c r="H685" s="150" t="s">
        <v>4607</v>
      </c>
      <c r="I685" s="114" t="str">
        <v>RTOUE47</v>
      </c>
      <c r="J685" s="94" t="str">
        <v>No</v>
      </c>
      <c r="K685" s="94" t="str">
        <v>No</v>
      </c>
      <c r="L685" s="137" t="str">
        <v>No MEP R3-47($62.68)</v>
      </c>
      <c r="M685" s="94" t="str">
        <v>No</v>
      </c>
      <c r="N685" s="134" t="str">
        <v>No</v>
      </c>
      <c r="O685" s="119" t="str">
        <v>Yes</v>
      </c>
      <c r="P685" s="92" t="str">
        <v>N</v>
      </c>
      <c r="Q685" s="91">
        <v>45961</v>
      </c>
      <c r="R685" s="140">
        <v>0</v>
      </c>
      <c r="S685" s="92">
        <v>0</v>
      </c>
      <c r="T685" s="92">
        <v>0</v>
      </c>
      <c r="U685" s="137">
        <v>0</v>
      </c>
      <c r="V685" s="126" t="str">
        <f t="shared" si="20"/>
        <v>❌ Not on Best Plan</v>
      </c>
      <c r="W685" s="130">
        <f>IFERROR(_xlfn.XLOOKUP(TEXT(H685,"0000000000"),'📞 Call Tracker'!A$2:A$2000,'📞 Call Tracker'!B$2:B$2000,""),"")</f>
        <v>0</v>
      </c>
      <c r="X685" s="96">
        <f>IFERROR(_xlfn.XLOOKUP(TEXT(H685,"0000000000"),'📞 Call Tracker'!A$2:A$2000,'📞 Call Tracker'!C$2:C$2000,""),"")</f>
        <v>0</v>
      </c>
      <c r="Y685" s="95">
        <f>IFERROR(_xlfn.XLOOKUP(TEXT(H685,"0000000000"),'📞 Call Tracker'!A$2:A$2000,'📞 Call Tracker'!D$2:D$2000,""),"")</f>
        <v>0</v>
      </c>
      <c r="Z685" s="95">
        <f>IFERROR(_xlfn.XLOOKUP(TEXT(H685,"0000000000"),'📞 Call Tracker'!A$2:A$2000,'📞 Call Tracker'!E$2:E$2000,""),"")</f>
        <v>0</v>
      </c>
      <c r="AA685" s="145">
        <f>IFERROR(_xlfn.XLOOKUP(TEXT(H685,"0000000000"),'📞 Call Tracker'!A$2:A$2000,'📞 Call Tracker'!F$2:F$2000,""),"")</f>
        <v>0</v>
      </c>
      <c r="AB685" s="132">
        <f t="shared" si="21"/>
        <v>99</v>
      </c>
      <c r="AC685" s="79"/>
    </row>
    <row r="686" spans="1:29" ht="20.100000000000001" customHeight="1">
      <c r="A686" s="91">
        <v>45907</v>
      </c>
      <c r="B686" s="92" t="str">
        <v>Talbott</v>
      </c>
      <c r="C686" s="92" t="str">
        <v>Nicole</v>
      </c>
      <c r="D686" s="92" t="str">
        <v>Glendale</v>
      </c>
      <c r="E686" s="92">
        <v>85310</v>
      </c>
      <c r="F686" s="137" t="str">
        <v>Cut the fat</v>
      </c>
      <c r="G686" s="93" t="str">
        <v>https://docket.images.azcc.gov/E000046266.pdf</v>
      </c>
      <c r="H686" s="150" t="s">
        <v>6084</v>
      </c>
      <c r="I686" s="114" t="str">
        <v>RTOUE47</v>
      </c>
      <c r="J686" s="94" t="str">
        <v>No</v>
      </c>
      <c r="K686" s="94" t="str">
        <v>No</v>
      </c>
      <c r="L686" s="137" t="str">
        <v>No MEP R3-47($235.10)</v>
      </c>
      <c r="M686" s="94" t="str">
        <v>No</v>
      </c>
      <c r="N686" s="134" t="str">
        <v>No</v>
      </c>
      <c r="O686" s="119" t="str">
        <v>Yes</v>
      </c>
      <c r="P686" s="92">
        <v>45938</v>
      </c>
      <c r="Q686" s="91">
        <v>45961</v>
      </c>
      <c r="R686" s="140" t="str">
        <v>10/8 Left VM</v>
      </c>
      <c r="S686" s="92">
        <v>0</v>
      </c>
      <c r="T686" s="92">
        <v>0</v>
      </c>
      <c r="U686" s="137">
        <v>0</v>
      </c>
      <c r="V686" s="126" t="str">
        <f t="shared" si="20"/>
        <v>❌ Not on Best Plan</v>
      </c>
      <c r="W686" s="130" t="str">
        <f>IFERROR(_xlfn.XLOOKUP(TEXT(H686,"0000000000"),'📞 Call Tracker'!A$2:A$2000,'📞 Call Tracker'!B$2:B$2000,""),"")</f>
        <v>Joaquin</v>
      </c>
      <c r="X686" s="96">
        <f>IFERROR(_xlfn.XLOOKUP(TEXT(H686,"0000000000"),'📞 Call Tracker'!A$2:A$2000,'📞 Call Tracker'!C$2:C$2000,""),"")</f>
        <v>46025</v>
      </c>
      <c r="Y686" s="95" t="str">
        <f>IFERROR(_xlfn.XLOOKUP(TEXT(H686,"0000000000"),'📞 Call Tracker'!A$2:A$2000,'📞 Call Tracker'!D$2:D$2000,""),"")</f>
        <v>YES</v>
      </c>
      <c r="Z686" s="95">
        <f>IFERROR(_xlfn.XLOOKUP(TEXT(H686,"0000000000"),'📞 Call Tracker'!A$2:A$2000,'📞 Call Tracker'!E$2:E$2000,""),"")</f>
        <v>0</v>
      </c>
      <c r="AA686" s="145" t="str">
        <f>IFERROR(_xlfn.XLOOKUP(TEXT(H686,"0000000000"),'📞 Call Tracker'!A$2:A$2000,'📞 Call Tracker'!F$2:F$2000,""),"")</f>
        <v>LEFT VOICE MAIL</v>
      </c>
      <c r="AB686" s="132">
        <f t="shared" si="21"/>
        <v>99</v>
      </c>
      <c r="AC686" s="79"/>
    </row>
    <row r="687" spans="1:29" ht="20.100000000000001" customHeight="1">
      <c r="A687" s="91">
        <v>45907</v>
      </c>
      <c r="B687" s="92" t="str">
        <v>DeBay</v>
      </c>
      <c r="C687" s="92" t="str">
        <v xml:space="preserve">Jan </v>
      </c>
      <c r="D687" s="92" t="str">
        <v>Unknown</v>
      </c>
      <c r="E687" s="92" t="str">
        <v>Unknown</v>
      </c>
      <c r="F687" s="137" t="str">
        <v>already very high</v>
      </c>
      <c r="G687" s="93" t="str">
        <v>https://docket.images.azcc.gov/E000046266.pdf</v>
      </c>
      <c r="H687" s="150" t="s">
        <v>6364</v>
      </c>
      <c r="I687" s="114" t="str">
        <v>R3-47</v>
      </c>
      <c r="J687" s="94" t="str">
        <v>No</v>
      </c>
      <c r="K687" s="94" t="str">
        <v>No</v>
      </c>
      <c r="L687" s="137" t="str">
        <v>Yes</v>
      </c>
      <c r="M687" s="94" t="str">
        <v>No</v>
      </c>
      <c r="N687" s="134" t="str">
        <v>No</v>
      </c>
      <c r="O687" s="119" t="str">
        <v>Yes</v>
      </c>
      <c r="P687" s="92" t="str">
        <v>N</v>
      </c>
      <c r="Q687" s="91">
        <v>45961</v>
      </c>
      <c r="R687" s="140">
        <v>0</v>
      </c>
      <c r="S687" s="92">
        <v>0</v>
      </c>
      <c r="T687" s="92">
        <v>0</v>
      </c>
      <c r="U687" s="137">
        <v>0</v>
      </c>
      <c r="V687" s="126" t="str">
        <f t="shared" si="20"/>
        <v>✅ On Best Plan</v>
      </c>
      <c r="W687" s="130">
        <f>IFERROR(_xlfn.XLOOKUP(TEXT(H687,"0000000000"),'📞 Call Tracker'!A$2:A$2000,'📞 Call Tracker'!B$2:B$2000,""),"")</f>
        <v>0</v>
      </c>
      <c r="X687" s="96">
        <f>IFERROR(_xlfn.XLOOKUP(TEXT(H687,"0000000000"),'📞 Call Tracker'!A$2:A$2000,'📞 Call Tracker'!C$2:C$2000,""),"")</f>
        <v>0</v>
      </c>
      <c r="Y687" s="95">
        <f>IFERROR(_xlfn.XLOOKUP(TEXT(H687,"0000000000"),'📞 Call Tracker'!A$2:A$2000,'📞 Call Tracker'!D$2:D$2000,""),"")</f>
        <v>0</v>
      </c>
      <c r="Z687" s="95">
        <f>IFERROR(_xlfn.XLOOKUP(TEXT(H687,"0000000000"),'📞 Call Tracker'!A$2:A$2000,'📞 Call Tracker'!E$2:E$2000,""),"")</f>
        <v>0</v>
      </c>
      <c r="AA687" s="145">
        <f>IFERROR(_xlfn.XLOOKUP(TEXT(H687,"0000000000"),'📞 Call Tracker'!A$2:A$2000,'📞 Call Tracker'!F$2:F$2000,""),"")</f>
        <v>0</v>
      </c>
      <c r="AB687" s="132">
        <f t="shared" si="21"/>
        <v>99</v>
      </c>
      <c r="AC687" s="79"/>
    </row>
    <row r="688" spans="1:29" ht="20.100000000000001" customHeight="1">
      <c r="A688" s="91">
        <v>45907</v>
      </c>
      <c r="B688" s="92" t="str">
        <v>Traverso</v>
      </c>
      <c r="C688" s="92" t="str">
        <v>Luca</v>
      </c>
      <c r="D688" s="92" t="str">
        <v>Phoenix</v>
      </c>
      <c r="E688" s="92">
        <v>85022</v>
      </c>
      <c r="F688" s="137" t="str">
        <v>Opposed</v>
      </c>
      <c r="G688" s="93" t="str">
        <v>https://docket.images.azcc.gov/E000046266.pdf</v>
      </c>
      <c r="H688" s="150" t="s">
        <v>6085</v>
      </c>
      <c r="I688" s="114" t="str">
        <v>RTOUE47</v>
      </c>
      <c r="J688" s="94" t="str">
        <v>No</v>
      </c>
      <c r="K688" s="94" t="str">
        <v>No</v>
      </c>
      <c r="L688" s="137" t="str">
        <v>Yes</v>
      </c>
      <c r="M688" s="94" t="str">
        <v>No</v>
      </c>
      <c r="N688" s="134" t="str">
        <v>No</v>
      </c>
      <c r="O688" s="119" t="str">
        <v>Yes</v>
      </c>
      <c r="P688" s="92" t="str">
        <v>N</v>
      </c>
      <c r="Q688" s="91">
        <v>45961</v>
      </c>
      <c r="R688" s="140">
        <v>0</v>
      </c>
      <c r="S688" s="92">
        <v>0</v>
      </c>
      <c r="T688" s="92">
        <v>0</v>
      </c>
      <c r="U688" s="137">
        <v>0</v>
      </c>
      <c r="V688" s="126" t="str">
        <f t="shared" si="20"/>
        <v>✅ On Best Plan</v>
      </c>
      <c r="W688" s="130" t="str">
        <f>IFERROR(_xlfn.XLOOKUP(TEXT(H688,"0000000000"),'📞 Call Tracker'!A$2:A$2000,'📞 Call Tracker'!B$2:B$2000,""),"")</f>
        <v>Joaquin</v>
      </c>
      <c r="X688" s="96">
        <f>IFERROR(_xlfn.XLOOKUP(TEXT(H688,"0000000000"),'📞 Call Tracker'!A$2:A$2000,'📞 Call Tracker'!C$2:C$2000,""),"")</f>
        <v>46025</v>
      </c>
      <c r="Y688" s="95" t="str">
        <f>IFERROR(_xlfn.XLOOKUP(TEXT(H688,"0000000000"),'📞 Call Tracker'!A$2:A$2000,'📞 Call Tracker'!D$2:D$2000,""),"")</f>
        <v>YES</v>
      </c>
      <c r="Z688" s="95">
        <f>IFERROR(_xlfn.XLOOKUP(TEXT(H688,"0000000000"),'📞 Call Tracker'!A$2:A$2000,'📞 Call Tracker'!E$2:E$2000,""),"")</f>
        <v>0</v>
      </c>
      <c r="AA688" s="145" t="str">
        <f>IFERROR(_xlfn.XLOOKUP(TEXT(H688,"0000000000"),'📞 Call Tracker'!A$2:A$2000,'📞 Call Tracker'!F$2:F$2000,""),"")</f>
        <v>LEFT VOICE MAIL</v>
      </c>
      <c r="AB688" s="132">
        <f t="shared" si="21"/>
        <v>99</v>
      </c>
      <c r="AC688" s="79"/>
    </row>
    <row r="689" spans="1:29" ht="20.100000000000001" customHeight="1">
      <c r="A689" s="91">
        <v>45907</v>
      </c>
      <c r="B689" s="92" t="str">
        <v>Reed</v>
      </c>
      <c r="C689" s="92" t="str">
        <v>Ralph</v>
      </c>
      <c r="D689" s="92" t="str">
        <v>Unknown</v>
      </c>
      <c r="E689" s="92" t="str">
        <v>Unknown</v>
      </c>
      <c r="F689" s="137" t="str">
        <v>Retired, fixed income</v>
      </c>
      <c r="G689" s="93" t="str">
        <v>https://docket.images.azcc.gov/E000046266.pdf</v>
      </c>
      <c r="H689" s="150" t="s">
        <v>6365</v>
      </c>
      <c r="I689" s="114" t="str">
        <v>EPR-6w/ET-2</v>
      </c>
      <c r="J689" s="94" t="str">
        <v>No</v>
      </c>
      <c r="K689" s="94" t="str">
        <v>No</v>
      </c>
      <c r="L689" s="137" t="str">
        <v>Frozen Rate</v>
      </c>
      <c r="M689" s="94" t="str">
        <v>No</v>
      </c>
      <c r="N689" s="134" t="str">
        <v>No</v>
      </c>
      <c r="O689" s="119" t="str">
        <v>Yes</v>
      </c>
      <c r="P689" s="92" t="str">
        <v>N</v>
      </c>
      <c r="Q689" s="91">
        <v>45961</v>
      </c>
      <c r="R689" s="140">
        <v>0</v>
      </c>
      <c r="S689" s="92">
        <v>0</v>
      </c>
      <c r="T689" s="92">
        <v>0</v>
      </c>
      <c r="U689" s="137">
        <v>0</v>
      </c>
      <c r="V689" s="126" t="str">
        <f t="shared" si="20"/>
        <v>❄ Frozen Rate</v>
      </c>
      <c r="W689" s="130">
        <f>IFERROR(_xlfn.XLOOKUP(TEXT(H689,"0000000000"),'📞 Call Tracker'!A$2:A$2000,'📞 Call Tracker'!B$2:B$2000,""),"")</f>
        <v>0</v>
      </c>
      <c r="X689" s="96">
        <f>IFERROR(_xlfn.XLOOKUP(TEXT(H689,"0000000000"),'📞 Call Tracker'!A$2:A$2000,'📞 Call Tracker'!C$2:C$2000,""),"")</f>
        <v>0</v>
      </c>
      <c r="Y689" s="95">
        <f>IFERROR(_xlfn.XLOOKUP(TEXT(H689,"0000000000"),'📞 Call Tracker'!A$2:A$2000,'📞 Call Tracker'!D$2:D$2000,""),"")</f>
        <v>0</v>
      </c>
      <c r="Z689" s="95">
        <f>IFERROR(_xlfn.XLOOKUP(TEXT(H689,"0000000000"),'📞 Call Tracker'!A$2:A$2000,'📞 Call Tracker'!E$2:E$2000,""),"")</f>
        <v>0</v>
      </c>
      <c r="AA689" s="145">
        <f>IFERROR(_xlfn.XLOOKUP(TEXT(H689,"0000000000"),'📞 Call Tracker'!A$2:A$2000,'📞 Call Tracker'!F$2:F$2000,""),"")</f>
        <v>0</v>
      </c>
      <c r="AB689" s="132">
        <f t="shared" si="21"/>
        <v>99</v>
      </c>
      <c r="AC689" s="79"/>
    </row>
    <row r="690" spans="1:29" ht="20.100000000000001" customHeight="1">
      <c r="A690" s="91">
        <v>45907</v>
      </c>
      <c r="B690" s="92" t="str">
        <v>Magee</v>
      </c>
      <c r="C690" s="92" t="str">
        <v>Linda</v>
      </c>
      <c r="D690" s="92" t="str">
        <v>Surprise</v>
      </c>
      <c r="E690" s="92">
        <v>85388</v>
      </c>
      <c r="F690" s="137" t="str">
        <v>Opposed</v>
      </c>
      <c r="G690" s="93" t="str">
        <v>https://docket.images.azcc.gov/E000046266.pdf</v>
      </c>
      <c r="H690" s="150" t="s">
        <v>6086</v>
      </c>
      <c r="I690" s="114" t="str">
        <v>R-BASIC</v>
      </c>
      <c r="J690" s="94" t="str">
        <v>No</v>
      </c>
      <c r="K690" s="94" t="str">
        <v>No</v>
      </c>
      <c r="L690" s="137">
        <v>0</v>
      </c>
      <c r="M690" s="94" t="str">
        <v>No</v>
      </c>
      <c r="N690" s="134" t="str">
        <v>No</v>
      </c>
      <c r="O690" s="119" t="str">
        <v>Yes</v>
      </c>
      <c r="P690" s="92" t="str">
        <v>N</v>
      </c>
      <c r="Q690" s="91">
        <v>45961</v>
      </c>
      <c r="R690" s="140" t="str">
        <v>Non-AMI Customer</v>
      </c>
      <c r="S690" s="92">
        <v>0</v>
      </c>
      <c r="T690" s="92">
        <v>0</v>
      </c>
      <c r="U690" s="137">
        <v>0</v>
      </c>
      <c r="V690" s="126" t="str">
        <f t="shared" si="20"/>
        <v>❌ Not on Best Plan</v>
      </c>
      <c r="W690" s="130">
        <f>IFERROR(_xlfn.XLOOKUP(TEXT(H690,"0000000000"),'📞 Call Tracker'!A$2:A$2000,'📞 Call Tracker'!B$2:B$2000,""),"")</f>
        <v>0</v>
      </c>
      <c r="X690" s="96">
        <f>IFERROR(_xlfn.XLOOKUP(TEXT(H690,"0000000000"),'📞 Call Tracker'!A$2:A$2000,'📞 Call Tracker'!C$2:C$2000,""),"")</f>
        <v>0</v>
      </c>
      <c r="Y690" s="95">
        <f>IFERROR(_xlfn.XLOOKUP(TEXT(H690,"0000000000"),'📞 Call Tracker'!A$2:A$2000,'📞 Call Tracker'!D$2:D$2000,""),"")</f>
        <v>0</v>
      </c>
      <c r="Z690" s="95">
        <f>IFERROR(_xlfn.XLOOKUP(TEXT(H690,"0000000000"),'📞 Call Tracker'!A$2:A$2000,'📞 Call Tracker'!E$2:E$2000,""),"")</f>
        <v>0</v>
      </c>
      <c r="AA690" s="145">
        <f>IFERROR(_xlfn.XLOOKUP(TEXT(H690,"0000000000"),'📞 Call Tracker'!A$2:A$2000,'📞 Call Tracker'!F$2:F$2000,""),"")</f>
        <v>0</v>
      </c>
      <c r="AB690" s="132">
        <f t="shared" si="21"/>
        <v>99</v>
      </c>
      <c r="AC690" s="79"/>
    </row>
    <row r="691" spans="1:29" ht="20.100000000000001" customHeight="1">
      <c r="A691" s="91">
        <v>45907</v>
      </c>
      <c r="B691" s="92" t="str">
        <v>Stumpf</v>
      </c>
      <c r="C691" s="92" t="str">
        <v>Yvette</v>
      </c>
      <c r="D691" s="92" t="str">
        <v>Phoenix</v>
      </c>
      <c r="E691" s="92">
        <v>85086</v>
      </c>
      <c r="F691" s="137" t="str">
        <v>Opposed</v>
      </c>
      <c r="G691" s="93" t="str">
        <v>https://docket.images.azcc.gov/E000046266.pdf</v>
      </c>
      <c r="H691" s="150" t="s">
        <v>6087</v>
      </c>
      <c r="I691" s="114" t="str">
        <v>RCPw/R3-47</v>
      </c>
      <c r="J691" s="94" t="str">
        <v>No</v>
      </c>
      <c r="K691" s="94" t="str">
        <v>No</v>
      </c>
      <c r="L691" s="137" t="str">
        <v>Y</v>
      </c>
      <c r="M691" s="94" t="str">
        <v>No</v>
      </c>
      <c r="N691" s="134" t="str">
        <v>No</v>
      </c>
      <c r="O691" s="119" t="str">
        <v>Yes</v>
      </c>
      <c r="P691" s="92" t="str">
        <v>N</v>
      </c>
      <c r="Q691" s="91">
        <v>45961</v>
      </c>
      <c r="R691" s="140">
        <v>0</v>
      </c>
      <c r="S691" s="92">
        <v>0</v>
      </c>
      <c r="T691" s="92">
        <v>0</v>
      </c>
      <c r="U691" s="137">
        <v>0</v>
      </c>
      <c r="V691" s="126" t="str">
        <f t="shared" si="20"/>
        <v>✅ On Best Plan</v>
      </c>
      <c r="W691" s="130" t="str">
        <f>IFERROR(_xlfn.XLOOKUP(TEXT(H691,"0000000000"),'📞 Call Tracker'!A$2:A$2000,'📞 Call Tracker'!B$2:B$2000,""),"")</f>
        <v>Joaquin</v>
      </c>
      <c r="X691" s="96">
        <f>IFERROR(_xlfn.XLOOKUP(TEXT(H691,"0000000000"),'📞 Call Tracker'!A$2:A$2000,'📞 Call Tracker'!C$2:C$2000,""),"")</f>
        <v>46025</v>
      </c>
      <c r="Y691" s="95" t="str">
        <f>IFERROR(_xlfn.XLOOKUP(TEXT(H691,"0000000000"),'📞 Call Tracker'!A$2:A$2000,'📞 Call Tracker'!D$2:D$2000,""),"")</f>
        <v>YES</v>
      </c>
      <c r="Z691" s="95">
        <f>IFERROR(_xlfn.XLOOKUP(TEXT(H691,"0000000000"),'📞 Call Tracker'!A$2:A$2000,'📞 Call Tracker'!E$2:E$2000,""),"")</f>
        <v>0</v>
      </c>
      <c r="AA691" s="145" t="str">
        <f>IFERROR(_xlfn.XLOOKUP(TEXT(H691,"0000000000"),'📞 Call Tracker'!A$2:A$2000,'📞 Call Tracker'!F$2:F$2000,""),"")</f>
        <v>LEFT VOICE MAIL</v>
      </c>
      <c r="AB691" s="132">
        <f t="shared" si="21"/>
        <v>99</v>
      </c>
      <c r="AC691" s="79"/>
    </row>
    <row r="692" spans="1:29" ht="20.100000000000001" customHeight="1">
      <c r="A692" s="91">
        <v>45907</v>
      </c>
      <c r="B692" s="92" t="str">
        <v>Gilmore</v>
      </c>
      <c r="C692" s="92" t="str">
        <v>Jeremy</v>
      </c>
      <c r="D692" s="92" t="str">
        <v>Sun City</v>
      </c>
      <c r="E692" s="92">
        <v>85373</v>
      </c>
      <c r="F692" s="137" t="str">
        <v>Opposed</v>
      </c>
      <c r="G692" s="93" t="str">
        <v>https://docket.images.azcc.gov/E000046266.pdf</v>
      </c>
      <c r="H692" s="150" t="s">
        <v>6088</v>
      </c>
      <c r="I692" s="114" t="str">
        <v>RCPw/R3-47</v>
      </c>
      <c r="J692" s="94" t="str">
        <v>No</v>
      </c>
      <c r="K692" s="94" t="str">
        <v>No</v>
      </c>
      <c r="L692" s="137" t="str">
        <v>No MEP TOUE ($420.43)</v>
      </c>
      <c r="M692" s="94" t="str">
        <v>No</v>
      </c>
      <c r="N692" s="134" t="str">
        <v>No</v>
      </c>
      <c r="O692" s="119" t="str">
        <v>Yes</v>
      </c>
      <c r="P692" s="92">
        <v>45938</v>
      </c>
      <c r="Q692" s="91">
        <v>45961</v>
      </c>
      <c r="R692" s="140" t="str">
        <v>10/08/2025 left VM</v>
      </c>
      <c r="S692" s="92">
        <v>0</v>
      </c>
      <c r="T692" s="92">
        <v>0</v>
      </c>
      <c r="U692" s="137">
        <v>0</v>
      </c>
      <c r="V692" s="126" t="str">
        <f t="shared" si="20"/>
        <v>❌ Not on Best Plan</v>
      </c>
      <c r="W692" s="130" t="str">
        <f>IFERROR(_xlfn.XLOOKUP(TEXT(H692,"0000000000"),'📞 Call Tracker'!A$2:A$2000,'📞 Call Tracker'!B$2:B$2000,""),"")</f>
        <v>Joaquin</v>
      </c>
      <c r="X692" s="96">
        <f>IFERROR(_xlfn.XLOOKUP(TEXT(H692,"0000000000"),'📞 Call Tracker'!A$2:A$2000,'📞 Call Tracker'!C$2:C$2000,""),"")</f>
        <v>46025</v>
      </c>
      <c r="Y692" s="95" t="str">
        <f>IFERROR(_xlfn.XLOOKUP(TEXT(H692,"0000000000"),'📞 Call Tracker'!A$2:A$2000,'📞 Call Tracker'!D$2:D$2000,""),"")</f>
        <v>YES</v>
      </c>
      <c r="Z692" s="95">
        <f>IFERROR(_xlfn.XLOOKUP(TEXT(H692,"0000000000"),'📞 Call Tracker'!A$2:A$2000,'📞 Call Tracker'!E$2:E$2000,""),"")</f>
        <v>0</v>
      </c>
      <c r="AA692" s="145" t="str">
        <f>IFERROR(_xlfn.XLOOKUP(TEXT(H692,"0000000000"),'📞 Call Tracker'!A$2:A$2000,'📞 Call Tracker'!F$2:F$2000,""),"")</f>
        <v>DID TALK TO CORE BUT HUNG UP</v>
      </c>
      <c r="AB692" s="132">
        <f t="shared" si="21"/>
        <v>99</v>
      </c>
      <c r="AC692" s="79"/>
    </row>
    <row r="693" spans="1:29" ht="20.100000000000001" customHeight="1">
      <c r="A693" s="91">
        <v>45907</v>
      </c>
      <c r="B693" s="92" t="str">
        <v>Funke</v>
      </c>
      <c r="C693" s="92" t="str">
        <v>Carrie</v>
      </c>
      <c r="D693" s="92" t="str">
        <v>Phoenix</v>
      </c>
      <c r="E693" s="92">
        <v>85086</v>
      </c>
      <c r="F693" s="137" t="str">
        <v>Opposed</v>
      </c>
      <c r="G693" s="93" t="str">
        <v>https://docket.images.azcc.gov/E000046266.pdf</v>
      </c>
      <c r="H693" s="150" t="s">
        <v>6089</v>
      </c>
      <c r="I693" s="114" t="str">
        <v>R3-47</v>
      </c>
      <c r="J693" s="94" t="str">
        <v>No</v>
      </c>
      <c r="K693" s="94" t="str">
        <v>No</v>
      </c>
      <c r="L693" s="137" t="str">
        <v>Y</v>
      </c>
      <c r="M693" s="94" t="str">
        <v>No</v>
      </c>
      <c r="N693" s="134" t="str">
        <v>No</v>
      </c>
      <c r="O693" s="119" t="str">
        <v>Yes</v>
      </c>
      <c r="P693" s="92" t="str">
        <v>N</v>
      </c>
      <c r="Q693" s="91">
        <v>45961</v>
      </c>
      <c r="R693" s="140">
        <v>0</v>
      </c>
      <c r="S693" s="92">
        <v>0</v>
      </c>
      <c r="T693" s="92">
        <v>0</v>
      </c>
      <c r="U693" s="137">
        <v>0</v>
      </c>
      <c r="V693" s="126" t="str">
        <f t="shared" si="20"/>
        <v>✅ On Best Plan</v>
      </c>
      <c r="W693" s="130" t="str">
        <f>IFERROR(_xlfn.XLOOKUP(TEXT(H693,"0000000000"),'📞 Call Tracker'!A$2:A$2000,'📞 Call Tracker'!B$2:B$2000,""),"")</f>
        <v>Joaquin</v>
      </c>
      <c r="X693" s="96">
        <f>IFERROR(_xlfn.XLOOKUP(TEXT(H693,"0000000000"),'📞 Call Tracker'!A$2:A$2000,'📞 Call Tracker'!C$2:C$2000,""),"")</f>
        <v>46025</v>
      </c>
      <c r="Y693" s="95" t="str">
        <f>IFERROR(_xlfn.XLOOKUP(TEXT(H693,"0000000000"),'📞 Call Tracker'!A$2:A$2000,'📞 Call Tracker'!D$2:D$2000,""),"")</f>
        <v>YES</v>
      </c>
      <c r="Z693" s="95">
        <f>IFERROR(_xlfn.XLOOKUP(TEXT(H693,"0000000000"),'📞 Call Tracker'!A$2:A$2000,'📞 Call Tracker'!E$2:E$2000,""),"")</f>
        <v>0</v>
      </c>
      <c r="AA693" s="145" t="str">
        <f>IFERROR(_xlfn.XLOOKUP(TEXT(H693,"0000000000"),'📞 Call Tracker'!A$2:A$2000,'📞 Call Tracker'!F$2:F$2000,""),"")</f>
        <v>LEFT VOICE MAIL</v>
      </c>
      <c r="AB693" s="132">
        <f t="shared" si="21"/>
        <v>99</v>
      </c>
      <c r="AC693" s="79"/>
    </row>
    <row r="694" spans="1:29" ht="20.100000000000001" customHeight="1">
      <c r="A694" s="91">
        <v>45907</v>
      </c>
      <c r="B694" s="92" t="str">
        <v>Kriechbaum</v>
      </c>
      <c r="C694" s="92" t="str">
        <v>Sherry</v>
      </c>
      <c r="D694" s="92" t="str">
        <v>Scottsdale</v>
      </c>
      <c r="E694" s="92">
        <v>85260</v>
      </c>
      <c r="F694" s="137" t="str">
        <v>Opposed</v>
      </c>
      <c r="G694" s="93" t="str">
        <v>https://docket.images.azcc.gov/E000046266.pdf</v>
      </c>
      <c r="H694" s="150" t="s">
        <v>6366</v>
      </c>
      <c r="I694" s="114" t="str">
        <v>R3-47</v>
      </c>
      <c r="J694" s="94" t="str">
        <v>No</v>
      </c>
      <c r="K694" s="94" t="str">
        <v>No</v>
      </c>
      <c r="L694" s="137" t="str">
        <v>Y</v>
      </c>
      <c r="M694" s="94" t="str">
        <v>No</v>
      </c>
      <c r="N694" s="134" t="str">
        <v>No</v>
      </c>
      <c r="O694" s="119" t="str">
        <v>Yes</v>
      </c>
      <c r="P694" s="92" t="str">
        <v>N</v>
      </c>
      <c r="Q694" s="91">
        <v>45961</v>
      </c>
      <c r="R694" s="140">
        <v>0</v>
      </c>
      <c r="S694" s="92">
        <v>0</v>
      </c>
      <c r="T694" s="92">
        <v>0</v>
      </c>
      <c r="U694" s="137">
        <v>0</v>
      </c>
      <c r="V694" s="126" t="str">
        <f t="shared" si="20"/>
        <v>✅ On Best Plan</v>
      </c>
      <c r="W694" s="130">
        <f>IFERROR(_xlfn.XLOOKUP(TEXT(H694,"0000000000"),'📞 Call Tracker'!A$2:A$2000,'📞 Call Tracker'!B$2:B$2000,""),"")</f>
        <v>0</v>
      </c>
      <c r="X694" s="96">
        <f>IFERROR(_xlfn.XLOOKUP(TEXT(H694,"0000000000"),'📞 Call Tracker'!A$2:A$2000,'📞 Call Tracker'!C$2:C$2000,""),"")</f>
        <v>0</v>
      </c>
      <c r="Y694" s="95">
        <f>IFERROR(_xlfn.XLOOKUP(TEXT(H694,"0000000000"),'📞 Call Tracker'!A$2:A$2000,'📞 Call Tracker'!D$2:D$2000,""),"")</f>
        <v>0</v>
      </c>
      <c r="Z694" s="95">
        <f>IFERROR(_xlfn.XLOOKUP(TEXT(H694,"0000000000"),'📞 Call Tracker'!A$2:A$2000,'📞 Call Tracker'!E$2:E$2000,""),"")</f>
        <v>0</v>
      </c>
      <c r="AA694" s="145">
        <f>IFERROR(_xlfn.XLOOKUP(TEXT(H694,"0000000000"),'📞 Call Tracker'!A$2:A$2000,'📞 Call Tracker'!F$2:F$2000,""),"")</f>
        <v>0</v>
      </c>
      <c r="AB694" s="132">
        <f t="shared" si="21"/>
        <v>99</v>
      </c>
      <c r="AC694" s="79"/>
    </row>
    <row r="695" spans="1:29" ht="20.100000000000001" customHeight="1">
      <c r="A695" s="91">
        <v>45907</v>
      </c>
      <c r="B695" s="92" t="str">
        <v>Inman</v>
      </c>
      <c r="C695" s="92" t="str">
        <v>Bonnie</v>
      </c>
      <c r="D695" s="92" t="str">
        <v>Phoenix</v>
      </c>
      <c r="E695" s="92">
        <v>85086</v>
      </c>
      <c r="F695" s="137" t="str">
        <v>Form letter</v>
      </c>
      <c r="G695" s="93" t="str">
        <v>https://docket.images.azcc.gov/E000046266.pdf</v>
      </c>
      <c r="H695" s="150" t="s">
        <v>6367</v>
      </c>
      <c r="I695" s="114" t="str">
        <v>RTOUE47</v>
      </c>
      <c r="J695" s="94" t="str">
        <v>No</v>
      </c>
      <c r="K695" s="94" t="str">
        <v>No</v>
      </c>
      <c r="L695" s="137" t="str">
        <v>No MEP R3-47 ($79.77)</v>
      </c>
      <c r="M695" s="94" t="str">
        <v>Yes</v>
      </c>
      <c r="N695" s="134">
        <v>508.72</v>
      </c>
      <c r="O695" s="119" t="str">
        <v>Yes</v>
      </c>
      <c r="P695" s="92" t="str">
        <v>N</v>
      </c>
      <c r="Q695" s="91">
        <v>45961</v>
      </c>
      <c r="R695" s="140">
        <v>0</v>
      </c>
      <c r="S695" s="92">
        <v>0</v>
      </c>
      <c r="T695" s="92">
        <v>0</v>
      </c>
      <c r="U695" s="137">
        <v>0</v>
      </c>
      <c r="V695" s="126" t="str">
        <f t="shared" si="20"/>
        <v>❌ Not on Best Plan</v>
      </c>
      <c r="W695" s="130">
        <f>IFERROR(_xlfn.XLOOKUP(TEXT(H695,"0000000000"),'📞 Call Tracker'!A$2:A$2000,'📞 Call Tracker'!B$2:B$2000,""),"")</f>
        <v>0</v>
      </c>
      <c r="X695" s="96">
        <f>IFERROR(_xlfn.XLOOKUP(TEXT(H695,"0000000000"),'📞 Call Tracker'!A$2:A$2000,'📞 Call Tracker'!C$2:C$2000,""),"")</f>
        <v>0</v>
      </c>
      <c r="Y695" s="95">
        <f>IFERROR(_xlfn.XLOOKUP(TEXT(H695,"0000000000"),'📞 Call Tracker'!A$2:A$2000,'📞 Call Tracker'!D$2:D$2000,""),"")</f>
        <v>0</v>
      </c>
      <c r="Z695" s="95">
        <f>IFERROR(_xlfn.XLOOKUP(TEXT(H695,"0000000000"),'📞 Call Tracker'!A$2:A$2000,'📞 Call Tracker'!E$2:E$2000,""),"")</f>
        <v>0</v>
      </c>
      <c r="AA695" s="145">
        <f>IFERROR(_xlfn.XLOOKUP(TEXT(H695,"0000000000"),'📞 Call Tracker'!A$2:A$2000,'📞 Call Tracker'!F$2:F$2000,""),"")</f>
        <v>0</v>
      </c>
      <c r="AB695" s="132">
        <f t="shared" si="21"/>
        <v>99</v>
      </c>
      <c r="AC695" s="79"/>
    </row>
    <row r="696" spans="1:29" ht="20.100000000000001" customHeight="1">
      <c r="A696" s="91">
        <v>45908</v>
      </c>
      <c r="B696" s="92" t="str">
        <v>Hobson</v>
      </c>
      <c r="C696" s="92" t="str">
        <v>Lisa</v>
      </c>
      <c r="D696" s="92" t="str">
        <v>Sedona</v>
      </c>
      <c r="E696" s="92">
        <v>86341</v>
      </c>
      <c r="F696" s="137" t="str">
        <v>Enough is enough</v>
      </c>
      <c r="G696" s="93" t="str">
        <v>https://docket.images.azcc.gov/E000046269.pdf</v>
      </c>
      <c r="H696" s="150" t="s">
        <v>6368</v>
      </c>
      <c r="I696" s="114" t="str">
        <v>R-BASICL</v>
      </c>
      <c r="J696" s="94" t="str">
        <v>No</v>
      </c>
      <c r="K696" s="94" t="str">
        <v>No</v>
      </c>
      <c r="L696" s="137" t="str">
        <v>No MEP R3-47 ($482.61)</v>
      </c>
      <c r="M696" s="94" t="str">
        <v>No</v>
      </c>
      <c r="N696" s="134" t="str">
        <v>No</v>
      </c>
      <c r="O696" s="119" t="str">
        <v>Yes</v>
      </c>
      <c r="P696" s="92">
        <v>45938</v>
      </c>
      <c r="Q696" s="91">
        <v>45961</v>
      </c>
      <c r="R696" s="140" t="str">
        <v>10/08/2025 left VM</v>
      </c>
      <c r="S696" s="92">
        <v>0</v>
      </c>
      <c r="T696" s="92">
        <v>0</v>
      </c>
      <c r="U696" s="137">
        <v>0</v>
      </c>
      <c r="V696" s="126" t="str">
        <f t="shared" si="20"/>
        <v>❌ Not on Best Plan</v>
      </c>
      <c r="W696" s="130">
        <f>IFERROR(_xlfn.XLOOKUP(TEXT(H696,"0000000000"),'📞 Call Tracker'!A$2:A$2000,'📞 Call Tracker'!B$2:B$2000,""),"")</f>
        <v>0</v>
      </c>
      <c r="X696" s="96">
        <f>IFERROR(_xlfn.XLOOKUP(TEXT(H696,"0000000000"),'📞 Call Tracker'!A$2:A$2000,'📞 Call Tracker'!C$2:C$2000,""),"")</f>
        <v>0</v>
      </c>
      <c r="Y696" s="95">
        <f>IFERROR(_xlfn.XLOOKUP(TEXT(H696,"0000000000"),'📞 Call Tracker'!A$2:A$2000,'📞 Call Tracker'!D$2:D$2000,""),"")</f>
        <v>0</v>
      </c>
      <c r="Z696" s="95">
        <f>IFERROR(_xlfn.XLOOKUP(TEXT(H696,"0000000000"),'📞 Call Tracker'!A$2:A$2000,'📞 Call Tracker'!E$2:E$2000,""),"")</f>
        <v>0</v>
      </c>
      <c r="AA696" s="145">
        <f>IFERROR(_xlfn.XLOOKUP(TEXT(H696,"0000000000"),'📞 Call Tracker'!A$2:A$2000,'📞 Call Tracker'!F$2:F$2000,""),"")</f>
        <v>0</v>
      </c>
      <c r="AB696" s="132">
        <f t="shared" si="21"/>
        <v>99</v>
      </c>
      <c r="AC696" s="79"/>
    </row>
    <row r="697" spans="1:29" ht="20.100000000000001" customHeight="1">
      <c r="A697" s="91">
        <v>45909</v>
      </c>
      <c r="B697" s="92" t="str">
        <v>Boardman</v>
      </c>
      <c r="C697" s="92" t="str">
        <v>Julia</v>
      </c>
      <c r="D697" s="92" t="str">
        <v>Phoenix</v>
      </c>
      <c r="E697" s="92">
        <v>85012</v>
      </c>
      <c r="F697" s="137" t="str">
        <v>Form letter</v>
      </c>
      <c r="G697" s="93" t="str">
        <v>https://docket.images.azcc.gov/E000046269.pdf</v>
      </c>
      <c r="H697" s="150" t="s">
        <v>6728</v>
      </c>
      <c r="I697" s="114" t="str">
        <v>R-BASIC</v>
      </c>
      <c r="J697" s="94" t="str">
        <v>No</v>
      </c>
      <c r="K697" s="94" t="str">
        <v>No</v>
      </c>
      <c r="L697" s="137" t="str">
        <v>Y</v>
      </c>
      <c r="M697" s="94" t="str">
        <v>No</v>
      </c>
      <c r="N697" s="134" t="str">
        <v>No</v>
      </c>
      <c r="O697" s="119" t="str">
        <v>Yes</v>
      </c>
      <c r="P697" s="92" t="str">
        <v>N</v>
      </c>
      <c r="Q697" s="91">
        <v>45961</v>
      </c>
      <c r="R697" s="140">
        <v>0</v>
      </c>
      <c r="S697" s="92">
        <v>0</v>
      </c>
      <c r="T697" s="92">
        <v>0</v>
      </c>
      <c r="U697" s="137">
        <v>0</v>
      </c>
      <c r="V697" s="126" t="str">
        <f t="shared" si="20"/>
        <v>✅ On Best Plan</v>
      </c>
      <c r="W697" s="130" t="str">
        <f>IFERROR(_xlfn.XLOOKUP(TEXT(H697,"0000000000"),'📞 Call Tracker'!A$2:A$2000,'📞 Call Tracker'!B$2:B$2000,""),"")</f>
        <v/>
      </c>
      <c r="X697" s="96" t="str">
        <f>IFERROR(_xlfn.XLOOKUP(TEXT(H697,"0000000000"),'📞 Call Tracker'!A$2:A$2000,'📞 Call Tracker'!C$2:C$2000,""),"")</f>
        <v/>
      </c>
      <c r="Y697" s="95" t="str">
        <f>IFERROR(_xlfn.XLOOKUP(TEXT(H697,"0000000000"),'📞 Call Tracker'!A$2:A$2000,'📞 Call Tracker'!D$2:D$2000,""),"")</f>
        <v/>
      </c>
      <c r="Z697" s="95" t="str">
        <f>IFERROR(_xlfn.XLOOKUP(TEXT(H697,"0000000000"),'📞 Call Tracker'!A$2:A$2000,'📞 Call Tracker'!E$2:E$2000,""),"")</f>
        <v/>
      </c>
      <c r="AA697" s="145" t="str">
        <f>IFERROR(_xlfn.XLOOKUP(TEXT(H697,"0000000000"),'📞 Call Tracker'!A$2:A$2000,'📞 Call Tracker'!F$2:F$2000,""),"")</f>
        <v/>
      </c>
      <c r="AB697" s="132">
        <f t="shared" si="21"/>
        <v>4</v>
      </c>
      <c r="AC697" s="79"/>
    </row>
    <row r="698" spans="1:29" ht="20.100000000000001" customHeight="1">
      <c r="A698" s="91">
        <v>45909</v>
      </c>
      <c r="B698" s="92" t="str">
        <v>Dara</v>
      </c>
      <c r="C698" s="92" t="str">
        <v>Krishna</v>
      </c>
      <c r="D698" s="92" t="str">
        <v>Peoria</v>
      </c>
      <c r="E698" s="92">
        <v>85383</v>
      </c>
      <c r="F698" s="137" t="str">
        <v>Already getting difficult to pay the bill</v>
      </c>
      <c r="G698" s="93" t="str">
        <v>https://docket.images.azcc.gov/E000046269.pdf</v>
      </c>
      <c r="H698" s="150" t="s">
        <v>2297</v>
      </c>
      <c r="I698" s="114" t="str">
        <v>RCPw/R-2</v>
      </c>
      <c r="J698" s="94" t="str">
        <v>No</v>
      </c>
      <c r="K698" s="94" t="str">
        <v>No</v>
      </c>
      <c r="L698" s="137" t="str">
        <v>Frozen Rate</v>
      </c>
      <c r="M698" s="94" t="str">
        <v>No</v>
      </c>
      <c r="N698" s="134" t="str">
        <v>No</v>
      </c>
      <c r="O698" s="119" t="str">
        <v>Yes</v>
      </c>
      <c r="P698" s="92" t="str">
        <v>N</v>
      </c>
      <c r="Q698" s="91">
        <v>45961</v>
      </c>
      <c r="R698" s="140">
        <v>0</v>
      </c>
      <c r="S698" s="92">
        <v>0</v>
      </c>
      <c r="T698" s="92">
        <v>0</v>
      </c>
      <c r="U698" s="137">
        <v>0</v>
      </c>
      <c r="V698" s="126" t="str">
        <f t="shared" si="20"/>
        <v>❄ Frozen Rate</v>
      </c>
      <c r="W698" s="130">
        <f>IFERROR(_xlfn.XLOOKUP(TEXT(H698,"0000000000"),'📞 Call Tracker'!A$2:A$2000,'📞 Call Tracker'!B$2:B$2000,""),"")</f>
        <v>0</v>
      </c>
      <c r="X698" s="96">
        <f>IFERROR(_xlfn.XLOOKUP(TEXT(H698,"0000000000"),'📞 Call Tracker'!A$2:A$2000,'📞 Call Tracker'!C$2:C$2000,""),"")</f>
        <v>0</v>
      </c>
      <c r="Y698" s="95">
        <f>IFERROR(_xlfn.XLOOKUP(TEXT(H698,"0000000000"),'📞 Call Tracker'!A$2:A$2000,'📞 Call Tracker'!D$2:D$2000,""),"")</f>
        <v>0</v>
      </c>
      <c r="Z698" s="95">
        <f>IFERROR(_xlfn.XLOOKUP(TEXT(H698,"0000000000"),'📞 Call Tracker'!A$2:A$2000,'📞 Call Tracker'!E$2:E$2000,""),"")</f>
        <v>0</v>
      </c>
      <c r="AA698" s="145">
        <f>IFERROR(_xlfn.XLOOKUP(TEXT(H698,"0000000000"),'📞 Call Tracker'!A$2:A$2000,'📞 Call Tracker'!F$2:F$2000,""),"")</f>
        <v>0</v>
      </c>
      <c r="AB698" s="132">
        <f t="shared" si="21"/>
        <v>99</v>
      </c>
      <c r="AC698" s="79"/>
    </row>
    <row r="699" spans="1:29" ht="20.100000000000001" customHeight="1">
      <c r="A699" s="91">
        <v>45909</v>
      </c>
      <c r="B699" s="92" t="str">
        <v>Johnson</v>
      </c>
      <c r="C699" s="92" t="str">
        <v>Gregory</v>
      </c>
      <c r="D699" s="92" t="str">
        <v>Surprise</v>
      </c>
      <c r="E699" s="92">
        <v>85374</v>
      </c>
      <c r="F699" s="137" t="str">
        <v>Form letter</v>
      </c>
      <c r="G699" s="93" t="str">
        <v>https://docket.images.azcc.gov/E000046269.pdf</v>
      </c>
      <c r="H699" s="150" t="s">
        <v>2299</v>
      </c>
      <c r="I699" s="114" t="str">
        <v>R3-47</v>
      </c>
      <c r="J699" s="94" t="str">
        <v>No</v>
      </c>
      <c r="K699" s="94" t="str">
        <v>No</v>
      </c>
      <c r="L699" s="137" t="str">
        <v>Y</v>
      </c>
      <c r="M699" s="94" t="str">
        <v>No</v>
      </c>
      <c r="N699" s="134" t="str">
        <v>No</v>
      </c>
      <c r="O699" s="119" t="str">
        <v>Yes</v>
      </c>
      <c r="P699" s="92" t="str">
        <v>N</v>
      </c>
      <c r="Q699" s="91">
        <v>45961</v>
      </c>
      <c r="R699" s="140">
        <v>0</v>
      </c>
      <c r="S699" s="92">
        <v>0</v>
      </c>
      <c r="T699" s="92">
        <v>0</v>
      </c>
      <c r="U699" s="137">
        <v>0</v>
      </c>
      <c r="V699" s="126" t="str">
        <f t="shared" si="20"/>
        <v>✅ On Best Plan</v>
      </c>
      <c r="W699" s="130" t="str">
        <f>IFERROR(_xlfn.XLOOKUP(TEXT(H699,"0000000000"),'📞 Call Tracker'!A$2:A$2000,'📞 Call Tracker'!B$2:B$2000,""),"")</f>
        <v>Joaquin</v>
      </c>
      <c r="X699" s="96">
        <f>IFERROR(_xlfn.XLOOKUP(TEXT(H699,"0000000000"),'📞 Call Tracker'!A$2:A$2000,'📞 Call Tracker'!C$2:C$2000,""),"")</f>
        <v>46025</v>
      </c>
      <c r="Y699" s="95" t="str">
        <f>IFERROR(_xlfn.XLOOKUP(TEXT(H699,"0000000000"),'📞 Call Tracker'!A$2:A$2000,'📞 Call Tracker'!D$2:D$2000,""),"")</f>
        <v>YES</v>
      </c>
      <c r="Z699" s="95">
        <f>IFERROR(_xlfn.XLOOKUP(TEXT(H699,"0000000000"),'📞 Call Tracker'!A$2:A$2000,'📞 Call Tracker'!E$2:E$2000,""),"")</f>
        <v>0</v>
      </c>
      <c r="AA699" s="145" t="str">
        <f>IFERROR(_xlfn.XLOOKUP(TEXT(H699,"0000000000"),'📞 Call Tracker'!A$2:A$2000,'📞 Call Tracker'!F$2:F$2000,""),"")</f>
        <v>LEFT VOICE MAIL</v>
      </c>
      <c r="AB699" s="132">
        <f t="shared" si="21"/>
        <v>99</v>
      </c>
      <c r="AC699" s="79"/>
    </row>
    <row r="700" spans="1:29" ht="20.100000000000001" customHeight="1">
      <c r="A700" s="91">
        <v>45909</v>
      </c>
      <c r="B700" s="92" t="str">
        <v>Sanders</v>
      </c>
      <c r="C700" s="92" t="str">
        <v>Kaelyn</v>
      </c>
      <c r="D700" s="92" t="str">
        <v>Phoenix</v>
      </c>
      <c r="E700" s="92">
        <v>85012</v>
      </c>
      <c r="F700" s="137" t="str">
        <v>Form letter</v>
      </c>
      <c r="G700" s="93" t="str">
        <v>https://docket.images.azcc.gov/E000046269.pdf</v>
      </c>
      <c r="H700" s="150" t="s">
        <v>2304</v>
      </c>
      <c r="I700" s="114" t="str">
        <v>R-XS</v>
      </c>
      <c r="J700" s="94" t="str">
        <v>Yes</v>
      </c>
      <c r="K700" s="94" t="str">
        <v>No</v>
      </c>
      <c r="L700" s="137" t="str">
        <v>Y</v>
      </c>
      <c r="M700" s="94" t="str">
        <v>No</v>
      </c>
      <c r="N700" s="134" t="str">
        <v>No</v>
      </c>
      <c r="O700" s="119" t="str">
        <v>Yes</v>
      </c>
      <c r="P700" s="92" t="str">
        <v>N</v>
      </c>
      <c r="Q700" s="91">
        <v>45961</v>
      </c>
      <c r="R700" s="140">
        <v>0</v>
      </c>
      <c r="S700" s="92">
        <v>0</v>
      </c>
      <c r="T700" s="92">
        <v>0</v>
      </c>
      <c r="U700" s="137">
        <v>0</v>
      </c>
      <c r="V700" s="126" t="str">
        <f t="shared" si="20"/>
        <v>✅ On Best Plan</v>
      </c>
      <c r="W700" s="130">
        <f>IFERROR(_xlfn.XLOOKUP(TEXT(H700,"0000000000"),'📞 Call Tracker'!A$2:A$2000,'📞 Call Tracker'!B$2:B$2000,""),"")</f>
        <v>0</v>
      </c>
      <c r="X700" s="96">
        <f>IFERROR(_xlfn.XLOOKUP(TEXT(H700,"0000000000"),'📞 Call Tracker'!A$2:A$2000,'📞 Call Tracker'!C$2:C$2000,""),"")</f>
        <v>0</v>
      </c>
      <c r="Y700" s="95">
        <f>IFERROR(_xlfn.XLOOKUP(TEXT(H700,"0000000000"),'📞 Call Tracker'!A$2:A$2000,'📞 Call Tracker'!D$2:D$2000,""),"")</f>
        <v>0</v>
      </c>
      <c r="Z700" s="95">
        <f>IFERROR(_xlfn.XLOOKUP(TEXT(H700,"0000000000"),'📞 Call Tracker'!A$2:A$2000,'📞 Call Tracker'!E$2:E$2000,""),"")</f>
        <v>0</v>
      </c>
      <c r="AA700" s="145">
        <f>IFERROR(_xlfn.XLOOKUP(TEXT(H700,"0000000000"),'📞 Call Tracker'!A$2:A$2000,'📞 Call Tracker'!F$2:F$2000,""),"")</f>
        <v>0</v>
      </c>
      <c r="AB700" s="132">
        <f t="shared" si="21"/>
        <v>99</v>
      </c>
      <c r="AC700" s="79"/>
    </row>
    <row r="701" spans="1:29" ht="20.100000000000001" customHeight="1">
      <c r="A701" s="91">
        <v>45909</v>
      </c>
      <c r="B701" s="92" t="str">
        <v>Kumar</v>
      </c>
      <c r="C701" s="92" t="str">
        <v>Sumit</v>
      </c>
      <c r="D701" s="92" t="str">
        <v>Phoenix</v>
      </c>
      <c r="E701" s="92">
        <v>85085</v>
      </c>
      <c r="F701" s="137" t="str">
        <v>Form letter</v>
      </c>
      <c r="G701" s="93" t="str">
        <v>https://docket.images.azcc.gov/E000046269.pdf</v>
      </c>
      <c r="H701" s="150" t="s">
        <v>2307</v>
      </c>
      <c r="I701" s="114" t="str">
        <v>Multiple SAs</v>
      </c>
      <c r="J701" s="94" t="str">
        <v>No</v>
      </c>
      <c r="K701" s="94" t="str">
        <v>No</v>
      </c>
      <c r="L701" s="137" t="str">
        <v>Not eligible yet (needs 3 months)</v>
      </c>
      <c r="M701" s="94" t="str">
        <v>No</v>
      </c>
      <c r="N701" s="134" t="str">
        <v>No</v>
      </c>
      <c r="O701" s="119" t="str">
        <v>Yes</v>
      </c>
      <c r="P701" s="92" t="str">
        <v>N</v>
      </c>
      <c r="Q701" s="91">
        <v>45961</v>
      </c>
      <c r="R701" s="140">
        <v>0</v>
      </c>
      <c r="S701" s="92">
        <v>0</v>
      </c>
      <c r="T701" s="92">
        <v>0</v>
      </c>
      <c r="U701" s="137">
        <v>0</v>
      </c>
      <c r="V701" s="126" t="str">
        <f t="shared" si="20"/>
        <v>❌ Not on Best Plan</v>
      </c>
      <c r="W701" s="130">
        <f>IFERROR(_xlfn.XLOOKUP(TEXT(H701,"0000000000"),'📞 Call Tracker'!A$2:A$2000,'📞 Call Tracker'!B$2:B$2000,""),"")</f>
        <v>0</v>
      </c>
      <c r="X701" s="96">
        <f>IFERROR(_xlfn.XLOOKUP(TEXT(H701,"0000000000"),'📞 Call Tracker'!A$2:A$2000,'📞 Call Tracker'!C$2:C$2000,""),"")</f>
        <v>0</v>
      </c>
      <c r="Y701" s="95">
        <f>IFERROR(_xlfn.XLOOKUP(TEXT(H701,"0000000000"),'📞 Call Tracker'!A$2:A$2000,'📞 Call Tracker'!D$2:D$2000,""),"")</f>
        <v>0</v>
      </c>
      <c r="Z701" s="95">
        <f>IFERROR(_xlfn.XLOOKUP(TEXT(H701,"0000000000"),'📞 Call Tracker'!A$2:A$2000,'📞 Call Tracker'!E$2:E$2000,""),"")</f>
        <v>0</v>
      </c>
      <c r="AA701" s="145">
        <f>IFERROR(_xlfn.XLOOKUP(TEXT(H701,"0000000000"),'📞 Call Tracker'!A$2:A$2000,'📞 Call Tracker'!F$2:F$2000,""),"")</f>
        <v>0</v>
      </c>
      <c r="AB701" s="132">
        <f t="shared" si="21"/>
        <v>99</v>
      </c>
      <c r="AC701" s="79"/>
    </row>
    <row r="702" spans="1:29" ht="20.100000000000001" customHeight="1">
      <c r="A702" s="91">
        <v>45909</v>
      </c>
      <c r="B702" s="92" t="str">
        <v>Kalikar</v>
      </c>
      <c r="C702" s="92" t="str">
        <v>Vinayak</v>
      </c>
      <c r="D702" s="92" t="str">
        <v>Peoria</v>
      </c>
      <c r="E702" s="92">
        <v>85383</v>
      </c>
      <c r="F702" s="137" t="str">
        <v>Form letter</v>
      </c>
      <c r="G702" s="93" t="str">
        <v>https://docket.images.azcc.gov/E000046269.pdf</v>
      </c>
      <c r="H702" s="150" t="s">
        <v>2313</v>
      </c>
      <c r="I702" s="114" t="str">
        <v>R3-47</v>
      </c>
      <c r="J702" s="94" t="str">
        <v>No</v>
      </c>
      <c r="K702" s="94" t="str">
        <v>No</v>
      </c>
      <c r="L702" s="137" t="str">
        <v>Y</v>
      </c>
      <c r="M702" s="94" t="str">
        <v>No</v>
      </c>
      <c r="N702" s="134" t="str">
        <v>No</v>
      </c>
      <c r="O702" s="119" t="str">
        <v>Yes</v>
      </c>
      <c r="P702" s="92" t="str">
        <v>N</v>
      </c>
      <c r="Q702" s="91">
        <v>45961</v>
      </c>
      <c r="R702" s="140">
        <v>0</v>
      </c>
      <c r="S702" s="92">
        <v>0</v>
      </c>
      <c r="T702" s="92">
        <v>0</v>
      </c>
      <c r="U702" s="137">
        <v>0</v>
      </c>
      <c r="V702" s="126" t="str">
        <f t="shared" si="20"/>
        <v>✅ On Best Plan</v>
      </c>
      <c r="W702" s="130" t="str">
        <f>IFERROR(_xlfn.XLOOKUP(TEXT(H702,"0000000000"),'📞 Call Tracker'!A$2:A$2000,'📞 Call Tracker'!B$2:B$2000,""),"")</f>
        <v>Joaquin</v>
      </c>
      <c r="X702" s="96">
        <f>IFERROR(_xlfn.XLOOKUP(TEXT(H702,"0000000000"),'📞 Call Tracker'!A$2:A$2000,'📞 Call Tracker'!C$2:C$2000,""),"")</f>
        <v>46025</v>
      </c>
      <c r="Y702" s="95" t="str">
        <f>IFERROR(_xlfn.XLOOKUP(TEXT(H702,"0000000000"),'📞 Call Tracker'!A$2:A$2000,'📞 Call Tracker'!D$2:D$2000,""),"")</f>
        <v>YES</v>
      </c>
      <c r="Z702" s="95">
        <f>IFERROR(_xlfn.XLOOKUP(TEXT(H702,"0000000000"),'📞 Call Tracker'!A$2:A$2000,'📞 Call Tracker'!E$2:E$2000,""),"")</f>
        <v>0</v>
      </c>
      <c r="AA702" s="145" t="str">
        <f>IFERROR(_xlfn.XLOOKUP(TEXT(H702,"0000000000"),'📞 Call Tracker'!A$2:A$2000,'📞 Call Tracker'!F$2:F$2000,""),"")</f>
        <v>LEFT VOICE MAIL</v>
      </c>
      <c r="AB702" s="132">
        <f t="shared" si="21"/>
        <v>99</v>
      </c>
      <c r="AC702" s="79"/>
    </row>
    <row r="703" spans="1:29" ht="20.100000000000001" customHeight="1">
      <c r="A703" s="91">
        <v>45909</v>
      </c>
      <c r="B703" s="92" t="str">
        <v>Rushing</v>
      </c>
      <c r="C703" s="92" t="str">
        <v>Ayla</v>
      </c>
      <c r="D703" s="92" t="str">
        <v>Yuma</v>
      </c>
      <c r="E703" s="92">
        <v>85365</v>
      </c>
      <c r="F703" s="137" t="str">
        <v>Greedy company</v>
      </c>
      <c r="G703" s="93" t="str">
        <v>https://docket.images.azcc.gov/E000046269.pdf</v>
      </c>
      <c r="H703" s="150" t="s">
        <v>2317</v>
      </c>
      <c r="I703" s="114" t="str">
        <v>RTOUE47</v>
      </c>
      <c r="J703" s="94" t="str">
        <v>No</v>
      </c>
      <c r="K703" s="94" t="str">
        <v>No</v>
      </c>
      <c r="L703" s="137" t="str">
        <v>No MEP R3-47 ($221.91)</v>
      </c>
      <c r="M703" s="94" t="str">
        <v>No</v>
      </c>
      <c r="N703" s="134" t="str">
        <v>No</v>
      </c>
      <c r="O703" s="119" t="str">
        <v>Yes</v>
      </c>
      <c r="P703" s="92">
        <v>45938</v>
      </c>
      <c r="Q703" s="91">
        <v>45961</v>
      </c>
      <c r="R703" s="140" t="str">
        <v>10/08/2025 left VM</v>
      </c>
      <c r="S703" s="92">
        <v>0</v>
      </c>
      <c r="T703" s="92">
        <v>0</v>
      </c>
      <c r="U703" s="137">
        <v>0</v>
      </c>
      <c r="V703" s="126" t="str">
        <f t="shared" si="20"/>
        <v>❌ Not on Best Plan</v>
      </c>
      <c r="W703" s="130" t="str">
        <f>IFERROR(_xlfn.XLOOKUP(TEXT(H703,"0000000000"),'📞 Call Tracker'!A$2:A$2000,'📞 Call Tracker'!B$2:B$2000,""),"")</f>
        <v>Joaquin</v>
      </c>
      <c r="X703" s="96">
        <f>IFERROR(_xlfn.XLOOKUP(TEXT(H703,"0000000000"),'📞 Call Tracker'!A$2:A$2000,'📞 Call Tracker'!C$2:C$2000,""),"")</f>
        <v>46025</v>
      </c>
      <c r="Y703" s="95" t="str">
        <f>IFERROR(_xlfn.XLOOKUP(TEXT(H703,"0000000000"),'📞 Call Tracker'!A$2:A$2000,'📞 Call Tracker'!D$2:D$2000,""),"")</f>
        <v>YES</v>
      </c>
      <c r="Z703" s="95">
        <f>IFERROR(_xlfn.XLOOKUP(TEXT(H703,"0000000000"),'📞 Call Tracker'!A$2:A$2000,'📞 Call Tracker'!E$2:E$2000,""),"")</f>
        <v>0</v>
      </c>
      <c r="AA703" s="145" t="str">
        <f>IFERROR(_xlfn.XLOOKUP(TEXT(H703,"0000000000"),'📞 Call Tracker'!A$2:A$2000,'📞 Call Tracker'!F$2:F$2000,""),"")</f>
        <v>BETTER PLAN TIME OF WITH DEMAND</v>
      </c>
      <c r="AB703" s="132">
        <f t="shared" si="21"/>
        <v>99</v>
      </c>
      <c r="AC703" s="79"/>
    </row>
    <row r="704" spans="1:29" ht="20.100000000000001" customHeight="1">
      <c r="A704" s="91">
        <v>45909</v>
      </c>
      <c r="B704" s="92" t="str">
        <v>Hudgins</v>
      </c>
      <c r="C704" s="92" t="str">
        <v>Eldeen</v>
      </c>
      <c r="D704" s="92" t="str">
        <v>El Mirage</v>
      </c>
      <c r="E704" s="92">
        <v>85335</v>
      </c>
      <c r="F704" s="137" t="str">
        <v>Opposed / submitted request to intervene</v>
      </c>
      <c r="G704" s="93" t="str">
        <v>https://docket.images.azcc.gov/E000046269.pdf</v>
      </c>
      <c r="H704" s="150" t="s">
        <v>2321</v>
      </c>
      <c r="I704" s="114" t="str">
        <v>RCPw/R-2</v>
      </c>
      <c r="J704" s="94" t="str">
        <v>No</v>
      </c>
      <c r="K704" s="94" t="str">
        <v>No</v>
      </c>
      <c r="L704" s="137" t="str">
        <v>Frozen Rate</v>
      </c>
      <c r="M704" s="94" t="str">
        <v>No</v>
      </c>
      <c r="N704" s="134" t="str">
        <v>No</v>
      </c>
      <c r="O704" s="119" t="str">
        <v>Yes</v>
      </c>
      <c r="P704" s="92" t="str">
        <v>N</v>
      </c>
      <c r="Q704" s="91">
        <v>45961</v>
      </c>
      <c r="R704" s="140">
        <v>0</v>
      </c>
      <c r="S704" s="92">
        <v>0</v>
      </c>
      <c r="T704" s="92">
        <v>0</v>
      </c>
      <c r="U704" s="137">
        <v>0</v>
      </c>
      <c r="V704" s="126" t="str">
        <f t="shared" si="20"/>
        <v>❄ Frozen Rate</v>
      </c>
      <c r="W704" s="130">
        <f>IFERROR(_xlfn.XLOOKUP(TEXT(H704,"0000000000"),'📞 Call Tracker'!A$2:A$2000,'📞 Call Tracker'!B$2:B$2000,""),"")</f>
        <v>0</v>
      </c>
      <c r="X704" s="96">
        <f>IFERROR(_xlfn.XLOOKUP(TEXT(H704,"0000000000"),'📞 Call Tracker'!A$2:A$2000,'📞 Call Tracker'!C$2:C$2000,""),"")</f>
        <v>0</v>
      </c>
      <c r="Y704" s="95">
        <f>IFERROR(_xlfn.XLOOKUP(TEXT(H704,"0000000000"),'📞 Call Tracker'!A$2:A$2000,'📞 Call Tracker'!D$2:D$2000,""),"")</f>
        <v>0</v>
      </c>
      <c r="Z704" s="95">
        <f>IFERROR(_xlfn.XLOOKUP(TEXT(H704,"0000000000"),'📞 Call Tracker'!A$2:A$2000,'📞 Call Tracker'!E$2:E$2000,""),"")</f>
        <v>0</v>
      </c>
      <c r="AA704" s="145">
        <f>IFERROR(_xlfn.XLOOKUP(TEXT(H704,"0000000000"),'📞 Call Tracker'!A$2:A$2000,'📞 Call Tracker'!F$2:F$2000,""),"")</f>
        <v>0</v>
      </c>
      <c r="AB704" s="132">
        <f t="shared" si="21"/>
        <v>99</v>
      </c>
      <c r="AC704" s="79"/>
    </row>
    <row r="705" spans="1:29" ht="20.100000000000001" customHeight="1">
      <c r="A705" s="91">
        <v>45909</v>
      </c>
      <c r="B705" s="92" t="str">
        <v>Burkes</v>
      </c>
      <c r="C705" s="92" t="str">
        <v>Justin</v>
      </c>
      <c r="D705" s="92" t="str">
        <v>Chandler</v>
      </c>
      <c r="E705" s="92">
        <v>85225</v>
      </c>
      <c r="F705" s="137" t="str">
        <v>Form letter</v>
      </c>
      <c r="G705" s="93" t="str">
        <v>https://docket.images.azcc.gov/E000046289.pdf</v>
      </c>
      <c r="H705" s="150" t="s">
        <v>2325</v>
      </c>
      <c r="I705" s="114" t="str">
        <v>RCPw/RTOUE47</v>
      </c>
      <c r="J705" s="94" t="str">
        <v>No</v>
      </c>
      <c r="K705" s="94" t="str">
        <v>No</v>
      </c>
      <c r="L705" s="137" t="str">
        <v>Y</v>
      </c>
      <c r="M705" s="94" t="str">
        <v>No</v>
      </c>
      <c r="N705" s="134" t="str">
        <v>No</v>
      </c>
      <c r="O705" s="119" t="str">
        <v>Yes</v>
      </c>
      <c r="P705" s="92" t="str">
        <v>N</v>
      </c>
      <c r="Q705" s="91">
        <v>45961</v>
      </c>
      <c r="R705" s="140">
        <v>0</v>
      </c>
      <c r="S705" s="92">
        <v>0</v>
      </c>
      <c r="T705" s="92">
        <v>0</v>
      </c>
      <c r="U705" s="137">
        <v>0</v>
      </c>
      <c r="V705" s="126" t="str">
        <f t="shared" si="20"/>
        <v>✅ On Best Plan</v>
      </c>
      <c r="W705" s="130">
        <f>IFERROR(_xlfn.XLOOKUP(TEXT(H705,"0000000000"),'📞 Call Tracker'!A$2:A$2000,'📞 Call Tracker'!B$2:B$2000,""),"")</f>
        <v>0</v>
      </c>
      <c r="X705" s="96">
        <f>IFERROR(_xlfn.XLOOKUP(TEXT(H705,"0000000000"),'📞 Call Tracker'!A$2:A$2000,'📞 Call Tracker'!C$2:C$2000,""),"")</f>
        <v>0</v>
      </c>
      <c r="Y705" s="95">
        <f>IFERROR(_xlfn.XLOOKUP(TEXT(H705,"0000000000"),'📞 Call Tracker'!A$2:A$2000,'📞 Call Tracker'!D$2:D$2000,""),"")</f>
        <v>0</v>
      </c>
      <c r="Z705" s="95">
        <f>IFERROR(_xlfn.XLOOKUP(TEXT(H705,"0000000000"),'📞 Call Tracker'!A$2:A$2000,'📞 Call Tracker'!E$2:E$2000,""),"")</f>
        <v>0</v>
      </c>
      <c r="AA705" s="145">
        <f>IFERROR(_xlfn.XLOOKUP(TEXT(H705,"0000000000"),'📞 Call Tracker'!A$2:A$2000,'📞 Call Tracker'!F$2:F$2000,""),"")</f>
        <v>0</v>
      </c>
      <c r="AB705" s="132">
        <f t="shared" si="21"/>
        <v>99</v>
      </c>
      <c r="AC705" s="79"/>
    </row>
    <row r="706" spans="1:29" ht="20.100000000000001" customHeight="1">
      <c r="A706" s="91">
        <v>45909</v>
      </c>
      <c r="B706" s="92" t="str">
        <v>Taylor</v>
      </c>
      <c r="C706" s="92" t="str">
        <v>Kathryne</v>
      </c>
      <c r="D706" s="92" t="str">
        <v>Hereford</v>
      </c>
      <c r="E706" s="92">
        <v>85615</v>
      </c>
      <c r="F706" s="137" t="str">
        <v>Opposed</v>
      </c>
      <c r="G706" s="93" t="str">
        <v>https://docket.images.azcc.gov/E000046289.pdf</v>
      </c>
      <c r="H706" s="150" t="s">
        <v>2326</v>
      </c>
      <c r="I706" s="114" t="str">
        <v>RTOUE47</v>
      </c>
      <c r="J706" s="94" t="str">
        <v>Yes</v>
      </c>
      <c r="K706" s="94" t="str">
        <v>No</v>
      </c>
      <c r="L706" s="137" t="str">
        <v>No MEP R3-47 ($161.55)</v>
      </c>
      <c r="M706" s="94" t="str">
        <v>No</v>
      </c>
      <c r="N706" s="134" t="str">
        <v>No</v>
      </c>
      <c r="O706" s="119" t="str">
        <v>Yes</v>
      </c>
      <c r="P706" s="92">
        <v>45938</v>
      </c>
      <c r="Q706" s="91">
        <v>45961</v>
      </c>
      <c r="R706" s="140" t="str">
        <v>10/08/2025 left VM</v>
      </c>
      <c r="S706" s="92">
        <v>0</v>
      </c>
      <c r="T706" s="92">
        <v>0</v>
      </c>
      <c r="U706" s="137">
        <v>0</v>
      </c>
      <c r="V706" s="126" t="str">
        <f t="shared" si="20"/>
        <v>❌ Not on Best Plan</v>
      </c>
      <c r="W706" s="130">
        <f>IFERROR(_xlfn.XLOOKUP(TEXT(H706,"0000000000"),'📞 Call Tracker'!A$2:A$2000,'📞 Call Tracker'!B$2:B$2000,""),"")</f>
        <v>0</v>
      </c>
      <c r="X706" s="96">
        <f>IFERROR(_xlfn.XLOOKUP(TEXT(H706,"0000000000"),'📞 Call Tracker'!A$2:A$2000,'📞 Call Tracker'!C$2:C$2000,""),"")</f>
        <v>0</v>
      </c>
      <c r="Y706" s="95">
        <f>IFERROR(_xlfn.XLOOKUP(TEXT(H706,"0000000000"),'📞 Call Tracker'!A$2:A$2000,'📞 Call Tracker'!D$2:D$2000,""),"")</f>
        <v>0</v>
      </c>
      <c r="Z706" s="95">
        <f>IFERROR(_xlfn.XLOOKUP(TEXT(H706,"0000000000"),'📞 Call Tracker'!A$2:A$2000,'📞 Call Tracker'!E$2:E$2000,""),"")</f>
        <v>0</v>
      </c>
      <c r="AA706" s="145">
        <f>IFERROR(_xlfn.XLOOKUP(TEXT(H706,"0000000000"),'📞 Call Tracker'!A$2:A$2000,'📞 Call Tracker'!F$2:F$2000,""),"")</f>
        <v>0</v>
      </c>
      <c r="AB706" s="132">
        <f t="shared" si="21"/>
        <v>99</v>
      </c>
      <c r="AC706" s="79"/>
    </row>
    <row r="707" spans="1:29" ht="20.100000000000001" customHeight="1">
      <c r="A707" s="91">
        <v>45909</v>
      </c>
      <c r="B707" s="92" t="str">
        <v>Nelson</v>
      </c>
      <c r="C707" s="92" t="str">
        <v>Hollie</v>
      </c>
      <c r="D707" s="92" t="str">
        <v>Phoenix</v>
      </c>
      <c r="E707" s="92">
        <v>85032</v>
      </c>
      <c r="F707" s="137" t="str">
        <v>Form letter</v>
      </c>
      <c r="G707" s="93" t="str">
        <v>https://docket.images.azcc.gov/E000046289.pdf</v>
      </c>
      <c r="H707" s="150" t="s">
        <v>2329</v>
      </c>
      <c r="I707" s="114" t="str">
        <v>R3-47</v>
      </c>
      <c r="J707" s="94" t="str">
        <v>No</v>
      </c>
      <c r="K707" s="94" t="str">
        <v>No</v>
      </c>
      <c r="L707" s="137" t="str">
        <v>Y</v>
      </c>
      <c r="M707" s="94" t="str">
        <v>No</v>
      </c>
      <c r="N707" s="134" t="str">
        <v>No</v>
      </c>
      <c r="O707" s="119" t="str">
        <v>Yes</v>
      </c>
      <c r="P707" s="92" t="str">
        <v>N</v>
      </c>
      <c r="Q707" s="91">
        <v>45961</v>
      </c>
      <c r="R707" s="140">
        <v>0</v>
      </c>
      <c r="S707" s="92">
        <v>0</v>
      </c>
      <c r="T707" s="92">
        <v>0</v>
      </c>
      <c r="U707" s="137">
        <v>0</v>
      </c>
      <c r="V707" s="126" t="str">
        <f t="shared" ref="V707:V770" si="22">IF(OR(LEFT(TRIM(L707),3)="Yes",TRIM(L707)="Y"),"✅ On Best Plan",IF(OR(L707="Frozen Rate",L707="Frozen Plan"),"❄ Frozen Rate",IF(OR(L707="Not able to Compare",L707="Info Not Avail",L707="NA",L707=""),"⚠ Unknown","❌ Not on Best Plan")))</f>
        <v>✅ On Best Plan</v>
      </c>
      <c r="W707" s="130" t="str">
        <f>IFERROR(_xlfn.XLOOKUP(TEXT(H707,"0000000000"),'📞 Call Tracker'!A$2:A$2000,'📞 Call Tracker'!B$2:B$2000,""),"")</f>
        <v>Joaquin</v>
      </c>
      <c r="X707" s="96">
        <f>IFERROR(_xlfn.XLOOKUP(TEXT(H707,"0000000000"),'📞 Call Tracker'!A$2:A$2000,'📞 Call Tracker'!C$2:C$2000,""),"")</f>
        <v>46081</v>
      </c>
      <c r="Y707" s="95" t="str">
        <f>IFERROR(_xlfn.XLOOKUP(TEXT(H707,"0000000000"),'📞 Call Tracker'!A$2:A$2000,'📞 Call Tracker'!D$2:D$2000,""),"")</f>
        <v>NO</v>
      </c>
      <c r="Z707" s="95" t="str">
        <f>IFERROR(_xlfn.XLOOKUP(TEXT(H707,"0000000000"),'📞 Call Tracker'!A$2:A$2000,'📞 Call Tracker'!E$2:E$2000,""),"")</f>
        <v>General Education</v>
      </c>
      <c r="AA707" s="145" t="str">
        <f>IFERROR(_xlfn.XLOOKUP(TEXT(H707,"0000000000"),'📞 Call Tracker'!A$2:A$2000,'📞 Call Tracker'!F$2:F$2000,""),"")</f>
        <v>WILL CB IF NEEDED</v>
      </c>
      <c r="AB707" s="132">
        <f t="shared" ref="AB707:AB770" si="23">IF(OR(H707="",X707&lt;&gt;""),99,IF(AND(NOT(OR(LEFT(TRIM(L707),3)="Yes",TRIM(L707)="Y",L707="Frozen Rate",L707="Frozen Plan",L707="Not able to Compare",L707="Info Not Avail",L707="NA",L707="")),AND(N707&lt;&gt;"No",N707&lt;&gt;"")),1,IF(NOT(OR(LEFT(TRIM(L707),3)="Yes",TRIM(L707)="Y",L707="Frozen Rate",L707="Frozen Plan",L707="Not able to Compare",L707="Info Not Avail",L707="NA",L707="")),2,IF(AND(N707&lt;&gt;"No",N707&lt;&gt;""),3,4))))</f>
        <v>99</v>
      </c>
      <c r="AC707" s="79"/>
    </row>
    <row r="708" spans="1:29" ht="20.100000000000001" customHeight="1">
      <c r="A708" s="91">
        <v>45909</v>
      </c>
      <c r="B708" s="92" t="str">
        <v>Hill</v>
      </c>
      <c r="C708" s="92" t="str">
        <v>Ashley</v>
      </c>
      <c r="D708" s="92" t="str">
        <v>Phoenix</v>
      </c>
      <c r="E708" s="92">
        <v>85020</v>
      </c>
      <c r="F708" s="137" t="str">
        <v>Form letter</v>
      </c>
      <c r="G708" s="93" t="str">
        <v>https://docket.images.azcc.gov/E000046289.pdf</v>
      </c>
      <c r="H708" s="150" t="s">
        <v>2332</v>
      </c>
      <c r="I708" s="114" t="str">
        <v>R-2</v>
      </c>
      <c r="J708" s="94" t="str">
        <v>No</v>
      </c>
      <c r="K708" s="94" t="str">
        <v>No</v>
      </c>
      <c r="L708" s="137" t="str">
        <v>Frozen Rate</v>
      </c>
      <c r="M708" s="94" t="str">
        <v>No</v>
      </c>
      <c r="N708" s="134" t="str">
        <v>No</v>
      </c>
      <c r="O708" s="119" t="str">
        <v>Yes</v>
      </c>
      <c r="P708" s="92" t="str">
        <v>N</v>
      </c>
      <c r="Q708" s="91">
        <v>45961</v>
      </c>
      <c r="R708" s="140">
        <v>0</v>
      </c>
      <c r="S708" s="92">
        <v>0</v>
      </c>
      <c r="T708" s="92">
        <v>0</v>
      </c>
      <c r="U708" s="137">
        <v>0</v>
      </c>
      <c r="V708" s="126" t="str">
        <f t="shared" si="22"/>
        <v>❄ Frozen Rate</v>
      </c>
      <c r="W708" s="130" t="str">
        <f>IFERROR(_xlfn.XLOOKUP(TEXT(H708,"0000000000"),'📞 Call Tracker'!A$2:A$2000,'📞 Call Tracker'!B$2:B$2000,""),"")</f>
        <v>Joaquin</v>
      </c>
      <c r="X708" s="96">
        <f>IFERROR(_xlfn.XLOOKUP(TEXT(H708,"0000000000"),'📞 Call Tracker'!A$2:A$2000,'📞 Call Tracker'!C$2:C$2000,""),"")</f>
        <v>46060</v>
      </c>
      <c r="Y708" s="95" t="str">
        <f>IFERROR(_xlfn.XLOOKUP(TEXT(H708,"0000000000"),'📞 Call Tracker'!A$2:A$2000,'📞 Call Tracker'!D$2:D$2000,""),"")</f>
        <v>YES</v>
      </c>
      <c r="Z708" s="95">
        <f>IFERROR(_xlfn.XLOOKUP(TEXT(H708,"0000000000"),'📞 Call Tracker'!A$2:A$2000,'📞 Call Tracker'!E$2:E$2000,""),"")</f>
        <v>0</v>
      </c>
      <c r="AA708" s="145" t="str">
        <f>IFERROR(_xlfn.XLOOKUP(TEXT(H708,"0000000000"),'📞 Call Tracker'!A$2:A$2000,'📞 Call Tracker'!F$2:F$2000,""),"")</f>
        <v>BETTER RATE</v>
      </c>
      <c r="AB708" s="132">
        <f t="shared" si="23"/>
        <v>99</v>
      </c>
      <c r="AC708" s="79"/>
    </row>
    <row r="709" spans="1:29" ht="20.100000000000001" customHeight="1">
      <c r="A709" s="91">
        <v>45909</v>
      </c>
      <c r="B709" s="92" t="str">
        <v>Stolarski</v>
      </c>
      <c r="C709" s="92" t="str">
        <v>Larry</v>
      </c>
      <c r="D709" s="92" t="str">
        <v>Phoenix</v>
      </c>
      <c r="E709" s="92">
        <v>85083</v>
      </c>
      <c r="F709" s="137" t="str">
        <v>Opposed</v>
      </c>
      <c r="G709" s="93" t="str">
        <v>https://docket.images.azcc.gov/E000046289.pdf</v>
      </c>
      <c r="H709" s="150" t="s">
        <v>2335</v>
      </c>
      <c r="I709" s="114" t="str">
        <v>R-BASIC</v>
      </c>
      <c r="J709" s="94" t="str">
        <v>No</v>
      </c>
      <c r="K709" s="94" t="str">
        <v>No</v>
      </c>
      <c r="L709" s="137" t="str">
        <v>Y</v>
      </c>
      <c r="M709" s="94" t="str">
        <v>No</v>
      </c>
      <c r="N709" s="134" t="str">
        <v>No</v>
      </c>
      <c r="O709" s="119" t="str">
        <v>Yes</v>
      </c>
      <c r="P709" s="92" t="str">
        <v>N</v>
      </c>
      <c r="Q709" s="91">
        <v>45961</v>
      </c>
      <c r="R709" s="140">
        <v>0</v>
      </c>
      <c r="S709" s="92">
        <v>0</v>
      </c>
      <c r="T709" s="92">
        <v>0</v>
      </c>
      <c r="U709" s="137">
        <v>0</v>
      </c>
      <c r="V709" s="126" t="str">
        <f t="shared" si="22"/>
        <v>✅ On Best Plan</v>
      </c>
      <c r="W709" s="130" t="str">
        <f>IFERROR(_xlfn.XLOOKUP(TEXT(H709,"0000000000"),'📞 Call Tracker'!A$2:A$2000,'📞 Call Tracker'!B$2:B$2000,""),"")</f>
        <v>Joaquin</v>
      </c>
      <c r="X709" s="96">
        <f>IFERROR(_xlfn.XLOOKUP(TEXT(H709,"0000000000"),'📞 Call Tracker'!A$2:A$2000,'📞 Call Tracker'!C$2:C$2000,""),"")</f>
        <v>46081</v>
      </c>
      <c r="Y709" s="95" t="str">
        <f>IFERROR(_xlfn.XLOOKUP(TEXT(H709,"0000000000"),'📞 Call Tracker'!A$2:A$2000,'📞 Call Tracker'!D$2:D$2000,""),"")</f>
        <v>NO</v>
      </c>
      <c r="Z709" s="95" t="str">
        <f>IFERROR(_xlfn.XLOOKUP(TEXT(H709,"0000000000"),'📞 Call Tracker'!A$2:A$2000,'📞 Call Tracker'!E$2:E$2000,""),"")</f>
        <v>General Education</v>
      </c>
      <c r="AA709" s="145" t="str">
        <f>IFERROR(_xlfn.XLOOKUP(TEXT(H709,"0000000000"),'📞 Call Tracker'!A$2:A$2000,'📞 Call Tracker'!F$2:F$2000,""),"")</f>
        <v>WILL CB IF NEEDED</v>
      </c>
      <c r="AB709" s="132">
        <f t="shared" si="23"/>
        <v>99</v>
      </c>
      <c r="AC709" s="79"/>
    </row>
    <row r="710" spans="1:29" ht="20.100000000000001" customHeight="1">
      <c r="A710" s="91">
        <v>45909</v>
      </c>
      <c r="B710" s="92" t="str">
        <v>Ryan</v>
      </c>
      <c r="C710" s="92" t="str">
        <v>Catie</v>
      </c>
      <c r="D710" s="92" t="str">
        <v>Phoenix</v>
      </c>
      <c r="E710" s="92">
        <v>85086</v>
      </c>
      <c r="F710" s="137" t="str">
        <v>Opposed</v>
      </c>
      <c r="G710" s="93" t="str">
        <v>https://docket.images.azcc.gov/E000046289.pdf</v>
      </c>
      <c r="H710" s="150" t="s">
        <v>6729</v>
      </c>
      <c r="I710" s="114" t="str">
        <v>R3-47</v>
      </c>
      <c r="J710" s="94" t="str">
        <v>Yes</v>
      </c>
      <c r="K710" s="94" t="str">
        <v>No</v>
      </c>
      <c r="L710" s="137" t="str">
        <v>Y</v>
      </c>
      <c r="M710" s="94" t="str">
        <v>No</v>
      </c>
      <c r="N710" s="134" t="str">
        <v>No</v>
      </c>
      <c r="O710" s="119" t="str">
        <v>Yes</v>
      </c>
      <c r="P710" s="92" t="str">
        <v>N</v>
      </c>
      <c r="Q710" s="91">
        <v>45961</v>
      </c>
      <c r="R710" s="140">
        <v>0</v>
      </c>
      <c r="S710" s="92">
        <v>0</v>
      </c>
      <c r="T710" s="92">
        <v>0</v>
      </c>
      <c r="U710" s="137">
        <v>0</v>
      </c>
      <c r="V710" s="126" t="str">
        <f t="shared" si="22"/>
        <v>✅ On Best Plan</v>
      </c>
      <c r="W710" s="130" t="str">
        <f>IFERROR(_xlfn.XLOOKUP(TEXT(H710,"0000000000"),'📞 Call Tracker'!A$2:A$2000,'📞 Call Tracker'!B$2:B$2000,""),"")</f>
        <v/>
      </c>
      <c r="X710" s="96" t="str">
        <f>IFERROR(_xlfn.XLOOKUP(TEXT(H710,"0000000000"),'📞 Call Tracker'!A$2:A$2000,'📞 Call Tracker'!C$2:C$2000,""),"")</f>
        <v/>
      </c>
      <c r="Y710" s="95" t="str">
        <f>IFERROR(_xlfn.XLOOKUP(TEXT(H710,"0000000000"),'📞 Call Tracker'!A$2:A$2000,'📞 Call Tracker'!D$2:D$2000,""),"")</f>
        <v/>
      </c>
      <c r="Z710" s="95" t="str">
        <f>IFERROR(_xlfn.XLOOKUP(TEXT(H710,"0000000000"),'📞 Call Tracker'!A$2:A$2000,'📞 Call Tracker'!E$2:E$2000,""),"")</f>
        <v/>
      </c>
      <c r="AA710" s="145" t="str">
        <f>IFERROR(_xlfn.XLOOKUP(TEXT(H710,"0000000000"),'📞 Call Tracker'!A$2:A$2000,'📞 Call Tracker'!F$2:F$2000,""),"")</f>
        <v/>
      </c>
      <c r="AB710" s="132">
        <f t="shared" si="23"/>
        <v>4</v>
      </c>
      <c r="AC710" s="79"/>
    </row>
    <row r="711" spans="1:29" ht="20.100000000000001" customHeight="1">
      <c r="A711" s="91">
        <v>45909</v>
      </c>
      <c r="B711" s="92" t="str">
        <v>Dunn</v>
      </c>
      <c r="C711" s="92" t="str">
        <v>Debbie</v>
      </c>
      <c r="D711" s="92" t="str">
        <v>Phoenix</v>
      </c>
      <c r="E711" s="92">
        <v>85086</v>
      </c>
      <c r="F711" s="137" t="str">
        <v>Rates were raised last year</v>
      </c>
      <c r="G711" s="93" t="str">
        <v>https://docket.images.azcc.gov/E000046289.pdf</v>
      </c>
      <c r="H711" s="150" t="s">
        <v>2343</v>
      </c>
      <c r="I711" s="114" t="str">
        <v>RCPw/RTOUE47</v>
      </c>
      <c r="J711" s="94" t="str">
        <v>No</v>
      </c>
      <c r="K711" s="94" t="str">
        <v>No</v>
      </c>
      <c r="L711" s="137" t="str">
        <v>Y</v>
      </c>
      <c r="M711" s="94" t="str">
        <v>No</v>
      </c>
      <c r="N711" s="134" t="str">
        <v>No</v>
      </c>
      <c r="O711" s="119" t="str">
        <v>Yes</v>
      </c>
      <c r="P711" s="92" t="str">
        <v>N</v>
      </c>
      <c r="Q711" s="91">
        <v>45961</v>
      </c>
      <c r="R711" s="140">
        <v>0</v>
      </c>
      <c r="S711" s="92">
        <v>0</v>
      </c>
      <c r="T711" s="92">
        <v>0</v>
      </c>
      <c r="U711" s="137">
        <v>0</v>
      </c>
      <c r="V711" s="126" t="str">
        <f t="shared" si="22"/>
        <v>✅ On Best Plan</v>
      </c>
      <c r="W711" s="130" t="str">
        <f>IFERROR(_xlfn.XLOOKUP(TEXT(H711,"0000000000"),'📞 Call Tracker'!A$2:A$2000,'📞 Call Tracker'!B$2:B$2000,""),"")</f>
        <v>Joaquin</v>
      </c>
      <c r="X711" s="96">
        <f>IFERROR(_xlfn.XLOOKUP(TEXT(H711,"0000000000"),'📞 Call Tracker'!A$2:A$2000,'📞 Call Tracker'!C$2:C$2000,""),"")</f>
        <v>46081</v>
      </c>
      <c r="Y711" s="95" t="str">
        <f>IFERROR(_xlfn.XLOOKUP(TEXT(H711,"0000000000"),'📞 Call Tracker'!A$2:A$2000,'📞 Call Tracker'!D$2:D$2000,""),"")</f>
        <v>YES</v>
      </c>
      <c r="Z711" s="95">
        <f>IFERROR(_xlfn.XLOOKUP(TEXT(H711,"0000000000"),'📞 Call Tracker'!A$2:A$2000,'📞 Call Tracker'!E$2:E$2000,""),"")</f>
        <v>0</v>
      </c>
      <c r="AA711" s="145" t="str">
        <f>IFERROR(_xlfn.XLOOKUP(TEXT(H711,"0000000000"),'📞 Call Tracker'!A$2:A$2000,'📞 Call Tracker'!F$2:F$2000,""),"")</f>
        <v>LEFT VOICE MAIL</v>
      </c>
      <c r="AB711" s="132">
        <f t="shared" si="23"/>
        <v>99</v>
      </c>
      <c r="AC711" s="79"/>
    </row>
    <row r="712" spans="1:29" ht="20.100000000000001" customHeight="1">
      <c r="A712" s="91">
        <v>45909</v>
      </c>
      <c r="B712" s="92" t="str">
        <v>Bernhardt</v>
      </c>
      <c r="C712" s="92" t="str">
        <v>Lisa</v>
      </c>
      <c r="D712" s="92" t="str">
        <v>Phoenix</v>
      </c>
      <c r="E712" s="92">
        <v>85086</v>
      </c>
      <c r="F712" s="137" t="str">
        <v>Opposed</v>
      </c>
      <c r="G712" s="93" t="str">
        <v>https://docket.images.azcc.gov/E000046289.pdf</v>
      </c>
      <c r="H712" s="150" t="s">
        <v>2346</v>
      </c>
      <c r="I712" s="114" t="str">
        <v>RCPw/RTOUE47</v>
      </c>
      <c r="J712" s="94" t="str">
        <v>No</v>
      </c>
      <c r="K712" s="94" t="str">
        <v>No</v>
      </c>
      <c r="L712" s="137" t="str">
        <v>Y</v>
      </c>
      <c r="M712" s="94" t="str">
        <v>Yes</v>
      </c>
      <c r="N712" s="134">
        <v>1068.19</v>
      </c>
      <c r="O712" s="119" t="str">
        <v>Yes</v>
      </c>
      <c r="P712" s="92">
        <v>0</v>
      </c>
      <c r="Q712" s="91">
        <v>45961</v>
      </c>
      <c r="R712" s="140" t="str">
        <v>Assistance?</v>
      </c>
      <c r="S712" s="92">
        <v>0</v>
      </c>
      <c r="T712" s="92">
        <v>0</v>
      </c>
      <c r="U712" s="137">
        <v>0</v>
      </c>
      <c r="V712" s="126" t="str">
        <f t="shared" si="22"/>
        <v>✅ On Best Plan</v>
      </c>
      <c r="W712" s="130">
        <f>IFERROR(_xlfn.XLOOKUP(TEXT(H712,"0000000000"),'📞 Call Tracker'!A$2:A$2000,'📞 Call Tracker'!B$2:B$2000,""),"")</f>
        <v>0</v>
      </c>
      <c r="X712" s="96">
        <f>IFERROR(_xlfn.XLOOKUP(TEXT(H712,"0000000000"),'📞 Call Tracker'!A$2:A$2000,'📞 Call Tracker'!C$2:C$2000,""),"")</f>
        <v>0</v>
      </c>
      <c r="Y712" s="95">
        <f>IFERROR(_xlfn.XLOOKUP(TEXT(H712,"0000000000"),'📞 Call Tracker'!A$2:A$2000,'📞 Call Tracker'!D$2:D$2000,""),"")</f>
        <v>0</v>
      </c>
      <c r="Z712" s="95">
        <f>IFERROR(_xlfn.XLOOKUP(TEXT(H712,"0000000000"),'📞 Call Tracker'!A$2:A$2000,'📞 Call Tracker'!E$2:E$2000,""),"")</f>
        <v>0</v>
      </c>
      <c r="AA712" s="145">
        <f>IFERROR(_xlfn.XLOOKUP(TEXT(H712,"0000000000"),'📞 Call Tracker'!A$2:A$2000,'📞 Call Tracker'!F$2:F$2000,""),"")</f>
        <v>0</v>
      </c>
      <c r="AB712" s="132">
        <f t="shared" si="23"/>
        <v>99</v>
      </c>
      <c r="AC712" s="79"/>
    </row>
    <row r="713" spans="1:29" ht="20.100000000000001" customHeight="1">
      <c r="A713" s="91">
        <v>45909</v>
      </c>
      <c r="B713" s="92" t="str">
        <v>Kobus</v>
      </c>
      <c r="C713" s="92" t="str">
        <v>Mark</v>
      </c>
      <c r="D713" s="92" t="str">
        <v>Unknown</v>
      </c>
      <c r="E713" s="92" t="str">
        <v>Unknown</v>
      </c>
      <c r="F713" s="137" t="str">
        <v>Form letter</v>
      </c>
      <c r="G713" s="93" t="str">
        <v>https://docket.images.azcc.gov/E000046289.pdf</v>
      </c>
      <c r="H713" s="150" t="s">
        <v>2348</v>
      </c>
      <c r="I713" s="114" t="str">
        <v>RCPw/R3-47</v>
      </c>
      <c r="J713" s="94" t="str">
        <v>No</v>
      </c>
      <c r="K713" s="94" t="str">
        <v>No</v>
      </c>
      <c r="L713" s="137" t="str">
        <v>Y</v>
      </c>
      <c r="M713" s="94" t="str">
        <v>No</v>
      </c>
      <c r="N713" s="134" t="str">
        <v>No</v>
      </c>
      <c r="O713" s="119" t="str">
        <v>Yes</v>
      </c>
      <c r="P713" s="92" t="str">
        <v>N</v>
      </c>
      <c r="Q713" s="91">
        <v>45961</v>
      </c>
      <c r="R713" s="140">
        <v>0</v>
      </c>
      <c r="S713" s="92">
        <v>0</v>
      </c>
      <c r="T713" s="92">
        <v>0</v>
      </c>
      <c r="U713" s="137">
        <v>0</v>
      </c>
      <c r="V713" s="126" t="str">
        <f t="shared" si="22"/>
        <v>✅ On Best Plan</v>
      </c>
      <c r="W713" s="130" t="str">
        <f>IFERROR(_xlfn.XLOOKUP(TEXT(H713,"0000000000"),'📞 Call Tracker'!A$2:A$2000,'📞 Call Tracker'!B$2:B$2000,""),"")</f>
        <v>Joaquin</v>
      </c>
      <c r="X713" s="96">
        <f>IFERROR(_xlfn.XLOOKUP(TEXT(H713,"0000000000"),'📞 Call Tracker'!A$2:A$2000,'📞 Call Tracker'!C$2:C$2000,""),"")</f>
        <v>46025</v>
      </c>
      <c r="Y713" s="95" t="str">
        <f>IFERROR(_xlfn.XLOOKUP(TEXT(H713,"0000000000"),'📞 Call Tracker'!A$2:A$2000,'📞 Call Tracker'!D$2:D$2000,""),"")</f>
        <v>YES</v>
      </c>
      <c r="Z713" s="95">
        <f>IFERROR(_xlfn.XLOOKUP(TEXT(H713,"0000000000"),'📞 Call Tracker'!A$2:A$2000,'📞 Call Tracker'!E$2:E$2000,""),"")</f>
        <v>0</v>
      </c>
      <c r="AA713" s="145" t="str">
        <f>IFERROR(_xlfn.XLOOKUP(TEXT(H713,"0000000000"),'📞 Call Tracker'!A$2:A$2000,'📞 Call Tracker'!F$2:F$2000,""),"")</f>
        <v>LEFT VOICE MAIL</v>
      </c>
      <c r="AB713" s="132">
        <f t="shared" si="23"/>
        <v>99</v>
      </c>
      <c r="AC713" s="79"/>
    </row>
    <row r="714" spans="1:29" ht="20.100000000000001" customHeight="1">
      <c r="A714" s="91">
        <v>45909</v>
      </c>
      <c r="B714" s="92" t="str">
        <v>Emery</v>
      </c>
      <c r="C714" s="92" t="str">
        <v>Jennifer</v>
      </c>
      <c r="D714" s="92" t="str">
        <v>Phoenix</v>
      </c>
      <c r="E714" s="92">
        <v>85085</v>
      </c>
      <c r="F714" s="137" t="str">
        <v>Form letter</v>
      </c>
      <c r="G714" s="93" t="str">
        <v>https://docket.images.azcc.gov/E000046289.pdf</v>
      </c>
      <c r="H714" s="150" t="s">
        <v>2351</v>
      </c>
      <c r="I714" s="114" t="str">
        <v>R3-47</v>
      </c>
      <c r="J714" s="94" t="str">
        <v>No</v>
      </c>
      <c r="K714" s="94" t="str">
        <v>No</v>
      </c>
      <c r="L714" s="137" t="str">
        <v>Y</v>
      </c>
      <c r="M714" s="94" t="str">
        <v>No</v>
      </c>
      <c r="N714" s="134" t="str">
        <v>No</v>
      </c>
      <c r="O714" s="119" t="str">
        <v>Yes</v>
      </c>
      <c r="P714" s="92" t="str">
        <v>N</v>
      </c>
      <c r="Q714" s="91">
        <v>45961</v>
      </c>
      <c r="R714" s="140">
        <v>0</v>
      </c>
      <c r="S714" s="92">
        <v>0</v>
      </c>
      <c r="T714" s="92">
        <v>0</v>
      </c>
      <c r="U714" s="137">
        <v>0</v>
      </c>
      <c r="V714" s="126" t="str">
        <f t="shared" si="22"/>
        <v>✅ On Best Plan</v>
      </c>
      <c r="W714" s="130">
        <f>IFERROR(_xlfn.XLOOKUP(TEXT(H714,"0000000000"),'📞 Call Tracker'!A$2:A$2000,'📞 Call Tracker'!B$2:B$2000,""),"")</f>
        <v>0</v>
      </c>
      <c r="X714" s="96">
        <f>IFERROR(_xlfn.XLOOKUP(TEXT(H714,"0000000000"),'📞 Call Tracker'!A$2:A$2000,'📞 Call Tracker'!C$2:C$2000,""),"")</f>
        <v>0</v>
      </c>
      <c r="Y714" s="95">
        <f>IFERROR(_xlfn.XLOOKUP(TEXT(H714,"0000000000"),'📞 Call Tracker'!A$2:A$2000,'📞 Call Tracker'!D$2:D$2000,""),"")</f>
        <v>0</v>
      </c>
      <c r="Z714" s="95">
        <f>IFERROR(_xlfn.XLOOKUP(TEXT(H714,"0000000000"),'📞 Call Tracker'!A$2:A$2000,'📞 Call Tracker'!E$2:E$2000,""),"")</f>
        <v>0</v>
      </c>
      <c r="AA714" s="145">
        <f>IFERROR(_xlfn.XLOOKUP(TEXT(H714,"0000000000"),'📞 Call Tracker'!A$2:A$2000,'📞 Call Tracker'!F$2:F$2000,""),"")</f>
        <v>0</v>
      </c>
      <c r="AB714" s="132">
        <f t="shared" si="23"/>
        <v>99</v>
      </c>
      <c r="AC714" s="79"/>
    </row>
    <row r="715" spans="1:29" ht="20.100000000000001" customHeight="1">
      <c r="A715" s="91">
        <v>45909</v>
      </c>
      <c r="B715" s="92" t="str">
        <v>Sosnicki</v>
      </c>
      <c r="C715" s="92" t="str">
        <v>Theodore</v>
      </c>
      <c r="D715" s="92" t="str">
        <v>Anthem</v>
      </c>
      <c r="E715" s="92">
        <v>85086</v>
      </c>
      <c r="F715" s="137" t="str">
        <v>Got 8% last year, now they want 14%</v>
      </c>
      <c r="G715" s="93" t="str">
        <v>https://docket.images.azcc.gov/E000046289.pdf</v>
      </c>
      <c r="H715" s="150" t="s">
        <v>2352</v>
      </c>
      <c r="I715" s="114" t="str">
        <v>RCPw/R3-47</v>
      </c>
      <c r="J715" s="94" t="str">
        <v>No</v>
      </c>
      <c r="K715" s="94" t="str">
        <v>No</v>
      </c>
      <c r="L715" s="137" t="str">
        <v>Y</v>
      </c>
      <c r="M715" s="94" t="str">
        <v>No</v>
      </c>
      <c r="N715" s="134" t="str">
        <v>No</v>
      </c>
      <c r="O715" s="119" t="str">
        <v>Yes</v>
      </c>
      <c r="P715" s="92" t="str">
        <v>N</v>
      </c>
      <c r="Q715" s="91">
        <v>45961</v>
      </c>
      <c r="R715" s="140">
        <v>0</v>
      </c>
      <c r="S715" s="92">
        <v>0</v>
      </c>
      <c r="T715" s="92">
        <v>0</v>
      </c>
      <c r="U715" s="137">
        <v>0</v>
      </c>
      <c r="V715" s="126" t="str">
        <f t="shared" si="22"/>
        <v>✅ On Best Plan</v>
      </c>
      <c r="W715" s="130" t="str">
        <f>IFERROR(_xlfn.XLOOKUP(TEXT(H715,"0000000000"),'📞 Call Tracker'!A$2:A$2000,'📞 Call Tracker'!B$2:B$2000,""),"")</f>
        <v>Joaquin</v>
      </c>
      <c r="X715" s="96">
        <f>IFERROR(_xlfn.XLOOKUP(TEXT(H715,"0000000000"),'📞 Call Tracker'!A$2:A$2000,'📞 Call Tracker'!C$2:C$2000,""),"")</f>
        <v>46081</v>
      </c>
      <c r="Y715" s="95" t="str">
        <f>IFERROR(_xlfn.XLOOKUP(TEXT(H715,"0000000000"),'📞 Call Tracker'!A$2:A$2000,'📞 Call Tracker'!D$2:D$2000,""),"")</f>
        <v>YES</v>
      </c>
      <c r="Z715" s="95">
        <f>IFERROR(_xlfn.XLOOKUP(TEXT(H715,"0000000000"),'📞 Call Tracker'!A$2:A$2000,'📞 Call Tracker'!E$2:E$2000,""),"")</f>
        <v>0</v>
      </c>
      <c r="AA715" s="145" t="str">
        <f>IFERROR(_xlfn.XLOOKUP(TEXT(H715,"0000000000"),'📞 Call Tracker'!A$2:A$2000,'📞 Call Tracker'!F$2:F$2000,""),"")</f>
        <v>LEFT VOICE MAIL</v>
      </c>
      <c r="AB715" s="132">
        <f t="shared" si="23"/>
        <v>99</v>
      </c>
      <c r="AC715" s="79"/>
    </row>
    <row r="716" spans="1:29" ht="20.100000000000001" customHeight="1">
      <c r="A716" s="91">
        <v>45909</v>
      </c>
      <c r="B716" s="92" t="str">
        <v>Wyatt</v>
      </c>
      <c r="C716" s="92" t="str">
        <v>Kristin</v>
      </c>
      <c r="D716" s="92" t="str">
        <v>Phoenix</v>
      </c>
      <c r="E716" s="92">
        <v>85086</v>
      </c>
      <c r="F716" s="137" t="str">
        <v>becoming unaffordable</v>
      </c>
      <c r="G716" s="93" t="str">
        <v>https://docket.images.azcc.gov/E000046289.pdf</v>
      </c>
      <c r="H716" s="150" t="s">
        <v>2355</v>
      </c>
      <c r="I716" s="114" t="str">
        <v>RCPw/R3-47</v>
      </c>
      <c r="J716" s="94" t="str">
        <v>No</v>
      </c>
      <c r="K716" s="94" t="str">
        <v>No</v>
      </c>
      <c r="L716" s="137" t="str">
        <v>Y</v>
      </c>
      <c r="M716" s="94" t="str">
        <v>No</v>
      </c>
      <c r="N716" s="134" t="str">
        <v>No</v>
      </c>
      <c r="O716" s="119" t="str">
        <v>Yes</v>
      </c>
      <c r="P716" s="92" t="str">
        <v>N</v>
      </c>
      <c r="Q716" s="91">
        <v>45961</v>
      </c>
      <c r="R716" s="140">
        <v>0</v>
      </c>
      <c r="S716" s="92">
        <v>0</v>
      </c>
      <c r="T716" s="92">
        <v>0</v>
      </c>
      <c r="U716" s="137">
        <v>0</v>
      </c>
      <c r="V716" s="126" t="str">
        <f t="shared" si="22"/>
        <v>✅ On Best Plan</v>
      </c>
      <c r="W716" s="130">
        <f>IFERROR(_xlfn.XLOOKUP(TEXT(H716,"0000000000"),'📞 Call Tracker'!A$2:A$2000,'📞 Call Tracker'!B$2:B$2000,""),"")</f>
        <v>0</v>
      </c>
      <c r="X716" s="96">
        <f>IFERROR(_xlfn.XLOOKUP(TEXT(H716,"0000000000"),'📞 Call Tracker'!A$2:A$2000,'📞 Call Tracker'!C$2:C$2000,""),"")</f>
        <v>0</v>
      </c>
      <c r="Y716" s="95">
        <f>IFERROR(_xlfn.XLOOKUP(TEXT(H716,"0000000000"),'📞 Call Tracker'!A$2:A$2000,'📞 Call Tracker'!D$2:D$2000,""),"")</f>
        <v>0</v>
      </c>
      <c r="Z716" s="95">
        <f>IFERROR(_xlfn.XLOOKUP(TEXT(H716,"0000000000"),'📞 Call Tracker'!A$2:A$2000,'📞 Call Tracker'!E$2:E$2000,""),"")</f>
        <v>0</v>
      </c>
      <c r="AA716" s="145">
        <f>IFERROR(_xlfn.XLOOKUP(TEXT(H716,"0000000000"),'📞 Call Tracker'!A$2:A$2000,'📞 Call Tracker'!F$2:F$2000,""),"")</f>
        <v>0</v>
      </c>
      <c r="AB716" s="132">
        <f t="shared" si="23"/>
        <v>99</v>
      </c>
      <c r="AC716" s="79"/>
    </row>
    <row r="717" spans="1:29" ht="20.100000000000001" customHeight="1">
      <c r="A717" s="91">
        <v>45909</v>
      </c>
      <c r="B717" s="92" t="str">
        <v>Coschigano</v>
      </c>
      <c r="C717" s="92" t="str">
        <v>Danielle</v>
      </c>
      <c r="D717" s="92" t="str">
        <v>New River</v>
      </c>
      <c r="E717" s="92">
        <v>85087</v>
      </c>
      <c r="F717" s="137" t="str">
        <v>Form letter</v>
      </c>
      <c r="G717" s="93" t="str">
        <v>https://docket.images.azcc.gov/E000046289.pdf</v>
      </c>
      <c r="H717" s="150" t="s">
        <v>2357</v>
      </c>
      <c r="I717" s="114" t="str">
        <v>RCPw/R3-47</v>
      </c>
      <c r="J717" s="94" t="str">
        <v>No</v>
      </c>
      <c r="K717" s="94" t="str">
        <v>No</v>
      </c>
      <c r="L717" s="137" t="str">
        <v>Y</v>
      </c>
      <c r="M717" s="94" t="str">
        <v>Yes</v>
      </c>
      <c r="N717" s="134">
        <v>548.12</v>
      </c>
      <c r="O717" s="119" t="str">
        <v>Yes</v>
      </c>
      <c r="P717" s="92">
        <v>0</v>
      </c>
      <c r="Q717" s="91">
        <v>45961</v>
      </c>
      <c r="R717" s="140" t="str">
        <v>Assistance?</v>
      </c>
      <c r="S717" s="92">
        <v>0</v>
      </c>
      <c r="T717" s="92">
        <v>0</v>
      </c>
      <c r="U717" s="137">
        <v>0</v>
      </c>
      <c r="V717" s="126" t="str">
        <f t="shared" si="22"/>
        <v>✅ On Best Plan</v>
      </c>
      <c r="W717" s="130" t="str">
        <f>IFERROR(_xlfn.XLOOKUP(TEXT(H717,"0000000000"),'📞 Call Tracker'!A$2:A$2000,'📞 Call Tracker'!B$2:B$2000,""),"")</f>
        <v>Joaquin</v>
      </c>
      <c r="X717" s="96">
        <f>IFERROR(_xlfn.XLOOKUP(TEXT(H717,"0000000000"),'📞 Call Tracker'!A$2:A$2000,'📞 Call Tracker'!C$2:C$2000,""),"")</f>
        <v>46081</v>
      </c>
      <c r="Y717" s="95" t="str">
        <f>IFERROR(_xlfn.XLOOKUP(TEXT(H717,"0000000000"),'📞 Call Tracker'!A$2:A$2000,'📞 Call Tracker'!D$2:D$2000,""),"")</f>
        <v>YES</v>
      </c>
      <c r="Z717" s="95">
        <f>IFERROR(_xlfn.XLOOKUP(TEXT(H717,"0000000000"),'📞 Call Tracker'!A$2:A$2000,'📞 Call Tracker'!E$2:E$2000,""),"")</f>
        <v>0</v>
      </c>
      <c r="AA717" s="145" t="str">
        <f>IFERROR(_xlfn.XLOOKUP(TEXT(H717,"0000000000"),'📞 Call Tracker'!A$2:A$2000,'📞 Call Tracker'!F$2:F$2000,""),"")</f>
        <v>LEFT VOICE MAIL</v>
      </c>
      <c r="AB717" s="132">
        <f t="shared" si="23"/>
        <v>99</v>
      </c>
      <c r="AC717" s="79"/>
    </row>
    <row r="718" spans="1:29" ht="20.100000000000001" customHeight="1">
      <c r="A718" s="91">
        <v>45909</v>
      </c>
      <c r="B718" s="92" t="str">
        <v>Decker</v>
      </c>
      <c r="C718" s="92" t="str">
        <v>Courtland</v>
      </c>
      <c r="D718" s="92" t="str">
        <v>Phoenix</v>
      </c>
      <c r="E718" s="92">
        <v>85086</v>
      </c>
      <c r="F718" s="137" t="str">
        <v>not fair nor financially respectful to ask for 22% increase in two years</v>
      </c>
      <c r="G718" s="93" t="str">
        <v>https://docket.images.azcc.gov/E000046289.pdf</v>
      </c>
      <c r="H718" s="150" t="s">
        <v>2361</v>
      </c>
      <c r="I718" s="114" t="str">
        <v>RTOUE47</v>
      </c>
      <c r="J718" s="94" t="str">
        <v>No</v>
      </c>
      <c r="K718" s="94" t="str">
        <v>No</v>
      </c>
      <c r="L718" s="137" t="str">
        <v>Y</v>
      </c>
      <c r="M718" s="94" t="str">
        <v>No</v>
      </c>
      <c r="N718" s="134" t="str">
        <v>No</v>
      </c>
      <c r="O718" s="119" t="str">
        <v>Yes</v>
      </c>
      <c r="P718" s="92" t="str">
        <v>N</v>
      </c>
      <c r="Q718" s="91">
        <v>45961</v>
      </c>
      <c r="R718" s="140">
        <v>0</v>
      </c>
      <c r="S718" s="92">
        <v>0</v>
      </c>
      <c r="T718" s="92">
        <v>0</v>
      </c>
      <c r="U718" s="137">
        <v>0</v>
      </c>
      <c r="V718" s="126" t="str">
        <f t="shared" si="22"/>
        <v>✅ On Best Plan</v>
      </c>
      <c r="W718" s="130">
        <f>IFERROR(_xlfn.XLOOKUP(TEXT(H718,"0000000000"),'📞 Call Tracker'!A$2:A$2000,'📞 Call Tracker'!B$2:B$2000,""),"")</f>
        <v>0</v>
      </c>
      <c r="X718" s="96">
        <f>IFERROR(_xlfn.XLOOKUP(TEXT(H718,"0000000000"),'📞 Call Tracker'!A$2:A$2000,'📞 Call Tracker'!C$2:C$2000,""),"")</f>
        <v>0</v>
      </c>
      <c r="Y718" s="95">
        <f>IFERROR(_xlfn.XLOOKUP(TEXT(H718,"0000000000"),'📞 Call Tracker'!A$2:A$2000,'📞 Call Tracker'!D$2:D$2000,""),"")</f>
        <v>0</v>
      </c>
      <c r="Z718" s="95">
        <f>IFERROR(_xlfn.XLOOKUP(TEXT(H718,"0000000000"),'📞 Call Tracker'!A$2:A$2000,'📞 Call Tracker'!E$2:E$2000,""),"")</f>
        <v>0</v>
      </c>
      <c r="AA718" s="145">
        <f>IFERROR(_xlfn.XLOOKUP(TEXT(H718,"0000000000"),'📞 Call Tracker'!A$2:A$2000,'📞 Call Tracker'!F$2:F$2000,""),"")</f>
        <v>0</v>
      </c>
      <c r="AB718" s="132">
        <f t="shared" si="23"/>
        <v>99</v>
      </c>
      <c r="AC718" s="79"/>
    </row>
    <row r="719" spans="1:29" ht="20.100000000000001" customHeight="1">
      <c r="A719" s="91">
        <v>45909</v>
      </c>
      <c r="B719" s="92" t="str">
        <v>Boisvert</v>
      </c>
      <c r="C719" s="92" t="str">
        <v>Devin</v>
      </c>
      <c r="D719" s="92" t="str">
        <v>New River</v>
      </c>
      <c r="E719" s="92">
        <v>85087</v>
      </c>
      <c r="F719" s="137" t="str">
        <v>Form letter</v>
      </c>
      <c r="G719" s="93" t="str">
        <v>https://docket.images.azcc.gov/E000046289.pdf</v>
      </c>
      <c r="H719" s="150" t="s">
        <v>2363</v>
      </c>
      <c r="I719" s="114" t="str">
        <v>EPR-6w/ET-1</v>
      </c>
      <c r="J719" s="94" t="str">
        <v>No</v>
      </c>
      <c r="K719" s="94" t="str">
        <v>No</v>
      </c>
      <c r="L719" s="137" t="str">
        <v>Frozen Rate</v>
      </c>
      <c r="M719" s="94" t="str">
        <v>No</v>
      </c>
      <c r="N719" s="134" t="str">
        <v>No</v>
      </c>
      <c r="O719" s="119" t="str">
        <v>Yes</v>
      </c>
      <c r="P719" s="92" t="str">
        <v>N</v>
      </c>
      <c r="Q719" s="91">
        <v>45961</v>
      </c>
      <c r="R719" s="140">
        <v>0</v>
      </c>
      <c r="S719" s="92">
        <v>0</v>
      </c>
      <c r="T719" s="92">
        <v>0</v>
      </c>
      <c r="U719" s="137">
        <v>0</v>
      </c>
      <c r="V719" s="126" t="str">
        <f t="shared" si="22"/>
        <v>❄ Frozen Rate</v>
      </c>
      <c r="W719" s="130" t="str">
        <f>IFERROR(_xlfn.XLOOKUP(TEXT(H719,"0000000000"),'📞 Call Tracker'!A$2:A$2000,'📞 Call Tracker'!B$2:B$2000,""),"")</f>
        <v>Joaquin</v>
      </c>
      <c r="X719" s="96">
        <f>IFERROR(_xlfn.XLOOKUP(TEXT(H719,"0000000000"),'📞 Call Tracker'!A$2:A$2000,'📞 Call Tracker'!C$2:C$2000,""),"")</f>
        <v>46025</v>
      </c>
      <c r="Y719" s="95" t="str">
        <f>IFERROR(_xlfn.XLOOKUP(TEXT(H719,"0000000000"),'📞 Call Tracker'!A$2:A$2000,'📞 Call Tracker'!D$2:D$2000,""),"")</f>
        <v>YES</v>
      </c>
      <c r="Z719" s="95">
        <f>IFERROR(_xlfn.XLOOKUP(TEXT(H719,"0000000000"),'📞 Call Tracker'!A$2:A$2000,'📞 Call Tracker'!E$2:E$2000,""),"")</f>
        <v>0</v>
      </c>
      <c r="AA719" s="145" t="str">
        <f>IFERROR(_xlfn.XLOOKUP(TEXT(H719,"0000000000"),'📞 Call Tracker'!A$2:A$2000,'📞 Call Tracker'!F$2:F$2000,""),"")</f>
        <v>LEFT VOICE MAIL</v>
      </c>
      <c r="AB719" s="132">
        <f t="shared" si="23"/>
        <v>99</v>
      </c>
      <c r="AC719" s="79"/>
    </row>
    <row r="720" spans="1:29" ht="20.100000000000001" customHeight="1">
      <c r="A720" s="91">
        <v>45909</v>
      </c>
      <c r="B720" s="92" t="str">
        <v>Grondin</v>
      </c>
      <c r="C720" s="92" t="str">
        <v>Sarah &amp; Micah</v>
      </c>
      <c r="D720" s="92" t="str">
        <v>Unknown</v>
      </c>
      <c r="E720" s="92" t="str">
        <v>Unknown</v>
      </c>
      <c r="F720" s="137" t="str">
        <v>Form letter</v>
      </c>
      <c r="G720" s="93" t="str">
        <v>https://docket.images.azcc.gov/E000046289.pdf</v>
      </c>
      <c r="H720" s="150" t="s">
        <v>2297</v>
      </c>
      <c r="I720" s="114" t="str">
        <v>R3-47</v>
      </c>
      <c r="J720" s="94" t="str">
        <v>No</v>
      </c>
      <c r="K720" s="94" t="str">
        <v>No</v>
      </c>
      <c r="L720" s="137" t="str">
        <v>Y</v>
      </c>
      <c r="M720" s="94" t="str">
        <v>No</v>
      </c>
      <c r="N720" s="134" t="str">
        <v>No</v>
      </c>
      <c r="O720" s="119" t="str">
        <v>Yes</v>
      </c>
      <c r="P720" s="92" t="str">
        <v>N</v>
      </c>
      <c r="Q720" s="91">
        <v>45961</v>
      </c>
      <c r="R720" s="140">
        <v>0</v>
      </c>
      <c r="S720" s="92">
        <v>0</v>
      </c>
      <c r="T720" s="92">
        <v>0</v>
      </c>
      <c r="U720" s="137">
        <v>0</v>
      </c>
      <c r="V720" s="126" t="str">
        <f t="shared" si="22"/>
        <v>✅ On Best Plan</v>
      </c>
      <c r="W720" s="130">
        <f>IFERROR(_xlfn.XLOOKUP(TEXT(H720,"0000000000"),'📞 Call Tracker'!A$2:A$2000,'📞 Call Tracker'!B$2:B$2000,""),"")</f>
        <v>0</v>
      </c>
      <c r="X720" s="96">
        <f>IFERROR(_xlfn.XLOOKUP(TEXT(H720,"0000000000"),'📞 Call Tracker'!A$2:A$2000,'📞 Call Tracker'!C$2:C$2000,""),"")</f>
        <v>0</v>
      </c>
      <c r="Y720" s="95">
        <f>IFERROR(_xlfn.XLOOKUP(TEXT(H720,"0000000000"),'📞 Call Tracker'!A$2:A$2000,'📞 Call Tracker'!D$2:D$2000,""),"")</f>
        <v>0</v>
      </c>
      <c r="Z720" s="95">
        <f>IFERROR(_xlfn.XLOOKUP(TEXT(H720,"0000000000"),'📞 Call Tracker'!A$2:A$2000,'📞 Call Tracker'!E$2:E$2000,""),"")</f>
        <v>0</v>
      </c>
      <c r="AA720" s="145">
        <f>IFERROR(_xlfn.XLOOKUP(TEXT(H720,"0000000000"),'📞 Call Tracker'!A$2:A$2000,'📞 Call Tracker'!F$2:F$2000,""),"")</f>
        <v>0</v>
      </c>
      <c r="AB720" s="132">
        <f t="shared" si="23"/>
        <v>99</v>
      </c>
      <c r="AC720" s="79"/>
    </row>
    <row r="721" spans="1:29" ht="20.100000000000001" customHeight="1">
      <c r="A721" s="91">
        <v>45909</v>
      </c>
      <c r="B721" s="92" t="str">
        <v>Morrison</v>
      </c>
      <c r="C721" s="92" t="str">
        <v>Quandra</v>
      </c>
      <c r="D721" s="92" t="str">
        <v>Chino Valley</v>
      </c>
      <c r="E721" s="92">
        <v>86323</v>
      </c>
      <c r="F721" s="137" t="str">
        <v>Opposed</v>
      </c>
      <c r="G721" s="93" t="str">
        <v>https://docket.images.azcc.gov/E000046289.pdf</v>
      </c>
      <c r="H721" s="150" t="s">
        <v>2370</v>
      </c>
      <c r="I721" s="114" t="str">
        <v>RTOUE47</v>
      </c>
      <c r="J721" s="94" t="str">
        <v>No</v>
      </c>
      <c r="K721" s="94" t="str">
        <v>No</v>
      </c>
      <c r="L721" s="137" t="str">
        <v>No MEP R-BASIC ($78.14)</v>
      </c>
      <c r="M721" s="94" t="str">
        <v>No</v>
      </c>
      <c r="N721" s="134" t="str">
        <v>No</v>
      </c>
      <c r="O721" s="119" t="str">
        <v>Yes</v>
      </c>
      <c r="P721" s="92" t="str">
        <v>N</v>
      </c>
      <c r="Q721" s="91">
        <v>45961</v>
      </c>
      <c r="R721" s="140">
        <v>0</v>
      </c>
      <c r="S721" s="92">
        <v>0</v>
      </c>
      <c r="T721" s="92">
        <v>0</v>
      </c>
      <c r="U721" s="137">
        <v>0</v>
      </c>
      <c r="V721" s="126" t="str">
        <f t="shared" si="22"/>
        <v>❌ Not on Best Plan</v>
      </c>
      <c r="W721" s="130" t="str">
        <f>IFERROR(_xlfn.XLOOKUP(TEXT(H721,"0000000000"),'📞 Call Tracker'!A$2:A$2000,'📞 Call Tracker'!B$2:B$2000,""),"")</f>
        <v>Joaquin</v>
      </c>
      <c r="X721" s="96">
        <f>IFERROR(_xlfn.XLOOKUP(TEXT(H721,"0000000000"),'📞 Call Tracker'!A$2:A$2000,'📞 Call Tracker'!C$2:C$2000,""),"")</f>
        <v>46081</v>
      </c>
      <c r="Y721" s="95" t="str">
        <f>IFERROR(_xlfn.XLOOKUP(TEXT(H721,"0000000000"),'📞 Call Tracker'!A$2:A$2000,'📞 Call Tracker'!D$2:D$2000,""),"")</f>
        <v>NO</v>
      </c>
      <c r="Z721" s="95" t="str">
        <f>IFERROR(_xlfn.XLOOKUP(TEXT(H721,"0000000000"),'📞 Call Tracker'!A$2:A$2000,'📞 Call Tracker'!E$2:E$2000,""),"")</f>
        <v>General Education</v>
      </c>
      <c r="AA721" s="145" t="str">
        <f>IFERROR(_xlfn.XLOOKUP(TEXT(H721,"0000000000"),'📞 Call Tracker'!A$2:A$2000,'📞 Call Tracker'!F$2:F$2000,""),"")</f>
        <v>NOT  FOR RATE INCREASE</v>
      </c>
      <c r="AB721" s="132">
        <f t="shared" si="23"/>
        <v>99</v>
      </c>
      <c r="AC721" s="79"/>
    </row>
    <row r="722" spans="1:29" ht="20.100000000000001" customHeight="1">
      <c r="A722" s="91">
        <v>45909</v>
      </c>
      <c r="B722" s="92" t="str">
        <v>Lander</v>
      </c>
      <c r="C722" s="92" t="str">
        <v>Terri</v>
      </c>
      <c r="D722" s="92" t="str">
        <v>Phoenix</v>
      </c>
      <c r="E722" s="92">
        <v>85083</v>
      </c>
      <c r="F722" s="137" t="str">
        <v>Opposed, monopoly</v>
      </c>
      <c r="G722" s="93" t="str">
        <v>https://docket.images.azcc.gov/E000046289.pdf</v>
      </c>
      <c r="H722" s="150" t="s">
        <v>2373</v>
      </c>
      <c r="I722" s="114" t="str">
        <v>RCPw/R3-47</v>
      </c>
      <c r="J722" s="94" t="str">
        <v>No</v>
      </c>
      <c r="K722" s="94" t="str">
        <v>No</v>
      </c>
      <c r="L722" s="137" t="str">
        <v>Y</v>
      </c>
      <c r="M722" s="94" t="str">
        <v>No</v>
      </c>
      <c r="N722" s="134" t="str">
        <v>No</v>
      </c>
      <c r="O722" s="119" t="str">
        <v>Yes</v>
      </c>
      <c r="P722" s="92" t="str">
        <v>N</v>
      </c>
      <c r="Q722" s="91">
        <v>45961</v>
      </c>
      <c r="R722" s="140">
        <v>0</v>
      </c>
      <c r="S722" s="92">
        <v>0</v>
      </c>
      <c r="T722" s="92">
        <v>0</v>
      </c>
      <c r="U722" s="137">
        <v>0</v>
      </c>
      <c r="V722" s="126" t="str">
        <f t="shared" si="22"/>
        <v>✅ On Best Plan</v>
      </c>
      <c r="W722" s="130">
        <f>IFERROR(_xlfn.XLOOKUP(TEXT(H722,"0000000000"),'📞 Call Tracker'!A$2:A$2000,'📞 Call Tracker'!B$2:B$2000,""),"")</f>
        <v>0</v>
      </c>
      <c r="X722" s="96">
        <f>IFERROR(_xlfn.XLOOKUP(TEXT(H722,"0000000000"),'📞 Call Tracker'!A$2:A$2000,'📞 Call Tracker'!C$2:C$2000,""),"")</f>
        <v>0</v>
      </c>
      <c r="Y722" s="95">
        <f>IFERROR(_xlfn.XLOOKUP(TEXT(H722,"0000000000"),'📞 Call Tracker'!A$2:A$2000,'📞 Call Tracker'!D$2:D$2000,""),"")</f>
        <v>0</v>
      </c>
      <c r="Z722" s="95">
        <f>IFERROR(_xlfn.XLOOKUP(TEXT(H722,"0000000000"),'📞 Call Tracker'!A$2:A$2000,'📞 Call Tracker'!E$2:E$2000,""),"")</f>
        <v>0</v>
      </c>
      <c r="AA722" s="145">
        <f>IFERROR(_xlfn.XLOOKUP(TEXT(H722,"0000000000"),'📞 Call Tracker'!A$2:A$2000,'📞 Call Tracker'!F$2:F$2000,""),"")</f>
        <v>0</v>
      </c>
      <c r="AB722" s="132">
        <f t="shared" si="23"/>
        <v>99</v>
      </c>
      <c r="AC722" s="79"/>
    </row>
    <row r="723" spans="1:29" ht="20.100000000000001" customHeight="1">
      <c r="A723" s="91">
        <v>45909</v>
      </c>
      <c r="B723" s="92" t="str">
        <v>Bezanson</v>
      </c>
      <c r="C723" s="92" t="str">
        <v>Lisa</v>
      </c>
      <c r="D723" s="92" t="str">
        <v>Unknown</v>
      </c>
      <c r="E723" s="92" t="str">
        <v>Unknown</v>
      </c>
      <c r="F723" s="137" t="str">
        <v>Opposed</v>
      </c>
      <c r="G723" s="93" t="str">
        <v>https://docket.images.azcc.gov/E000046289.pdf</v>
      </c>
      <c r="H723" s="150" t="s">
        <v>2376</v>
      </c>
      <c r="I723" s="114" t="str">
        <v>R-XS</v>
      </c>
      <c r="J723" s="94" t="str">
        <v>No</v>
      </c>
      <c r="K723" s="94" t="str">
        <v>No</v>
      </c>
      <c r="L723" s="137" t="str">
        <v>Y</v>
      </c>
      <c r="M723" s="94" t="str">
        <v>No</v>
      </c>
      <c r="N723" s="134" t="str">
        <v>No</v>
      </c>
      <c r="O723" s="119" t="str">
        <v>Yes</v>
      </c>
      <c r="P723" s="92" t="str">
        <v>N</v>
      </c>
      <c r="Q723" s="91">
        <v>45961</v>
      </c>
      <c r="R723" s="140">
        <v>0</v>
      </c>
      <c r="S723" s="92">
        <v>0</v>
      </c>
      <c r="T723" s="92">
        <v>0</v>
      </c>
      <c r="U723" s="137">
        <v>0</v>
      </c>
      <c r="V723" s="126" t="str">
        <f t="shared" si="22"/>
        <v>✅ On Best Plan</v>
      </c>
      <c r="W723" s="130" t="str">
        <f>IFERROR(_xlfn.XLOOKUP(TEXT(H723,"0000000000"),'📞 Call Tracker'!A$2:A$2000,'📞 Call Tracker'!B$2:B$2000,""),"")</f>
        <v>Joaquin</v>
      </c>
      <c r="X723" s="96">
        <f>IFERROR(_xlfn.XLOOKUP(TEXT(H723,"0000000000"),'📞 Call Tracker'!A$2:A$2000,'📞 Call Tracker'!C$2:C$2000,""),"")</f>
        <v>46081</v>
      </c>
      <c r="Y723" s="95" t="str">
        <f>IFERROR(_xlfn.XLOOKUP(TEXT(H723,"0000000000"),'📞 Call Tracker'!A$2:A$2000,'📞 Call Tracker'!D$2:D$2000,""),"")</f>
        <v>NO</v>
      </c>
      <c r="Z723" s="95" t="str">
        <f>IFERROR(_xlfn.XLOOKUP(TEXT(H723,"0000000000"),'📞 Call Tracker'!A$2:A$2000,'📞 Call Tracker'!E$2:E$2000,""),"")</f>
        <v>General Education</v>
      </c>
      <c r="AA723" s="145" t="str">
        <f>IFERROR(_xlfn.XLOOKUP(TEXT(H723,"0000000000"),'📞 Call Tracker'!A$2:A$2000,'📞 Call Tracker'!F$2:F$2000,""),"")</f>
        <v>MAILED OUT E3</v>
      </c>
      <c r="AB723" s="132">
        <f t="shared" si="23"/>
        <v>99</v>
      </c>
      <c r="AC723" s="79"/>
    </row>
    <row r="724" spans="1:29" ht="20.100000000000001" customHeight="1">
      <c r="A724" s="91">
        <v>45909</v>
      </c>
      <c r="B724" s="92" t="str">
        <v>Luke</v>
      </c>
      <c r="C724" s="92" t="str">
        <v>Katsura</v>
      </c>
      <c r="D724" s="92" t="str">
        <v>Phoenix</v>
      </c>
      <c r="E724" s="92">
        <v>85035</v>
      </c>
      <c r="F724" s="137" t="str">
        <v>Form letter</v>
      </c>
      <c r="G724" s="93" t="str">
        <v>https://docket.images.azcc.gov/E000046289.pdf</v>
      </c>
      <c r="H724" s="150" t="s">
        <v>2379</v>
      </c>
      <c r="I724" s="114" t="str">
        <v>R3-47</v>
      </c>
      <c r="J724" s="94" t="str">
        <v>No</v>
      </c>
      <c r="K724" s="94" t="str">
        <v>No</v>
      </c>
      <c r="L724" s="137" t="str">
        <v>Y</v>
      </c>
      <c r="M724" s="94" t="str">
        <v>No</v>
      </c>
      <c r="N724" s="134" t="str">
        <v>No</v>
      </c>
      <c r="O724" s="119" t="str">
        <v>Yes</v>
      </c>
      <c r="P724" s="92" t="str">
        <v>N</v>
      </c>
      <c r="Q724" s="91">
        <v>45961</v>
      </c>
      <c r="R724" s="140">
        <v>0</v>
      </c>
      <c r="S724" s="92">
        <v>0</v>
      </c>
      <c r="T724" s="92">
        <v>0</v>
      </c>
      <c r="U724" s="137" t="str">
        <v>Filed 2x</v>
      </c>
      <c r="V724" s="126" t="str">
        <f t="shared" si="22"/>
        <v>✅ On Best Plan</v>
      </c>
      <c r="W724" s="130" t="str">
        <f>IFERROR(_xlfn.XLOOKUP(TEXT(H724,"0000000000"),'📞 Call Tracker'!A$2:A$2000,'📞 Call Tracker'!B$2:B$2000,""),"")</f>
        <v>Joaquin</v>
      </c>
      <c r="X724" s="96">
        <f>IFERROR(_xlfn.XLOOKUP(TEXT(H724,"0000000000"),'📞 Call Tracker'!A$2:A$2000,'📞 Call Tracker'!C$2:C$2000,""),"")</f>
        <v>45997</v>
      </c>
      <c r="Y724" s="95" t="str">
        <f>IFERROR(_xlfn.XLOOKUP(TEXT(H724,"0000000000"),'📞 Call Tracker'!A$2:A$2000,'📞 Call Tracker'!D$2:D$2000,""),"")</f>
        <v>YES</v>
      </c>
      <c r="Z724" s="95">
        <f>IFERROR(_xlfn.XLOOKUP(TEXT(H724,"0000000000"),'📞 Call Tracker'!A$2:A$2000,'📞 Call Tracker'!E$2:E$2000,""),"")</f>
        <v>0</v>
      </c>
      <c r="AA724" s="145" t="str">
        <f>IFERROR(_xlfn.XLOOKUP(TEXT(H724,"0000000000"),'📞 Call Tracker'!A$2:A$2000,'📞 Call Tracker'!F$2:F$2000,""),"")</f>
        <v>IS ON P-A &amp;  NO E3 ON ACCT</v>
      </c>
      <c r="AB724" s="132">
        <f t="shared" si="23"/>
        <v>99</v>
      </c>
      <c r="AC724" s="79"/>
    </row>
    <row r="725" spans="1:29" ht="20.100000000000001" customHeight="1">
      <c r="A725" s="91">
        <v>45909</v>
      </c>
      <c r="B725" s="92" t="str">
        <v>Boos</v>
      </c>
      <c r="C725" s="92" t="str">
        <v>Al</v>
      </c>
      <c r="D725" s="92" t="str">
        <v>Phoenix</v>
      </c>
      <c r="E725" s="92">
        <v>85028</v>
      </c>
      <c r="F725" s="137" t="str">
        <v>egregious and possibly unaffordable by many customers</v>
      </c>
      <c r="G725" s="93" t="str">
        <v>https://docket.images.azcc.gov/E000046289.pdf</v>
      </c>
      <c r="H725" s="150" t="s">
        <v>2381</v>
      </c>
      <c r="I725" s="114" t="str">
        <v>R3-47</v>
      </c>
      <c r="J725" s="94" t="str">
        <v>No</v>
      </c>
      <c r="K725" s="94" t="str">
        <v>No</v>
      </c>
      <c r="L725" s="137" t="str">
        <v>Y</v>
      </c>
      <c r="M725" s="94" t="str">
        <v>No</v>
      </c>
      <c r="N725" s="134" t="str">
        <v>No</v>
      </c>
      <c r="O725" s="119" t="str">
        <v>Yes</v>
      </c>
      <c r="P725" s="92" t="str">
        <v>N</v>
      </c>
      <c r="Q725" s="91">
        <v>45961</v>
      </c>
      <c r="R725" s="140">
        <v>0</v>
      </c>
      <c r="S725" s="92">
        <v>0</v>
      </c>
      <c r="T725" s="92">
        <v>0</v>
      </c>
      <c r="U725" s="137">
        <v>0</v>
      </c>
      <c r="V725" s="126" t="str">
        <f t="shared" si="22"/>
        <v>✅ On Best Plan</v>
      </c>
      <c r="W725" s="130" t="str">
        <f>IFERROR(_xlfn.XLOOKUP(TEXT(H725,"0000000000"),'📞 Call Tracker'!A$2:A$2000,'📞 Call Tracker'!B$2:B$2000,""),"")</f>
        <v>Joaquin</v>
      </c>
      <c r="X725" s="96">
        <f>IFERROR(_xlfn.XLOOKUP(TEXT(H725,"0000000000"),'📞 Call Tracker'!A$2:A$2000,'📞 Call Tracker'!C$2:C$2000,""),"")</f>
        <v>46025</v>
      </c>
      <c r="Y725" s="95" t="str">
        <f>IFERROR(_xlfn.XLOOKUP(TEXT(H725,"0000000000"),'📞 Call Tracker'!A$2:A$2000,'📞 Call Tracker'!D$2:D$2000,""),"")</f>
        <v>YES</v>
      </c>
      <c r="Z725" s="95">
        <f>IFERROR(_xlfn.XLOOKUP(TEXT(H725,"0000000000"),'📞 Call Tracker'!A$2:A$2000,'📞 Call Tracker'!E$2:E$2000,""),"")</f>
        <v>0</v>
      </c>
      <c r="AA725" s="145" t="str">
        <f>IFERROR(_xlfn.XLOOKUP(TEXT(H725,"0000000000"),'📞 Call Tracker'!A$2:A$2000,'📞 Call Tracker'!F$2:F$2000,""),"")</f>
        <v>LEFT VOICE MAIL</v>
      </c>
      <c r="AB725" s="132">
        <f t="shared" si="23"/>
        <v>99</v>
      </c>
      <c r="AC725" s="79"/>
    </row>
    <row r="726" spans="1:29" ht="20.100000000000001" customHeight="1">
      <c r="A726" s="91">
        <v>45909</v>
      </c>
      <c r="B726" s="92" t="str">
        <v>Farnsworth</v>
      </c>
      <c r="C726" s="92" t="str">
        <v>Cynthia</v>
      </c>
      <c r="D726" s="92" t="str">
        <v>Buckeye</v>
      </c>
      <c r="E726" s="92">
        <v>85396</v>
      </c>
      <c r="F726" s="137" t="str">
        <v>Form letter</v>
      </c>
      <c r="G726" s="93" t="str">
        <v>https://docket.images.azcc.gov/E000046289.pdf</v>
      </c>
      <c r="H726" s="150" t="s">
        <v>2385</v>
      </c>
      <c r="I726" s="114" t="str">
        <v>RCPw/R3-47</v>
      </c>
      <c r="J726" s="94" t="str">
        <v>No</v>
      </c>
      <c r="K726" s="94" t="str">
        <v>No</v>
      </c>
      <c r="L726" s="137" t="str">
        <v>Y</v>
      </c>
      <c r="M726" s="94" t="str">
        <v>No</v>
      </c>
      <c r="N726" s="134" t="str">
        <v>No</v>
      </c>
      <c r="O726" s="119" t="str">
        <v>Yes</v>
      </c>
      <c r="P726" s="92" t="str">
        <v>N</v>
      </c>
      <c r="Q726" s="91">
        <v>45961</v>
      </c>
      <c r="R726" s="140">
        <v>0</v>
      </c>
      <c r="S726" s="92">
        <v>0</v>
      </c>
      <c r="T726" s="92">
        <v>0</v>
      </c>
      <c r="U726" s="137">
        <v>0</v>
      </c>
      <c r="V726" s="126" t="str">
        <f t="shared" si="22"/>
        <v>✅ On Best Plan</v>
      </c>
      <c r="W726" s="130">
        <f>IFERROR(_xlfn.XLOOKUP(TEXT(H726,"0000000000"),'📞 Call Tracker'!A$2:A$2000,'📞 Call Tracker'!B$2:B$2000,""),"")</f>
        <v>0</v>
      </c>
      <c r="X726" s="96">
        <f>IFERROR(_xlfn.XLOOKUP(TEXT(H726,"0000000000"),'📞 Call Tracker'!A$2:A$2000,'📞 Call Tracker'!C$2:C$2000,""),"")</f>
        <v>0</v>
      </c>
      <c r="Y726" s="95">
        <f>IFERROR(_xlfn.XLOOKUP(TEXT(H726,"0000000000"),'📞 Call Tracker'!A$2:A$2000,'📞 Call Tracker'!D$2:D$2000,""),"")</f>
        <v>0</v>
      </c>
      <c r="Z726" s="95">
        <f>IFERROR(_xlfn.XLOOKUP(TEXT(H726,"0000000000"),'📞 Call Tracker'!A$2:A$2000,'📞 Call Tracker'!E$2:E$2000,""),"")</f>
        <v>0</v>
      </c>
      <c r="AA726" s="145">
        <f>IFERROR(_xlfn.XLOOKUP(TEXT(H726,"0000000000"),'📞 Call Tracker'!A$2:A$2000,'📞 Call Tracker'!F$2:F$2000,""),"")</f>
        <v>0</v>
      </c>
      <c r="AB726" s="132">
        <f t="shared" si="23"/>
        <v>99</v>
      </c>
      <c r="AC726" s="79"/>
    </row>
    <row r="727" spans="1:29" ht="20.100000000000001" customHeight="1">
      <c r="A727" s="91">
        <v>45909</v>
      </c>
      <c r="B727" s="92" t="str">
        <v>Parr</v>
      </c>
      <c r="C727" s="92" t="str">
        <v>Joshua Roy</v>
      </c>
      <c r="D727" s="92" t="str">
        <v>Surprise</v>
      </c>
      <c r="E727" s="92">
        <v>85374</v>
      </c>
      <c r="F727" s="137" t="str">
        <v>Opposed</v>
      </c>
      <c r="G727" s="93" t="str">
        <v>https://docket.images.azcc.gov/E000046289.pdf</v>
      </c>
      <c r="H727" s="150" t="s">
        <v>2387</v>
      </c>
      <c r="I727" s="114" t="str">
        <v>R-BASICL</v>
      </c>
      <c r="J727" s="94" t="str">
        <v>No</v>
      </c>
      <c r="K727" s="94" t="str">
        <v>No</v>
      </c>
      <c r="L727" s="137" t="str">
        <v>No MEP R3-47 ($137.94)</v>
      </c>
      <c r="M727" s="94" t="str">
        <v>No</v>
      </c>
      <c r="N727" s="134" t="str">
        <v>No</v>
      </c>
      <c r="O727" s="119" t="str">
        <v>Yes</v>
      </c>
      <c r="P727" s="92">
        <v>45938</v>
      </c>
      <c r="Q727" s="91">
        <v>45961</v>
      </c>
      <c r="R727" s="140" t="str">
        <v>10/08/2025 left VM</v>
      </c>
      <c r="S727" s="92">
        <v>0</v>
      </c>
      <c r="T727" s="92">
        <v>0</v>
      </c>
      <c r="U727" s="137">
        <v>0</v>
      </c>
      <c r="V727" s="126" t="str">
        <f t="shared" si="22"/>
        <v>❌ Not on Best Plan</v>
      </c>
      <c r="W727" s="130" t="str">
        <f>IFERROR(_xlfn.XLOOKUP(TEXT(H727,"0000000000"),'📞 Call Tracker'!A$2:A$2000,'📞 Call Tracker'!B$2:B$2000,""),"")</f>
        <v>Joaquin</v>
      </c>
      <c r="X727" s="96">
        <f>IFERROR(_xlfn.XLOOKUP(TEXT(H727,"0000000000"),'📞 Call Tracker'!A$2:A$2000,'📞 Call Tracker'!C$2:C$2000,""),"")</f>
        <v>46081</v>
      </c>
      <c r="Y727" s="95" t="str">
        <f>IFERROR(_xlfn.XLOOKUP(TEXT(H727,"0000000000"),'📞 Call Tracker'!A$2:A$2000,'📞 Call Tracker'!D$2:D$2000,""),"")</f>
        <v>NO</v>
      </c>
      <c r="Z727" s="95" t="str">
        <f>IFERROR(_xlfn.XLOOKUP(TEXT(H727,"0000000000"),'📞 Call Tracker'!A$2:A$2000,'📞 Call Tracker'!E$2:E$2000,""),"")</f>
        <v>General Education</v>
      </c>
      <c r="AA727" s="145" t="str">
        <f>IFERROR(_xlfn.XLOOKUP(TEXT(H727,"0000000000"),'📞 Call Tracker'!A$2:A$2000,'📞 Call Tracker'!F$2:F$2000,""),"")</f>
        <v>CALLER HUNG UP</v>
      </c>
      <c r="AB727" s="132">
        <f t="shared" si="23"/>
        <v>99</v>
      </c>
      <c r="AC727" s="79"/>
    </row>
    <row r="728" spans="1:29" ht="20.100000000000001" customHeight="1">
      <c r="A728" s="91">
        <v>45909</v>
      </c>
      <c r="B728" s="92" t="str">
        <v>Thomas</v>
      </c>
      <c r="C728" s="92" t="str">
        <v>Carol</v>
      </c>
      <c r="D728" s="92" t="str">
        <v>Sedona</v>
      </c>
      <c r="E728" s="92">
        <v>86351</v>
      </c>
      <c r="F728" s="137" t="str">
        <v>Egregious, I pay approx $126 just in service charges</v>
      </c>
      <c r="G728" s="93" t="str">
        <v>https://docket.images.azcc.gov/E000046305.pdf</v>
      </c>
      <c r="H728" s="150" t="s">
        <v>2392</v>
      </c>
      <c r="I728" s="114" t="str">
        <v>RCPw/RTOUE47</v>
      </c>
      <c r="J728" s="94" t="str">
        <v>No</v>
      </c>
      <c r="K728" s="94" t="str">
        <v>No</v>
      </c>
      <c r="L728" s="137" t="str">
        <v>Y</v>
      </c>
      <c r="M728" s="94" t="str">
        <v>No</v>
      </c>
      <c r="N728" s="134" t="str">
        <v>No</v>
      </c>
      <c r="O728" s="119" t="str">
        <v>Yes</v>
      </c>
      <c r="P728" s="92" t="str">
        <v>N</v>
      </c>
      <c r="Q728" s="91">
        <v>45961</v>
      </c>
      <c r="R728" s="140">
        <v>0</v>
      </c>
      <c r="S728" s="92">
        <v>0</v>
      </c>
      <c r="T728" s="92">
        <v>0</v>
      </c>
      <c r="U728" s="137">
        <v>0</v>
      </c>
      <c r="V728" s="126" t="str">
        <f t="shared" si="22"/>
        <v>✅ On Best Plan</v>
      </c>
      <c r="W728" s="130">
        <f>IFERROR(_xlfn.XLOOKUP(TEXT(H728,"0000000000"),'📞 Call Tracker'!A$2:A$2000,'📞 Call Tracker'!B$2:B$2000,""),"")</f>
        <v>0</v>
      </c>
      <c r="X728" s="96">
        <f>IFERROR(_xlfn.XLOOKUP(TEXT(H728,"0000000000"),'📞 Call Tracker'!A$2:A$2000,'📞 Call Tracker'!C$2:C$2000,""),"")</f>
        <v>0</v>
      </c>
      <c r="Y728" s="95">
        <f>IFERROR(_xlfn.XLOOKUP(TEXT(H728,"0000000000"),'📞 Call Tracker'!A$2:A$2000,'📞 Call Tracker'!D$2:D$2000,""),"")</f>
        <v>0</v>
      </c>
      <c r="Z728" s="95">
        <f>IFERROR(_xlfn.XLOOKUP(TEXT(H728,"0000000000"),'📞 Call Tracker'!A$2:A$2000,'📞 Call Tracker'!E$2:E$2000,""),"")</f>
        <v>0</v>
      </c>
      <c r="AA728" s="145">
        <f>IFERROR(_xlfn.XLOOKUP(TEXT(H728,"0000000000"),'📞 Call Tracker'!A$2:A$2000,'📞 Call Tracker'!F$2:F$2000,""),"")</f>
        <v>0</v>
      </c>
      <c r="AB728" s="132">
        <f t="shared" si="23"/>
        <v>99</v>
      </c>
      <c r="AC728" s="79"/>
    </row>
    <row r="729" spans="1:29" ht="20.100000000000001" customHeight="1">
      <c r="A729" s="91">
        <v>45909</v>
      </c>
      <c r="B729" s="92" t="str">
        <v>Shaver</v>
      </c>
      <c r="C729" s="92" t="str">
        <v>Andrew</v>
      </c>
      <c r="D729" s="92" t="str">
        <v>Phoenix</v>
      </c>
      <c r="E729" s="92">
        <v>85023</v>
      </c>
      <c r="F729" s="137" t="str">
        <v>Form letter</v>
      </c>
      <c r="G729" s="93" t="str">
        <v>https://docket.images.azcc.gov/E000046305.pdf</v>
      </c>
      <c r="H729" s="150" t="s">
        <v>2395</v>
      </c>
      <c r="I729" s="114" t="str">
        <v>R3-47</v>
      </c>
      <c r="J729" s="94" t="str">
        <v>No</v>
      </c>
      <c r="K729" s="94" t="str">
        <v>No</v>
      </c>
      <c r="L729" s="137" t="str">
        <v>Y</v>
      </c>
      <c r="M729" s="94" t="str">
        <v>No</v>
      </c>
      <c r="N729" s="134" t="str">
        <v>No</v>
      </c>
      <c r="O729" s="119" t="str">
        <v>Yes</v>
      </c>
      <c r="P729" s="92" t="str">
        <v>N</v>
      </c>
      <c r="Q729" s="91">
        <v>45961</v>
      </c>
      <c r="R729" s="140">
        <v>0</v>
      </c>
      <c r="S729" s="92">
        <v>0</v>
      </c>
      <c r="T729" s="92">
        <v>0</v>
      </c>
      <c r="U729" s="137">
        <v>0</v>
      </c>
      <c r="V729" s="126" t="str">
        <f t="shared" si="22"/>
        <v>✅ On Best Plan</v>
      </c>
      <c r="W729" s="130" t="str">
        <f>IFERROR(_xlfn.XLOOKUP(TEXT(H729,"0000000000"),'📞 Call Tracker'!A$2:A$2000,'📞 Call Tracker'!B$2:B$2000,""),"")</f>
        <v>Joaquin</v>
      </c>
      <c r="X729" s="96">
        <f>IFERROR(_xlfn.XLOOKUP(TEXT(H729,"0000000000"),'📞 Call Tracker'!A$2:A$2000,'📞 Call Tracker'!C$2:C$2000,""),"")</f>
        <v>46025</v>
      </c>
      <c r="Y729" s="95">
        <f>IFERROR(_xlfn.XLOOKUP(TEXT(H729,"0000000000"),'📞 Call Tracker'!A$2:A$2000,'📞 Call Tracker'!D$2:D$2000,""),"")</f>
        <v>0</v>
      </c>
      <c r="Z729" s="95">
        <f>IFERROR(_xlfn.XLOOKUP(TEXT(H729,"0000000000"),'📞 Call Tracker'!A$2:A$2000,'📞 Call Tracker'!E$2:E$2000,""),"")</f>
        <v>0</v>
      </c>
      <c r="AA729" s="145" t="str">
        <f>IFERROR(_xlfn.XLOOKUP(TEXT(H729,"0000000000"),'📞 Call Tracker'!A$2:A$2000,'📞 Call Tracker'!F$2:F$2000,""),"")</f>
        <v>CALLER HUNG UP</v>
      </c>
      <c r="AB729" s="132">
        <f t="shared" si="23"/>
        <v>99</v>
      </c>
      <c r="AC729" s="79"/>
    </row>
    <row r="730" spans="1:29" ht="20.100000000000001" customHeight="1">
      <c r="A730" s="91">
        <v>45909</v>
      </c>
      <c r="B730" s="92" t="str">
        <v>Colon</v>
      </c>
      <c r="C730" s="92" t="str">
        <v>Justin</v>
      </c>
      <c r="D730" s="92" t="str">
        <v>Phoenix</v>
      </c>
      <c r="E730" s="92">
        <v>85053</v>
      </c>
      <c r="F730" s="137" t="str">
        <v>Form letter</v>
      </c>
      <c r="G730" s="93" t="str">
        <v>https://docket.images.azcc.gov/E000046305.pdf</v>
      </c>
      <c r="H730" s="150" t="s">
        <v>2399</v>
      </c>
      <c r="I730" s="114" t="str">
        <v>R-BASIC</v>
      </c>
      <c r="J730" s="94" t="str">
        <v>No</v>
      </c>
      <c r="K730" s="94" t="str">
        <v>No</v>
      </c>
      <c r="L730" s="137" t="str">
        <v>Y</v>
      </c>
      <c r="M730" s="94" t="str">
        <v>No</v>
      </c>
      <c r="N730" s="134" t="str">
        <v>No</v>
      </c>
      <c r="O730" s="119" t="str">
        <v>Yes</v>
      </c>
      <c r="P730" s="92" t="str">
        <v>N</v>
      </c>
      <c r="Q730" s="91">
        <v>45961</v>
      </c>
      <c r="R730" s="140">
        <v>0</v>
      </c>
      <c r="S730" s="92">
        <v>0</v>
      </c>
      <c r="T730" s="92">
        <v>0</v>
      </c>
      <c r="U730" s="137">
        <v>0</v>
      </c>
      <c r="V730" s="126" t="str">
        <f t="shared" si="22"/>
        <v>✅ On Best Plan</v>
      </c>
      <c r="W730" s="130">
        <f>IFERROR(_xlfn.XLOOKUP(TEXT(H730,"0000000000"),'📞 Call Tracker'!A$2:A$2000,'📞 Call Tracker'!B$2:B$2000,""),"")</f>
        <v>0</v>
      </c>
      <c r="X730" s="96">
        <f>IFERROR(_xlfn.XLOOKUP(TEXT(H730,"0000000000"),'📞 Call Tracker'!A$2:A$2000,'📞 Call Tracker'!C$2:C$2000,""),"")</f>
        <v>0</v>
      </c>
      <c r="Y730" s="95">
        <f>IFERROR(_xlfn.XLOOKUP(TEXT(H730,"0000000000"),'📞 Call Tracker'!A$2:A$2000,'📞 Call Tracker'!D$2:D$2000,""),"")</f>
        <v>0</v>
      </c>
      <c r="Z730" s="95">
        <f>IFERROR(_xlfn.XLOOKUP(TEXT(H730,"0000000000"),'📞 Call Tracker'!A$2:A$2000,'📞 Call Tracker'!E$2:E$2000,""),"")</f>
        <v>0</v>
      </c>
      <c r="AA730" s="145">
        <f>IFERROR(_xlfn.XLOOKUP(TEXT(H730,"0000000000"),'📞 Call Tracker'!A$2:A$2000,'📞 Call Tracker'!F$2:F$2000,""),"")</f>
        <v>0</v>
      </c>
      <c r="AB730" s="132">
        <f t="shared" si="23"/>
        <v>99</v>
      </c>
      <c r="AC730" s="79"/>
    </row>
    <row r="731" spans="1:29" ht="20.100000000000001" customHeight="1">
      <c r="A731" s="91">
        <v>45910</v>
      </c>
      <c r="B731" s="92" t="str">
        <v>Brumund</v>
      </c>
      <c r="C731" s="92" t="str">
        <v>Randy</v>
      </c>
      <c r="D731" s="92" t="str">
        <v>Chino Valley</v>
      </c>
      <c r="E731" s="92">
        <v>86323</v>
      </c>
      <c r="F731" s="137" t="str">
        <v>Barely have enough to cover the increase of food</v>
      </c>
      <c r="G731" s="93" t="str">
        <v>https://docket.images.azcc.gov/E000046309.pdf</v>
      </c>
      <c r="H731" s="150" t="s">
        <v>2403</v>
      </c>
      <c r="I731" s="114" t="str">
        <v>EPR-6w/E-12</v>
      </c>
      <c r="J731" s="94" t="str">
        <v>No</v>
      </c>
      <c r="K731" s="94" t="str">
        <v>No</v>
      </c>
      <c r="L731" s="137" t="str">
        <v>Frozen Rate</v>
      </c>
      <c r="M731" s="94" t="str">
        <v>No</v>
      </c>
      <c r="N731" s="134" t="str">
        <v>No</v>
      </c>
      <c r="O731" s="119" t="str">
        <v>Yes</v>
      </c>
      <c r="P731" s="92" t="str">
        <v>N</v>
      </c>
      <c r="Q731" s="91">
        <v>45961</v>
      </c>
      <c r="R731" s="140">
        <v>0</v>
      </c>
      <c r="S731" s="92">
        <v>0</v>
      </c>
      <c r="T731" s="92">
        <v>0</v>
      </c>
      <c r="U731" s="137">
        <v>0</v>
      </c>
      <c r="V731" s="126" t="str">
        <f t="shared" si="22"/>
        <v>❄ Frozen Rate</v>
      </c>
      <c r="W731" s="130" t="str">
        <f>IFERROR(_xlfn.XLOOKUP(TEXT(H731,"0000000000"),'📞 Call Tracker'!A$2:A$2000,'📞 Call Tracker'!B$2:B$2000,""),"")</f>
        <v>Joaquin</v>
      </c>
      <c r="X731" s="96">
        <f>IFERROR(_xlfn.XLOOKUP(TEXT(H731,"0000000000"),'📞 Call Tracker'!A$2:A$2000,'📞 Call Tracker'!C$2:C$2000,""),"")</f>
        <v>46081</v>
      </c>
      <c r="Y731" s="95" t="str">
        <f>IFERROR(_xlfn.XLOOKUP(TEXT(H731,"0000000000"),'📞 Call Tracker'!A$2:A$2000,'📞 Call Tracker'!D$2:D$2000,""),"")</f>
        <v>YES</v>
      </c>
      <c r="Z731" s="95">
        <f>IFERROR(_xlfn.XLOOKUP(TEXT(H731,"0000000000"),'📞 Call Tracker'!A$2:A$2000,'📞 Call Tracker'!E$2:E$2000,""),"")</f>
        <v>0</v>
      </c>
      <c r="AA731" s="145" t="str">
        <f>IFERROR(_xlfn.XLOOKUP(TEXT(H731,"0000000000"),'📞 Call Tracker'!A$2:A$2000,'📞 Call Tracker'!F$2:F$2000,""),"")</f>
        <v>CALLER HUNG UP</v>
      </c>
      <c r="AB731" s="132">
        <f t="shared" si="23"/>
        <v>99</v>
      </c>
      <c r="AC731" s="79"/>
    </row>
    <row r="732" spans="1:29" ht="20.100000000000001" customHeight="1">
      <c r="A732" s="91">
        <v>45910</v>
      </c>
      <c r="B732" s="92" t="str">
        <v>Malaki</v>
      </c>
      <c r="C732" s="92" t="str">
        <v>Samantha</v>
      </c>
      <c r="D732" s="92" t="str">
        <v>Glendale</v>
      </c>
      <c r="E732" s="92">
        <v>85308</v>
      </c>
      <c r="F732" s="137" t="str">
        <v>Form letter</v>
      </c>
      <c r="G732" s="93" t="str">
        <v>https://docket.images.azcc.gov/E000046309.pdf</v>
      </c>
      <c r="H732" s="150" t="s">
        <v>2405</v>
      </c>
      <c r="I732" s="114" t="str">
        <v>RTOUE47</v>
      </c>
      <c r="J732" s="94" t="str">
        <v>No</v>
      </c>
      <c r="K732" s="94" t="str">
        <v>No</v>
      </c>
      <c r="L732" s="137" t="str">
        <v>No MEP R3-47 ($84.85)</v>
      </c>
      <c r="M732" s="94" t="str">
        <v>No</v>
      </c>
      <c r="N732" s="134" t="str">
        <v>No</v>
      </c>
      <c r="O732" s="119" t="str">
        <v>Yes</v>
      </c>
      <c r="P732" s="92" t="str">
        <v>N</v>
      </c>
      <c r="Q732" s="91">
        <v>45961</v>
      </c>
      <c r="R732" s="140">
        <v>0</v>
      </c>
      <c r="S732" s="92">
        <v>0</v>
      </c>
      <c r="T732" s="92">
        <v>0</v>
      </c>
      <c r="U732" s="137">
        <v>0</v>
      </c>
      <c r="V732" s="126" t="str">
        <f t="shared" si="22"/>
        <v>❌ Not on Best Plan</v>
      </c>
      <c r="W732" s="130">
        <f>IFERROR(_xlfn.XLOOKUP(TEXT(H732,"0000000000"),'📞 Call Tracker'!A$2:A$2000,'📞 Call Tracker'!B$2:B$2000,""),"")</f>
        <v>0</v>
      </c>
      <c r="X732" s="96">
        <f>IFERROR(_xlfn.XLOOKUP(TEXT(H732,"0000000000"),'📞 Call Tracker'!A$2:A$2000,'📞 Call Tracker'!C$2:C$2000,""),"")</f>
        <v>0</v>
      </c>
      <c r="Y732" s="95">
        <f>IFERROR(_xlfn.XLOOKUP(TEXT(H732,"0000000000"),'📞 Call Tracker'!A$2:A$2000,'📞 Call Tracker'!D$2:D$2000,""),"")</f>
        <v>0</v>
      </c>
      <c r="Z732" s="95">
        <f>IFERROR(_xlfn.XLOOKUP(TEXT(H732,"0000000000"),'📞 Call Tracker'!A$2:A$2000,'📞 Call Tracker'!E$2:E$2000,""),"")</f>
        <v>0</v>
      </c>
      <c r="AA732" s="145">
        <f>IFERROR(_xlfn.XLOOKUP(TEXT(H732,"0000000000"),'📞 Call Tracker'!A$2:A$2000,'📞 Call Tracker'!F$2:F$2000,""),"")</f>
        <v>0</v>
      </c>
      <c r="AB732" s="132">
        <f t="shared" si="23"/>
        <v>99</v>
      </c>
      <c r="AC732" s="79"/>
    </row>
    <row r="733" spans="1:29" ht="20.100000000000001" customHeight="1">
      <c r="A733" s="91">
        <v>45910</v>
      </c>
      <c r="B733" s="92" t="str">
        <v>Shah</v>
      </c>
      <c r="C733" s="92" t="str">
        <v>Raju</v>
      </c>
      <c r="D733" s="92" t="str">
        <v>Phoenix</v>
      </c>
      <c r="E733" s="92">
        <v>85083</v>
      </c>
      <c r="F733" s="137" t="str">
        <v>Opposed</v>
      </c>
      <c r="G733" s="93" t="str">
        <v>https://docket.images.azcc.gov/E000046309.pdf</v>
      </c>
      <c r="H733" s="150" t="s">
        <v>2410</v>
      </c>
      <c r="I733" s="114" t="str">
        <v>EPR-6w/E-12</v>
      </c>
      <c r="J733" s="94" t="str">
        <v>No</v>
      </c>
      <c r="K733" s="94" t="str">
        <v>No</v>
      </c>
      <c r="L733" s="137" t="str">
        <v>Frozen Rate</v>
      </c>
      <c r="M733" s="94" t="str">
        <v>No</v>
      </c>
      <c r="N733" s="134" t="str">
        <v>No</v>
      </c>
      <c r="O733" s="119" t="str">
        <v>Yes</v>
      </c>
      <c r="P733" s="92" t="str">
        <v>N</v>
      </c>
      <c r="Q733" s="91">
        <v>45961</v>
      </c>
      <c r="R733" s="140">
        <v>0</v>
      </c>
      <c r="S733" s="92">
        <v>0</v>
      </c>
      <c r="T733" s="92">
        <v>0</v>
      </c>
      <c r="U733" s="137">
        <v>0</v>
      </c>
      <c r="V733" s="126" t="str">
        <f t="shared" si="22"/>
        <v>❄ Frozen Rate</v>
      </c>
      <c r="W733" s="130" t="str">
        <f>IFERROR(_xlfn.XLOOKUP(TEXT(H733,"0000000000"),'📞 Call Tracker'!A$2:A$2000,'📞 Call Tracker'!B$2:B$2000,""),"")</f>
        <v>Joaquin</v>
      </c>
      <c r="X733" s="96">
        <f>IFERROR(_xlfn.XLOOKUP(TEXT(H733,"0000000000"),'📞 Call Tracker'!A$2:A$2000,'📞 Call Tracker'!C$2:C$2000,""),"")</f>
        <v>46081</v>
      </c>
      <c r="Y733" s="95" t="str">
        <f>IFERROR(_xlfn.XLOOKUP(TEXT(H733,"0000000000"),'📞 Call Tracker'!A$2:A$2000,'📞 Call Tracker'!D$2:D$2000,""),"")</f>
        <v>YES</v>
      </c>
      <c r="Z733" s="95">
        <f>IFERROR(_xlfn.XLOOKUP(TEXT(H733,"0000000000"),'📞 Call Tracker'!A$2:A$2000,'📞 Call Tracker'!E$2:E$2000,""),"")</f>
        <v>0</v>
      </c>
      <c r="AA733" s="145" t="str">
        <f>IFERROR(_xlfn.XLOOKUP(TEXT(H733,"0000000000"),'📞 Call Tracker'!A$2:A$2000,'📞 Call Tracker'!F$2:F$2000,""),"")</f>
        <v>LEFT VOICE MAIL</v>
      </c>
      <c r="AB733" s="132">
        <f t="shared" si="23"/>
        <v>99</v>
      </c>
      <c r="AC733" s="79"/>
    </row>
    <row r="734" spans="1:29" ht="20.100000000000001" customHeight="1">
      <c r="A734" s="91">
        <v>45910</v>
      </c>
      <c r="B734" s="92" t="str">
        <v>Pircaro</v>
      </c>
      <c r="C734" s="92" t="str">
        <v>Mark</v>
      </c>
      <c r="D734" s="92" t="str">
        <v>Yuma</v>
      </c>
      <c r="E734" s="92">
        <v>85365</v>
      </c>
      <c r="F734" s="137" t="str">
        <v>Opposed</v>
      </c>
      <c r="G734" s="93" t="str">
        <v>https://docket.images.azcc.gov/E000046309.pdf</v>
      </c>
      <c r="H734" s="150" t="s">
        <v>2412</v>
      </c>
      <c r="I734" s="114" t="str">
        <v>R3-47</v>
      </c>
      <c r="J734" s="94" t="str">
        <v>No</v>
      </c>
      <c r="K734" s="94" t="str">
        <v>No</v>
      </c>
      <c r="L734" s="137" t="str">
        <v>Y</v>
      </c>
      <c r="M734" s="94" t="str">
        <v>No</v>
      </c>
      <c r="N734" s="134" t="str">
        <v>No</v>
      </c>
      <c r="O734" s="119" t="str">
        <v>Yes</v>
      </c>
      <c r="P734" s="92" t="str">
        <v>N</v>
      </c>
      <c r="Q734" s="91">
        <v>45961</v>
      </c>
      <c r="R734" s="140">
        <v>0</v>
      </c>
      <c r="S734" s="92">
        <v>0</v>
      </c>
      <c r="T734" s="92">
        <v>0</v>
      </c>
      <c r="U734" s="137">
        <v>0</v>
      </c>
      <c r="V734" s="126" t="str">
        <f t="shared" si="22"/>
        <v>✅ On Best Plan</v>
      </c>
      <c r="W734" s="130">
        <f>IFERROR(_xlfn.XLOOKUP(TEXT(H734,"0000000000"),'📞 Call Tracker'!A$2:A$2000,'📞 Call Tracker'!B$2:B$2000,""),"")</f>
        <v>0</v>
      </c>
      <c r="X734" s="96">
        <f>IFERROR(_xlfn.XLOOKUP(TEXT(H734,"0000000000"),'📞 Call Tracker'!A$2:A$2000,'📞 Call Tracker'!C$2:C$2000,""),"")</f>
        <v>0</v>
      </c>
      <c r="Y734" s="95">
        <f>IFERROR(_xlfn.XLOOKUP(TEXT(H734,"0000000000"),'📞 Call Tracker'!A$2:A$2000,'📞 Call Tracker'!D$2:D$2000,""),"")</f>
        <v>0</v>
      </c>
      <c r="Z734" s="95">
        <f>IFERROR(_xlfn.XLOOKUP(TEXT(H734,"0000000000"),'📞 Call Tracker'!A$2:A$2000,'📞 Call Tracker'!E$2:E$2000,""),"")</f>
        <v>0</v>
      </c>
      <c r="AA734" s="145">
        <f>IFERROR(_xlfn.XLOOKUP(TEXT(H734,"0000000000"),'📞 Call Tracker'!A$2:A$2000,'📞 Call Tracker'!F$2:F$2000,""),"")</f>
        <v>0</v>
      </c>
      <c r="AB734" s="132">
        <f t="shared" si="23"/>
        <v>99</v>
      </c>
      <c r="AC734" s="79"/>
    </row>
    <row r="735" spans="1:29" ht="20.100000000000001" customHeight="1">
      <c r="A735" s="91">
        <v>45910</v>
      </c>
      <c r="B735" s="92" t="str">
        <v>Roy</v>
      </c>
      <c r="C735" s="92" t="str">
        <v>Tanika</v>
      </c>
      <c r="D735" s="92" t="str">
        <v>Phoenix</v>
      </c>
      <c r="E735" s="92">
        <v>85008</v>
      </c>
      <c r="F735" s="137" t="str">
        <v>Opposed</v>
      </c>
      <c r="G735" s="93" t="str">
        <v>https://docket.images.azcc.gov/E000046309.pdf</v>
      </c>
      <c r="H735" s="150" t="s">
        <v>2415</v>
      </c>
      <c r="I735" s="114" t="str">
        <v>RTOUE47</v>
      </c>
      <c r="J735" s="94" t="str">
        <v>No</v>
      </c>
      <c r="K735" s="94" t="str">
        <v>No</v>
      </c>
      <c r="L735" s="137" t="str">
        <v>No MEP R-XS ($24.15)</v>
      </c>
      <c r="M735" s="94" t="str">
        <v>No</v>
      </c>
      <c r="N735" s="134" t="str">
        <v>No</v>
      </c>
      <c r="O735" s="119" t="str">
        <v>Yes</v>
      </c>
      <c r="P735" s="92" t="str">
        <v>N</v>
      </c>
      <c r="Q735" s="91">
        <v>45961</v>
      </c>
      <c r="R735" s="140">
        <v>0</v>
      </c>
      <c r="S735" s="92">
        <v>0</v>
      </c>
      <c r="T735" s="92">
        <v>0</v>
      </c>
      <c r="U735" s="137">
        <v>0</v>
      </c>
      <c r="V735" s="126" t="str">
        <f t="shared" si="22"/>
        <v>❌ Not on Best Plan</v>
      </c>
      <c r="W735" s="130" t="str">
        <f>IFERROR(_xlfn.XLOOKUP(TEXT(H735,"0000000000"),'📞 Call Tracker'!A$2:A$2000,'📞 Call Tracker'!B$2:B$2000,""),"")</f>
        <v>Joaquin</v>
      </c>
      <c r="X735" s="96">
        <f>IFERROR(_xlfn.XLOOKUP(TEXT(H735,"0000000000"),'📞 Call Tracker'!A$2:A$2000,'📞 Call Tracker'!C$2:C$2000,""),"")</f>
        <v>46025</v>
      </c>
      <c r="Y735" s="95" t="str">
        <f>IFERROR(_xlfn.XLOOKUP(TEXT(H735,"0000000000"),'📞 Call Tracker'!A$2:A$2000,'📞 Call Tracker'!D$2:D$2000,""),"")</f>
        <v>YES</v>
      </c>
      <c r="Z735" s="95">
        <f>IFERROR(_xlfn.XLOOKUP(TEXT(H735,"0000000000"),'📞 Call Tracker'!A$2:A$2000,'📞 Call Tracker'!E$2:E$2000,""),"")</f>
        <v>0</v>
      </c>
      <c r="AA735" s="145" t="str">
        <f>IFERROR(_xlfn.XLOOKUP(TEXT(H735,"0000000000"),'📞 Call Tracker'!A$2:A$2000,'📞 Call Tracker'!F$2:F$2000,""),"")</f>
        <v>LEFT VOICE MAIL</v>
      </c>
      <c r="AB735" s="132">
        <f t="shared" si="23"/>
        <v>99</v>
      </c>
      <c r="AC735" s="79"/>
    </row>
    <row r="736" spans="1:29" ht="20.100000000000001" customHeight="1">
      <c r="A736" s="91">
        <v>45910</v>
      </c>
      <c r="B736" s="92" t="str">
        <v>Josselyn</v>
      </c>
      <c r="C736" s="92" t="str">
        <v>Anne</v>
      </c>
      <c r="D736" s="92" t="str">
        <v xml:space="preserve">Sun City </v>
      </c>
      <c r="E736" s="92">
        <v>85351</v>
      </c>
      <c r="F736" s="137" t="str">
        <v>Opposed</v>
      </c>
      <c r="G736" s="93" t="str">
        <v>https://docket.images.azcc.gov/E000046316.pdf</v>
      </c>
      <c r="H736" s="150" t="s">
        <v>2423</v>
      </c>
      <c r="I736" s="114" t="str">
        <v>R-BASIC</v>
      </c>
      <c r="J736" s="94" t="str">
        <v>No</v>
      </c>
      <c r="K736" s="94" t="str">
        <v>No</v>
      </c>
      <c r="L736" s="137" t="str">
        <v>No MEP R-XS ($117.00)</v>
      </c>
      <c r="M736" s="94">
        <v>0</v>
      </c>
      <c r="N736" s="134">
        <v>0</v>
      </c>
      <c r="O736" s="119" t="str">
        <v>Yes</v>
      </c>
      <c r="P736" s="92">
        <v>45938</v>
      </c>
      <c r="Q736" s="91">
        <v>45961</v>
      </c>
      <c r="R736" s="140" t="str">
        <v>10/8/2025 Left VM</v>
      </c>
      <c r="S736" s="92">
        <v>0</v>
      </c>
      <c r="T736" s="92">
        <v>0</v>
      </c>
      <c r="U736" s="137">
        <v>0</v>
      </c>
      <c r="V736" s="126" t="str">
        <f t="shared" si="22"/>
        <v>❌ Not on Best Plan</v>
      </c>
      <c r="W736" s="130">
        <f>IFERROR(_xlfn.XLOOKUP(TEXT(H736,"0000000000"),'📞 Call Tracker'!A$2:A$2000,'📞 Call Tracker'!B$2:B$2000,""),"")</f>
        <v>0</v>
      </c>
      <c r="X736" s="96">
        <f>IFERROR(_xlfn.XLOOKUP(TEXT(H736,"0000000000"),'📞 Call Tracker'!A$2:A$2000,'📞 Call Tracker'!C$2:C$2000,""),"")</f>
        <v>0</v>
      </c>
      <c r="Y736" s="95">
        <f>IFERROR(_xlfn.XLOOKUP(TEXT(H736,"0000000000"),'📞 Call Tracker'!A$2:A$2000,'📞 Call Tracker'!D$2:D$2000,""),"")</f>
        <v>0</v>
      </c>
      <c r="Z736" s="95">
        <f>IFERROR(_xlfn.XLOOKUP(TEXT(H736,"0000000000"),'📞 Call Tracker'!A$2:A$2000,'📞 Call Tracker'!E$2:E$2000,""),"")</f>
        <v>0</v>
      </c>
      <c r="AA736" s="145">
        <f>IFERROR(_xlfn.XLOOKUP(TEXT(H736,"0000000000"),'📞 Call Tracker'!A$2:A$2000,'📞 Call Tracker'!F$2:F$2000,""),"")</f>
        <v>0</v>
      </c>
      <c r="AB736" s="132">
        <f t="shared" si="23"/>
        <v>99</v>
      </c>
      <c r="AC736" s="79"/>
    </row>
    <row r="737" spans="1:29" ht="20.100000000000001" customHeight="1">
      <c r="A737" s="91">
        <v>45910</v>
      </c>
      <c r="B737" s="92" t="str">
        <v>Ray</v>
      </c>
      <c r="C737" s="92" t="str">
        <v>Ingeborg</v>
      </c>
      <c r="D737" s="92" t="str">
        <v>Phoenix</v>
      </c>
      <c r="E737" s="92">
        <v>85021</v>
      </c>
      <c r="F737" s="137" t="str">
        <v>Opposed</v>
      </c>
      <c r="G737" s="93" t="str">
        <v>https://docket.images.azcc.gov/E000046316.pdf</v>
      </c>
      <c r="H737" s="150" t="s">
        <v>2426</v>
      </c>
      <c r="I737" s="114" t="str">
        <v>R3-47</v>
      </c>
      <c r="J737" s="94" t="str">
        <v>No</v>
      </c>
      <c r="K737" s="94" t="str">
        <v>No</v>
      </c>
      <c r="L737" s="137" t="str">
        <v>Y</v>
      </c>
      <c r="M737" s="94" t="str">
        <v>No</v>
      </c>
      <c r="N737" s="134" t="str">
        <v>No</v>
      </c>
      <c r="O737" s="119" t="str">
        <v>Yes</v>
      </c>
      <c r="P737" s="92" t="str">
        <v>N</v>
      </c>
      <c r="Q737" s="91">
        <v>45961</v>
      </c>
      <c r="R737" s="140">
        <v>0</v>
      </c>
      <c r="S737" s="92">
        <v>0</v>
      </c>
      <c r="T737" s="92">
        <v>0</v>
      </c>
      <c r="U737" s="137">
        <v>0</v>
      </c>
      <c r="V737" s="126" t="str">
        <f t="shared" si="22"/>
        <v>✅ On Best Plan</v>
      </c>
      <c r="W737" s="130" t="str">
        <f>IFERROR(_xlfn.XLOOKUP(TEXT(H737,"0000000000"),'📞 Call Tracker'!A$2:A$2000,'📞 Call Tracker'!B$2:B$2000,""),"")</f>
        <v>Joaquin</v>
      </c>
      <c r="X737" s="96">
        <f>IFERROR(_xlfn.XLOOKUP(TEXT(H737,"0000000000"),'📞 Call Tracker'!A$2:A$2000,'📞 Call Tracker'!C$2:C$2000,""),"")</f>
        <v>45997</v>
      </c>
      <c r="Y737" s="95" t="str">
        <f>IFERROR(_xlfn.XLOOKUP(TEXT(H737,"0000000000"),'📞 Call Tracker'!A$2:A$2000,'📞 Call Tracker'!D$2:D$2000,""),"")</f>
        <v>YES</v>
      </c>
      <c r="Z737" s="95">
        <f>IFERROR(_xlfn.XLOOKUP(TEXT(H737,"0000000000"),'📞 Call Tracker'!A$2:A$2000,'📞 Call Tracker'!E$2:E$2000,""),"")</f>
        <v>0</v>
      </c>
      <c r="AA737" s="145" t="str">
        <f>IFERROR(_xlfn.XLOOKUP(TEXT(H737,"0000000000"),'📞 Call Tracker'!A$2:A$2000,'📞 Call Tracker'!F$2:F$2000,""),"")</f>
        <v>ACCT CURRENT NO PAST DUE NO E3</v>
      </c>
      <c r="AB737" s="132">
        <f t="shared" si="23"/>
        <v>99</v>
      </c>
      <c r="AC737" s="79"/>
    </row>
    <row r="738" spans="1:29" ht="20.100000000000001" customHeight="1">
      <c r="A738" s="91">
        <v>45910</v>
      </c>
      <c r="B738" s="92" t="str">
        <v>Frederick</v>
      </c>
      <c r="C738" s="92" t="str">
        <v>Kyle</v>
      </c>
      <c r="D738" s="92" t="str">
        <v>Buckeye</v>
      </c>
      <c r="E738" s="92">
        <v>85326</v>
      </c>
      <c r="F738" s="137" t="str">
        <v>Opposed</v>
      </c>
      <c r="G738" s="93" t="str">
        <v>https://docket.images.azcc.gov/E000046329.pdf</v>
      </c>
      <c r="H738" s="150" t="s">
        <v>2428</v>
      </c>
      <c r="I738" s="114" t="str">
        <v>RCPw/RTOUE47</v>
      </c>
      <c r="J738" s="94" t="str">
        <v>No</v>
      </c>
      <c r="K738" s="94" t="str">
        <v>No</v>
      </c>
      <c r="L738" s="137" t="str">
        <v>Y</v>
      </c>
      <c r="M738" s="94" t="str">
        <v>No</v>
      </c>
      <c r="N738" s="134" t="str">
        <v>No</v>
      </c>
      <c r="O738" s="119" t="str">
        <v>Yes</v>
      </c>
      <c r="P738" s="92" t="str">
        <v>N</v>
      </c>
      <c r="Q738" s="91">
        <v>45961</v>
      </c>
      <c r="R738" s="140">
        <v>0</v>
      </c>
      <c r="S738" s="92">
        <v>0</v>
      </c>
      <c r="T738" s="92">
        <v>0</v>
      </c>
      <c r="U738" s="137">
        <v>0</v>
      </c>
      <c r="V738" s="126" t="str">
        <f t="shared" si="22"/>
        <v>✅ On Best Plan</v>
      </c>
      <c r="W738" s="130">
        <f>IFERROR(_xlfn.XLOOKUP(TEXT(H738,"0000000000"),'📞 Call Tracker'!A$2:A$2000,'📞 Call Tracker'!B$2:B$2000,""),"")</f>
        <v>0</v>
      </c>
      <c r="X738" s="96">
        <f>IFERROR(_xlfn.XLOOKUP(TEXT(H738,"0000000000"),'📞 Call Tracker'!A$2:A$2000,'📞 Call Tracker'!C$2:C$2000,""),"")</f>
        <v>0</v>
      </c>
      <c r="Y738" s="95">
        <f>IFERROR(_xlfn.XLOOKUP(TEXT(H738,"0000000000"),'📞 Call Tracker'!A$2:A$2000,'📞 Call Tracker'!D$2:D$2000,""),"")</f>
        <v>0</v>
      </c>
      <c r="Z738" s="95">
        <f>IFERROR(_xlfn.XLOOKUP(TEXT(H738,"0000000000"),'📞 Call Tracker'!A$2:A$2000,'📞 Call Tracker'!E$2:E$2000,""),"")</f>
        <v>0</v>
      </c>
      <c r="AA738" s="145">
        <f>IFERROR(_xlfn.XLOOKUP(TEXT(H738,"0000000000"),'📞 Call Tracker'!A$2:A$2000,'📞 Call Tracker'!F$2:F$2000,""),"")</f>
        <v>0</v>
      </c>
      <c r="AB738" s="132">
        <f t="shared" si="23"/>
        <v>99</v>
      </c>
      <c r="AC738" s="79"/>
    </row>
    <row r="739" spans="1:29" ht="20.100000000000001" customHeight="1">
      <c r="A739" s="91">
        <v>45910</v>
      </c>
      <c r="B739" s="92" t="str">
        <v>Craycroft</v>
      </c>
      <c r="C739" s="92" t="str">
        <v>Paul</v>
      </c>
      <c r="D739" s="92" t="str">
        <v>Goodyear</v>
      </c>
      <c r="E739" s="92">
        <v>85395</v>
      </c>
      <c r="F739" s="137" t="str">
        <v>Opposed</v>
      </c>
      <c r="G739" s="93" t="str">
        <v>https://docket.images.azcc.gov/E000046329.pdf</v>
      </c>
      <c r="H739" s="150" t="s">
        <v>2438</v>
      </c>
      <c r="I739" s="114" t="str">
        <v>RCPw/R-2</v>
      </c>
      <c r="J739" s="94" t="str">
        <v>No</v>
      </c>
      <c r="K739" s="94" t="str">
        <v>No</v>
      </c>
      <c r="L739" s="137" t="str">
        <v>Frozen Rate</v>
      </c>
      <c r="M739" s="94" t="str">
        <v>No</v>
      </c>
      <c r="N739" s="134" t="str">
        <v>No</v>
      </c>
      <c r="O739" s="119" t="str">
        <v>Yes</v>
      </c>
      <c r="P739" s="92" t="str">
        <v>N</v>
      </c>
      <c r="Q739" s="91">
        <v>45961</v>
      </c>
      <c r="R739" s="140" t="str">
        <v>This comment was submitted by The Arizona House of Rep Constituent Office</v>
      </c>
      <c r="S739" s="92">
        <v>0</v>
      </c>
      <c r="T739" s="92">
        <v>0</v>
      </c>
      <c r="U739" s="137">
        <v>0</v>
      </c>
      <c r="V739" s="126" t="str">
        <f t="shared" si="22"/>
        <v>❄ Frozen Rate</v>
      </c>
      <c r="W739" s="130" t="str">
        <f>IFERROR(_xlfn.XLOOKUP(TEXT(H739,"0000000000"),'📞 Call Tracker'!A$2:A$2000,'📞 Call Tracker'!B$2:B$2000,""),"")</f>
        <v>Joaquin</v>
      </c>
      <c r="X739" s="96">
        <f>IFERROR(_xlfn.XLOOKUP(TEXT(H739,"0000000000"),'📞 Call Tracker'!A$2:A$2000,'📞 Call Tracker'!C$2:C$2000,""),"")</f>
        <v>46081</v>
      </c>
      <c r="Y739" s="95" t="str">
        <f>IFERROR(_xlfn.XLOOKUP(TEXT(H739,"0000000000"),'📞 Call Tracker'!A$2:A$2000,'📞 Call Tracker'!D$2:D$2000,""),"")</f>
        <v>YES</v>
      </c>
      <c r="Z739" s="95">
        <f>IFERROR(_xlfn.XLOOKUP(TEXT(H739,"0000000000"),'📞 Call Tracker'!A$2:A$2000,'📞 Call Tracker'!E$2:E$2000,""),"")</f>
        <v>0</v>
      </c>
      <c r="AA739" s="145" t="str">
        <f>IFERROR(_xlfn.XLOOKUP(TEXT(H739,"0000000000"),'📞 Call Tracker'!A$2:A$2000,'📞 Call Tracker'!F$2:F$2000,""),"")</f>
        <v>LEFT VOICE MAIL</v>
      </c>
      <c r="AB739" s="132">
        <f t="shared" si="23"/>
        <v>99</v>
      </c>
      <c r="AC739" s="79"/>
    </row>
    <row r="740" spans="1:29" ht="20.100000000000001" customHeight="1">
      <c r="A740" s="91">
        <v>45910</v>
      </c>
      <c r="B740" s="92" t="str">
        <v>Deer</v>
      </c>
      <c r="C740" s="92" t="str">
        <v>Payton</v>
      </c>
      <c r="D740" s="92" t="str">
        <v>Phoenix</v>
      </c>
      <c r="E740" s="92">
        <v>85004</v>
      </c>
      <c r="F740" s="137" t="str">
        <v>Opposed</v>
      </c>
      <c r="G740" s="93" t="str">
        <v>https://docket.images.azcc.gov/E000046329.pdf</v>
      </c>
      <c r="H740" s="150" t="s">
        <v>2441</v>
      </c>
      <c r="I740" s="114" t="str">
        <v>RTOUE47</v>
      </c>
      <c r="J740" s="94" t="str">
        <v>No</v>
      </c>
      <c r="K740" s="94" t="str">
        <v>No</v>
      </c>
      <c r="L740" s="137" t="str">
        <v>No MEP R-XS ($119.86)</v>
      </c>
      <c r="M740" s="94" t="str">
        <v>No</v>
      </c>
      <c r="N740" s="134" t="str">
        <v>No</v>
      </c>
      <c r="O740" s="119" t="str">
        <v>Yes</v>
      </c>
      <c r="P740" s="92" t="str">
        <v>N</v>
      </c>
      <c r="Q740" s="91">
        <v>45961</v>
      </c>
      <c r="R740" s="140" t="str">
        <v>10/9 reviewed account, average monthly energy usage is trending high so customer would be bumped up to tier 2</v>
      </c>
      <c r="S740" s="92">
        <v>0</v>
      </c>
      <c r="T740" s="92">
        <v>0</v>
      </c>
      <c r="U740" s="137">
        <v>0</v>
      </c>
      <c r="V740" s="126" t="str">
        <f t="shared" si="22"/>
        <v>❌ Not on Best Plan</v>
      </c>
      <c r="W740" s="130" t="str">
        <f>IFERROR(_xlfn.XLOOKUP(TEXT(H740,"0000000000"),'📞 Call Tracker'!A$2:A$2000,'📞 Call Tracker'!B$2:B$2000,""),"")</f>
        <v>Joaquin</v>
      </c>
      <c r="X740" s="96">
        <f>IFERROR(_xlfn.XLOOKUP(TEXT(H740,"0000000000"),'📞 Call Tracker'!A$2:A$2000,'📞 Call Tracker'!C$2:C$2000,""),"")</f>
        <v>46025</v>
      </c>
      <c r="Y740" s="95" t="str">
        <f>IFERROR(_xlfn.XLOOKUP(TEXT(H740,"0000000000"),'📞 Call Tracker'!A$2:A$2000,'📞 Call Tracker'!D$2:D$2000,""),"")</f>
        <v>NO</v>
      </c>
      <c r="Z740" s="95" t="str">
        <f>IFERROR(_xlfn.XLOOKUP(TEXT(H740,"0000000000"),'📞 Call Tracker'!A$2:A$2000,'📞 Call Tracker'!E$2:E$2000,""),"")</f>
        <v>General Education</v>
      </c>
      <c r="AA740" s="145" t="str">
        <f>IFERROR(_xlfn.XLOOKUP(TEXT(H740,"0000000000"),'📞 Call Tracker'!A$2:A$2000,'📞 Call Tracker'!F$2:F$2000,""),"")</f>
        <v>OPTIONS TO HELP LOWER BILL</v>
      </c>
      <c r="AB740" s="132">
        <f t="shared" si="23"/>
        <v>99</v>
      </c>
      <c r="AC740" s="79"/>
    </row>
    <row r="741" spans="1:29" ht="20.100000000000001" customHeight="1">
      <c r="A741" s="91">
        <v>45910</v>
      </c>
      <c r="B741" s="92" t="str">
        <v>Starr</v>
      </c>
      <c r="C741" s="92" t="str">
        <v xml:space="preserve">Chris </v>
      </c>
      <c r="D741" s="92" t="str">
        <v>Peoria</v>
      </c>
      <c r="E741" s="92">
        <v>85345</v>
      </c>
      <c r="F741" s="137" t="str">
        <v>Opposed</v>
      </c>
      <c r="G741" s="93" t="str">
        <v>https://docket.images.azcc.gov/E000046329.pdf</v>
      </c>
      <c r="H741" s="150" t="s">
        <v>2445</v>
      </c>
      <c r="I741" s="114" t="str">
        <v>RTOUE47</v>
      </c>
      <c r="J741" s="94" t="str">
        <v>No</v>
      </c>
      <c r="K741" s="94" t="str">
        <v>No</v>
      </c>
      <c r="L741" s="137" t="str">
        <v>Y</v>
      </c>
      <c r="M741" s="94" t="str">
        <v>No</v>
      </c>
      <c r="N741" s="134" t="str">
        <v>No</v>
      </c>
      <c r="O741" s="119" t="str">
        <v>Yes</v>
      </c>
      <c r="P741" s="92" t="str">
        <v>N</v>
      </c>
      <c r="Q741" s="91">
        <v>45961</v>
      </c>
      <c r="R741" s="140">
        <v>0</v>
      </c>
      <c r="S741" s="92">
        <v>0</v>
      </c>
      <c r="T741" s="92">
        <v>0</v>
      </c>
      <c r="U741" s="137">
        <v>0</v>
      </c>
      <c r="V741" s="126" t="str">
        <f t="shared" si="22"/>
        <v>✅ On Best Plan</v>
      </c>
      <c r="W741" s="130" t="str">
        <f>IFERROR(_xlfn.XLOOKUP(TEXT(H741,"0000000000"),'📞 Call Tracker'!A$2:A$2000,'📞 Call Tracker'!B$2:B$2000,""),"")</f>
        <v>Joaquin</v>
      </c>
      <c r="X741" s="96">
        <f>IFERROR(_xlfn.XLOOKUP(TEXT(H741,"0000000000"),'📞 Call Tracker'!A$2:A$2000,'📞 Call Tracker'!C$2:C$2000,""),"")</f>
        <v>46081</v>
      </c>
      <c r="Y741" s="95" t="str">
        <f>IFERROR(_xlfn.XLOOKUP(TEXT(H741,"0000000000"),'📞 Call Tracker'!A$2:A$2000,'📞 Call Tracker'!D$2:D$2000,""),"")</f>
        <v>NO</v>
      </c>
      <c r="Z741" s="95" t="str">
        <f>IFERROR(_xlfn.XLOOKUP(TEXT(H741,"0000000000"),'📞 Call Tracker'!A$2:A$2000,'📞 Call Tracker'!E$2:E$2000,""),"")</f>
        <v>General Education</v>
      </c>
      <c r="AA741" s="145" t="str">
        <f>IFERROR(_xlfn.XLOOKUP(TEXT(H741,"0000000000"),'📞 Call Tracker'!A$2:A$2000,'📞 Call Tracker'!F$2:F$2000,""),"")</f>
        <v>POSITIVE WITH OPTION OFFERED TO SAVE OR LOWER BILL</v>
      </c>
      <c r="AB741" s="132">
        <f t="shared" si="23"/>
        <v>99</v>
      </c>
      <c r="AC741" s="79"/>
    </row>
    <row r="742" spans="1:29" ht="20.100000000000001" customHeight="1">
      <c r="A742" s="91">
        <v>45910</v>
      </c>
      <c r="B742" s="92" t="str">
        <v>Lassner</v>
      </c>
      <c r="C742" s="92" t="str">
        <v>Aaron</v>
      </c>
      <c r="D742" s="92" t="str">
        <v>Surprise</v>
      </c>
      <c r="E742" s="92">
        <v>85388</v>
      </c>
      <c r="F742" s="137" t="str">
        <v>Form letter</v>
      </c>
      <c r="G742" s="93" t="str">
        <v>https://docket.images.azcc.gov/E000046349.pdf</v>
      </c>
      <c r="H742" s="150" t="s">
        <v>2448</v>
      </c>
      <c r="I742" s="114" t="str">
        <v>RCPw/RTOUE47</v>
      </c>
      <c r="J742" s="94" t="str">
        <v>No</v>
      </c>
      <c r="K742" s="94" t="str">
        <v>No</v>
      </c>
      <c r="L742" s="137" t="str">
        <v>Y</v>
      </c>
      <c r="M742" s="94" t="str">
        <v>No</v>
      </c>
      <c r="N742" s="134" t="str">
        <v>No</v>
      </c>
      <c r="O742" s="119" t="str">
        <v>Yes</v>
      </c>
      <c r="P742" s="92" t="str">
        <v>N</v>
      </c>
      <c r="Q742" s="91">
        <v>45961</v>
      </c>
      <c r="R742" s="140">
        <v>0</v>
      </c>
      <c r="S742" s="92">
        <v>0</v>
      </c>
      <c r="T742" s="92">
        <v>0</v>
      </c>
      <c r="U742" s="137">
        <v>0</v>
      </c>
      <c r="V742" s="126" t="str">
        <f t="shared" si="22"/>
        <v>✅ On Best Plan</v>
      </c>
      <c r="W742" s="130">
        <f>IFERROR(_xlfn.XLOOKUP(TEXT(H742,"0000000000"),'📞 Call Tracker'!A$2:A$2000,'📞 Call Tracker'!B$2:B$2000,""),"")</f>
        <v>0</v>
      </c>
      <c r="X742" s="96">
        <f>IFERROR(_xlfn.XLOOKUP(TEXT(H742,"0000000000"),'📞 Call Tracker'!A$2:A$2000,'📞 Call Tracker'!C$2:C$2000,""),"")</f>
        <v>0</v>
      </c>
      <c r="Y742" s="95">
        <f>IFERROR(_xlfn.XLOOKUP(TEXT(H742,"0000000000"),'📞 Call Tracker'!A$2:A$2000,'📞 Call Tracker'!D$2:D$2000,""),"")</f>
        <v>0</v>
      </c>
      <c r="Z742" s="95">
        <f>IFERROR(_xlfn.XLOOKUP(TEXT(H742,"0000000000"),'📞 Call Tracker'!A$2:A$2000,'📞 Call Tracker'!E$2:E$2000,""),"")</f>
        <v>0</v>
      </c>
      <c r="AA742" s="145">
        <f>IFERROR(_xlfn.XLOOKUP(TEXT(H742,"0000000000"),'📞 Call Tracker'!A$2:A$2000,'📞 Call Tracker'!F$2:F$2000,""),"")</f>
        <v>0</v>
      </c>
      <c r="AB742" s="132">
        <f t="shared" si="23"/>
        <v>99</v>
      </c>
      <c r="AC742" s="79"/>
    </row>
    <row r="743" spans="1:29" ht="20.100000000000001" customHeight="1">
      <c r="A743" s="91">
        <v>45911</v>
      </c>
      <c r="B743" s="92" t="str">
        <v>Mohajerin</v>
      </c>
      <c r="C743" s="92" t="str">
        <v>Saeed</v>
      </c>
      <c r="D743" s="92" t="str">
        <v>Scottsdale</v>
      </c>
      <c r="E743" s="92">
        <v>85259</v>
      </c>
      <c r="F743" s="137" t="str">
        <v>How much is enough</v>
      </c>
      <c r="G743" s="93" t="str">
        <v>https://docket.images.azcc.gov/E000046349.pdf</v>
      </c>
      <c r="H743" s="150" t="s">
        <v>2450</v>
      </c>
      <c r="I743" s="114" t="str">
        <v>R3-47</v>
      </c>
      <c r="J743" s="94" t="str">
        <v>No</v>
      </c>
      <c r="K743" s="94" t="str">
        <v>No</v>
      </c>
      <c r="L743" s="137" t="str">
        <v>Y</v>
      </c>
      <c r="M743" s="94" t="str">
        <v>No</v>
      </c>
      <c r="N743" s="134" t="str">
        <v>No</v>
      </c>
      <c r="O743" s="119" t="str">
        <v>Yes</v>
      </c>
      <c r="P743" s="92" t="str">
        <v>N</v>
      </c>
      <c r="Q743" s="91">
        <v>45961</v>
      </c>
      <c r="R743" s="140">
        <v>0</v>
      </c>
      <c r="S743" s="92">
        <v>0</v>
      </c>
      <c r="T743" s="92">
        <v>0</v>
      </c>
      <c r="U743" s="137">
        <v>0</v>
      </c>
      <c r="V743" s="126" t="str">
        <f t="shared" si="22"/>
        <v>✅ On Best Plan</v>
      </c>
      <c r="W743" s="130" t="str">
        <f>IFERROR(_xlfn.XLOOKUP(TEXT(H743,"0000000000"),'📞 Call Tracker'!A$2:A$2000,'📞 Call Tracker'!B$2:B$2000,""),"")</f>
        <v>Joaquin</v>
      </c>
      <c r="X743" s="96">
        <f>IFERROR(_xlfn.XLOOKUP(TEXT(H743,"0000000000"),'📞 Call Tracker'!A$2:A$2000,'📞 Call Tracker'!C$2:C$2000,""),"")</f>
        <v>45997</v>
      </c>
      <c r="Y743" s="95">
        <f>IFERROR(_xlfn.XLOOKUP(TEXT(H743,"0000000000"),'📞 Call Tracker'!A$2:A$2000,'📞 Call Tracker'!D$2:D$2000,""),"")</f>
        <v>0</v>
      </c>
      <c r="Z743" s="95">
        <f>IFERROR(_xlfn.XLOOKUP(TEXT(H743,"0000000000"),'📞 Call Tracker'!A$2:A$2000,'📞 Call Tracker'!E$2:E$2000,""),"")</f>
        <v>0</v>
      </c>
      <c r="AA743" s="145" t="str">
        <f>IFERROR(_xlfn.XLOOKUP(TEXT(H743,"0000000000"),'📞 Call Tracker'!A$2:A$2000,'📞 Call Tracker'!F$2:F$2000,""),"")</f>
        <v>DID TALK TO ROMINA LYNDH IS ON P-A MAILED E3</v>
      </c>
      <c r="AB743" s="132">
        <f t="shared" si="23"/>
        <v>99</v>
      </c>
      <c r="AC743" s="79"/>
    </row>
    <row r="744" spans="1:29" ht="20.100000000000001" customHeight="1">
      <c r="A744" s="91">
        <v>45911</v>
      </c>
      <c r="B744" s="92" t="str">
        <v>Horne</v>
      </c>
      <c r="C744" s="92" t="str">
        <v>Benjamin</v>
      </c>
      <c r="D744" s="92" t="str">
        <v>Peoria</v>
      </c>
      <c r="E744" s="92">
        <v>85345</v>
      </c>
      <c r="F744" s="137" t="str">
        <v>Form letter</v>
      </c>
      <c r="G744" s="93" t="str">
        <v>https://docket.images.azcc.gov/E000046349.pdf</v>
      </c>
      <c r="H744" s="150" t="s">
        <v>2454</v>
      </c>
      <c r="I744" s="114" t="str">
        <v>RCPw/RTOUE47</v>
      </c>
      <c r="J744" s="94" t="str">
        <v>No</v>
      </c>
      <c r="K744" s="94" t="str">
        <v>No</v>
      </c>
      <c r="L744" s="137" t="str">
        <v>No MEP R3-47 ($15.79)</v>
      </c>
      <c r="M744" s="94" t="str">
        <v>No</v>
      </c>
      <c r="N744" s="134" t="str">
        <v>No</v>
      </c>
      <c r="O744" s="119" t="str">
        <v>Yes</v>
      </c>
      <c r="P744" s="92" t="str">
        <v>N</v>
      </c>
      <c r="Q744" s="91">
        <v>45961</v>
      </c>
      <c r="R744" s="140">
        <v>0</v>
      </c>
      <c r="S744" s="92">
        <v>0</v>
      </c>
      <c r="T744" s="92">
        <v>0</v>
      </c>
      <c r="U744" s="137">
        <v>0</v>
      </c>
      <c r="V744" s="126" t="str">
        <f t="shared" si="22"/>
        <v>❌ Not on Best Plan</v>
      </c>
      <c r="W744" s="130" t="str">
        <f>IFERROR(_xlfn.XLOOKUP(TEXT(H744,"0000000000"),'📞 Call Tracker'!A$2:A$2000,'📞 Call Tracker'!B$2:B$2000,""),"")</f>
        <v>Joaquin</v>
      </c>
      <c r="X744" s="96">
        <f>IFERROR(_xlfn.XLOOKUP(TEXT(H744,"0000000000"),'📞 Call Tracker'!A$2:A$2000,'📞 Call Tracker'!C$2:C$2000,""),"")</f>
        <v>46025</v>
      </c>
      <c r="Y744" s="95">
        <f>IFERROR(_xlfn.XLOOKUP(TEXT(H744,"0000000000"),'📞 Call Tracker'!A$2:A$2000,'📞 Call Tracker'!D$2:D$2000,""),"")</f>
        <v>0</v>
      </c>
      <c r="Z744" s="95">
        <f>IFERROR(_xlfn.XLOOKUP(TEXT(H744,"0000000000"),'📞 Call Tracker'!A$2:A$2000,'📞 Call Tracker'!E$2:E$2000,""),"")</f>
        <v>0</v>
      </c>
      <c r="AA744" s="145" t="str">
        <f>IFERROR(_xlfn.XLOOKUP(TEXT(H744,"0000000000"),'📞 Call Tracker'!A$2:A$2000,'📞 Call Tracker'!F$2:F$2000,""),"")</f>
        <v>LEFT VOICE MAIL</v>
      </c>
      <c r="AB744" s="132">
        <f t="shared" si="23"/>
        <v>99</v>
      </c>
      <c r="AC744" s="79"/>
    </row>
    <row r="745" spans="1:29" ht="20.100000000000001" customHeight="1">
      <c r="A745" s="91">
        <v>45912</v>
      </c>
      <c r="B745" s="92" t="str">
        <v>Thompson</v>
      </c>
      <c r="C745" s="92" t="str">
        <v>Shirley</v>
      </c>
      <c r="D745" s="92" t="str">
        <v>Goodyear</v>
      </c>
      <c r="E745" s="92">
        <v>85395</v>
      </c>
      <c r="F745" s="137" t="str">
        <v>Opposed</v>
      </c>
      <c r="G745" s="93" t="str">
        <v>https://docket.images.azcc.gov/E000046359.pdf</v>
      </c>
      <c r="H745" s="150" t="s">
        <v>2459</v>
      </c>
      <c r="I745" s="114" t="str">
        <v>R3-47</v>
      </c>
      <c r="J745" s="94" t="str">
        <v>No</v>
      </c>
      <c r="K745" s="94" t="str">
        <v>No</v>
      </c>
      <c r="L745" s="137" t="str">
        <v>Y</v>
      </c>
      <c r="M745" s="94" t="str">
        <v>No</v>
      </c>
      <c r="N745" s="134" t="str">
        <v>No</v>
      </c>
      <c r="O745" s="119" t="str">
        <v>Yes</v>
      </c>
      <c r="P745" s="92" t="str">
        <v>N</v>
      </c>
      <c r="Q745" s="91">
        <v>45961</v>
      </c>
      <c r="R745" s="140">
        <v>0</v>
      </c>
      <c r="S745" s="92">
        <v>0</v>
      </c>
      <c r="T745" s="92">
        <v>0</v>
      </c>
      <c r="U745" s="137">
        <v>0</v>
      </c>
      <c r="V745" s="126" t="str">
        <f t="shared" si="22"/>
        <v>✅ On Best Plan</v>
      </c>
      <c r="W745" s="130" t="str">
        <f>IFERROR(_xlfn.XLOOKUP(TEXT(H745,"0000000000"),'📞 Call Tracker'!A$2:A$2000,'📞 Call Tracker'!B$2:B$2000,""),"")</f>
        <v>Joaquin</v>
      </c>
      <c r="X745" s="96">
        <f>IFERROR(_xlfn.XLOOKUP(TEXT(H745,"0000000000"),'📞 Call Tracker'!A$2:A$2000,'📞 Call Tracker'!C$2:C$2000,""),"")</f>
        <v>46081</v>
      </c>
      <c r="Y745" s="95" t="str">
        <f>IFERROR(_xlfn.XLOOKUP(TEXT(H745,"0000000000"),'📞 Call Tracker'!A$2:A$2000,'📞 Call Tracker'!D$2:D$2000,""),"")</f>
        <v>YES</v>
      </c>
      <c r="Z745" s="95">
        <f>IFERROR(_xlfn.XLOOKUP(TEXT(H745,"0000000000"),'📞 Call Tracker'!A$2:A$2000,'📞 Call Tracker'!E$2:E$2000,""),"")</f>
        <v>0</v>
      </c>
      <c r="AA745" s="145" t="str">
        <f>IFERROR(_xlfn.XLOOKUP(TEXT(H745,"0000000000"),'📞 Call Tracker'!A$2:A$2000,'📞 Call Tracker'!F$2:F$2000,""),"")</f>
        <v>LEFT VOICE MAIL</v>
      </c>
      <c r="AB745" s="132">
        <f t="shared" si="23"/>
        <v>99</v>
      </c>
      <c r="AC745" s="79"/>
    </row>
    <row r="746" spans="1:29" ht="20.100000000000001" customHeight="1">
      <c r="A746" s="91">
        <v>45912</v>
      </c>
      <c r="B746" s="92" t="str">
        <v>Saltzman</v>
      </c>
      <c r="C746" s="92" t="str">
        <v>Stephanie</v>
      </c>
      <c r="D746" s="92" t="str">
        <v>Phoenix</v>
      </c>
      <c r="E746" s="92">
        <v>85027</v>
      </c>
      <c r="F746" s="137" t="str">
        <v xml:space="preserve">Fixed income </v>
      </c>
      <c r="G746" s="93" t="str">
        <v>https://docket.images.azcc.gov/E000046404.pdf</v>
      </c>
      <c r="H746" s="150" t="s">
        <v>2467</v>
      </c>
      <c r="I746" s="114" t="str">
        <v>RTOUE47</v>
      </c>
      <c r="J746" s="94" t="str">
        <v>No</v>
      </c>
      <c r="K746" s="94" t="str">
        <v>No</v>
      </c>
      <c r="L746" s="137" t="str">
        <v>No MEP R-BASIC ($77.70)</v>
      </c>
      <c r="M746" s="94" t="str">
        <v>No</v>
      </c>
      <c r="N746" s="134" t="str">
        <v>No</v>
      </c>
      <c r="O746" s="119" t="str">
        <v>Yes</v>
      </c>
      <c r="P746" s="92" t="str">
        <v>N</v>
      </c>
      <c r="Q746" s="91">
        <v>45961</v>
      </c>
      <c r="R746" s="140">
        <v>0</v>
      </c>
      <c r="S746" s="92">
        <v>0</v>
      </c>
      <c r="T746" s="92">
        <v>0</v>
      </c>
      <c r="U746" s="137">
        <v>0</v>
      </c>
      <c r="V746" s="126" t="str">
        <f t="shared" si="22"/>
        <v>❌ Not on Best Plan</v>
      </c>
      <c r="W746" s="130" t="str">
        <f>IFERROR(_xlfn.XLOOKUP(TEXT(H746,"0000000000"),'📞 Call Tracker'!A$2:A$2000,'📞 Call Tracker'!B$2:B$2000,""),"")</f>
        <v>Joaquin</v>
      </c>
      <c r="X746" s="96">
        <f>IFERROR(_xlfn.XLOOKUP(TEXT(H746,"0000000000"),'📞 Call Tracker'!A$2:A$2000,'📞 Call Tracker'!C$2:C$2000,""),"")</f>
        <v>46060</v>
      </c>
      <c r="Y746" s="95" t="str">
        <f>IFERROR(_xlfn.XLOOKUP(TEXT(H746,"0000000000"),'📞 Call Tracker'!A$2:A$2000,'📞 Call Tracker'!D$2:D$2000,""),"")</f>
        <v>YES</v>
      </c>
      <c r="Z746" s="95">
        <f>IFERROR(_xlfn.XLOOKUP(TEXT(H746,"0000000000"),'📞 Call Tracker'!A$2:A$2000,'📞 Call Tracker'!E$2:E$2000,""),"")</f>
        <v>0</v>
      </c>
      <c r="AA746" s="145" t="str">
        <f>IFERROR(_xlfn.XLOOKUP(TEXT(H746,"0000000000"),'📞 Call Tracker'!A$2:A$2000,'📞 Call Tracker'!F$2:F$2000,""),"")</f>
        <v>LEFT VOICE MESSAGE</v>
      </c>
      <c r="AB746" s="132">
        <f t="shared" si="23"/>
        <v>99</v>
      </c>
      <c r="AC746" s="79"/>
    </row>
    <row r="747" spans="1:29" ht="20.100000000000001" customHeight="1">
      <c r="A747" s="91">
        <v>45912</v>
      </c>
      <c r="B747" s="92" t="str">
        <v>Bejar</v>
      </c>
      <c r="C747" s="92" t="str">
        <v>Christen</v>
      </c>
      <c r="D747" s="92" t="str">
        <v>Avondale</v>
      </c>
      <c r="E747" s="92">
        <v>85392</v>
      </c>
      <c r="F747" s="137" t="str">
        <v>Form letter</v>
      </c>
      <c r="G747" s="93" t="str">
        <v>https://docket.images.azcc.gov/E000046404.pdf</v>
      </c>
      <c r="H747" s="150" t="s">
        <v>2470</v>
      </c>
      <c r="I747" s="114" t="str">
        <v>RTOUE47</v>
      </c>
      <c r="J747" s="94" t="str">
        <v>No</v>
      </c>
      <c r="K747" s="94" t="str">
        <v>No</v>
      </c>
      <c r="L747" s="137" t="str">
        <v>No MEP R3-47 ($120.96)</v>
      </c>
      <c r="M747" s="94" t="str">
        <v>No</v>
      </c>
      <c r="N747" s="134" t="str">
        <v>No</v>
      </c>
      <c r="O747" s="119" t="str">
        <v>Yes</v>
      </c>
      <c r="P747" s="92">
        <v>45938</v>
      </c>
      <c r="Q747" s="91">
        <v>45961</v>
      </c>
      <c r="R747" s="140" t="str">
        <v>10/08/2025 Left VM</v>
      </c>
      <c r="S747" s="92">
        <v>0</v>
      </c>
      <c r="T747" s="92">
        <v>0</v>
      </c>
      <c r="U747" s="137">
        <v>0</v>
      </c>
      <c r="V747" s="126" t="str">
        <f t="shared" si="22"/>
        <v>❌ Not on Best Plan</v>
      </c>
      <c r="W747" s="130" t="str">
        <f>IFERROR(_xlfn.XLOOKUP(TEXT(H747,"0000000000"),'📞 Call Tracker'!A$2:A$2000,'📞 Call Tracker'!B$2:B$2000,""),"")</f>
        <v>Joaquin</v>
      </c>
      <c r="X747" s="96">
        <f>IFERROR(_xlfn.XLOOKUP(TEXT(H747,"0000000000"),'📞 Call Tracker'!A$2:A$2000,'📞 Call Tracker'!C$2:C$2000,""),"")</f>
        <v>46081</v>
      </c>
      <c r="Y747" s="95" t="str">
        <f>IFERROR(_xlfn.XLOOKUP(TEXT(H747,"0000000000"),'📞 Call Tracker'!A$2:A$2000,'📞 Call Tracker'!D$2:D$2000,""),"")</f>
        <v>NO</v>
      </c>
      <c r="Z747" s="95" t="str">
        <f>IFERROR(_xlfn.XLOOKUP(TEXT(H747,"0000000000"),'📞 Call Tracker'!A$2:A$2000,'📞 Call Tracker'!E$2:E$2000,""),"")</f>
        <v>General Education</v>
      </c>
      <c r="AA747" s="145">
        <f>IFERROR(_xlfn.XLOOKUP(TEXT(H747,"0000000000"),'📞 Call Tracker'!A$2:A$2000,'📞 Call Tracker'!F$2:F$2000,""),"")</f>
        <v>0</v>
      </c>
      <c r="AB747" s="132">
        <f t="shared" si="23"/>
        <v>99</v>
      </c>
      <c r="AC747" s="79"/>
    </row>
    <row r="748" spans="1:29" ht="20.100000000000001" customHeight="1">
      <c r="A748" s="91">
        <v>45912</v>
      </c>
      <c r="B748" s="92" t="str">
        <v>Redman</v>
      </c>
      <c r="C748" s="92" t="str">
        <v>Melissa</v>
      </c>
      <c r="D748" s="92" t="str">
        <v>Glendale</v>
      </c>
      <c r="E748" s="92">
        <v>85308</v>
      </c>
      <c r="F748" s="137" t="str">
        <v>Form letter</v>
      </c>
      <c r="G748" s="93" t="str">
        <v>https://docket.images.azcc.gov/E000046404.pdf</v>
      </c>
      <c r="H748" s="150" t="s">
        <v>2472</v>
      </c>
      <c r="I748" s="114" t="str">
        <v>EPR-6w/E-12</v>
      </c>
      <c r="J748" s="94" t="str">
        <v>No</v>
      </c>
      <c r="K748" s="94" t="str">
        <v>No</v>
      </c>
      <c r="L748" s="137" t="str">
        <v>Frozen Rate</v>
      </c>
      <c r="M748" s="94" t="str">
        <v>No</v>
      </c>
      <c r="N748" s="134" t="str">
        <v>No</v>
      </c>
      <c r="O748" s="119" t="str">
        <v>Yes</v>
      </c>
      <c r="P748" s="92" t="str">
        <v>N</v>
      </c>
      <c r="Q748" s="91">
        <v>45961</v>
      </c>
      <c r="R748" s="140">
        <v>0</v>
      </c>
      <c r="S748" s="92">
        <v>0</v>
      </c>
      <c r="T748" s="92">
        <v>0</v>
      </c>
      <c r="U748" s="137">
        <v>0</v>
      </c>
      <c r="V748" s="126" t="str">
        <f t="shared" si="22"/>
        <v>❄ Frozen Rate</v>
      </c>
      <c r="W748" s="130">
        <f>IFERROR(_xlfn.XLOOKUP(TEXT(H748,"0000000000"),'📞 Call Tracker'!A$2:A$2000,'📞 Call Tracker'!B$2:B$2000,""),"")</f>
        <v>0</v>
      </c>
      <c r="X748" s="96">
        <f>IFERROR(_xlfn.XLOOKUP(TEXT(H748,"0000000000"),'📞 Call Tracker'!A$2:A$2000,'📞 Call Tracker'!C$2:C$2000,""),"")</f>
        <v>0</v>
      </c>
      <c r="Y748" s="95">
        <f>IFERROR(_xlfn.XLOOKUP(TEXT(H748,"0000000000"),'📞 Call Tracker'!A$2:A$2000,'📞 Call Tracker'!D$2:D$2000,""),"")</f>
        <v>0</v>
      </c>
      <c r="Z748" s="95">
        <f>IFERROR(_xlfn.XLOOKUP(TEXT(H748,"0000000000"),'📞 Call Tracker'!A$2:A$2000,'📞 Call Tracker'!E$2:E$2000,""),"")</f>
        <v>0</v>
      </c>
      <c r="AA748" s="145">
        <f>IFERROR(_xlfn.XLOOKUP(TEXT(H748,"0000000000"),'📞 Call Tracker'!A$2:A$2000,'📞 Call Tracker'!F$2:F$2000,""),"")</f>
        <v>0</v>
      </c>
      <c r="AB748" s="132">
        <f t="shared" si="23"/>
        <v>99</v>
      </c>
      <c r="AC748" s="79"/>
    </row>
    <row r="749" spans="1:29" ht="20.100000000000001" customHeight="1">
      <c r="A749" s="91">
        <v>45912</v>
      </c>
      <c r="B749" s="92" t="str">
        <v xml:space="preserve">Salt </v>
      </c>
      <c r="C749" s="92" t="str">
        <v>Kevin</v>
      </c>
      <c r="D749" s="92" t="str">
        <v>Scottsdale</v>
      </c>
      <c r="E749" s="92">
        <v>85255</v>
      </c>
      <c r="F749" s="137" t="str">
        <v>Opposed</v>
      </c>
      <c r="G749" s="93" t="str">
        <v>https://docket.images.azcc.gov/E000046404.pdf</v>
      </c>
      <c r="H749" s="150" t="s">
        <v>2476</v>
      </c>
      <c r="I749" s="114" t="str">
        <v>R-2</v>
      </c>
      <c r="J749" s="94" t="str">
        <v>No</v>
      </c>
      <c r="K749" s="94" t="str">
        <v>No</v>
      </c>
      <c r="L749" s="137" t="str">
        <v>Frozen Rate</v>
      </c>
      <c r="M749" s="94" t="str">
        <v>No</v>
      </c>
      <c r="N749" s="134" t="str">
        <v>No</v>
      </c>
      <c r="O749" s="119" t="str">
        <v>Yes</v>
      </c>
      <c r="P749" s="92" t="str">
        <v>N</v>
      </c>
      <c r="Q749" s="91">
        <v>45961</v>
      </c>
      <c r="R749" s="140">
        <v>0</v>
      </c>
      <c r="S749" s="92">
        <v>0</v>
      </c>
      <c r="T749" s="92">
        <v>0</v>
      </c>
      <c r="U749" s="137">
        <v>0</v>
      </c>
      <c r="V749" s="126" t="str">
        <f t="shared" si="22"/>
        <v>❄ Frozen Rate</v>
      </c>
      <c r="W749" s="130" t="str">
        <f>IFERROR(_xlfn.XLOOKUP(TEXT(H749,"0000000000"),'📞 Call Tracker'!A$2:A$2000,'📞 Call Tracker'!B$2:B$2000,""),"")</f>
        <v>Joaquin</v>
      </c>
      <c r="X749" s="96">
        <f>IFERROR(_xlfn.XLOOKUP(TEXT(H749,"0000000000"),'📞 Call Tracker'!A$2:A$2000,'📞 Call Tracker'!C$2:C$2000,""),"")</f>
        <v>46025</v>
      </c>
      <c r="Y749" s="95" t="str">
        <f>IFERROR(_xlfn.XLOOKUP(TEXT(H749,"0000000000"),'📞 Call Tracker'!A$2:A$2000,'📞 Call Tracker'!D$2:D$2000,""),"")</f>
        <v>YES</v>
      </c>
      <c r="Z749" s="95">
        <f>IFERROR(_xlfn.XLOOKUP(TEXT(H749,"0000000000"),'📞 Call Tracker'!A$2:A$2000,'📞 Call Tracker'!E$2:E$2000,""),"")</f>
        <v>0</v>
      </c>
      <c r="AA749" s="145" t="str">
        <f>IFERROR(_xlfn.XLOOKUP(TEXT(H749,"0000000000"),'📞 Call Tracker'!A$2:A$2000,'📞 Call Tracker'!F$2:F$2000,""),"")</f>
        <v>LEFT VOICE MAIL</v>
      </c>
      <c r="AB749" s="132">
        <f t="shared" si="23"/>
        <v>99</v>
      </c>
      <c r="AC749" s="79"/>
    </row>
    <row r="750" spans="1:29" ht="20.100000000000001" customHeight="1">
      <c r="A750" s="91">
        <v>45912</v>
      </c>
      <c r="B750" s="92" t="str">
        <v>Harms</v>
      </c>
      <c r="C750" s="92" t="str">
        <v>Steven</v>
      </c>
      <c r="D750" s="92" t="str">
        <v>Prescott</v>
      </c>
      <c r="E750" s="92">
        <v>86303</v>
      </c>
      <c r="F750" s="137" t="str">
        <v>Reduced exorbitant salaries</v>
      </c>
      <c r="G750" s="93" t="str">
        <v>https://docket.images.azcc.gov/E000046437.pdf</v>
      </c>
      <c r="H750" s="150" t="s">
        <v>2480</v>
      </c>
      <c r="I750" s="114" t="str">
        <v>R-XS</v>
      </c>
      <c r="J750" s="94" t="str">
        <v>No</v>
      </c>
      <c r="K750" s="94" t="str">
        <v>No</v>
      </c>
      <c r="L750" s="137" t="str">
        <v>Y</v>
      </c>
      <c r="M750" s="94" t="str">
        <v>No</v>
      </c>
      <c r="N750" s="134" t="str">
        <v>No</v>
      </c>
      <c r="O750" s="119" t="str">
        <v>Yes</v>
      </c>
      <c r="P750" s="92" t="str">
        <v>N</v>
      </c>
      <c r="Q750" s="91">
        <v>45961</v>
      </c>
      <c r="R750" s="140">
        <v>0</v>
      </c>
      <c r="S750" s="92">
        <v>0</v>
      </c>
      <c r="T750" s="92">
        <v>0</v>
      </c>
      <c r="U750" s="137">
        <v>0</v>
      </c>
      <c r="V750" s="126" t="str">
        <f t="shared" si="22"/>
        <v>✅ On Best Plan</v>
      </c>
      <c r="W750" s="130" t="str">
        <f>IFERROR(_xlfn.XLOOKUP(TEXT(H750,"0000000000"),'📞 Call Tracker'!A$2:A$2000,'📞 Call Tracker'!B$2:B$2000,""),"")</f>
        <v>Joaquin</v>
      </c>
      <c r="X750" s="96">
        <f>IFERROR(_xlfn.XLOOKUP(TEXT(H750,"0000000000"),'📞 Call Tracker'!A$2:A$2000,'📞 Call Tracker'!C$2:C$2000,""),"")</f>
        <v>46081</v>
      </c>
      <c r="Y750" s="95" t="str">
        <f>IFERROR(_xlfn.XLOOKUP(TEXT(H750,"0000000000"),'📞 Call Tracker'!A$2:A$2000,'📞 Call Tracker'!D$2:D$2000,""),"")</f>
        <v>YES</v>
      </c>
      <c r="Z750" s="95">
        <f>IFERROR(_xlfn.XLOOKUP(TEXT(H750,"0000000000"),'📞 Call Tracker'!A$2:A$2000,'📞 Call Tracker'!E$2:E$2000,""),"")</f>
        <v>0</v>
      </c>
      <c r="AA750" s="145" t="str">
        <f>IFERROR(_xlfn.XLOOKUP(TEXT(H750,"0000000000"),'📞 Call Tracker'!A$2:A$2000,'📞 Call Tracker'!F$2:F$2000,""),"")</f>
        <v>LEFT VOICE MAIL</v>
      </c>
      <c r="AB750" s="132">
        <f t="shared" si="23"/>
        <v>99</v>
      </c>
      <c r="AC750" s="79"/>
    </row>
    <row r="751" spans="1:29" ht="20.100000000000001" customHeight="1">
      <c r="A751" s="91">
        <v>45912</v>
      </c>
      <c r="B751" s="92" t="str">
        <v xml:space="preserve">O'Neil </v>
      </c>
      <c r="C751" s="92" t="str">
        <v>Patricia</v>
      </c>
      <c r="D751" s="92" t="str">
        <v>Surprise</v>
      </c>
      <c r="E751" s="92">
        <v>85378</v>
      </c>
      <c r="F751" s="137" t="str">
        <v>Monopoly</v>
      </c>
      <c r="G751" s="93" t="str">
        <v>https://docket.images.azcc.gov/E000046437.pdf</v>
      </c>
      <c r="H751" s="150" t="s">
        <v>2483</v>
      </c>
      <c r="I751" s="114" t="str">
        <v>RCPw/RTOUE47</v>
      </c>
      <c r="J751" s="94" t="str">
        <v>No</v>
      </c>
      <c r="K751" s="94" t="str">
        <v>No</v>
      </c>
      <c r="L751" s="137" t="str">
        <v>No MEP R3-47 ($19.36)</v>
      </c>
      <c r="M751" s="94" t="str">
        <v>No</v>
      </c>
      <c r="N751" s="134" t="str">
        <v>No</v>
      </c>
      <c r="O751" s="119" t="str">
        <v>Yes</v>
      </c>
      <c r="P751" s="92" t="str">
        <v>N</v>
      </c>
      <c r="Q751" s="91">
        <v>45961</v>
      </c>
      <c r="R751" s="140">
        <v>0</v>
      </c>
      <c r="S751" s="92">
        <v>0</v>
      </c>
      <c r="T751" s="92">
        <v>0</v>
      </c>
      <c r="U751" s="137">
        <v>0</v>
      </c>
      <c r="V751" s="126" t="str">
        <f t="shared" si="22"/>
        <v>❌ Not on Best Plan</v>
      </c>
      <c r="W751" s="130">
        <f>IFERROR(_xlfn.XLOOKUP(TEXT(H751,"0000000000"),'📞 Call Tracker'!A$2:A$2000,'📞 Call Tracker'!B$2:B$2000,""),"")</f>
        <v>0</v>
      </c>
      <c r="X751" s="96">
        <f>IFERROR(_xlfn.XLOOKUP(TEXT(H751,"0000000000"),'📞 Call Tracker'!A$2:A$2000,'📞 Call Tracker'!C$2:C$2000,""),"")</f>
        <v>0</v>
      </c>
      <c r="Y751" s="95">
        <f>IFERROR(_xlfn.XLOOKUP(TEXT(H751,"0000000000"),'📞 Call Tracker'!A$2:A$2000,'📞 Call Tracker'!D$2:D$2000,""),"")</f>
        <v>0</v>
      </c>
      <c r="Z751" s="95">
        <f>IFERROR(_xlfn.XLOOKUP(TEXT(H751,"0000000000"),'📞 Call Tracker'!A$2:A$2000,'📞 Call Tracker'!E$2:E$2000,""),"")</f>
        <v>0</v>
      </c>
      <c r="AA751" s="145">
        <f>IFERROR(_xlfn.XLOOKUP(TEXT(H751,"0000000000"),'📞 Call Tracker'!A$2:A$2000,'📞 Call Tracker'!F$2:F$2000,""),"")</f>
        <v>0</v>
      </c>
      <c r="AB751" s="132">
        <f t="shared" si="23"/>
        <v>99</v>
      </c>
      <c r="AC751" s="79"/>
    </row>
    <row r="752" spans="1:29" ht="20.100000000000001" customHeight="1">
      <c r="A752" s="91">
        <v>45912</v>
      </c>
      <c r="B752" s="92" t="str">
        <v>Dukart</v>
      </c>
      <c r="C752" s="92" t="str">
        <v>David</v>
      </c>
      <c r="D752" s="92" t="str">
        <v>Glendale</v>
      </c>
      <c r="E752" s="92">
        <v>85308</v>
      </c>
      <c r="F752" s="137" t="str">
        <v>Corporate Greed</v>
      </c>
      <c r="G752" s="93" t="str">
        <v>https://docket.images.azcc.gov/E000046437.pdf</v>
      </c>
      <c r="H752" s="150" t="s">
        <v>2487</v>
      </c>
      <c r="I752" s="114" t="str">
        <v>R-2</v>
      </c>
      <c r="J752" s="94" t="str">
        <v>No</v>
      </c>
      <c r="K752" s="94" t="str">
        <v>No</v>
      </c>
      <c r="L752" s="137" t="str">
        <v>Frozen Rate</v>
      </c>
      <c r="M752" s="94" t="str">
        <v>No</v>
      </c>
      <c r="N752" s="134" t="str">
        <v>No</v>
      </c>
      <c r="O752" s="119" t="str">
        <v>Yes</v>
      </c>
      <c r="P752" s="92" t="str">
        <v>N</v>
      </c>
      <c r="Q752" s="91">
        <v>45961</v>
      </c>
      <c r="R752" s="140">
        <v>0</v>
      </c>
      <c r="S752" s="92">
        <v>0</v>
      </c>
      <c r="T752" s="92">
        <v>0</v>
      </c>
      <c r="U752" s="137">
        <v>0</v>
      </c>
      <c r="V752" s="126" t="str">
        <f t="shared" si="22"/>
        <v>❄ Frozen Rate</v>
      </c>
      <c r="W752" s="130" t="str">
        <f>IFERROR(_xlfn.XLOOKUP(TEXT(H752,"0000000000"),'📞 Call Tracker'!A$2:A$2000,'📞 Call Tracker'!B$2:B$2000,""),"")</f>
        <v>Joaquin</v>
      </c>
      <c r="X752" s="96">
        <f>IFERROR(_xlfn.XLOOKUP(TEXT(H752,"0000000000"),'📞 Call Tracker'!A$2:A$2000,'📞 Call Tracker'!C$2:C$2000,""),"")</f>
        <v>46081</v>
      </c>
      <c r="Y752" s="95" t="str">
        <f>IFERROR(_xlfn.XLOOKUP(TEXT(H752,"0000000000"),'📞 Call Tracker'!A$2:A$2000,'📞 Call Tracker'!D$2:D$2000,""),"")</f>
        <v>NO</v>
      </c>
      <c r="Z752" s="95" t="str">
        <f>IFERROR(_xlfn.XLOOKUP(TEXT(H752,"0000000000"),'📞 Call Tracker'!A$2:A$2000,'📞 Call Tracker'!E$2:E$2000,""),"")</f>
        <v>General Education</v>
      </c>
      <c r="AA752" s="145">
        <f>IFERROR(_xlfn.XLOOKUP(TEXT(H752,"0000000000"),'📞 Call Tracker'!A$2:A$2000,'📞 Call Tracker'!F$2:F$2000,""),"")</f>
        <v>0</v>
      </c>
      <c r="AB752" s="132">
        <f t="shared" si="23"/>
        <v>99</v>
      </c>
      <c r="AC752" s="79"/>
    </row>
    <row r="753" spans="1:29" ht="20.100000000000001" customHeight="1">
      <c r="A753" s="91">
        <v>45912</v>
      </c>
      <c r="B753" s="92" t="str">
        <v>Fylan</v>
      </c>
      <c r="C753" s="92" t="str">
        <v>Rachel</v>
      </c>
      <c r="D753" s="92" t="str">
        <v>Phoenix</v>
      </c>
      <c r="E753" s="92">
        <v>85028</v>
      </c>
      <c r="F753" s="137" t="str">
        <v>Opposed</v>
      </c>
      <c r="G753" s="93" t="str">
        <v>https://docket.images.azcc.gov/E000046437.pdf</v>
      </c>
      <c r="H753" s="150" t="s">
        <v>2491</v>
      </c>
      <c r="I753" s="114" t="str">
        <v>R-BASIC</v>
      </c>
      <c r="J753" s="94" t="str">
        <v>No</v>
      </c>
      <c r="K753" s="94" t="str">
        <v>No</v>
      </c>
      <c r="L753" s="137" t="str">
        <v>No MEP R3-47 ($355.98)</v>
      </c>
      <c r="M753" s="94" t="str">
        <v>No</v>
      </c>
      <c r="N753" s="134" t="str">
        <v>No</v>
      </c>
      <c r="O753" s="119" t="str">
        <v>Yes</v>
      </c>
      <c r="P753" s="92">
        <v>45938</v>
      </c>
      <c r="Q753" s="91">
        <v>45961</v>
      </c>
      <c r="R753" s="140" t="str">
        <v xml:space="preserve">10/08/2025 Left VM </v>
      </c>
      <c r="S753" s="92">
        <v>0</v>
      </c>
      <c r="T753" s="92">
        <v>0</v>
      </c>
      <c r="U753" s="137">
        <v>0</v>
      </c>
      <c r="V753" s="126" t="str">
        <f t="shared" si="22"/>
        <v>❌ Not on Best Plan</v>
      </c>
      <c r="W753" s="130" t="str">
        <f>IFERROR(_xlfn.XLOOKUP(TEXT(H753,"0000000000"),'📞 Call Tracker'!A$2:A$2000,'📞 Call Tracker'!B$2:B$2000,""),"")</f>
        <v>Joaquin</v>
      </c>
      <c r="X753" s="96">
        <f>IFERROR(_xlfn.XLOOKUP(TEXT(H753,"0000000000"),'📞 Call Tracker'!A$2:A$2000,'📞 Call Tracker'!C$2:C$2000,""),"")</f>
        <v>45997</v>
      </c>
      <c r="Y753" s="95" t="str">
        <f>IFERROR(_xlfn.XLOOKUP(TEXT(H753,"0000000000"),'📞 Call Tracker'!A$2:A$2000,'📞 Call Tracker'!D$2:D$2000,""),"")</f>
        <v>YES</v>
      </c>
      <c r="Z753" s="95">
        <f>IFERROR(_xlfn.XLOOKUP(TEXT(H753,"0000000000"),'📞 Call Tracker'!A$2:A$2000,'📞 Call Tracker'!E$2:E$2000,""),"")</f>
        <v>0</v>
      </c>
      <c r="AA753" s="145" t="str">
        <f>IFERROR(_xlfn.XLOOKUP(TEXT(H753,"0000000000"),'📞 Call Tracker'!A$2:A$2000,'📞 Call Tracker'!F$2:F$2000,""),"")</f>
        <v>CURRENT ON ACT LEFT VM</v>
      </c>
      <c r="AB753" s="132">
        <f t="shared" si="23"/>
        <v>99</v>
      </c>
      <c r="AC753" s="79"/>
    </row>
    <row r="754" spans="1:29" ht="20.100000000000001" customHeight="1">
      <c r="A754" s="91">
        <v>45912</v>
      </c>
      <c r="B754" s="92" t="str">
        <v>Martin</v>
      </c>
      <c r="C754" s="92" t="str">
        <v>Sharon</v>
      </c>
      <c r="D754" s="92" t="str">
        <v>Sun City West</v>
      </c>
      <c r="E754" s="92">
        <v>85375</v>
      </c>
      <c r="F754" s="137" t="str">
        <v>Opposed</v>
      </c>
      <c r="G754" s="93" t="str">
        <v>https://docket.images.azcc.gov/E000046437.pdf</v>
      </c>
      <c r="H754" s="150" t="s">
        <v>2395</v>
      </c>
      <c r="I754" s="114" t="str">
        <v>R-BASICL</v>
      </c>
      <c r="J754" s="94" t="str">
        <v>No</v>
      </c>
      <c r="K754" s="94" t="str">
        <v>No</v>
      </c>
      <c r="L754" s="137" t="str">
        <v>No MEP R3-47 ($159.33)</v>
      </c>
      <c r="M754" s="94" t="str">
        <v>No</v>
      </c>
      <c r="N754" s="134" t="str">
        <v>No</v>
      </c>
      <c r="O754" s="119" t="str">
        <v>Yes</v>
      </c>
      <c r="P754" s="92">
        <v>45938</v>
      </c>
      <c r="Q754" s="91">
        <v>45961</v>
      </c>
      <c r="R754" s="140" t="str">
        <v>10/08/2025 Left VM</v>
      </c>
      <c r="S754" s="92">
        <v>0</v>
      </c>
      <c r="T754" s="92">
        <v>0</v>
      </c>
      <c r="U754" s="137">
        <v>0</v>
      </c>
      <c r="V754" s="126" t="str">
        <f t="shared" si="22"/>
        <v>❌ Not on Best Plan</v>
      </c>
      <c r="W754" s="130" t="str">
        <f>IFERROR(_xlfn.XLOOKUP(TEXT(H754,"0000000000"),'📞 Call Tracker'!A$2:A$2000,'📞 Call Tracker'!B$2:B$2000,""),"")</f>
        <v>Joaquin</v>
      </c>
      <c r="X754" s="96">
        <f>IFERROR(_xlfn.XLOOKUP(TEXT(H754,"0000000000"),'📞 Call Tracker'!A$2:A$2000,'📞 Call Tracker'!C$2:C$2000,""),"")</f>
        <v>46025</v>
      </c>
      <c r="Y754" s="95">
        <f>IFERROR(_xlfn.XLOOKUP(TEXT(H754,"0000000000"),'📞 Call Tracker'!A$2:A$2000,'📞 Call Tracker'!D$2:D$2000,""),"")</f>
        <v>0</v>
      </c>
      <c r="Z754" s="95">
        <f>IFERROR(_xlfn.XLOOKUP(TEXT(H754,"0000000000"),'📞 Call Tracker'!A$2:A$2000,'📞 Call Tracker'!E$2:E$2000,""),"")</f>
        <v>0</v>
      </c>
      <c r="AA754" s="145" t="str">
        <f>IFERROR(_xlfn.XLOOKUP(TEXT(H754,"0000000000"),'📞 Call Tracker'!A$2:A$2000,'📞 Call Tracker'!F$2:F$2000,""),"")</f>
        <v>CALLER HUNG UP</v>
      </c>
      <c r="AB754" s="132">
        <f t="shared" si="23"/>
        <v>99</v>
      </c>
      <c r="AC754" s="79"/>
    </row>
    <row r="755" spans="1:29" ht="20.100000000000001" customHeight="1">
      <c r="A755" s="91">
        <v>45912</v>
      </c>
      <c r="B755" s="92" t="str">
        <v>Mobley</v>
      </c>
      <c r="C755" s="92" t="str">
        <v>Susan</v>
      </c>
      <c r="D755" s="92" t="str">
        <v>Scottsdale</v>
      </c>
      <c r="E755" s="92">
        <v>85255</v>
      </c>
      <c r="F755" s="137" t="str">
        <v>Form letter</v>
      </c>
      <c r="G755" s="93" t="str">
        <v>https://docket.images.azcc.gov/E000046437.pdf</v>
      </c>
      <c r="H755" s="150" t="s">
        <v>2498</v>
      </c>
      <c r="I755" s="114" t="str">
        <v>R-BASICL</v>
      </c>
      <c r="J755" s="94" t="str">
        <v>No</v>
      </c>
      <c r="K755" s="94" t="str">
        <v>No</v>
      </c>
      <c r="L755" s="137" t="str">
        <v>No MEP R3-47 ($498.46)</v>
      </c>
      <c r="M755" s="94" t="str">
        <v>No</v>
      </c>
      <c r="N755" s="134" t="str">
        <v>No</v>
      </c>
      <c r="O755" s="119" t="str">
        <v>Yes</v>
      </c>
      <c r="P755" s="92">
        <v>45938</v>
      </c>
      <c r="Q755" s="91">
        <v>45961</v>
      </c>
      <c r="R755" s="140" t="str">
        <v>10/08/2025 Left VM</v>
      </c>
      <c r="S755" s="92">
        <v>0</v>
      </c>
      <c r="T755" s="92">
        <v>0</v>
      </c>
      <c r="U755" s="137">
        <v>0</v>
      </c>
      <c r="V755" s="126" t="str">
        <f t="shared" si="22"/>
        <v>❌ Not on Best Plan</v>
      </c>
      <c r="W755" s="130">
        <f>IFERROR(_xlfn.XLOOKUP(TEXT(H755,"0000000000"),'📞 Call Tracker'!A$2:A$2000,'📞 Call Tracker'!B$2:B$2000,""),"")</f>
        <v>0</v>
      </c>
      <c r="X755" s="96">
        <f>IFERROR(_xlfn.XLOOKUP(TEXT(H755,"0000000000"),'📞 Call Tracker'!A$2:A$2000,'📞 Call Tracker'!C$2:C$2000,""),"")</f>
        <v>0</v>
      </c>
      <c r="Y755" s="95">
        <f>IFERROR(_xlfn.XLOOKUP(TEXT(H755,"0000000000"),'📞 Call Tracker'!A$2:A$2000,'📞 Call Tracker'!D$2:D$2000,""),"")</f>
        <v>0</v>
      </c>
      <c r="Z755" s="95">
        <f>IFERROR(_xlfn.XLOOKUP(TEXT(H755,"0000000000"),'📞 Call Tracker'!A$2:A$2000,'📞 Call Tracker'!E$2:E$2000,""),"")</f>
        <v>0</v>
      </c>
      <c r="AA755" s="145">
        <f>IFERROR(_xlfn.XLOOKUP(TEXT(H755,"0000000000"),'📞 Call Tracker'!A$2:A$2000,'📞 Call Tracker'!F$2:F$2000,""),"")</f>
        <v>0</v>
      </c>
      <c r="AB755" s="132">
        <f t="shared" si="23"/>
        <v>99</v>
      </c>
      <c r="AC755" s="79"/>
    </row>
    <row r="756" spans="1:29" ht="20.100000000000001" customHeight="1">
      <c r="A756" s="91">
        <v>45912</v>
      </c>
      <c r="B756" s="92" t="str">
        <v>Andrews</v>
      </c>
      <c r="C756" s="92" t="str">
        <v>David</v>
      </c>
      <c r="D756" s="92" t="str">
        <v>Yuma</v>
      </c>
      <c r="E756" s="92">
        <v>85365</v>
      </c>
      <c r="F756" s="137" t="str">
        <v>Firmly against</v>
      </c>
      <c r="G756" s="93" t="str">
        <v>https://docket.images.azcc.gov/E000046437.pdf</v>
      </c>
      <c r="H756" s="150" t="s">
        <v>2504</v>
      </c>
      <c r="I756" s="114" t="str">
        <v>R-XS</v>
      </c>
      <c r="J756" s="94" t="str">
        <v>No</v>
      </c>
      <c r="K756" s="94" t="str">
        <v>No</v>
      </c>
      <c r="L756" s="137" t="str">
        <v>Y</v>
      </c>
      <c r="M756" s="94" t="str">
        <v>No</v>
      </c>
      <c r="N756" s="134" t="str">
        <v>No</v>
      </c>
      <c r="O756" s="119" t="str">
        <v>Yes</v>
      </c>
      <c r="P756" s="92" t="str">
        <v>N</v>
      </c>
      <c r="Q756" s="91">
        <v>45961</v>
      </c>
      <c r="R756" s="140">
        <v>0</v>
      </c>
      <c r="S756" s="92">
        <v>0</v>
      </c>
      <c r="T756" s="92">
        <v>0</v>
      </c>
      <c r="U756" s="137">
        <v>0</v>
      </c>
      <c r="V756" s="126" t="str">
        <f t="shared" si="22"/>
        <v>✅ On Best Plan</v>
      </c>
      <c r="W756" s="130" t="str">
        <f>IFERROR(_xlfn.XLOOKUP(TEXT(H756,"0000000000"),'📞 Call Tracker'!A$2:A$2000,'📞 Call Tracker'!B$2:B$2000,""),"")</f>
        <v>Joaquin</v>
      </c>
      <c r="X756" s="96">
        <f>IFERROR(_xlfn.XLOOKUP(TEXT(H756,"0000000000"),'📞 Call Tracker'!A$2:A$2000,'📞 Call Tracker'!C$2:C$2000,""),"")</f>
        <v>46025</v>
      </c>
      <c r="Y756" s="95" t="str">
        <f>IFERROR(_xlfn.XLOOKUP(TEXT(H756,"0000000000"),'📞 Call Tracker'!A$2:A$2000,'📞 Call Tracker'!D$2:D$2000,""),"")</f>
        <v>YES</v>
      </c>
      <c r="Z756" s="95">
        <f>IFERROR(_xlfn.XLOOKUP(TEXT(H756,"0000000000"),'📞 Call Tracker'!A$2:A$2000,'📞 Call Tracker'!E$2:E$2000,""),"")</f>
        <v>0</v>
      </c>
      <c r="AA756" s="145" t="str">
        <f>IFERROR(_xlfn.XLOOKUP(TEXT(H756,"0000000000"),'📞 Call Tracker'!A$2:A$2000,'📞 Call Tracker'!F$2:F$2000,""),"")</f>
        <v>LEFT VOICE MAIL</v>
      </c>
      <c r="AB756" s="132">
        <f t="shared" si="23"/>
        <v>99</v>
      </c>
      <c r="AC756" s="79"/>
    </row>
    <row r="757" spans="1:29" ht="20.100000000000001" customHeight="1">
      <c r="A757" s="91">
        <v>45912</v>
      </c>
      <c r="B757" s="92" t="str">
        <v>Harris</v>
      </c>
      <c r="C757" s="92" t="str">
        <v>Anthony</v>
      </c>
      <c r="D757" s="92" t="str">
        <v>Glendale</v>
      </c>
      <c r="E757" s="92">
        <v>85308</v>
      </c>
      <c r="F757" s="137" t="str">
        <v>Form letter</v>
      </c>
      <c r="G757" s="93" t="str">
        <v>https://docket.images.azcc.gov/E000046437.pdf</v>
      </c>
      <c r="H757" s="150" t="s">
        <v>2508</v>
      </c>
      <c r="I757" s="114" t="str">
        <v>R3-47</v>
      </c>
      <c r="J757" s="94" t="str">
        <v>No</v>
      </c>
      <c r="K757" s="94" t="str">
        <v>No</v>
      </c>
      <c r="L757" s="137" t="str">
        <v>Y</v>
      </c>
      <c r="M757" s="94" t="str">
        <v>No</v>
      </c>
      <c r="N757" s="134" t="str">
        <v>No</v>
      </c>
      <c r="O757" s="119" t="str">
        <v>Yes</v>
      </c>
      <c r="P757" s="92" t="str">
        <v>N</v>
      </c>
      <c r="Q757" s="91">
        <v>45961</v>
      </c>
      <c r="R757" s="140" t="str">
        <v>Pending stop 11/3</v>
      </c>
      <c r="S757" s="92">
        <v>0</v>
      </c>
      <c r="T757" s="92">
        <v>0</v>
      </c>
      <c r="U757" s="137">
        <v>0</v>
      </c>
      <c r="V757" s="126" t="str">
        <f t="shared" si="22"/>
        <v>✅ On Best Plan</v>
      </c>
      <c r="W757" s="130" t="str">
        <f>IFERROR(_xlfn.XLOOKUP(TEXT(H757,"0000000000"),'📞 Call Tracker'!A$2:A$2000,'📞 Call Tracker'!B$2:B$2000,""),"")</f>
        <v>Joaquin</v>
      </c>
      <c r="X757" s="96">
        <f>IFERROR(_xlfn.XLOOKUP(TEXT(H757,"0000000000"),'📞 Call Tracker'!A$2:A$2000,'📞 Call Tracker'!C$2:C$2000,""),"")</f>
        <v>46025</v>
      </c>
      <c r="Y757" s="95" t="str">
        <f>IFERROR(_xlfn.XLOOKUP(TEXT(H757,"0000000000"),'📞 Call Tracker'!A$2:A$2000,'📞 Call Tracker'!D$2:D$2000,""),"")</f>
        <v>YES</v>
      </c>
      <c r="Z757" s="95">
        <f>IFERROR(_xlfn.XLOOKUP(TEXT(H757,"0000000000"),'📞 Call Tracker'!A$2:A$2000,'📞 Call Tracker'!E$2:E$2000,""),"")</f>
        <v>0</v>
      </c>
      <c r="AA757" s="145">
        <f>IFERROR(_xlfn.XLOOKUP(TEXT(H757,"0000000000"),'📞 Call Tracker'!A$2:A$2000,'📞 Call Tracker'!F$2:F$2000,""),"")</f>
        <v>0</v>
      </c>
      <c r="AB757" s="132">
        <f t="shared" si="23"/>
        <v>99</v>
      </c>
      <c r="AC757" s="79"/>
    </row>
    <row r="758" spans="1:29" ht="20.100000000000001" customHeight="1">
      <c r="A758" s="91">
        <v>45912</v>
      </c>
      <c r="B758" s="92" t="str">
        <v>Nelson</v>
      </c>
      <c r="C758" s="92" t="str">
        <v>Nancy</v>
      </c>
      <c r="D758" s="92" t="str">
        <v>Phoenix</v>
      </c>
      <c r="E758" s="92">
        <v>85032</v>
      </c>
      <c r="F758" s="137" t="str">
        <v>Unreasonable</v>
      </c>
      <c r="G758" s="93" t="str">
        <v>https://docket.images.azcc.gov/E000046437.pdf</v>
      </c>
      <c r="H758" s="150" t="s">
        <v>2512</v>
      </c>
      <c r="I758" s="114" t="str">
        <v>R-BASICL</v>
      </c>
      <c r="J758" s="94" t="str">
        <v>No</v>
      </c>
      <c r="K758" s="94" t="str">
        <v>No</v>
      </c>
      <c r="L758" s="137" t="str">
        <v>No MEP R3-47 ($188.91))</v>
      </c>
      <c r="M758" s="94" t="str">
        <v>No</v>
      </c>
      <c r="N758" s="134" t="str">
        <v>No</v>
      </c>
      <c r="O758" s="119" t="str">
        <v>Yes</v>
      </c>
      <c r="P758" s="92">
        <v>0</v>
      </c>
      <c r="Q758" s="91">
        <v>45961</v>
      </c>
      <c r="R758" s="140" t="str">
        <v>10/9 Tried to leave a VM, mailbox is full, Tried to call again on 11/10</v>
      </c>
      <c r="S758" s="92">
        <v>0</v>
      </c>
      <c r="T758" s="92">
        <v>0</v>
      </c>
      <c r="U758" s="137">
        <v>0</v>
      </c>
      <c r="V758" s="126" t="str">
        <f t="shared" si="22"/>
        <v>❌ Not on Best Plan</v>
      </c>
      <c r="W758" s="130">
        <f>IFERROR(_xlfn.XLOOKUP(TEXT(H758,"0000000000"),'📞 Call Tracker'!A$2:A$2000,'📞 Call Tracker'!B$2:B$2000,""),"")</f>
        <v>0</v>
      </c>
      <c r="X758" s="96">
        <f>IFERROR(_xlfn.XLOOKUP(TEXT(H758,"0000000000"),'📞 Call Tracker'!A$2:A$2000,'📞 Call Tracker'!C$2:C$2000,""),"")</f>
        <v>0</v>
      </c>
      <c r="Y758" s="95">
        <f>IFERROR(_xlfn.XLOOKUP(TEXT(H758,"0000000000"),'📞 Call Tracker'!A$2:A$2000,'📞 Call Tracker'!D$2:D$2000,""),"")</f>
        <v>0</v>
      </c>
      <c r="Z758" s="95">
        <f>IFERROR(_xlfn.XLOOKUP(TEXT(H758,"0000000000"),'📞 Call Tracker'!A$2:A$2000,'📞 Call Tracker'!E$2:E$2000,""),"")</f>
        <v>0</v>
      </c>
      <c r="AA758" s="145">
        <f>IFERROR(_xlfn.XLOOKUP(TEXT(H758,"0000000000"),'📞 Call Tracker'!A$2:A$2000,'📞 Call Tracker'!F$2:F$2000,""),"")</f>
        <v>0</v>
      </c>
      <c r="AB758" s="132">
        <f t="shared" si="23"/>
        <v>99</v>
      </c>
      <c r="AC758" s="79"/>
    </row>
    <row r="759" spans="1:29" ht="20.100000000000001" customHeight="1">
      <c r="A759" s="91">
        <v>45913</v>
      </c>
      <c r="B759" s="92" t="str">
        <v>Mercado-Tarango</v>
      </c>
      <c r="C759" s="92" t="str">
        <v>Brenda</v>
      </c>
      <c r="D759" s="92" t="str">
        <v>Avondale</v>
      </c>
      <c r="E759" s="92">
        <v>85392</v>
      </c>
      <c r="F759" s="137" t="str">
        <v>Opposed</v>
      </c>
      <c r="G759" s="93" t="str">
        <v>https://docket.images.azcc.gov/E000046437.pdf</v>
      </c>
      <c r="H759" s="150" t="s">
        <v>2514</v>
      </c>
      <c r="I759" s="114" t="str">
        <v>RCPw/R3-47</v>
      </c>
      <c r="J759" s="94" t="str">
        <v>No</v>
      </c>
      <c r="K759" s="94" t="str">
        <v>No</v>
      </c>
      <c r="L759" s="137" t="str">
        <v>Y</v>
      </c>
      <c r="M759" s="94" t="str">
        <v>No</v>
      </c>
      <c r="N759" s="134" t="str">
        <v>No</v>
      </c>
      <c r="O759" s="119" t="str">
        <v>Yes</v>
      </c>
      <c r="P759" s="92" t="str">
        <v>N</v>
      </c>
      <c r="Q759" s="91">
        <v>45961</v>
      </c>
      <c r="R759" s="140">
        <v>0</v>
      </c>
      <c r="S759" s="92">
        <v>0</v>
      </c>
      <c r="T759" s="92">
        <v>0</v>
      </c>
      <c r="U759" s="137">
        <v>0</v>
      </c>
      <c r="V759" s="126" t="str">
        <f t="shared" si="22"/>
        <v>✅ On Best Plan</v>
      </c>
      <c r="W759" s="130" t="str">
        <f>IFERROR(_xlfn.XLOOKUP(TEXT(H759,"0000000000"),'📞 Call Tracker'!A$2:A$2000,'📞 Call Tracker'!B$2:B$2000,""),"")</f>
        <v>Joaquin</v>
      </c>
      <c r="X759" s="96">
        <f>IFERROR(_xlfn.XLOOKUP(TEXT(H759,"0000000000"),'📞 Call Tracker'!A$2:A$2000,'📞 Call Tracker'!C$2:C$2000,""),"")</f>
        <v>45997</v>
      </c>
      <c r="Y759" s="95" t="str">
        <f>IFERROR(_xlfn.XLOOKUP(TEXT(H759,"0000000000"),'📞 Call Tracker'!A$2:A$2000,'📞 Call Tracker'!D$2:D$2000,""),"")</f>
        <v>YES</v>
      </c>
      <c r="Z759" s="95">
        <f>IFERROR(_xlfn.XLOOKUP(TEXT(H759,"0000000000"),'📞 Call Tracker'!A$2:A$2000,'📞 Call Tracker'!E$2:E$2000,""),"")</f>
        <v>0</v>
      </c>
      <c r="AA759" s="145" t="str">
        <f>IFERROR(_xlfn.XLOOKUP(TEXT(H759,"0000000000"),'📞 Call Tracker'!A$2:A$2000,'📞 Call Tracker'!F$2:F$2000,""),"")</f>
        <v>ACCT IS ON P-A PAST DUE NO E3 ON ACCT</v>
      </c>
      <c r="AB759" s="132">
        <f t="shared" si="23"/>
        <v>99</v>
      </c>
      <c r="AC759" s="79"/>
    </row>
    <row r="760" spans="1:29" ht="20.100000000000001" customHeight="1">
      <c r="A760" s="91">
        <v>45913</v>
      </c>
      <c r="B760" s="92" t="str">
        <v>Sylvester</v>
      </c>
      <c r="C760" s="92" t="str">
        <v>Zachery</v>
      </c>
      <c r="D760" s="92" t="str">
        <v>Phoenix</v>
      </c>
      <c r="E760" s="92">
        <v>85022</v>
      </c>
      <c r="F760" s="137" t="str">
        <v>Opposed</v>
      </c>
      <c r="G760" s="93" t="str">
        <v>https://docket.images.azcc.gov/E000046437.pdf</v>
      </c>
      <c r="H760" s="150" t="s">
        <v>2520</v>
      </c>
      <c r="I760" s="114" t="str">
        <v>R-XS</v>
      </c>
      <c r="J760" s="94" t="str">
        <v>No</v>
      </c>
      <c r="K760" s="94" t="str">
        <v>No</v>
      </c>
      <c r="L760" s="137" t="str">
        <v>Y</v>
      </c>
      <c r="M760" s="94" t="str">
        <v>No</v>
      </c>
      <c r="N760" s="134" t="str">
        <v>No</v>
      </c>
      <c r="O760" s="119" t="str">
        <v>Yes</v>
      </c>
      <c r="P760" s="92" t="str">
        <v>N</v>
      </c>
      <c r="Q760" s="91">
        <v>45961</v>
      </c>
      <c r="R760" s="140">
        <v>0</v>
      </c>
      <c r="S760" s="92">
        <v>0</v>
      </c>
      <c r="T760" s="92">
        <v>0</v>
      </c>
      <c r="U760" s="137">
        <v>0</v>
      </c>
      <c r="V760" s="126" t="str">
        <f t="shared" si="22"/>
        <v>✅ On Best Plan</v>
      </c>
      <c r="W760" s="130">
        <f>IFERROR(_xlfn.XLOOKUP(TEXT(H760,"0000000000"),'📞 Call Tracker'!A$2:A$2000,'📞 Call Tracker'!B$2:B$2000,""),"")</f>
        <v>0</v>
      </c>
      <c r="X760" s="96">
        <f>IFERROR(_xlfn.XLOOKUP(TEXT(H760,"0000000000"),'📞 Call Tracker'!A$2:A$2000,'📞 Call Tracker'!C$2:C$2000,""),"")</f>
        <v>0</v>
      </c>
      <c r="Y760" s="95">
        <f>IFERROR(_xlfn.XLOOKUP(TEXT(H760,"0000000000"),'📞 Call Tracker'!A$2:A$2000,'📞 Call Tracker'!D$2:D$2000,""),"")</f>
        <v>0</v>
      </c>
      <c r="Z760" s="95">
        <f>IFERROR(_xlfn.XLOOKUP(TEXT(H760,"0000000000"),'📞 Call Tracker'!A$2:A$2000,'📞 Call Tracker'!E$2:E$2000,""),"")</f>
        <v>0</v>
      </c>
      <c r="AA760" s="145">
        <f>IFERROR(_xlfn.XLOOKUP(TEXT(H760,"0000000000"),'📞 Call Tracker'!A$2:A$2000,'📞 Call Tracker'!F$2:F$2000,""),"")</f>
        <v>0</v>
      </c>
      <c r="AB760" s="132">
        <f t="shared" si="23"/>
        <v>99</v>
      </c>
      <c r="AC760" s="79"/>
    </row>
    <row r="761" spans="1:29" ht="20.100000000000001" customHeight="1">
      <c r="A761" s="91">
        <v>45914</v>
      </c>
      <c r="B761" s="92" t="str">
        <v>Weigand</v>
      </c>
      <c r="C761" s="92" t="str">
        <v>Mathew</v>
      </c>
      <c r="D761" s="92" t="str">
        <v>Chandler</v>
      </c>
      <c r="E761" s="92">
        <v>85225</v>
      </c>
      <c r="F761" s="137" t="str">
        <v>Form letter</v>
      </c>
      <c r="G761" s="93" t="str">
        <v>https://docket.images.azcc.gov/E000046437.pdf</v>
      </c>
      <c r="H761" s="150" t="s">
        <v>2525</v>
      </c>
      <c r="I761" s="114" t="str">
        <v>R-Basic</v>
      </c>
      <c r="J761" s="94" t="str">
        <v>No</v>
      </c>
      <c r="K761" s="94" t="str">
        <v>No</v>
      </c>
      <c r="L761" s="137" t="str">
        <v>No MEP TOUE ($20.50)</v>
      </c>
      <c r="M761" s="94" t="str">
        <v>No</v>
      </c>
      <c r="N761" s="134" t="str">
        <v>No</v>
      </c>
      <c r="O761" s="119" t="str">
        <v>Yes</v>
      </c>
      <c r="P761" s="92" t="str">
        <v>N</v>
      </c>
      <c r="Q761" s="91">
        <v>45961</v>
      </c>
      <c r="R761" s="140">
        <v>0</v>
      </c>
      <c r="S761" s="92">
        <v>0</v>
      </c>
      <c r="T761" s="92">
        <v>0</v>
      </c>
      <c r="U761" s="137">
        <v>0</v>
      </c>
      <c r="V761" s="126" t="str">
        <f t="shared" si="22"/>
        <v>❌ Not on Best Plan</v>
      </c>
      <c r="W761" s="130" t="str">
        <f>IFERROR(_xlfn.XLOOKUP(TEXT(H761,"0000000000"),'📞 Call Tracker'!A$2:A$2000,'📞 Call Tracker'!B$2:B$2000,""),"")</f>
        <v>Joaquin</v>
      </c>
      <c r="X761" s="96">
        <f>IFERROR(_xlfn.XLOOKUP(TEXT(H761,"0000000000"),'📞 Call Tracker'!A$2:A$2000,'📞 Call Tracker'!C$2:C$2000,""),"")</f>
        <v>46025</v>
      </c>
      <c r="Y761" s="95" t="str">
        <f>IFERROR(_xlfn.XLOOKUP(TEXT(H761,"0000000000"),'📞 Call Tracker'!A$2:A$2000,'📞 Call Tracker'!D$2:D$2000,""),"")</f>
        <v>YES</v>
      </c>
      <c r="Z761" s="95">
        <f>IFERROR(_xlfn.XLOOKUP(TEXT(H761,"0000000000"),'📞 Call Tracker'!A$2:A$2000,'📞 Call Tracker'!E$2:E$2000,""),"")</f>
        <v>0</v>
      </c>
      <c r="AA761" s="145" t="str">
        <f>IFERROR(_xlfn.XLOOKUP(TEXT(H761,"0000000000"),'📞 Call Tracker'!A$2:A$2000,'📞 Call Tracker'!F$2:F$2000,""),"")</f>
        <v>LEFT VOICE MAIL</v>
      </c>
      <c r="AB761" s="132">
        <f t="shared" si="23"/>
        <v>99</v>
      </c>
      <c r="AC761" s="79"/>
    </row>
    <row r="762" spans="1:29" ht="20.100000000000001" customHeight="1">
      <c r="A762" s="91">
        <v>45914</v>
      </c>
      <c r="B762" s="92" t="str">
        <v>Callingham</v>
      </c>
      <c r="C762" s="92" t="str">
        <v>Richard</v>
      </c>
      <c r="D762" s="92" t="str">
        <v>Phoenix</v>
      </c>
      <c r="E762" s="92">
        <v>85020</v>
      </c>
      <c r="F762" s="137" t="str">
        <v>Opposed</v>
      </c>
      <c r="G762" s="93" t="str">
        <v>https://docket.images.azcc.gov/E000046437.pdf</v>
      </c>
      <c r="H762" s="150" t="s">
        <v>2529</v>
      </c>
      <c r="I762" s="114" t="str">
        <v>EPR-6w/ET-2</v>
      </c>
      <c r="J762" s="94" t="str">
        <v>No</v>
      </c>
      <c r="K762" s="94" t="str">
        <v>No</v>
      </c>
      <c r="L762" s="137" t="str">
        <v>Frozen Rate</v>
      </c>
      <c r="M762" s="94" t="str">
        <v>No</v>
      </c>
      <c r="N762" s="134" t="str">
        <v>No</v>
      </c>
      <c r="O762" s="119" t="str">
        <v>Yes</v>
      </c>
      <c r="P762" s="92" t="str">
        <v>N</v>
      </c>
      <c r="Q762" s="91">
        <v>45961</v>
      </c>
      <c r="R762" s="140">
        <v>0</v>
      </c>
      <c r="S762" s="92">
        <v>0</v>
      </c>
      <c r="T762" s="92">
        <v>0</v>
      </c>
      <c r="U762" s="137">
        <v>0</v>
      </c>
      <c r="V762" s="126" t="str">
        <f t="shared" si="22"/>
        <v>❄ Frozen Rate</v>
      </c>
      <c r="W762" s="130" t="str">
        <f>IFERROR(_xlfn.XLOOKUP(TEXT(H762,"0000000000"),'📞 Call Tracker'!A$2:A$2000,'📞 Call Tracker'!B$2:B$2000,""),"")</f>
        <v>Joaquin</v>
      </c>
      <c r="X762" s="96">
        <f>IFERROR(_xlfn.XLOOKUP(TEXT(H762,"0000000000"),'📞 Call Tracker'!A$2:A$2000,'📞 Call Tracker'!C$2:C$2000,""),"")</f>
        <v>45997</v>
      </c>
      <c r="Y762" s="95" t="str">
        <f>IFERROR(_xlfn.XLOOKUP(TEXT(H762,"0000000000"),'📞 Call Tracker'!A$2:A$2000,'📞 Call Tracker'!D$2:D$2000,""),"")</f>
        <v>YES</v>
      </c>
      <c r="Z762" s="95">
        <f>IFERROR(_xlfn.XLOOKUP(TEXT(H762,"0000000000"),'📞 Call Tracker'!A$2:A$2000,'📞 Call Tracker'!E$2:E$2000,""),"")</f>
        <v>0</v>
      </c>
      <c r="AA762" s="145" t="str">
        <f>IFERROR(_xlfn.XLOOKUP(TEXT(H762,"0000000000"),'📞 Call Tracker'!A$2:A$2000,'📞 Call Tracker'!F$2:F$2000,""),"")</f>
        <v>ACCT CURRENT NO E3 LEFT VM</v>
      </c>
      <c r="AB762" s="132">
        <f t="shared" si="23"/>
        <v>99</v>
      </c>
      <c r="AC762" s="79"/>
    </row>
    <row r="763" spans="1:29" ht="20.100000000000001" customHeight="1">
      <c r="A763" s="91">
        <v>45914</v>
      </c>
      <c r="B763" s="92" t="str">
        <v>Ramos</v>
      </c>
      <c r="C763" s="92" t="str">
        <v>Mercedes</v>
      </c>
      <c r="D763" s="92" t="str">
        <v>Yuma</v>
      </c>
      <c r="E763" s="92">
        <v>85364</v>
      </c>
      <c r="F763" s="137" t="str">
        <v>Extremely expensive</v>
      </c>
      <c r="G763" s="93" t="str">
        <v>https://docket.images.azcc.gov/E000046437.pdf</v>
      </c>
      <c r="H763" s="150" t="s">
        <v>2531</v>
      </c>
      <c r="I763" s="114" t="str">
        <v>RCPw/R3-47</v>
      </c>
      <c r="J763" s="94" t="str">
        <v>No</v>
      </c>
      <c r="K763" s="94" t="str">
        <v>No</v>
      </c>
      <c r="L763" s="137" t="str">
        <v>No MEP TOUE ($157.52)</v>
      </c>
      <c r="M763" s="94" t="str">
        <v>Yes</v>
      </c>
      <c r="N763" s="134">
        <v>722.34</v>
      </c>
      <c r="O763" s="119" t="str">
        <v>Yes</v>
      </c>
      <c r="P763" s="92">
        <v>0</v>
      </c>
      <c r="Q763" s="91">
        <v>45961</v>
      </c>
      <c r="R763" s="140" t="str">
        <v>10/9 Reviewed account, on 9/29 customer called to switch to MEP</v>
      </c>
      <c r="S763" s="92">
        <v>0</v>
      </c>
      <c r="T763" s="92">
        <v>0</v>
      </c>
      <c r="U763" s="137" t="str">
        <v>Called into CX center to switch plans to MEP on 9/29</v>
      </c>
      <c r="V763" s="126" t="str">
        <f t="shared" si="22"/>
        <v>❌ Not on Best Plan</v>
      </c>
      <c r="W763" s="130" t="str">
        <f>IFERROR(_xlfn.XLOOKUP(TEXT(H763,"0000000000"),'📞 Call Tracker'!A$2:A$2000,'📞 Call Tracker'!B$2:B$2000,""),"")</f>
        <v>Joaquin</v>
      </c>
      <c r="X763" s="96">
        <f>IFERROR(_xlfn.XLOOKUP(TEXT(H763,"0000000000"),'📞 Call Tracker'!A$2:A$2000,'📞 Call Tracker'!C$2:C$2000,""),"")</f>
        <v>46025</v>
      </c>
      <c r="Y763" s="95" t="str">
        <f>IFERROR(_xlfn.XLOOKUP(TEXT(H763,"0000000000"),'📞 Call Tracker'!A$2:A$2000,'📞 Call Tracker'!D$2:D$2000,""),"")</f>
        <v>YES</v>
      </c>
      <c r="Z763" s="95">
        <f>IFERROR(_xlfn.XLOOKUP(TEXT(H763,"0000000000"),'📞 Call Tracker'!A$2:A$2000,'📞 Call Tracker'!E$2:E$2000,""),"")</f>
        <v>0</v>
      </c>
      <c r="AA763" s="145" t="str">
        <f>IFERROR(_xlfn.XLOOKUP(TEXT(H763,"0000000000"),'📞 Call Tracker'!A$2:A$2000,'📞 Call Tracker'!F$2:F$2000,""),"")</f>
        <v>LEFT VOICE MAIL</v>
      </c>
      <c r="AB763" s="132">
        <f t="shared" si="23"/>
        <v>99</v>
      </c>
      <c r="AC763" s="79"/>
    </row>
    <row r="764" spans="1:29" ht="20.100000000000001" customHeight="1">
      <c r="A764" s="91">
        <v>45914</v>
      </c>
      <c r="B764" s="92" t="str">
        <v>Quinet</v>
      </c>
      <c r="C764" s="92" t="str">
        <v>Alexander</v>
      </c>
      <c r="D764" s="92" t="str">
        <v>Phoenix</v>
      </c>
      <c r="E764" s="92">
        <v>85281</v>
      </c>
      <c r="F764" s="137" t="str">
        <v>Form letter</v>
      </c>
      <c r="G764" s="93" t="str">
        <v>https://docket.images.azcc.gov/E000046437.pdf</v>
      </c>
      <c r="H764" s="150" t="s">
        <v>2535</v>
      </c>
      <c r="I764" s="114" t="str">
        <v>R-XS</v>
      </c>
      <c r="J764" s="94" t="str">
        <v>Yes</v>
      </c>
      <c r="K764" s="94" t="str">
        <v>No</v>
      </c>
      <c r="L764" s="137" t="str">
        <v>Yes</v>
      </c>
      <c r="M764" s="94" t="str">
        <v>No</v>
      </c>
      <c r="N764" s="134" t="str">
        <v>No</v>
      </c>
      <c r="O764" s="119" t="str">
        <v>Yes</v>
      </c>
      <c r="P764" s="92" t="str">
        <v>N</v>
      </c>
      <c r="Q764" s="91">
        <v>45961</v>
      </c>
      <c r="R764" s="140">
        <v>0</v>
      </c>
      <c r="S764" s="92">
        <v>0</v>
      </c>
      <c r="T764" s="92">
        <v>0</v>
      </c>
      <c r="U764" s="137">
        <v>0</v>
      </c>
      <c r="V764" s="126" t="str">
        <f t="shared" si="22"/>
        <v>✅ On Best Plan</v>
      </c>
      <c r="W764" s="130" t="str">
        <f>IFERROR(_xlfn.XLOOKUP(TEXT(H764,"0000000000"),'📞 Call Tracker'!A$2:A$2000,'📞 Call Tracker'!B$2:B$2000,""),"")</f>
        <v>Joaquin</v>
      </c>
      <c r="X764" s="96">
        <f>IFERROR(_xlfn.XLOOKUP(TEXT(H764,"0000000000"),'📞 Call Tracker'!A$2:A$2000,'📞 Call Tracker'!C$2:C$2000,""),"")</f>
        <v>46025</v>
      </c>
      <c r="Y764" s="95" t="str">
        <f>IFERROR(_xlfn.XLOOKUP(TEXT(H764,"0000000000"),'📞 Call Tracker'!A$2:A$2000,'📞 Call Tracker'!D$2:D$2000,""),"")</f>
        <v>YES</v>
      </c>
      <c r="Z764" s="95">
        <f>IFERROR(_xlfn.XLOOKUP(TEXT(H764,"0000000000"),'📞 Call Tracker'!A$2:A$2000,'📞 Call Tracker'!E$2:E$2000,""),"")</f>
        <v>0</v>
      </c>
      <c r="AA764" s="145" t="str">
        <f>IFERROR(_xlfn.XLOOKUP(TEXT(H764,"0000000000"),'📞 Call Tracker'!A$2:A$2000,'📞 Call Tracker'!F$2:F$2000,""),"")</f>
        <v>LEFT VOICE MAIL</v>
      </c>
      <c r="AB764" s="132">
        <f t="shared" si="23"/>
        <v>99</v>
      </c>
      <c r="AC764" s="79"/>
    </row>
    <row r="765" spans="1:29" ht="20.100000000000001" customHeight="1">
      <c r="A765" s="91">
        <v>45914</v>
      </c>
      <c r="B765" s="92" t="str">
        <v>Mohajerin</v>
      </c>
      <c r="C765" s="92" t="str">
        <v>Susan</v>
      </c>
      <c r="D765" s="92" t="str">
        <v>Scottsdale</v>
      </c>
      <c r="E765" s="92">
        <v>85260</v>
      </c>
      <c r="F765" s="137" t="str">
        <v>Enough is enough, already paying $160 for a 700 sqdt apartment</v>
      </c>
      <c r="G765" s="93" t="str">
        <v>https://docket.images.azcc.gov/E000046437.pdf</v>
      </c>
      <c r="H765" s="150" t="s">
        <v>2539</v>
      </c>
      <c r="I765" s="114" t="str">
        <v>RTOUE47</v>
      </c>
      <c r="J765" s="94" t="str">
        <v>No</v>
      </c>
      <c r="K765" s="94" t="str">
        <v>No</v>
      </c>
      <c r="L765" s="137" t="str">
        <v>No MEP R-XS ($98.76)</v>
      </c>
      <c r="M765" s="94" t="str">
        <v>No</v>
      </c>
      <c r="N765" s="134" t="str">
        <v>No</v>
      </c>
      <c r="O765" s="119" t="str">
        <v>Yes</v>
      </c>
      <c r="P765" s="92" t="str">
        <v>N</v>
      </c>
      <c r="Q765" s="91">
        <v>45961</v>
      </c>
      <c r="R765" s="140">
        <v>0</v>
      </c>
      <c r="S765" s="92">
        <v>0</v>
      </c>
      <c r="T765" s="92">
        <v>0</v>
      </c>
      <c r="U765" s="137">
        <v>0</v>
      </c>
      <c r="V765" s="126" t="str">
        <f t="shared" si="22"/>
        <v>❌ Not on Best Plan</v>
      </c>
      <c r="W765" s="130" t="str">
        <f>IFERROR(_xlfn.XLOOKUP(TEXT(H765,"0000000000"),'📞 Call Tracker'!A$2:A$2000,'📞 Call Tracker'!B$2:B$2000,""),"")</f>
        <v>Joaquin</v>
      </c>
      <c r="X765" s="96">
        <f>IFERROR(_xlfn.XLOOKUP(TEXT(H765,"0000000000"),'📞 Call Tracker'!A$2:A$2000,'📞 Call Tracker'!C$2:C$2000,""),"")</f>
        <v>46025</v>
      </c>
      <c r="Y765" s="95" t="str">
        <f>IFERROR(_xlfn.XLOOKUP(TEXT(H765,"0000000000"),'📞 Call Tracker'!A$2:A$2000,'📞 Call Tracker'!D$2:D$2000,""),"")</f>
        <v>YES</v>
      </c>
      <c r="Z765" s="95">
        <f>IFERROR(_xlfn.XLOOKUP(TEXT(H765,"0000000000"),'📞 Call Tracker'!A$2:A$2000,'📞 Call Tracker'!E$2:E$2000,""),"")</f>
        <v>0</v>
      </c>
      <c r="AA765" s="145" t="str">
        <f>IFERROR(_xlfn.XLOOKUP(TEXT(H765,"0000000000"),'📞 Call Tracker'!A$2:A$2000,'📞 Call Tracker'!F$2:F$2000,""),"")</f>
        <v>BETTER PLAN TIME OF USE WITH DEMAND</v>
      </c>
      <c r="AB765" s="132">
        <f t="shared" si="23"/>
        <v>99</v>
      </c>
      <c r="AC765" s="79"/>
    </row>
    <row r="766" spans="1:29" ht="20.100000000000001" customHeight="1">
      <c r="A766" s="91">
        <v>45917</v>
      </c>
      <c r="B766" s="92" t="str">
        <v>Donato</v>
      </c>
      <c r="C766" s="92" t="str">
        <v>Danielle</v>
      </c>
      <c r="D766" s="92" t="str">
        <v>Phoenix</v>
      </c>
      <c r="E766" s="92">
        <v>85023</v>
      </c>
      <c r="F766" s="137" t="str">
        <v xml:space="preserve">This is a significant burden, especially at a time when cost of living continues to rise </v>
      </c>
      <c r="G766" s="93" t="str">
        <v>https://docket.images.azcc.gov/E000046472.pdf</v>
      </c>
      <c r="H766" s="150" t="s">
        <v>2543</v>
      </c>
      <c r="I766" s="114" t="str">
        <v>RTOUE47</v>
      </c>
      <c r="J766" s="94" t="str">
        <v>No</v>
      </c>
      <c r="K766" s="94" t="str">
        <v>No</v>
      </c>
      <c r="L766" s="137" t="str">
        <v>No MEP R3-47(336.10)</v>
      </c>
      <c r="M766" s="94" t="str">
        <v>No</v>
      </c>
      <c r="N766" s="134" t="str">
        <v>No</v>
      </c>
      <c r="O766" s="119" t="str">
        <v>Yes</v>
      </c>
      <c r="P766" s="92">
        <v>45939</v>
      </c>
      <c r="Q766" s="91">
        <v>45961</v>
      </c>
      <c r="R766" s="140" t="str">
        <v>10/9 Left VM</v>
      </c>
      <c r="S766" s="92">
        <v>0</v>
      </c>
      <c r="T766" s="92">
        <v>0</v>
      </c>
      <c r="U766" s="137">
        <v>0</v>
      </c>
      <c r="V766" s="126" t="str">
        <f t="shared" si="22"/>
        <v>❌ Not on Best Plan</v>
      </c>
      <c r="W766" s="130">
        <f>IFERROR(_xlfn.XLOOKUP(TEXT(H766,"0000000000"),'📞 Call Tracker'!A$2:A$2000,'📞 Call Tracker'!B$2:B$2000,""),"")</f>
        <v>0</v>
      </c>
      <c r="X766" s="96">
        <f>IFERROR(_xlfn.XLOOKUP(TEXT(H766,"0000000000"),'📞 Call Tracker'!A$2:A$2000,'📞 Call Tracker'!C$2:C$2000,""),"")</f>
        <v>0</v>
      </c>
      <c r="Y766" s="95">
        <f>IFERROR(_xlfn.XLOOKUP(TEXT(H766,"0000000000"),'📞 Call Tracker'!A$2:A$2000,'📞 Call Tracker'!D$2:D$2000,""),"")</f>
        <v>0</v>
      </c>
      <c r="Z766" s="95">
        <f>IFERROR(_xlfn.XLOOKUP(TEXT(H766,"0000000000"),'📞 Call Tracker'!A$2:A$2000,'📞 Call Tracker'!E$2:E$2000,""),"")</f>
        <v>0</v>
      </c>
      <c r="AA766" s="145">
        <f>IFERROR(_xlfn.XLOOKUP(TEXT(H766,"0000000000"),'📞 Call Tracker'!A$2:A$2000,'📞 Call Tracker'!F$2:F$2000,""),"")</f>
        <v>0</v>
      </c>
      <c r="AB766" s="132">
        <f t="shared" si="23"/>
        <v>99</v>
      </c>
      <c r="AC766" s="79"/>
    </row>
    <row r="767" spans="1:29" ht="20.100000000000001" customHeight="1">
      <c r="A767" s="91">
        <v>45917</v>
      </c>
      <c r="B767" s="92" t="str">
        <v>Bramble</v>
      </c>
      <c r="C767" s="92" t="str">
        <v>James</v>
      </c>
      <c r="D767" s="92" t="str">
        <v>Cottonwood</v>
      </c>
      <c r="E767" s="92">
        <v>86326</v>
      </c>
      <c r="F767" s="137" t="str">
        <v>The proposed rate increase is excessive</v>
      </c>
      <c r="G767" s="93" t="str">
        <v>https://docket.images.azcc.gov/E000046494.pdf</v>
      </c>
      <c r="H767" s="150" t="s">
        <v>2545</v>
      </c>
      <c r="I767" s="114" t="str">
        <v>R3-47</v>
      </c>
      <c r="J767" s="94" t="str">
        <v>No</v>
      </c>
      <c r="K767" s="94" t="str">
        <v>No</v>
      </c>
      <c r="L767" s="137" t="str">
        <v>Yes</v>
      </c>
      <c r="M767" s="94" t="str">
        <v>No</v>
      </c>
      <c r="N767" s="134" t="str">
        <v>No</v>
      </c>
      <c r="O767" s="119" t="str">
        <v>Yes</v>
      </c>
      <c r="P767" s="92" t="str">
        <v>N</v>
      </c>
      <c r="Q767" s="91">
        <v>45961</v>
      </c>
      <c r="R767" s="140">
        <v>0</v>
      </c>
      <c r="S767" s="92">
        <v>0</v>
      </c>
      <c r="T767" s="92">
        <v>0</v>
      </c>
      <c r="U767" s="137">
        <v>0</v>
      </c>
      <c r="V767" s="126" t="str">
        <f t="shared" si="22"/>
        <v>✅ On Best Plan</v>
      </c>
      <c r="W767" s="130" t="str">
        <f>IFERROR(_xlfn.XLOOKUP(TEXT(H767,"0000000000"),'📞 Call Tracker'!A$2:A$2000,'📞 Call Tracker'!B$2:B$2000,""),"")</f>
        <v>Joaquin</v>
      </c>
      <c r="X767" s="96">
        <f>IFERROR(_xlfn.XLOOKUP(TEXT(H767,"0000000000"),'📞 Call Tracker'!A$2:A$2000,'📞 Call Tracker'!C$2:C$2000,""),"")</f>
        <v>46081</v>
      </c>
      <c r="Y767" s="95" t="str">
        <f>IFERROR(_xlfn.XLOOKUP(TEXT(H767,"0000000000"),'📞 Call Tracker'!A$2:A$2000,'📞 Call Tracker'!D$2:D$2000,""),"")</f>
        <v>NO</v>
      </c>
      <c r="Z767" s="95" t="str">
        <f>IFERROR(_xlfn.XLOOKUP(TEXT(H767,"0000000000"),'📞 Call Tracker'!A$2:A$2000,'📞 Call Tracker'!E$2:E$2000,""),"")</f>
        <v>Other (fill in)</v>
      </c>
      <c r="AA767" s="145" t="str">
        <f>IFERROR(_xlfn.XLOOKUP(TEXT(H767,"0000000000"),'📞 Call Tracker'!A$2:A$2000,'📞 Call Tracker'!F$2:F$2000,""),"")</f>
        <v>MOVED OUT OF STATE</v>
      </c>
      <c r="AB767" s="132">
        <f t="shared" si="23"/>
        <v>99</v>
      </c>
      <c r="AC767" s="79"/>
    </row>
    <row r="768" spans="1:29" ht="20.100000000000001" customHeight="1">
      <c r="A768" s="91">
        <v>45917</v>
      </c>
      <c r="B768" s="92" t="str">
        <v>Craig</v>
      </c>
      <c r="C768" s="92" t="str">
        <v>Frank</v>
      </c>
      <c r="D768" s="92" t="str">
        <v>Cottonwood</v>
      </c>
      <c r="E768" s="92">
        <v>86326</v>
      </c>
      <c r="F768" s="137" t="str">
        <v>Opposed</v>
      </c>
      <c r="G768" s="93" t="str">
        <v>https://docket.images.azcc.gov/E000046494.pdf</v>
      </c>
      <c r="H768" s="150" t="s">
        <v>2549</v>
      </c>
      <c r="I768" s="114" t="str">
        <v>RCPw/RTOUE47</v>
      </c>
      <c r="J768" s="94" t="str">
        <v>No</v>
      </c>
      <c r="K768" s="94" t="str">
        <v>No</v>
      </c>
      <c r="L768" s="137" t="str">
        <v>Yes</v>
      </c>
      <c r="M768" s="94" t="str">
        <v>No</v>
      </c>
      <c r="N768" s="134" t="str">
        <v>No</v>
      </c>
      <c r="O768" s="119" t="str">
        <v>Yes</v>
      </c>
      <c r="P768" s="92" t="str">
        <v>N</v>
      </c>
      <c r="Q768" s="91">
        <v>45961</v>
      </c>
      <c r="R768" s="140">
        <v>0</v>
      </c>
      <c r="S768" s="92">
        <v>0</v>
      </c>
      <c r="T768" s="92">
        <v>0</v>
      </c>
      <c r="U768" s="137">
        <v>0</v>
      </c>
      <c r="V768" s="126" t="str">
        <f t="shared" si="22"/>
        <v>✅ On Best Plan</v>
      </c>
      <c r="W768" s="130" t="str">
        <f>IFERROR(_xlfn.XLOOKUP(TEXT(H768,"0000000000"),'📞 Call Tracker'!A$2:A$2000,'📞 Call Tracker'!B$2:B$2000,""),"")</f>
        <v>Joaquin</v>
      </c>
      <c r="X768" s="96">
        <f>IFERROR(_xlfn.XLOOKUP(TEXT(H768,"0000000000"),'📞 Call Tracker'!A$2:A$2000,'📞 Call Tracker'!C$2:C$2000,""),"")</f>
        <v>46025</v>
      </c>
      <c r="Y768" s="95">
        <f>IFERROR(_xlfn.XLOOKUP(TEXT(H768,"0000000000"),'📞 Call Tracker'!A$2:A$2000,'📞 Call Tracker'!D$2:D$2000,""),"")</f>
        <v>0</v>
      </c>
      <c r="Z768" s="95" t="str">
        <f>IFERROR(_xlfn.XLOOKUP(TEXT(H768,"0000000000"),'📞 Call Tracker'!A$2:A$2000,'📞 Call Tracker'!E$2:E$2000,""),"")</f>
        <v>General Education</v>
      </c>
      <c r="AA768" s="145" t="str">
        <f>IFERROR(_xlfn.XLOOKUP(TEXT(H768,"0000000000"),'📞 Call Tracker'!A$2:A$2000,'📞 Call Tracker'!F$2:F$2000,""),"")</f>
        <v>PENDING STOP OF SERVICES FOR 1/7/25</v>
      </c>
      <c r="AB768" s="132">
        <f t="shared" si="23"/>
        <v>99</v>
      </c>
      <c r="AC768" s="79"/>
    </row>
    <row r="769" spans="1:29" ht="20.100000000000001" customHeight="1">
      <c r="A769" s="91">
        <v>45917</v>
      </c>
      <c r="B769" s="92" t="str">
        <v>Fein</v>
      </c>
      <c r="C769" s="92" t="str">
        <v>Karen</v>
      </c>
      <c r="D769" s="92" t="str">
        <v>Phoenix</v>
      </c>
      <c r="E769" s="92">
        <v>85050</v>
      </c>
      <c r="F769" s="137" t="str">
        <v>Opposed-I wont survive another summer in AZ</v>
      </c>
      <c r="G769" s="93" t="str">
        <v>https://docket.images.azcc.gov/E000046494.pdf</v>
      </c>
      <c r="H769" s="150" t="s">
        <v>2556</v>
      </c>
      <c r="I769" s="114" t="str">
        <v>R3-47</v>
      </c>
      <c r="J769" s="94" t="str">
        <v>No</v>
      </c>
      <c r="K769" s="94" t="str">
        <v>No</v>
      </c>
      <c r="L769" s="137" t="str">
        <v>Yes</v>
      </c>
      <c r="M769" s="94" t="str">
        <v>No</v>
      </c>
      <c r="N769" s="134" t="str">
        <v>No</v>
      </c>
      <c r="O769" s="119" t="str">
        <v>Yes</v>
      </c>
      <c r="P769" s="92" t="str">
        <v>N</v>
      </c>
      <c r="Q769" s="91">
        <v>45961</v>
      </c>
      <c r="R769" s="140">
        <v>0</v>
      </c>
      <c r="S769" s="92">
        <v>0</v>
      </c>
      <c r="T769" s="92">
        <v>0</v>
      </c>
      <c r="U769" s="137">
        <v>0</v>
      </c>
      <c r="V769" s="126" t="str">
        <f t="shared" si="22"/>
        <v>✅ On Best Plan</v>
      </c>
      <c r="W769" s="130" t="str">
        <f>IFERROR(_xlfn.XLOOKUP(TEXT(H769,"0000000000"),'📞 Call Tracker'!A$2:A$2000,'📞 Call Tracker'!B$2:B$2000,""),"")</f>
        <v>Joaquin</v>
      </c>
      <c r="X769" s="96">
        <f>IFERROR(_xlfn.XLOOKUP(TEXT(H769,"0000000000"),'📞 Call Tracker'!A$2:A$2000,'📞 Call Tracker'!C$2:C$2000,""),"")</f>
        <v>46081</v>
      </c>
      <c r="Y769" s="95" t="str">
        <f>IFERROR(_xlfn.XLOOKUP(TEXT(H769,"0000000000"),'📞 Call Tracker'!A$2:A$2000,'📞 Call Tracker'!D$2:D$2000,""),"")</f>
        <v>YES</v>
      </c>
      <c r="Z769" s="95">
        <f>IFERROR(_xlfn.XLOOKUP(TEXT(H769,"0000000000"),'📞 Call Tracker'!A$2:A$2000,'📞 Call Tracker'!E$2:E$2000,""),"")</f>
        <v>0</v>
      </c>
      <c r="AA769" s="145" t="str">
        <f>IFERROR(_xlfn.XLOOKUP(TEXT(H769,"0000000000"),'📞 Call Tracker'!A$2:A$2000,'📞 Call Tracker'!F$2:F$2000,""),"")</f>
        <v>LEFT VOICE MAIL</v>
      </c>
      <c r="AB769" s="132">
        <f t="shared" si="23"/>
        <v>99</v>
      </c>
      <c r="AC769" s="79"/>
    </row>
    <row r="770" spans="1:29" ht="20.100000000000001" customHeight="1">
      <c r="A770" s="91">
        <v>45917</v>
      </c>
      <c r="B770" s="92" t="str">
        <v>Hernandez</v>
      </c>
      <c r="C770" s="92" t="str">
        <v>David</v>
      </c>
      <c r="D770" s="92" t="str">
        <v>Phoenix</v>
      </c>
      <c r="E770" s="92">
        <v>85023</v>
      </c>
      <c r="F770" s="137" t="str">
        <v>Form letter</v>
      </c>
      <c r="G770" s="93" t="str">
        <v>https://docket.images.azcc.gov/E000046472.pdf</v>
      </c>
      <c r="H770" s="150" t="s">
        <v>2563</v>
      </c>
      <c r="I770" s="114" t="str">
        <v>RCPw/R3-47</v>
      </c>
      <c r="J770" s="94" t="str">
        <v>No</v>
      </c>
      <c r="K770" s="94" t="str">
        <v>No</v>
      </c>
      <c r="L770" s="137" t="str">
        <v>Yes</v>
      </c>
      <c r="M770" s="94" t="str">
        <v>No</v>
      </c>
      <c r="N770" s="134" t="str">
        <v>No</v>
      </c>
      <c r="O770" s="119" t="str">
        <v>Yes</v>
      </c>
      <c r="P770" s="92" t="str">
        <v>N</v>
      </c>
      <c r="Q770" s="91">
        <v>45961</v>
      </c>
      <c r="R770" s="140">
        <v>0</v>
      </c>
      <c r="S770" s="92">
        <v>0</v>
      </c>
      <c r="T770" s="92">
        <v>0</v>
      </c>
      <c r="U770" s="137">
        <v>0</v>
      </c>
      <c r="V770" s="126" t="str">
        <f t="shared" si="22"/>
        <v>✅ On Best Plan</v>
      </c>
      <c r="W770" s="130">
        <f>IFERROR(_xlfn.XLOOKUP(TEXT(H770,"0000000000"),'📞 Call Tracker'!A$2:A$2000,'📞 Call Tracker'!B$2:B$2000,""),"")</f>
        <v>0</v>
      </c>
      <c r="X770" s="96">
        <f>IFERROR(_xlfn.XLOOKUP(TEXT(H770,"0000000000"),'📞 Call Tracker'!A$2:A$2000,'📞 Call Tracker'!C$2:C$2000,""),"")</f>
        <v>0</v>
      </c>
      <c r="Y770" s="95">
        <f>IFERROR(_xlfn.XLOOKUP(TEXT(H770,"0000000000"),'📞 Call Tracker'!A$2:A$2000,'📞 Call Tracker'!D$2:D$2000,""),"")</f>
        <v>0</v>
      </c>
      <c r="Z770" s="95">
        <f>IFERROR(_xlfn.XLOOKUP(TEXT(H770,"0000000000"),'📞 Call Tracker'!A$2:A$2000,'📞 Call Tracker'!E$2:E$2000,""),"")</f>
        <v>0</v>
      </c>
      <c r="AA770" s="145">
        <f>IFERROR(_xlfn.XLOOKUP(TEXT(H770,"0000000000"),'📞 Call Tracker'!A$2:A$2000,'📞 Call Tracker'!F$2:F$2000,""),"")</f>
        <v>0</v>
      </c>
      <c r="AB770" s="132">
        <f t="shared" si="23"/>
        <v>99</v>
      </c>
      <c r="AC770" s="79"/>
    </row>
    <row r="771" spans="1:29" ht="20.100000000000001" customHeight="1">
      <c r="A771" s="91">
        <v>45917</v>
      </c>
      <c r="B771" s="92" t="str">
        <v>Keates</v>
      </c>
      <c r="C771" s="92" t="str">
        <v>Rob</v>
      </c>
      <c r="D771" s="92" t="str">
        <v>Chandler</v>
      </c>
      <c r="E771" s="92">
        <v>85225</v>
      </c>
      <c r="F771" s="137" t="str">
        <v>Opposed-Price gouging</v>
      </c>
      <c r="G771" s="93" t="str">
        <v>https://docket.images.azcc.gov/E000046502.pdf</v>
      </c>
      <c r="H771" s="150" t="s">
        <v>2566</v>
      </c>
      <c r="I771" s="114" t="str">
        <v>RTOUE47</v>
      </c>
      <c r="J771" s="94" t="str">
        <v>No</v>
      </c>
      <c r="K771" s="94" t="str">
        <v>No</v>
      </c>
      <c r="L771" s="137" t="str">
        <v>No MEP R-BASIC(126.09)</v>
      </c>
      <c r="M771" s="94" t="str">
        <v>No</v>
      </c>
      <c r="N771" s="134" t="str">
        <v>No</v>
      </c>
      <c r="O771" s="119" t="str">
        <v>Yes</v>
      </c>
      <c r="P771" s="92">
        <v>0</v>
      </c>
      <c r="Q771" s="91">
        <v>45961</v>
      </c>
      <c r="R771" s="140" t="str">
        <v>10/9 Reviewed account and average monthly energe use is 760 kwh - want to confirm BASIC is a good recommendation?</v>
      </c>
      <c r="S771" s="92">
        <v>0</v>
      </c>
      <c r="T771" s="92">
        <v>0</v>
      </c>
      <c r="U771" s="137">
        <v>0</v>
      </c>
      <c r="V771" s="126" t="str">
        <f t="shared" ref="V771:V834" si="24">IF(OR(LEFT(TRIM(L771),3)="Yes",TRIM(L771)="Y"),"✅ On Best Plan",IF(OR(L771="Frozen Rate",L771="Frozen Plan"),"❄ Frozen Rate",IF(OR(L771="Not able to Compare",L771="Info Not Avail",L771="NA",L771=""),"⚠ Unknown","❌ Not on Best Plan")))</f>
        <v>❌ Not on Best Plan</v>
      </c>
      <c r="W771" s="130" t="str">
        <f>IFERROR(_xlfn.XLOOKUP(TEXT(H771,"0000000000"),'📞 Call Tracker'!A$2:A$2000,'📞 Call Tracker'!B$2:B$2000,""),"")</f>
        <v>Joaquin</v>
      </c>
      <c r="X771" s="96">
        <f>IFERROR(_xlfn.XLOOKUP(TEXT(H771,"0000000000"),'📞 Call Tracker'!A$2:A$2000,'📞 Call Tracker'!C$2:C$2000,""),"")</f>
        <v>46025</v>
      </c>
      <c r="Y771" s="95" t="str">
        <f>IFERROR(_xlfn.XLOOKUP(TEXT(H771,"0000000000"),'📞 Call Tracker'!A$2:A$2000,'📞 Call Tracker'!D$2:D$2000,""),"")</f>
        <v>YES</v>
      </c>
      <c r="Z771" s="95">
        <f>IFERROR(_xlfn.XLOOKUP(TEXT(H771,"0000000000"),'📞 Call Tracker'!A$2:A$2000,'📞 Call Tracker'!E$2:E$2000,""),"")</f>
        <v>0</v>
      </c>
      <c r="AA771" s="145" t="str">
        <f>IFERROR(_xlfn.XLOOKUP(TEXT(H771,"0000000000"),'📞 Call Tracker'!A$2:A$2000,'📞 Call Tracker'!F$2:F$2000,""),"")</f>
        <v>PENDING STOP OF SERVICES FOR 1/23/26</v>
      </c>
      <c r="AB771" s="132">
        <f t="shared" ref="AB771:AB834" si="25">IF(OR(H771="",X771&lt;&gt;""),99,IF(AND(NOT(OR(LEFT(TRIM(L771),3)="Yes",TRIM(L771)="Y",L771="Frozen Rate",L771="Frozen Plan",L771="Not able to Compare",L771="Info Not Avail",L771="NA",L771="")),AND(N771&lt;&gt;"No",N771&lt;&gt;"")),1,IF(NOT(OR(LEFT(TRIM(L771),3)="Yes",TRIM(L771)="Y",L771="Frozen Rate",L771="Frozen Plan",L771="Not able to Compare",L771="Info Not Avail",L771="NA",L771="")),2,IF(AND(N771&lt;&gt;"No",N771&lt;&gt;""),3,4))))</f>
        <v>99</v>
      </c>
      <c r="AC771" s="79"/>
    </row>
    <row r="772" spans="1:29" ht="20.100000000000001" customHeight="1">
      <c r="A772" s="91">
        <v>45917</v>
      </c>
      <c r="B772" s="92" t="str">
        <v>Gregg</v>
      </c>
      <c r="C772" s="92" t="str">
        <v>Daniel</v>
      </c>
      <c r="D772" s="92" t="str">
        <v>Scottsdale</v>
      </c>
      <c r="E772" s="92">
        <v>85257</v>
      </c>
      <c r="F772" s="137" t="str">
        <v>Opposed-APS sees a profit margin already of 9.55%</v>
      </c>
      <c r="G772" s="93" t="str">
        <v>https://docket.images.azcc.gov/E000046502.pdf</v>
      </c>
      <c r="H772" s="150" t="s">
        <v>2570</v>
      </c>
      <c r="I772" s="114" t="str">
        <v>R3-47</v>
      </c>
      <c r="J772" s="94" t="str">
        <v>No</v>
      </c>
      <c r="K772" s="94" t="str">
        <v>No</v>
      </c>
      <c r="L772" s="137" t="str">
        <v>Yes</v>
      </c>
      <c r="M772" s="94" t="str">
        <v>No</v>
      </c>
      <c r="N772" s="134" t="str">
        <v>No</v>
      </c>
      <c r="O772" s="119" t="str">
        <v>Yes</v>
      </c>
      <c r="P772" s="92" t="str">
        <v>N</v>
      </c>
      <c r="Q772" s="91">
        <v>45961</v>
      </c>
      <c r="R772" s="140">
        <v>0</v>
      </c>
      <c r="S772" s="92">
        <v>0</v>
      </c>
      <c r="T772" s="92">
        <v>0</v>
      </c>
      <c r="U772" s="137">
        <v>0</v>
      </c>
      <c r="V772" s="126" t="str">
        <f t="shared" si="24"/>
        <v>✅ On Best Plan</v>
      </c>
      <c r="W772" s="130" t="str">
        <f>IFERROR(_xlfn.XLOOKUP(TEXT(H772,"0000000000"),'📞 Call Tracker'!A$2:A$2000,'📞 Call Tracker'!B$2:B$2000,""),"")</f>
        <v>Joaquin</v>
      </c>
      <c r="X772" s="96">
        <f>IFERROR(_xlfn.XLOOKUP(TEXT(H772,"0000000000"),'📞 Call Tracker'!A$2:A$2000,'📞 Call Tracker'!C$2:C$2000,""),"")</f>
        <v>46081</v>
      </c>
      <c r="Y772" s="95" t="str">
        <f>IFERROR(_xlfn.XLOOKUP(TEXT(H772,"0000000000"),'📞 Call Tracker'!A$2:A$2000,'📞 Call Tracker'!D$2:D$2000,""),"")</f>
        <v>YES</v>
      </c>
      <c r="Z772" s="95">
        <f>IFERROR(_xlfn.XLOOKUP(TEXT(H772,"0000000000"),'📞 Call Tracker'!A$2:A$2000,'📞 Call Tracker'!E$2:E$2000,""),"")</f>
        <v>0</v>
      </c>
      <c r="AA772" s="145" t="str">
        <f>IFERROR(_xlfn.XLOOKUP(TEXT(H772,"0000000000"),'📞 Call Tracker'!A$2:A$2000,'📞 Call Tracker'!F$2:F$2000,""),"")</f>
        <v>LEFT VOICE MAIL</v>
      </c>
      <c r="AB772" s="132">
        <f t="shared" si="25"/>
        <v>99</v>
      </c>
      <c r="AC772" s="79"/>
    </row>
    <row r="773" spans="1:29" ht="20.100000000000001" customHeight="1">
      <c r="A773" s="91">
        <v>45917</v>
      </c>
      <c r="B773" s="92" t="str">
        <v>Mensinger</v>
      </c>
      <c r="C773" s="92" t="str">
        <v>Matt</v>
      </c>
      <c r="D773" s="92" t="str">
        <v>Glendale</v>
      </c>
      <c r="E773" s="92">
        <v>85310</v>
      </c>
      <c r="F773" s="137" t="str">
        <v>Opposed-Lets take a closer look at company spending habits</v>
      </c>
      <c r="G773" s="93" t="str">
        <v>https://docket.images.azcc.gov/E000046502.pdf</v>
      </c>
      <c r="H773" s="150" t="s">
        <v>2574</v>
      </c>
      <c r="I773" s="114" t="str">
        <v>R3-47</v>
      </c>
      <c r="J773" s="94" t="str">
        <v>No</v>
      </c>
      <c r="K773" s="94" t="str">
        <v>No</v>
      </c>
      <c r="L773" s="137" t="str">
        <v>Yes</v>
      </c>
      <c r="M773" s="94" t="str">
        <v>No</v>
      </c>
      <c r="N773" s="134" t="str">
        <v>No</v>
      </c>
      <c r="O773" s="119" t="str">
        <v>Yes</v>
      </c>
      <c r="P773" s="92" t="str">
        <v>N</v>
      </c>
      <c r="Q773" s="91">
        <v>45961</v>
      </c>
      <c r="R773" s="140">
        <v>0</v>
      </c>
      <c r="S773" s="92">
        <v>0</v>
      </c>
      <c r="T773" s="92">
        <v>0</v>
      </c>
      <c r="U773" s="137">
        <v>0</v>
      </c>
      <c r="V773" s="126" t="str">
        <f t="shared" si="24"/>
        <v>✅ On Best Plan</v>
      </c>
      <c r="W773" s="130" t="str">
        <f>IFERROR(_xlfn.XLOOKUP(TEXT(H773,"0000000000"),'📞 Call Tracker'!A$2:A$2000,'📞 Call Tracker'!B$2:B$2000,""),"")</f>
        <v>Joaquin</v>
      </c>
      <c r="X773" s="96">
        <f>IFERROR(_xlfn.XLOOKUP(TEXT(H773,"0000000000"),'📞 Call Tracker'!A$2:A$2000,'📞 Call Tracker'!C$2:C$2000,""),"")</f>
        <v>46025</v>
      </c>
      <c r="Y773" s="95" t="str">
        <f>IFERROR(_xlfn.XLOOKUP(TEXT(H773,"0000000000"),'📞 Call Tracker'!A$2:A$2000,'📞 Call Tracker'!D$2:D$2000,""),"")</f>
        <v>NO</v>
      </c>
      <c r="Z773" s="95">
        <f>IFERROR(_xlfn.XLOOKUP(TEXT(H773,"0000000000"),'📞 Call Tracker'!A$2:A$2000,'📞 Call Tracker'!E$2:E$2000,""),"")</f>
        <v>0</v>
      </c>
      <c r="AA773" s="145" t="str">
        <f>IFERROR(_xlfn.XLOOKUP(TEXT(H773,"0000000000"),'📞 Call Tracker'!A$2:A$2000,'📞 Call Tracker'!F$2:F$2000,""),"")</f>
        <v>VOICE MAIL WAS FULL</v>
      </c>
      <c r="AB773" s="132">
        <f t="shared" si="25"/>
        <v>99</v>
      </c>
      <c r="AC773" s="79"/>
    </row>
    <row r="774" spans="1:29" ht="20.100000000000001" customHeight="1">
      <c r="A774" s="91">
        <v>45918</v>
      </c>
      <c r="B774" s="92" t="str">
        <v>Houck</v>
      </c>
      <c r="C774" s="92" t="str">
        <v>Christopher</v>
      </c>
      <c r="D774" s="92" t="str">
        <v>Goodyear</v>
      </c>
      <c r="E774" s="92">
        <v>85338</v>
      </c>
      <c r="F774" s="137" t="str">
        <v>Opposed-APS sis 25% higher than SRP</v>
      </c>
      <c r="G774" s="93" t="str">
        <v>https://docket.images.azcc.gov/E000046525.pdf</v>
      </c>
      <c r="H774" s="150" t="s">
        <v>2579</v>
      </c>
      <c r="I774" s="114" t="str">
        <v>R3-47</v>
      </c>
      <c r="J774" s="94" t="str">
        <v>No</v>
      </c>
      <c r="K774" s="94" t="str">
        <v>No</v>
      </c>
      <c r="L774" s="137" t="str">
        <v>Yes</v>
      </c>
      <c r="M774" s="94" t="str">
        <v>No</v>
      </c>
      <c r="N774" s="134" t="str">
        <v>No</v>
      </c>
      <c r="O774" s="119" t="str">
        <v>Yes</v>
      </c>
      <c r="P774" s="92" t="str">
        <v>N</v>
      </c>
      <c r="Q774" s="91">
        <v>45961</v>
      </c>
      <c r="R774" s="140">
        <v>0</v>
      </c>
      <c r="S774" s="92">
        <v>0</v>
      </c>
      <c r="T774" s="92">
        <v>0</v>
      </c>
      <c r="U774" s="137">
        <v>0</v>
      </c>
      <c r="V774" s="126" t="str">
        <f t="shared" si="24"/>
        <v>✅ On Best Plan</v>
      </c>
      <c r="W774" s="130" t="str">
        <f>IFERROR(_xlfn.XLOOKUP(TEXT(H774,"0000000000"),'📞 Call Tracker'!A$2:A$2000,'📞 Call Tracker'!B$2:B$2000,""),"")</f>
        <v>Joaquin</v>
      </c>
      <c r="X774" s="96">
        <f>IFERROR(_xlfn.XLOOKUP(TEXT(H774,"0000000000"),'📞 Call Tracker'!A$2:A$2000,'📞 Call Tracker'!C$2:C$2000,""),"")</f>
        <v>46081</v>
      </c>
      <c r="Y774" s="95" t="str">
        <f>IFERROR(_xlfn.XLOOKUP(TEXT(H774,"0000000000"),'📞 Call Tracker'!A$2:A$2000,'📞 Call Tracker'!D$2:D$2000,""),"")</f>
        <v>NO</v>
      </c>
      <c r="Z774" s="95" t="str">
        <f>IFERROR(_xlfn.XLOOKUP(TEXT(H774,"0000000000"),'📞 Call Tracker'!A$2:A$2000,'📞 Call Tracker'!E$2:E$2000,""),"")</f>
        <v>General Education</v>
      </c>
      <c r="AA774" s="145" t="str">
        <f>IFERROR(_xlfn.XLOOKUP(TEXT(H774,"0000000000"),'📞 Call Tracker'!A$2:A$2000,'📞 Call Tracker'!F$2:F$2000,""),"")</f>
        <v>NOT  FOR RATE INCREASE</v>
      </c>
      <c r="AB774" s="132">
        <f t="shared" si="25"/>
        <v>99</v>
      </c>
      <c r="AC774" s="79"/>
    </row>
    <row r="775" spans="1:29" ht="20.100000000000001" customHeight="1">
      <c r="A775" s="91">
        <v>45918</v>
      </c>
      <c r="B775" s="92" t="str">
        <v>Lewis</v>
      </c>
      <c r="C775" s="92" t="str">
        <v>Steven</v>
      </c>
      <c r="D775" s="92" t="str">
        <v>Phoenix</v>
      </c>
      <c r="E775" s="92">
        <v>85032</v>
      </c>
      <c r="F775" s="137" t="str">
        <v>Opposed-AC set 83 and still high bills</v>
      </c>
      <c r="G775" s="93" t="str">
        <v>https://docket.images.azcc.gov/E000046525.pdf</v>
      </c>
      <c r="H775" s="150" t="s">
        <v>2583</v>
      </c>
      <c r="I775" s="114" t="str">
        <v>RTOUE47</v>
      </c>
      <c r="J775" s="94" t="str">
        <v>No</v>
      </c>
      <c r="K775" s="94" t="str">
        <v>No</v>
      </c>
      <c r="L775" s="137" t="str">
        <v>Yes</v>
      </c>
      <c r="M775" s="94" t="str">
        <v>No</v>
      </c>
      <c r="N775" s="134" t="str">
        <v>No</v>
      </c>
      <c r="O775" s="119" t="str">
        <v>Yes</v>
      </c>
      <c r="P775" s="92" t="str">
        <v>N</v>
      </c>
      <c r="Q775" s="91">
        <v>45961</v>
      </c>
      <c r="R775" s="140">
        <v>0</v>
      </c>
      <c r="S775" s="92">
        <v>0</v>
      </c>
      <c r="T775" s="92">
        <v>0</v>
      </c>
      <c r="U775" s="137">
        <v>0</v>
      </c>
      <c r="V775" s="126" t="str">
        <f t="shared" si="24"/>
        <v>✅ On Best Plan</v>
      </c>
      <c r="W775" s="130" t="str">
        <f>IFERROR(_xlfn.XLOOKUP(TEXT(H775,"0000000000"),'📞 Call Tracker'!A$2:A$2000,'📞 Call Tracker'!B$2:B$2000,""),"")</f>
        <v>Joaquin</v>
      </c>
      <c r="X775" s="96">
        <f>IFERROR(_xlfn.XLOOKUP(TEXT(H775,"0000000000"),'📞 Call Tracker'!A$2:A$2000,'📞 Call Tracker'!C$2:C$2000,""),"")</f>
        <v>45997</v>
      </c>
      <c r="Y775" s="95" t="str">
        <f>IFERROR(_xlfn.XLOOKUP(TEXT(H775,"0000000000"),'📞 Call Tracker'!A$2:A$2000,'📞 Call Tracker'!D$2:D$2000,""),"")</f>
        <v>YES</v>
      </c>
      <c r="Z775" s="95">
        <f>IFERROR(_xlfn.XLOOKUP(TEXT(H775,"0000000000"),'📞 Call Tracker'!A$2:A$2000,'📞 Call Tracker'!E$2:E$2000,""),"")</f>
        <v>0</v>
      </c>
      <c r="AA775" s="145" t="str">
        <f>IFERROR(_xlfn.XLOOKUP(TEXT(H775,"0000000000"),'📞 Call Tracker'!A$2:A$2000,'📞 Call Tracker'!F$2:F$2000,""),"")</f>
        <v>CURRENT ON ACT LEFT VM</v>
      </c>
      <c r="AB775" s="132">
        <f t="shared" si="25"/>
        <v>99</v>
      </c>
      <c r="AC775" s="79"/>
    </row>
    <row r="776" spans="1:29" ht="20.100000000000001" customHeight="1">
      <c r="A776" s="91">
        <v>45918</v>
      </c>
      <c r="B776" s="92" t="str">
        <v>Hendricks</v>
      </c>
      <c r="C776" s="92" t="str">
        <v>Thomas</v>
      </c>
      <c r="D776" s="92" t="str">
        <v>Joseph City</v>
      </c>
      <c r="E776" s="92">
        <v>86032</v>
      </c>
      <c r="F776" s="137" t="str">
        <v>Opposed-Why am I forced to APS and not someone else?</v>
      </c>
      <c r="G776" s="93" t="str">
        <v>https://docket.images.azcc.gov/E000046525.pdf</v>
      </c>
      <c r="H776" s="150" t="s">
        <v>6090</v>
      </c>
      <c r="I776" s="114" t="str">
        <v>RCPw/RTOUE47</v>
      </c>
      <c r="J776" s="94" t="str">
        <v>No</v>
      </c>
      <c r="K776" s="94" t="str">
        <v>No</v>
      </c>
      <c r="L776" s="137" t="str">
        <v>Yes</v>
      </c>
      <c r="M776" s="94" t="str">
        <v>Yes</v>
      </c>
      <c r="N776" s="134">
        <v>361.43</v>
      </c>
      <c r="O776" s="119" t="str">
        <v>Yes</v>
      </c>
      <c r="P776" s="92" t="str">
        <v>N</v>
      </c>
      <c r="Q776" s="91">
        <v>45961</v>
      </c>
      <c r="R776" s="140" t="str">
        <v>Several missed payments</v>
      </c>
      <c r="S776" s="92">
        <v>0</v>
      </c>
      <c r="T776" s="92">
        <v>0</v>
      </c>
      <c r="U776" s="137">
        <v>0</v>
      </c>
      <c r="V776" s="126" t="str">
        <f t="shared" si="24"/>
        <v>✅ On Best Plan</v>
      </c>
      <c r="W776" s="130" t="str">
        <f>IFERROR(_xlfn.XLOOKUP(TEXT(H776,"0000000000"),'📞 Call Tracker'!A$2:A$2000,'📞 Call Tracker'!B$2:B$2000,""),"")</f>
        <v>Joaquin</v>
      </c>
      <c r="X776" s="96">
        <f>IFERROR(_xlfn.XLOOKUP(TEXT(H776,"0000000000"),'📞 Call Tracker'!A$2:A$2000,'📞 Call Tracker'!C$2:C$2000,""),"")</f>
        <v>46053</v>
      </c>
      <c r="Y776" s="95" t="str">
        <f>IFERROR(_xlfn.XLOOKUP(TEXT(H776,"0000000000"),'📞 Call Tracker'!A$2:A$2000,'📞 Call Tracker'!D$2:D$2000,""),"")</f>
        <v>NO</v>
      </c>
      <c r="Z776" s="95" t="str">
        <f>IFERROR(_xlfn.XLOOKUP(TEXT(H776,"0000000000"),'📞 Call Tracker'!A$2:A$2000,'📞 Call Tracker'!E$2:E$2000,""),"")</f>
        <v>Rate Change</v>
      </c>
      <c r="AA776" s="145" t="str">
        <f>IFERROR(_xlfn.XLOOKUP(TEXT(H776,"0000000000"),'📞 Call Tracker'!A$2:A$2000,'📞 Call Tracker'!F$2:F$2000,""),"")</f>
        <v>TIME OF USE WITH DEMAND</v>
      </c>
      <c r="AB776" s="132">
        <f t="shared" si="25"/>
        <v>99</v>
      </c>
      <c r="AC776" s="79"/>
    </row>
    <row r="777" spans="1:29" ht="20.100000000000001" customHeight="1">
      <c r="A777" s="91">
        <v>45918</v>
      </c>
      <c r="B777" s="92" t="str">
        <v>Frausto</v>
      </c>
      <c r="C777" s="92" t="str">
        <v>Esmeralda</v>
      </c>
      <c r="D777" s="92" t="str">
        <v>Buckeye</v>
      </c>
      <c r="E777" s="92">
        <v>85396</v>
      </c>
      <c r="F777" s="137" t="str">
        <v>Opposed-Think of customers first, high cost of living</v>
      </c>
      <c r="G777" s="93" t="str">
        <v>https://docket.images.azcc.gov/E000046525.pdf</v>
      </c>
      <c r="H777" s="150" t="s">
        <v>6369</v>
      </c>
      <c r="I777" s="114" t="str">
        <v>R3-47</v>
      </c>
      <c r="J777" s="94" t="str">
        <v>Yes</v>
      </c>
      <c r="K777" s="94" t="str">
        <v>No</v>
      </c>
      <c r="L777" s="137" t="str">
        <v>Yes</v>
      </c>
      <c r="M777" s="94" t="str">
        <v>Yes</v>
      </c>
      <c r="N777" s="134">
        <v>2904.39</v>
      </c>
      <c r="O777" s="119" t="str">
        <v>Yes</v>
      </c>
      <c r="P777" s="92">
        <v>0</v>
      </c>
      <c r="Q777" s="91">
        <v>45961</v>
      </c>
      <c r="R777" s="140" t="str">
        <v>Continuous payment arrangements for a couple years, may need more assistance?</v>
      </c>
      <c r="S777" s="92">
        <v>0</v>
      </c>
      <c r="T777" s="92">
        <v>0</v>
      </c>
      <c r="U777" s="137">
        <v>0</v>
      </c>
      <c r="V777" s="126" t="str">
        <f t="shared" si="24"/>
        <v>✅ On Best Plan</v>
      </c>
      <c r="W777" s="130">
        <f>IFERROR(_xlfn.XLOOKUP(TEXT(H777,"0000000000"),'📞 Call Tracker'!A$2:A$2000,'📞 Call Tracker'!B$2:B$2000,""),"")</f>
        <v>0</v>
      </c>
      <c r="X777" s="96">
        <f>IFERROR(_xlfn.XLOOKUP(TEXT(H777,"0000000000"),'📞 Call Tracker'!A$2:A$2000,'📞 Call Tracker'!C$2:C$2000,""),"")</f>
        <v>0</v>
      </c>
      <c r="Y777" s="95">
        <f>IFERROR(_xlfn.XLOOKUP(TEXT(H777,"0000000000"),'📞 Call Tracker'!A$2:A$2000,'📞 Call Tracker'!D$2:D$2000,""),"")</f>
        <v>0</v>
      </c>
      <c r="Z777" s="95">
        <f>IFERROR(_xlfn.XLOOKUP(TEXT(H777,"0000000000"),'📞 Call Tracker'!A$2:A$2000,'📞 Call Tracker'!E$2:E$2000,""),"")</f>
        <v>0</v>
      </c>
      <c r="AA777" s="145">
        <f>IFERROR(_xlfn.XLOOKUP(TEXT(H777,"0000000000"),'📞 Call Tracker'!A$2:A$2000,'📞 Call Tracker'!F$2:F$2000,""),"")</f>
        <v>0</v>
      </c>
      <c r="AB777" s="132">
        <f t="shared" si="25"/>
        <v>99</v>
      </c>
      <c r="AC777" s="79"/>
    </row>
    <row r="778" spans="1:29" ht="20.100000000000001" customHeight="1">
      <c r="A778" s="91">
        <v>45918</v>
      </c>
      <c r="B778" s="92" t="str">
        <v>Rodriguez</v>
      </c>
      <c r="C778" s="92" t="str">
        <v>Eli</v>
      </c>
      <c r="D778" s="92" t="str">
        <v>Phoenix</v>
      </c>
      <c r="E778" s="92">
        <v>85014</v>
      </c>
      <c r="F778" s="137" t="str">
        <v>Opposed- Going to contact Attorney Gen. to allow SRP serv</v>
      </c>
      <c r="G778" s="93" t="str">
        <v>https://docket.images.azcc.gov/E000046525.pdf</v>
      </c>
      <c r="H778" s="150" t="s">
        <v>4593</v>
      </c>
      <c r="I778" s="114" t="str">
        <v>R3-47</v>
      </c>
      <c r="J778" s="94" t="str">
        <v>Yes</v>
      </c>
      <c r="K778" s="94">
        <v>0</v>
      </c>
      <c r="L778" s="137" t="str">
        <v>Yes</v>
      </c>
      <c r="M778" s="94">
        <v>0</v>
      </c>
      <c r="N778" s="134">
        <v>0</v>
      </c>
      <c r="O778" s="119" t="str">
        <v>Yes</v>
      </c>
      <c r="P778" s="92" t="str">
        <v>N</v>
      </c>
      <c r="Q778" s="91">
        <v>0</v>
      </c>
      <c r="R778" s="140">
        <v>0</v>
      </c>
      <c r="S778" s="92">
        <v>0</v>
      </c>
      <c r="T778" s="92">
        <v>0</v>
      </c>
      <c r="U778" s="137">
        <v>0</v>
      </c>
      <c r="V778" s="126" t="str">
        <f t="shared" si="24"/>
        <v>✅ On Best Plan</v>
      </c>
      <c r="W778" s="130" t="str">
        <f>IFERROR(_xlfn.XLOOKUP(TEXT(H778,"0000000000"),'📞 Call Tracker'!A$2:A$2000,'📞 Call Tracker'!B$2:B$2000,""),"")</f>
        <v>Joaquin</v>
      </c>
      <c r="X778" s="96">
        <f>IFERROR(_xlfn.XLOOKUP(TEXT(H778,"0000000000"),'📞 Call Tracker'!A$2:A$2000,'📞 Call Tracker'!C$2:C$2000,""),"")</f>
        <v>46081</v>
      </c>
      <c r="Y778" s="95" t="str">
        <f>IFERROR(_xlfn.XLOOKUP(TEXT(H778,"0000000000"),'📞 Call Tracker'!A$2:A$2000,'📞 Call Tracker'!D$2:D$2000,""),"")</f>
        <v>NO</v>
      </c>
      <c r="Z778" s="95" t="str">
        <f>IFERROR(_xlfn.XLOOKUP(TEXT(H778,"0000000000"),'📞 Call Tracker'!A$2:A$2000,'📞 Call Tracker'!E$2:E$2000,""),"")</f>
        <v>General Education</v>
      </c>
      <c r="AA778" s="145" t="str">
        <f>IFERROR(_xlfn.XLOOKUP(TEXT(H778,"0000000000"),'📞 Call Tracker'!A$2:A$2000,'📞 Call Tracker'!F$2:F$2000,""),"")</f>
        <v>NOT  FOR RATE INCREASE</v>
      </c>
      <c r="AB778" s="132">
        <f t="shared" si="25"/>
        <v>99</v>
      </c>
      <c r="AC778" s="79"/>
    </row>
    <row r="779" spans="1:29" ht="20.100000000000001" customHeight="1">
      <c r="A779" s="91">
        <v>45918</v>
      </c>
      <c r="B779" s="92" t="str">
        <v>Hulsey</v>
      </c>
      <c r="C779" s="92" t="str">
        <v>Joseph</v>
      </c>
      <c r="D779" s="92" t="str">
        <v>Tempe</v>
      </c>
      <c r="E779" s="92">
        <v>85281</v>
      </c>
      <c r="F779" s="137" t="str">
        <v>Strongly Oppose 14% increase</v>
      </c>
      <c r="G779" s="93" t="str">
        <v>https://docket.images.azcc.gov/E000046525.pdf</v>
      </c>
      <c r="H779" s="150" t="s">
        <v>6370</v>
      </c>
      <c r="I779" s="114" t="str">
        <v>R3-47</v>
      </c>
      <c r="J779" s="94" t="str">
        <v>No</v>
      </c>
      <c r="K779" s="94" t="str">
        <v>No</v>
      </c>
      <c r="L779" s="137" t="str">
        <v>Yes</v>
      </c>
      <c r="M779" s="94" t="str">
        <v>No</v>
      </c>
      <c r="N779" s="134" t="str">
        <v>No</v>
      </c>
      <c r="O779" s="119" t="str">
        <v>Yes</v>
      </c>
      <c r="P779" s="92" t="str">
        <v>N</v>
      </c>
      <c r="Q779" s="91">
        <v>45961</v>
      </c>
      <c r="R779" s="140" t="str">
        <v>Multiple ACC Complaints (2023 and 2024)</v>
      </c>
      <c r="S779" s="92">
        <v>0</v>
      </c>
      <c r="T779" s="92">
        <v>0</v>
      </c>
      <c r="U779" s="137">
        <v>0</v>
      </c>
      <c r="V779" s="126" t="str">
        <f t="shared" si="24"/>
        <v>✅ On Best Plan</v>
      </c>
      <c r="W779" s="130" t="str">
        <f>IFERROR(_xlfn.XLOOKUP(TEXT(H779,"0000000000"),'📞 Call Tracker'!A$2:A$2000,'📞 Call Tracker'!B$2:B$2000,""),"")</f>
        <v>Joaquin</v>
      </c>
      <c r="X779" s="96">
        <f>IFERROR(_xlfn.XLOOKUP(TEXT(H779,"0000000000"),'📞 Call Tracker'!A$2:A$2000,'📞 Call Tracker'!C$2:C$2000,""),"")</f>
        <v>45997</v>
      </c>
      <c r="Y779" s="95">
        <f>IFERROR(_xlfn.XLOOKUP(TEXT(H779,"0000000000"),'📞 Call Tracker'!A$2:A$2000,'📞 Call Tracker'!D$2:D$2000,""),"")</f>
        <v>0</v>
      </c>
      <c r="Z779" s="95">
        <f>IFERROR(_xlfn.XLOOKUP(TEXT(H779,"0000000000"),'📞 Call Tracker'!A$2:A$2000,'📞 Call Tracker'!E$2:E$2000,""),"")</f>
        <v>0</v>
      </c>
      <c r="AA779" s="145" t="str">
        <f>IFERROR(_xlfn.XLOOKUP(TEXT(H779,"0000000000"),'📞 Call Tracker'!A$2:A$2000,'📞 Call Tracker'!F$2:F$2000,""),"")</f>
        <v>DID TALK TO CORE IS ON P-A SENT E3</v>
      </c>
      <c r="AB779" s="132">
        <f t="shared" si="25"/>
        <v>99</v>
      </c>
      <c r="AC779" s="79"/>
    </row>
    <row r="780" spans="1:29" ht="20.100000000000001" customHeight="1">
      <c r="A780" s="91">
        <v>45918</v>
      </c>
      <c r="B780" s="92" t="str">
        <v>Munson</v>
      </c>
      <c r="C780" s="92" t="str">
        <v>Julie</v>
      </c>
      <c r="D780" s="92" t="str">
        <v>Show Low</v>
      </c>
      <c r="E780" s="92">
        <v>85901</v>
      </c>
      <c r="F780" s="137" t="str">
        <v>Opposed-Corporate greed</v>
      </c>
      <c r="G780" s="93" t="str">
        <v>https://docket.images.azcc.gov/E000046525.pdf</v>
      </c>
      <c r="H780" s="150" t="s">
        <v>6371</v>
      </c>
      <c r="I780" s="114" t="str">
        <v>R-XS</v>
      </c>
      <c r="J780" s="94" t="str">
        <v>No</v>
      </c>
      <c r="K780" s="94" t="str">
        <v>No</v>
      </c>
      <c r="L780" s="137" t="str">
        <v>Yes</v>
      </c>
      <c r="M780" s="94" t="str">
        <v>No</v>
      </c>
      <c r="N780" s="134" t="str">
        <v>No</v>
      </c>
      <c r="O780" s="119" t="str">
        <v>Yes</v>
      </c>
      <c r="P780" s="92" t="str">
        <v>N</v>
      </c>
      <c r="Q780" s="91">
        <v>45961</v>
      </c>
      <c r="R780" s="140">
        <v>0</v>
      </c>
      <c r="S780" s="92">
        <v>0</v>
      </c>
      <c r="T780" s="92">
        <v>0</v>
      </c>
      <c r="U780" s="137">
        <v>0</v>
      </c>
      <c r="V780" s="126" t="str">
        <f t="shared" si="24"/>
        <v>✅ On Best Plan</v>
      </c>
      <c r="W780" s="130" t="str">
        <f>IFERROR(_xlfn.XLOOKUP(TEXT(H780,"0000000000"),'📞 Call Tracker'!A$2:A$2000,'📞 Call Tracker'!B$2:B$2000,""),"")</f>
        <v>Joaquin</v>
      </c>
      <c r="X780" s="96">
        <f>IFERROR(_xlfn.XLOOKUP(TEXT(H780,"0000000000"),'📞 Call Tracker'!A$2:A$2000,'📞 Call Tracker'!C$2:C$2000,""),"")</f>
        <v>46081</v>
      </c>
      <c r="Y780" s="95" t="str">
        <f>IFERROR(_xlfn.XLOOKUP(TEXT(H780,"0000000000"),'📞 Call Tracker'!A$2:A$2000,'📞 Call Tracker'!D$2:D$2000,""),"")</f>
        <v>NO</v>
      </c>
      <c r="Z780" s="95" t="str">
        <f>IFERROR(_xlfn.XLOOKUP(TEXT(H780,"0000000000"),'📞 Call Tracker'!A$2:A$2000,'📞 Call Tracker'!E$2:E$2000,""),"")</f>
        <v>General Education</v>
      </c>
      <c r="AA780" s="145" t="str">
        <f>IFERROR(_xlfn.XLOOKUP(TEXT(H780,"0000000000"),'📞 Call Tracker'!A$2:A$2000,'📞 Call Tracker'!F$2:F$2000,""),"")</f>
        <v>POSITIVE WITH OPTION OFFERED TO SAVE OR LOWER BILL</v>
      </c>
      <c r="AB780" s="132">
        <f t="shared" si="25"/>
        <v>99</v>
      </c>
      <c r="AC780" s="79"/>
    </row>
    <row r="781" spans="1:29" ht="20.100000000000001" customHeight="1">
      <c r="A781" s="91">
        <v>45918</v>
      </c>
      <c r="B781" s="92" t="str">
        <v>Craft</v>
      </c>
      <c r="C781" s="92" t="str">
        <v>Madeline</v>
      </c>
      <c r="D781" s="92" t="str">
        <v>Goodyear</v>
      </c>
      <c r="E781" s="92">
        <v>85338</v>
      </c>
      <c r="F781" s="137" t="str">
        <v xml:space="preserve">Opposed-Ridiculous for such a large company </v>
      </c>
      <c r="G781" s="93" t="str">
        <v>https://docket.images.azcc.gov/E000046525.pdf</v>
      </c>
      <c r="H781" s="150" t="s">
        <v>6091</v>
      </c>
      <c r="I781" s="114" t="str">
        <v>R-BASIC</v>
      </c>
      <c r="J781" s="94" t="str">
        <v>No</v>
      </c>
      <c r="K781" s="94" t="str">
        <v>No</v>
      </c>
      <c r="L781" s="137" t="str">
        <v>Yes</v>
      </c>
      <c r="M781" s="94" t="str">
        <v>No</v>
      </c>
      <c r="N781" s="134" t="str">
        <v>No</v>
      </c>
      <c r="O781" s="119" t="str">
        <v>Yes</v>
      </c>
      <c r="P781" s="92" t="str">
        <v>N</v>
      </c>
      <c r="Q781" s="91">
        <v>45961</v>
      </c>
      <c r="R781" s="140">
        <v>0</v>
      </c>
      <c r="S781" s="92">
        <v>0</v>
      </c>
      <c r="T781" s="92">
        <v>0</v>
      </c>
      <c r="U781" s="137">
        <v>0</v>
      </c>
      <c r="V781" s="126" t="str">
        <f t="shared" si="24"/>
        <v>✅ On Best Plan</v>
      </c>
      <c r="W781" s="130" t="str">
        <f>IFERROR(_xlfn.XLOOKUP(TEXT(H781,"0000000000"),'📞 Call Tracker'!A$2:A$2000,'📞 Call Tracker'!B$2:B$2000,""),"")</f>
        <v>Joaquin</v>
      </c>
      <c r="X781" s="96">
        <f>IFERROR(_xlfn.XLOOKUP(TEXT(H781,"0000000000"),'📞 Call Tracker'!A$2:A$2000,'📞 Call Tracker'!C$2:C$2000,""),"")</f>
        <v>46053</v>
      </c>
      <c r="Y781" s="95" t="str">
        <f>IFERROR(_xlfn.XLOOKUP(TEXT(H781,"0000000000"),'📞 Call Tracker'!A$2:A$2000,'📞 Call Tracker'!D$2:D$2000,""),"")</f>
        <v>YES</v>
      </c>
      <c r="Z781" s="95">
        <f>IFERROR(_xlfn.XLOOKUP(TEXT(H781,"0000000000"),'📞 Call Tracker'!A$2:A$2000,'📞 Call Tracker'!E$2:E$2000,""),"")</f>
        <v>0</v>
      </c>
      <c r="AA781" s="145" t="str">
        <f>IFERROR(_xlfn.XLOOKUP(TEXT(H781,"0000000000"),'📞 Call Tracker'!A$2:A$2000,'📞 Call Tracker'!F$2:F$2000,""),"")</f>
        <v>LEFT V-M</v>
      </c>
      <c r="AB781" s="132">
        <f t="shared" si="25"/>
        <v>99</v>
      </c>
      <c r="AC781" s="79"/>
    </row>
    <row r="782" spans="1:29" ht="20.100000000000001" customHeight="1">
      <c r="A782" s="91">
        <v>45918</v>
      </c>
      <c r="B782" s="92" t="str">
        <v>Lopardo</v>
      </c>
      <c r="C782" s="92" t="str">
        <v>Corinna</v>
      </c>
      <c r="D782" s="92" t="str">
        <v>Litchfield Park</v>
      </c>
      <c r="E782" s="92">
        <v>85340</v>
      </c>
      <c r="F782" s="137" t="str">
        <v>Form letter</v>
      </c>
      <c r="G782" s="93" t="str">
        <v>https://docket.images.azcc.gov/E000046525.pdf</v>
      </c>
      <c r="H782" s="150" t="s">
        <v>2603</v>
      </c>
      <c r="I782" s="114" t="str">
        <v>RTOUE47</v>
      </c>
      <c r="J782" s="94" t="str">
        <v>No</v>
      </c>
      <c r="K782" s="94" t="str">
        <v>No</v>
      </c>
      <c r="L782" s="137" t="str">
        <v>No MEP R3-47 ($13.58)</v>
      </c>
      <c r="M782" s="94" t="str">
        <v>No</v>
      </c>
      <c r="N782" s="134" t="str">
        <v>No</v>
      </c>
      <c r="O782" s="119" t="str">
        <v>Yes</v>
      </c>
      <c r="P782" s="92" t="str">
        <v>N</v>
      </c>
      <c r="Q782" s="91">
        <v>45961</v>
      </c>
      <c r="R782" s="140">
        <v>0</v>
      </c>
      <c r="S782" s="92">
        <v>0</v>
      </c>
      <c r="T782" s="92">
        <v>0</v>
      </c>
      <c r="U782" s="137">
        <v>0</v>
      </c>
      <c r="V782" s="126" t="str">
        <f t="shared" si="24"/>
        <v>❌ Not on Best Plan</v>
      </c>
      <c r="W782" s="130" t="str">
        <f>IFERROR(_xlfn.XLOOKUP(TEXT(H782,"0000000000"),'📞 Call Tracker'!A$2:A$2000,'📞 Call Tracker'!B$2:B$2000,""),"")</f>
        <v>Joaquin</v>
      </c>
      <c r="X782" s="96">
        <f>IFERROR(_xlfn.XLOOKUP(TEXT(H782,"0000000000"),'📞 Call Tracker'!A$2:A$2000,'📞 Call Tracker'!C$2:C$2000,""),"")</f>
        <v>45997</v>
      </c>
      <c r="Y782" s="95">
        <f>IFERROR(_xlfn.XLOOKUP(TEXT(H782,"0000000000"),'📞 Call Tracker'!A$2:A$2000,'📞 Call Tracker'!D$2:D$2000,""),"")</f>
        <v>0</v>
      </c>
      <c r="Z782" s="95">
        <f>IFERROR(_xlfn.XLOOKUP(TEXT(H782,"0000000000"),'📞 Call Tracker'!A$2:A$2000,'📞 Call Tracker'!E$2:E$2000,""),"")</f>
        <v>0</v>
      </c>
      <c r="AA782" s="145" t="str">
        <f>IFERROR(_xlfn.XLOOKUP(TEXT(H782,"0000000000"),'📞 Call Tracker'!A$2:A$2000,'📞 Call Tracker'!F$2:F$2000,""),"")</f>
        <v># ON ACCT NO GOOD CALLED 12/6/25</v>
      </c>
      <c r="AB782" s="132">
        <f t="shared" si="25"/>
        <v>99</v>
      </c>
      <c r="AC782" s="79"/>
    </row>
    <row r="783" spans="1:29" ht="20.100000000000001" customHeight="1">
      <c r="A783" s="91">
        <v>45918</v>
      </c>
      <c r="B783" s="92" t="str">
        <v>Siers</v>
      </c>
      <c r="C783" s="92" t="str">
        <v>Wade</v>
      </c>
      <c r="D783" s="92" t="str">
        <v>Scottsdale</v>
      </c>
      <c r="E783" s="92">
        <v>85260</v>
      </c>
      <c r="F783" s="137" t="str">
        <v>Opposed-14% appears rather excessive</v>
      </c>
      <c r="G783" s="93" t="str">
        <v>https://docket.images.azcc.gov/E000046525.pdf</v>
      </c>
      <c r="H783" s="150" t="s">
        <v>6372</v>
      </c>
      <c r="I783" s="114" t="str">
        <v>R-BASIC</v>
      </c>
      <c r="J783" s="94" t="str">
        <v>No</v>
      </c>
      <c r="K783" s="94" t="str">
        <v>No</v>
      </c>
      <c r="L783" s="137" t="str">
        <v>Yes</v>
      </c>
      <c r="M783" s="94" t="str">
        <v>No</v>
      </c>
      <c r="N783" s="134" t="str">
        <v>No</v>
      </c>
      <c r="O783" s="119" t="str">
        <v>Yes</v>
      </c>
      <c r="P783" s="92" t="str">
        <v>N</v>
      </c>
      <c r="Q783" s="91">
        <v>45960</v>
      </c>
      <c r="R783" s="140">
        <v>0</v>
      </c>
      <c r="S783" s="92">
        <v>0</v>
      </c>
      <c r="T783" s="92">
        <v>0</v>
      </c>
      <c r="U783" s="137">
        <v>0</v>
      </c>
      <c r="V783" s="126" t="str">
        <f t="shared" si="24"/>
        <v>✅ On Best Plan</v>
      </c>
      <c r="W783" s="130">
        <f>IFERROR(_xlfn.XLOOKUP(TEXT(H783,"0000000000"),'📞 Call Tracker'!A$2:A$2000,'📞 Call Tracker'!B$2:B$2000,""),"")</f>
        <v>0</v>
      </c>
      <c r="X783" s="96">
        <f>IFERROR(_xlfn.XLOOKUP(TEXT(H783,"0000000000"),'📞 Call Tracker'!A$2:A$2000,'📞 Call Tracker'!C$2:C$2000,""),"")</f>
        <v>0</v>
      </c>
      <c r="Y783" s="95">
        <f>IFERROR(_xlfn.XLOOKUP(TEXT(H783,"0000000000"),'📞 Call Tracker'!A$2:A$2000,'📞 Call Tracker'!D$2:D$2000,""),"")</f>
        <v>0</v>
      </c>
      <c r="Z783" s="95">
        <f>IFERROR(_xlfn.XLOOKUP(TEXT(H783,"0000000000"),'📞 Call Tracker'!A$2:A$2000,'📞 Call Tracker'!E$2:E$2000,""),"")</f>
        <v>0</v>
      </c>
      <c r="AA783" s="145">
        <f>IFERROR(_xlfn.XLOOKUP(TEXT(H783,"0000000000"),'📞 Call Tracker'!A$2:A$2000,'📞 Call Tracker'!F$2:F$2000,""),"")</f>
        <v>0</v>
      </c>
      <c r="AB783" s="132">
        <f t="shared" si="25"/>
        <v>99</v>
      </c>
      <c r="AC783" s="79"/>
    </row>
    <row r="784" spans="1:29" ht="20.100000000000001" customHeight="1">
      <c r="A784" s="91">
        <v>45918</v>
      </c>
      <c r="B784" s="92" t="str">
        <v>Boerner</v>
      </c>
      <c r="C784" s="92" t="str">
        <v>Rhonda</v>
      </c>
      <c r="D784" s="92" t="str">
        <v>Goodyear</v>
      </c>
      <c r="E784" s="92">
        <v>85338</v>
      </c>
      <c r="F784" s="137" t="str">
        <v>Opposed-Unfair to residential customers</v>
      </c>
      <c r="G784" s="93" t="str">
        <v>https://docket.images.azcc.gov/E000046525.pdf</v>
      </c>
      <c r="H784" s="150" t="s">
        <v>6373</v>
      </c>
      <c r="I784" s="114" t="str">
        <v>EPR-6w/E-12</v>
      </c>
      <c r="J784" s="94" t="str">
        <v>No</v>
      </c>
      <c r="K784" s="94" t="str">
        <v>No</v>
      </c>
      <c r="L784" s="137" t="str">
        <v>Frozen Rate</v>
      </c>
      <c r="M784" s="94" t="str">
        <v>No</v>
      </c>
      <c r="N784" s="134" t="str">
        <v>No</v>
      </c>
      <c r="O784" s="119" t="str">
        <v>Yes</v>
      </c>
      <c r="P784" s="92" t="str">
        <v>N</v>
      </c>
      <c r="Q784" s="91">
        <v>45960</v>
      </c>
      <c r="R784" s="140">
        <v>0</v>
      </c>
      <c r="S784" s="92">
        <v>0</v>
      </c>
      <c r="T784" s="92">
        <v>0</v>
      </c>
      <c r="U784" s="137">
        <v>0</v>
      </c>
      <c r="V784" s="126" t="str">
        <f t="shared" si="24"/>
        <v>❄ Frozen Rate</v>
      </c>
      <c r="W784" s="130" t="str">
        <f>IFERROR(_xlfn.XLOOKUP(TEXT(H784,"0000000000"),'📞 Call Tracker'!A$2:A$2000,'📞 Call Tracker'!B$2:B$2000,""),"")</f>
        <v>Joaquin</v>
      </c>
      <c r="X784" s="96">
        <f>IFERROR(_xlfn.XLOOKUP(TEXT(H784,"0000000000"),'📞 Call Tracker'!A$2:A$2000,'📞 Call Tracker'!C$2:C$2000,""),"")</f>
        <v>46081</v>
      </c>
      <c r="Y784" s="95" t="str">
        <f>IFERROR(_xlfn.XLOOKUP(TEXT(H784,"0000000000"),'📞 Call Tracker'!A$2:A$2000,'📞 Call Tracker'!D$2:D$2000,""),"")</f>
        <v>NO</v>
      </c>
      <c r="Z784" s="95" t="str">
        <f>IFERROR(_xlfn.XLOOKUP(TEXT(H784,"0000000000"),'📞 Call Tracker'!A$2:A$2000,'📞 Call Tracker'!E$2:E$2000,""),"")</f>
        <v>General Education</v>
      </c>
      <c r="AA784" s="145" t="str">
        <f>IFERROR(_xlfn.XLOOKUP(TEXT(H784,"0000000000"),'📞 Call Tracker'!A$2:A$2000,'📞 Call Tracker'!F$2:F$2000,""),"")</f>
        <v>NOT  FOR RATE INCREASE</v>
      </c>
      <c r="AB784" s="132">
        <f t="shared" si="25"/>
        <v>99</v>
      </c>
      <c r="AC784" s="79"/>
    </row>
    <row r="785" spans="1:29" ht="20.100000000000001" customHeight="1">
      <c r="A785" s="91">
        <v>45918</v>
      </c>
      <c r="B785" s="92" t="str">
        <v>Zamudio</v>
      </c>
      <c r="C785" s="92" t="str">
        <v>Alejandro</v>
      </c>
      <c r="D785" s="92" t="str">
        <v>Phoenix</v>
      </c>
      <c r="E785" s="92">
        <v>85029</v>
      </c>
      <c r="F785" s="137" t="str">
        <v>Opposed- Unacceptable and unreasonable</v>
      </c>
      <c r="G785" s="93" t="str">
        <v>https://docket.images.azcc.gov/E000046525.pdf</v>
      </c>
      <c r="H785" s="150" t="s">
        <v>6374</v>
      </c>
      <c r="I785" s="114" t="str">
        <v>RCPw/RTOUE47</v>
      </c>
      <c r="J785" s="94" t="str">
        <v>No</v>
      </c>
      <c r="K785" s="94" t="str">
        <v>No</v>
      </c>
      <c r="L785" s="137" t="str">
        <v>Yes</v>
      </c>
      <c r="M785" s="94" t="str">
        <v>No</v>
      </c>
      <c r="N785" s="134" t="str">
        <v>No</v>
      </c>
      <c r="O785" s="119" t="str">
        <v>Yes</v>
      </c>
      <c r="P785" s="92" t="str">
        <v>N</v>
      </c>
      <c r="Q785" s="91">
        <v>45960</v>
      </c>
      <c r="R785" s="140">
        <v>0</v>
      </c>
      <c r="S785" s="92">
        <v>0</v>
      </c>
      <c r="T785" s="92">
        <v>0</v>
      </c>
      <c r="U785" s="137">
        <v>0</v>
      </c>
      <c r="V785" s="126" t="str">
        <f t="shared" si="24"/>
        <v>✅ On Best Plan</v>
      </c>
      <c r="W785" s="130" t="str">
        <f>IFERROR(_xlfn.XLOOKUP(TEXT(H785,"0000000000"),'📞 Call Tracker'!A$2:A$2000,'📞 Call Tracker'!B$2:B$2000,""),"")</f>
        <v>Joaquin</v>
      </c>
      <c r="X785" s="96">
        <f>IFERROR(_xlfn.XLOOKUP(TEXT(H785,"0000000000"),'📞 Call Tracker'!A$2:A$2000,'📞 Call Tracker'!C$2:C$2000,""),"")</f>
        <v>45997</v>
      </c>
      <c r="Y785" s="95">
        <f>IFERROR(_xlfn.XLOOKUP(TEXT(H785,"0000000000"),'📞 Call Tracker'!A$2:A$2000,'📞 Call Tracker'!D$2:D$2000,""),"")</f>
        <v>0</v>
      </c>
      <c r="Z785" s="95">
        <f>IFERROR(_xlfn.XLOOKUP(TEXT(H785,"0000000000"),'📞 Call Tracker'!A$2:A$2000,'📞 Call Tracker'!E$2:E$2000,""),"")</f>
        <v>0</v>
      </c>
      <c r="AA785" s="145" t="str">
        <f>IFERROR(_xlfn.XLOOKUP(TEXT(H785,"0000000000"),'📞 Call Tracker'!A$2:A$2000,'📞 Call Tracker'!F$2:F$2000,""),"")</f>
        <v>ACCT CURRENT NO E3</v>
      </c>
      <c r="AB785" s="132">
        <f t="shared" si="25"/>
        <v>99</v>
      </c>
      <c r="AC785" s="79"/>
    </row>
    <row r="786" spans="1:29" ht="20.100000000000001" customHeight="1">
      <c r="A786" s="91">
        <v>45918</v>
      </c>
      <c r="B786" s="92" t="str">
        <v>Ducar</v>
      </c>
      <c r="C786" s="92" t="str">
        <v>Christopher</v>
      </c>
      <c r="D786" s="92" t="str">
        <v>Phoenix</v>
      </c>
      <c r="E786" s="92">
        <v>85053</v>
      </c>
      <c r="F786" s="137" t="str">
        <v>Outraged the commission would even consider this</v>
      </c>
      <c r="G786" s="93" t="str">
        <v>https://docket.images.azcc.gov/E000046525.pdf</v>
      </c>
      <c r="H786" s="150" t="s">
        <v>6155</v>
      </c>
      <c r="I786" s="114" t="str">
        <v>R3-47</v>
      </c>
      <c r="J786" s="94" t="str">
        <v>No</v>
      </c>
      <c r="K786" s="94" t="str">
        <v>No</v>
      </c>
      <c r="L786" s="137" t="str">
        <v>Yes</v>
      </c>
      <c r="M786" s="94" t="str">
        <v>No</v>
      </c>
      <c r="N786" s="134" t="str">
        <v>No</v>
      </c>
      <c r="O786" s="119" t="str">
        <v>Yes</v>
      </c>
      <c r="P786" s="92" t="str">
        <v>N</v>
      </c>
      <c r="Q786" s="91">
        <v>45960</v>
      </c>
      <c r="R786" s="140">
        <v>0</v>
      </c>
      <c r="S786" s="92">
        <v>0</v>
      </c>
      <c r="T786" s="92">
        <v>0</v>
      </c>
      <c r="U786" s="137">
        <v>0</v>
      </c>
      <c r="V786" s="126" t="str">
        <f t="shared" si="24"/>
        <v>✅ On Best Plan</v>
      </c>
      <c r="W786" s="130" t="str">
        <f>IFERROR(_xlfn.XLOOKUP(TEXT(H786,"0000000000"),'📞 Call Tracker'!A$2:A$2000,'📞 Call Tracker'!B$2:B$2000,""),"")</f>
        <v>Joaquin</v>
      </c>
      <c r="X786" s="96">
        <f>IFERROR(_xlfn.XLOOKUP(TEXT(H786,"0000000000"),'📞 Call Tracker'!A$2:A$2000,'📞 Call Tracker'!C$2:C$2000,""),"")</f>
        <v>45997</v>
      </c>
      <c r="Y786" s="95" t="str">
        <f>IFERROR(_xlfn.XLOOKUP(TEXT(H786,"0000000000"),'📞 Call Tracker'!A$2:A$2000,'📞 Call Tracker'!D$2:D$2000,""),"")</f>
        <v>YES</v>
      </c>
      <c r="Z786" s="95">
        <f>IFERROR(_xlfn.XLOOKUP(TEXT(H786,"0000000000"),'📞 Call Tracker'!A$2:A$2000,'📞 Call Tracker'!E$2:E$2000,""),"")</f>
        <v>0</v>
      </c>
      <c r="AA786" s="145" t="str">
        <f>IFERROR(_xlfn.XLOOKUP(TEXT(H786,"0000000000"),'📞 Call Tracker'!A$2:A$2000,'📞 Call Tracker'!F$2:F$2000,""),"")</f>
        <v>ACCT IS ON P-A NO E3 OR MED</v>
      </c>
      <c r="AB786" s="132">
        <f t="shared" si="25"/>
        <v>99</v>
      </c>
      <c r="AC786" s="79"/>
    </row>
    <row r="787" spans="1:29" ht="20.100000000000001" customHeight="1">
      <c r="A787" s="91">
        <v>45918</v>
      </c>
      <c r="B787" s="92" t="str">
        <v>Vandenberg</v>
      </c>
      <c r="C787" s="92" t="str">
        <v>Taylor</v>
      </c>
      <c r="D787" s="92" t="str">
        <v>Phoenix</v>
      </c>
      <c r="E787" s="92">
        <v>85013</v>
      </c>
      <c r="F787" s="137" t="str">
        <v>Opposed-Terrible idea for Arizonans</v>
      </c>
      <c r="G787" s="93" t="str">
        <v>https://docket.images.azcc.gov/E000046525.pdf</v>
      </c>
      <c r="H787" s="150" t="s">
        <v>6730</v>
      </c>
      <c r="I787" s="114" t="str">
        <v>RTOUE47</v>
      </c>
      <c r="J787" s="94" t="str">
        <v>No</v>
      </c>
      <c r="K787" s="94" t="str">
        <v>No</v>
      </c>
      <c r="L787" s="137" t="str">
        <v>No MEP R3-47(175.40)</v>
      </c>
      <c r="M787" s="94" t="str">
        <v>Yes</v>
      </c>
      <c r="N787" s="134">
        <v>349.63</v>
      </c>
      <c r="O787" s="119" t="str">
        <v>Yes</v>
      </c>
      <c r="P787" s="92">
        <v>0</v>
      </c>
      <c r="Q787" s="91">
        <v>45960</v>
      </c>
      <c r="R787" s="140" t="str">
        <v>Assistance?</v>
      </c>
      <c r="S787" s="92">
        <v>0</v>
      </c>
      <c r="T787" s="92">
        <v>0</v>
      </c>
      <c r="U787" s="137">
        <v>0</v>
      </c>
      <c r="V787" s="126" t="str">
        <f t="shared" si="24"/>
        <v>❌ Not on Best Plan</v>
      </c>
      <c r="W787" s="130" t="str">
        <f>IFERROR(_xlfn.XLOOKUP(TEXT(H787,"0000000000"),'📞 Call Tracker'!A$2:A$2000,'📞 Call Tracker'!B$2:B$2000,""),"")</f>
        <v/>
      </c>
      <c r="X787" s="96" t="str">
        <f>IFERROR(_xlfn.XLOOKUP(TEXT(H787,"0000000000"),'📞 Call Tracker'!A$2:A$2000,'📞 Call Tracker'!C$2:C$2000,""),"")</f>
        <v/>
      </c>
      <c r="Y787" s="95" t="str">
        <f>IFERROR(_xlfn.XLOOKUP(TEXT(H787,"0000000000"),'📞 Call Tracker'!A$2:A$2000,'📞 Call Tracker'!D$2:D$2000,""),"")</f>
        <v/>
      </c>
      <c r="Z787" s="95" t="str">
        <f>IFERROR(_xlfn.XLOOKUP(TEXT(H787,"0000000000"),'📞 Call Tracker'!A$2:A$2000,'📞 Call Tracker'!E$2:E$2000,""),"")</f>
        <v/>
      </c>
      <c r="AA787" s="145" t="str">
        <f>IFERROR(_xlfn.XLOOKUP(TEXT(H787,"0000000000"),'📞 Call Tracker'!A$2:A$2000,'📞 Call Tracker'!F$2:F$2000,""),"")</f>
        <v/>
      </c>
      <c r="AB787" s="132">
        <f t="shared" si="25"/>
        <v>1</v>
      </c>
      <c r="AC787" s="79"/>
    </row>
    <row r="788" spans="1:29" ht="20.100000000000001" customHeight="1">
      <c r="A788" s="91">
        <v>45918</v>
      </c>
      <c r="B788" s="92" t="str">
        <v>Downing</v>
      </c>
      <c r="C788" s="92" t="str">
        <v>Douglas</v>
      </c>
      <c r="D788" s="92" t="str">
        <v>Scottsdale</v>
      </c>
      <c r="E788" s="92">
        <v>85260</v>
      </c>
      <c r="F788" s="137" t="str">
        <v>Opposed-increase is 4X higher than prevailing inflation</v>
      </c>
      <c r="G788" s="93" t="str">
        <v>https://docket.images.azcc.gov/E000046525.pdf</v>
      </c>
      <c r="H788" s="150" t="s">
        <v>6156</v>
      </c>
      <c r="I788" s="114" t="str">
        <v>R-XS</v>
      </c>
      <c r="J788" s="94" t="str">
        <v>No</v>
      </c>
      <c r="K788" s="94" t="str">
        <v>No</v>
      </c>
      <c r="L788" s="137" t="str">
        <v>Yes</v>
      </c>
      <c r="M788" s="94" t="str">
        <v>No</v>
      </c>
      <c r="N788" s="134" t="str">
        <v>No</v>
      </c>
      <c r="O788" s="119" t="str">
        <v>Yes</v>
      </c>
      <c r="P788" s="92" t="str">
        <v>N</v>
      </c>
      <c r="Q788" s="91">
        <v>45960</v>
      </c>
      <c r="R788" s="140">
        <v>0</v>
      </c>
      <c r="S788" s="92">
        <v>0</v>
      </c>
      <c r="T788" s="92">
        <v>0</v>
      </c>
      <c r="U788" s="137">
        <v>0</v>
      </c>
      <c r="V788" s="126" t="str">
        <f t="shared" si="24"/>
        <v>✅ On Best Plan</v>
      </c>
      <c r="W788" s="130" t="str">
        <f>IFERROR(_xlfn.XLOOKUP(TEXT(H788,"0000000000"),'📞 Call Tracker'!A$2:A$2000,'📞 Call Tracker'!B$2:B$2000,""),"")</f>
        <v>Joaquin</v>
      </c>
      <c r="X788" s="96">
        <f>IFERROR(_xlfn.XLOOKUP(TEXT(H788,"0000000000"),'📞 Call Tracker'!A$2:A$2000,'📞 Call Tracker'!C$2:C$2000,""),"")</f>
        <v>46081</v>
      </c>
      <c r="Y788" s="95" t="str">
        <f>IFERROR(_xlfn.XLOOKUP(TEXT(H788,"0000000000"),'📞 Call Tracker'!A$2:A$2000,'📞 Call Tracker'!D$2:D$2000,""),"")</f>
        <v>YES</v>
      </c>
      <c r="Z788" s="95">
        <f>IFERROR(_xlfn.XLOOKUP(TEXT(H788,"0000000000"),'📞 Call Tracker'!A$2:A$2000,'📞 Call Tracker'!E$2:E$2000,""),"")</f>
        <v>0</v>
      </c>
      <c r="AA788" s="145" t="str">
        <f>IFERROR(_xlfn.XLOOKUP(TEXT(H788,"0000000000"),'📞 Call Tracker'!A$2:A$2000,'📞 Call Tracker'!F$2:F$2000,""),"")</f>
        <v>LEFT VOICE MAIL</v>
      </c>
      <c r="AB788" s="132">
        <f t="shared" si="25"/>
        <v>99</v>
      </c>
      <c r="AC788" s="79"/>
    </row>
    <row r="789" spans="1:29" ht="20.100000000000001" customHeight="1">
      <c r="A789" s="91">
        <v>45918</v>
      </c>
      <c r="B789" s="92" t="str">
        <v>Marinero</v>
      </c>
      <c r="C789" s="92" t="str">
        <v>Walter</v>
      </c>
      <c r="D789" s="92" t="str">
        <v>Buckeye</v>
      </c>
      <c r="E789" s="92">
        <v>85396</v>
      </c>
      <c r="F789" s="137" t="str">
        <v xml:space="preserve">Strongly Opposed- Undue and unsustainable financial burden </v>
      </c>
      <c r="G789" s="93" t="str">
        <v>https://docket.images.azcc.gov/E000046525.pdf</v>
      </c>
      <c r="H789" s="150" t="s">
        <v>6375</v>
      </c>
      <c r="I789" s="114" t="str">
        <v>RTOUE47</v>
      </c>
      <c r="J789" s="94" t="str">
        <v>No</v>
      </c>
      <c r="K789" s="94" t="str">
        <v>No</v>
      </c>
      <c r="L789" s="137" t="str">
        <v>No MEP R3-47(1039.42)</v>
      </c>
      <c r="M789" s="94" t="str">
        <v>No</v>
      </c>
      <c r="N789" s="134" t="str">
        <v>No</v>
      </c>
      <c r="O789" s="119" t="str">
        <v>Yes</v>
      </c>
      <c r="P789" s="92" t="str">
        <v>N</v>
      </c>
      <c r="Q789" s="91">
        <v>45960</v>
      </c>
      <c r="R789" s="140" t="str">
        <v>10/10/2025 Left VM</v>
      </c>
      <c r="S789" s="92">
        <v>0</v>
      </c>
      <c r="T789" s="92">
        <v>0</v>
      </c>
      <c r="U789" s="137">
        <v>0</v>
      </c>
      <c r="V789" s="126" t="str">
        <f t="shared" si="24"/>
        <v>❌ Not on Best Plan</v>
      </c>
      <c r="W789" s="130">
        <f>IFERROR(_xlfn.XLOOKUP(TEXT(H789,"0000000000"),'📞 Call Tracker'!A$2:A$2000,'📞 Call Tracker'!B$2:B$2000,""),"")</f>
        <v>0</v>
      </c>
      <c r="X789" s="96">
        <f>IFERROR(_xlfn.XLOOKUP(TEXT(H789,"0000000000"),'📞 Call Tracker'!A$2:A$2000,'📞 Call Tracker'!C$2:C$2000,""),"")</f>
        <v>0</v>
      </c>
      <c r="Y789" s="95">
        <f>IFERROR(_xlfn.XLOOKUP(TEXT(H789,"0000000000"),'📞 Call Tracker'!A$2:A$2000,'📞 Call Tracker'!D$2:D$2000,""),"")</f>
        <v>0</v>
      </c>
      <c r="Z789" s="95">
        <f>IFERROR(_xlfn.XLOOKUP(TEXT(H789,"0000000000"),'📞 Call Tracker'!A$2:A$2000,'📞 Call Tracker'!E$2:E$2000,""),"")</f>
        <v>0</v>
      </c>
      <c r="AA789" s="145">
        <f>IFERROR(_xlfn.XLOOKUP(TEXT(H789,"0000000000"),'📞 Call Tracker'!A$2:A$2000,'📞 Call Tracker'!F$2:F$2000,""),"")</f>
        <v>0</v>
      </c>
      <c r="AB789" s="132">
        <f t="shared" si="25"/>
        <v>99</v>
      </c>
      <c r="AC789" s="79"/>
    </row>
    <row r="790" spans="1:29" ht="20.100000000000001" customHeight="1">
      <c r="A790" s="91">
        <v>45918</v>
      </c>
      <c r="B790" s="92" t="str">
        <v>Sharley</v>
      </c>
      <c r="C790" s="92" t="str">
        <v>Rachel</v>
      </c>
      <c r="D790" s="92" t="str">
        <v>Litchfield Park</v>
      </c>
      <c r="E790" s="92">
        <v>85340</v>
      </c>
      <c r="F790" s="137" t="str">
        <v>Opposed- Financial burden if passed</v>
      </c>
      <c r="G790" s="93" t="str">
        <v>https://docket.images.azcc.gov/E000046531.pdf</v>
      </c>
      <c r="H790" s="150" t="s">
        <v>6376</v>
      </c>
      <c r="I790" s="114" t="str">
        <v>R-XS</v>
      </c>
      <c r="J790" s="94" t="str">
        <v>No</v>
      </c>
      <c r="K790" s="94" t="str">
        <v>No</v>
      </c>
      <c r="L790" s="137" t="str">
        <v>Y</v>
      </c>
      <c r="M790" s="94" t="str">
        <v>No</v>
      </c>
      <c r="N790" s="134" t="str">
        <v>No</v>
      </c>
      <c r="O790" s="119" t="str">
        <v>Yes</v>
      </c>
      <c r="P790" s="92" t="str">
        <v>N</v>
      </c>
      <c r="Q790" s="91">
        <v>45960</v>
      </c>
      <c r="R790" s="140">
        <v>0</v>
      </c>
      <c r="S790" s="92">
        <v>0</v>
      </c>
      <c r="T790" s="92">
        <v>0</v>
      </c>
      <c r="U790" s="137">
        <v>0</v>
      </c>
      <c r="V790" s="126" t="str">
        <f t="shared" si="24"/>
        <v>✅ On Best Plan</v>
      </c>
      <c r="W790" s="130" t="str">
        <f>IFERROR(_xlfn.XLOOKUP(TEXT(H790,"0000000000"),'📞 Call Tracker'!A$2:A$2000,'📞 Call Tracker'!B$2:B$2000,""),"")</f>
        <v>Joaquin</v>
      </c>
      <c r="X790" s="96">
        <f>IFERROR(_xlfn.XLOOKUP(TEXT(H790,"0000000000"),'📞 Call Tracker'!A$2:A$2000,'📞 Call Tracker'!C$2:C$2000,""),"")</f>
        <v>46074</v>
      </c>
      <c r="Y790" s="95" t="str">
        <f>IFERROR(_xlfn.XLOOKUP(TEXT(H790,"0000000000"),'📞 Call Tracker'!A$2:A$2000,'📞 Call Tracker'!D$2:D$2000,""),"")</f>
        <v>NO</v>
      </c>
      <c r="Z790" s="95" t="str">
        <f>IFERROR(_xlfn.XLOOKUP(TEXT(H790,"0000000000"),'📞 Call Tracker'!A$2:A$2000,'📞 Call Tracker'!E$2:E$2000,""),"")</f>
        <v>General Education</v>
      </c>
      <c r="AA790" s="145" t="str">
        <f>IFERROR(_xlfn.XLOOKUP(TEXT(H790,"0000000000"),'📞 Call Tracker'!A$2:A$2000,'📞 Call Tracker'!F$2:F$2000,""),"")</f>
        <v>NOT  FOR RATE INCREASE</v>
      </c>
      <c r="AB790" s="132">
        <f t="shared" si="25"/>
        <v>99</v>
      </c>
      <c r="AC790" s="79"/>
    </row>
    <row r="791" spans="1:29" ht="20.100000000000001" customHeight="1">
      <c r="A791" s="91">
        <v>45918</v>
      </c>
      <c r="B791" s="92" t="str">
        <v>Post</v>
      </c>
      <c r="C791" s="92" t="str">
        <v>Carol</v>
      </c>
      <c r="D791" s="92" t="str">
        <v>Scottsdale</v>
      </c>
      <c r="E791" s="92">
        <v>85262</v>
      </c>
      <c r="F791" s="137" t="str">
        <v>Opposed- New Mexico bill is cheaper</v>
      </c>
      <c r="G791" s="93" t="str">
        <v>https://docket.images.azcc.gov/E000046531.pdf</v>
      </c>
      <c r="H791" s="150" t="s">
        <v>6377</v>
      </c>
      <c r="I791" s="114" t="str">
        <v>RCPw/R-2</v>
      </c>
      <c r="J791" s="94" t="str">
        <v>No</v>
      </c>
      <c r="K791" s="94" t="str">
        <v>No</v>
      </c>
      <c r="L791" s="137" t="str">
        <v>Frozen Rate</v>
      </c>
      <c r="M791" s="94" t="str">
        <v>No</v>
      </c>
      <c r="N791" s="134" t="str">
        <v>No</v>
      </c>
      <c r="O791" s="119" t="str">
        <v>Yes</v>
      </c>
      <c r="P791" s="92" t="str">
        <v>N</v>
      </c>
      <c r="Q791" s="91">
        <v>45960</v>
      </c>
      <c r="R791" s="140">
        <v>0</v>
      </c>
      <c r="S791" s="92">
        <v>0</v>
      </c>
      <c r="T791" s="92">
        <v>0</v>
      </c>
      <c r="U791" s="137">
        <v>0</v>
      </c>
      <c r="V791" s="126" t="str">
        <f t="shared" si="24"/>
        <v>❄ Frozen Rate</v>
      </c>
      <c r="W791" s="130">
        <f>IFERROR(_xlfn.XLOOKUP(TEXT(H791,"0000000000"),'📞 Call Tracker'!A$2:A$2000,'📞 Call Tracker'!B$2:B$2000,""),"")</f>
        <v>0</v>
      </c>
      <c r="X791" s="96">
        <f>IFERROR(_xlfn.XLOOKUP(TEXT(H791,"0000000000"),'📞 Call Tracker'!A$2:A$2000,'📞 Call Tracker'!C$2:C$2000,""),"")</f>
        <v>0</v>
      </c>
      <c r="Y791" s="95">
        <f>IFERROR(_xlfn.XLOOKUP(TEXT(H791,"0000000000"),'📞 Call Tracker'!A$2:A$2000,'📞 Call Tracker'!D$2:D$2000,""),"")</f>
        <v>0</v>
      </c>
      <c r="Z791" s="95">
        <f>IFERROR(_xlfn.XLOOKUP(TEXT(H791,"0000000000"),'📞 Call Tracker'!A$2:A$2000,'📞 Call Tracker'!E$2:E$2000,""),"")</f>
        <v>0</v>
      </c>
      <c r="AA791" s="145">
        <f>IFERROR(_xlfn.XLOOKUP(TEXT(H791,"0000000000"),'📞 Call Tracker'!A$2:A$2000,'📞 Call Tracker'!F$2:F$2000,""),"")</f>
        <v>0</v>
      </c>
      <c r="AB791" s="132">
        <f t="shared" si="25"/>
        <v>99</v>
      </c>
      <c r="AC791" s="79"/>
    </row>
    <row r="792" spans="1:29" ht="20.100000000000001" customHeight="1">
      <c r="A792" s="91">
        <v>45919</v>
      </c>
      <c r="B792" s="92" t="str">
        <v>Dagerman</v>
      </c>
      <c r="C792" s="92" t="str">
        <v>Justin</v>
      </c>
      <c r="D792" s="92" t="str">
        <v>Phoenix</v>
      </c>
      <c r="E792" s="92">
        <v>85032</v>
      </c>
      <c r="F792" s="137" t="str">
        <v>Opposed-Energy is a necessity not luxury</v>
      </c>
      <c r="G792" s="93" t="str">
        <v>https://docket.images.azcc.gov/E000046531.pdf</v>
      </c>
      <c r="H792" s="150" t="s">
        <v>6092</v>
      </c>
      <c r="I792" s="114" t="str">
        <v>EPR-6w/E-12</v>
      </c>
      <c r="J792" s="94" t="str">
        <v>No</v>
      </c>
      <c r="K792" s="94" t="str">
        <v>No</v>
      </c>
      <c r="L792" s="137" t="str">
        <v>Frozen Rate</v>
      </c>
      <c r="M792" s="94" t="str">
        <v>Yes</v>
      </c>
      <c r="N792" s="134">
        <v>719.22</v>
      </c>
      <c r="O792" s="119" t="str">
        <v>Yes</v>
      </c>
      <c r="P792" s="92">
        <v>0</v>
      </c>
      <c r="Q792" s="91">
        <v>45960</v>
      </c>
      <c r="R792" s="140" t="str">
        <v>Good payment history, shows a recent missed payment</v>
      </c>
      <c r="S792" s="92">
        <v>0</v>
      </c>
      <c r="T792" s="92">
        <v>0</v>
      </c>
      <c r="U792" s="137">
        <v>0</v>
      </c>
      <c r="V792" s="126" t="str">
        <f t="shared" si="24"/>
        <v>❄ Frozen Rate</v>
      </c>
      <c r="W792" s="130" t="str">
        <f>IFERROR(_xlfn.XLOOKUP(TEXT(H792,"0000000000"),'📞 Call Tracker'!A$2:A$2000,'📞 Call Tracker'!B$2:B$2000,""),"")</f>
        <v>Joaquin</v>
      </c>
      <c r="X792" s="96">
        <f>IFERROR(_xlfn.XLOOKUP(TEXT(H792,"0000000000"),'📞 Call Tracker'!A$2:A$2000,'📞 Call Tracker'!C$2:C$2000,""),"")</f>
        <v>46046</v>
      </c>
      <c r="Y792" s="95" t="str">
        <f>IFERROR(_xlfn.XLOOKUP(TEXT(H792,"0000000000"),'📞 Call Tracker'!A$2:A$2000,'📞 Call Tracker'!D$2:D$2000,""),"")</f>
        <v>NO</v>
      </c>
      <c r="Z792" s="95" t="str">
        <f>IFERROR(_xlfn.XLOOKUP(TEXT(H792,"0000000000"),'📞 Call Tracker'!A$2:A$2000,'📞 Call Tracker'!E$2:E$2000,""),"")</f>
        <v>General Education</v>
      </c>
      <c r="AA792" s="145" t="str">
        <f>IFERROR(_xlfn.XLOOKUP(TEXT(H792,"0000000000"),'📞 Call Tracker'!A$2:A$2000,'📞 Call Tracker'!F$2:F$2000,""),"")</f>
        <v>STILL NOT FOR RATE INCREASE</v>
      </c>
      <c r="AB792" s="132">
        <f t="shared" si="25"/>
        <v>99</v>
      </c>
      <c r="AC792" s="79"/>
    </row>
    <row r="793" spans="1:29" ht="20.100000000000001" customHeight="1">
      <c r="A793" s="91">
        <v>45919</v>
      </c>
      <c r="B793" s="92" t="str">
        <v>Sawyer</v>
      </c>
      <c r="C793" s="92" t="str">
        <v>Gregg</v>
      </c>
      <c r="D793" s="92" t="str">
        <v>El Mirage</v>
      </c>
      <c r="E793" s="92">
        <v>85335</v>
      </c>
      <c r="F793" s="137" t="str">
        <v>Opposed-SRP model is superior</v>
      </c>
      <c r="G793" s="93" t="str">
        <v>https://docket.images.azcc.gov/E000046531.pdf</v>
      </c>
      <c r="H793" s="150" t="s">
        <v>6378</v>
      </c>
      <c r="I793" s="114" t="str">
        <v>RCPw/RTOUE47</v>
      </c>
      <c r="J793" s="94" t="str">
        <v>No</v>
      </c>
      <c r="K793" s="94" t="str">
        <v>No</v>
      </c>
      <c r="L793" s="137" t="str">
        <v>Yes</v>
      </c>
      <c r="M793" s="94" t="str">
        <v>No</v>
      </c>
      <c r="N793" s="134" t="str">
        <v>No</v>
      </c>
      <c r="O793" s="119" t="str">
        <v>Yes</v>
      </c>
      <c r="P793" s="92" t="str">
        <v>N</v>
      </c>
      <c r="Q793" s="91">
        <v>45960</v>
      </c>
      <c r="R793" s="140">
        <v>0</v>
      </c>
      <c r="S793" s="92">
        <v>0</v>
      </c>
      <c r="T793" s="92">
        <v>0</v>
      </c>
      <c r="U793" s="137">
        <v>0</v>
      </c>
      <c r="V793" s="126" t="str">
        <f t="shared" si="24"/>
        <v>✅ On Best Plan</v>
      </c>
      <c r="W793" s="130">
        <f>IFERROR(_xlfn.XLOOKUP(TEXT(H793,"0000000000"),'📞 Call Tracker'!A$2:A$2000,'📞 Call Tracker'!B$2:B$2000,""),"")</f>
        <v>0</v>
      </c>
      <c r="X793" s="96">
        <f>IFERROR(_xlfn.XLOOKUP(TEXT(H793,"0000000000"),'📞 Call Tracker'!A$2:A$2000,'📞 Call Tracker'!C$2:C$2000,""),"")</f>
        <v>0</v>
      </c>
      <c r="Y793" s="95">
        <f>IFERROR(_xlfn.XLOOKUP(TEXT(H793,"0000000000"),'📞 Call Tracker'!A$2:A$2000,'📞 Call Tracker'!D$2:D$2000,""),"")</f>
        <v>0</v>
      </c>
      <c r="Z793" s="95">
        <f>IFERROR(_xlfn.XLOOKUP(TEXT(H793,"0000000000"),'📞 Call Tracker'!A$2:A$2000,'📞 Call Tracker'!E$2:E$2000,""),"")</f>
        <v>0</v>
      </c>
      <c r="AA793" s="145">
        <f>IFERROR(_xlfn.XLOOKUP(TEXT(H793,"0000000000"),'📞 Call Tracker'!A$2:A$2000,'📞 Call Tracker'!F$2:F$2000,""),"")</f>
        <v>0</v>
      </c>
      <c r="AB793" s="132">
        <f t="shared" si="25"/>
        <v>99</v>
      </c>
      <c r="AC793" s="79"/>
    </row>
    <row r="794" spans="1:29" ht="20.100000000000001" customHeight="1">
      <c r="A794" s="91">
        <v>45919</v>
      </c>
      <c r="B794" s="92" t="str">
        <v>Suckow</v>
      </c>
      <c r="C794" s="92" t="str">
        <v>Mary</v>
      </c>
      <c r="D794" s="92" t="str">
        <v>Glendale</v>
      </c>
      <c r="E794" s="92">
        <v>85310</v>
      </c>
      <c r="F794" s="137" t="str">
        <v>Opposed-Rates already incredibly high</v>
      </c>
      <c r="G794" s="93" t="str">
        <v>https://docket.images.azcc.gov/E000046531.pdf</v>
      </c>
      <c r="H794" s="150" t="s">
        <v>6379</v>
      </c>
      <c r="I794" s="114" t="str">
        <v>RCPw/RTOUE47</v>
      </c>
      <c r="J794" s="94" t="str">
        <v>No</v>
      </c>
      <c r="K794" s="94" t="str">
        <v>No</v>
      </c>
      <c r="L794" s="137" t="str">
        <v>No MEP R3-47 (101.27)</v>
      </c>
      <c r="M794" s="94" t="str">
        <v>No</v>
      </c>
      <c r="N794" s="134" t="str">
        <v>No</v>
      </c>
      <c r="O794" s="119" t="str">
        <v>Yes</v>
      </c>
      <c r="P794" s="92">
        <v>45940</v>
      </c>
      <c r="Q794" s="91">
        <v>45960</v>
      </c>
      <c r="R794" s="140" t="str">
        <v>Cor will think about this and request a cb at her convenience</v>
      </c>
      <c r="S794" s="92">
        <v>0</v>
      </c>
      <c r="T794" s="92">
        <v>0</v>
      </c>
      <c r="U794" s="137">
        <v>0</v>
      </c>
      <c r="V794" s="126" t="str">
        <f t="shared" si="24"/>
        <v>❌ Not on Best Plan</v>
      </c>
      <c r="W794" s="130" t="str">
        <f>IFERROR(_xlfn.XLOOKUP(TEXT(H794,"0000000000"),'📞 Call Tracker'!A$2:A$2000,'📞 Call Tracker'!B$2:B$2000,""),"")</f>
        <v>Joaquin</v>
      </c>
      <c r="X794" s="96">
        <f>IFERROR(_xlfn.XLOOKUP(TEXT(H794,"0000000000"),'📞 Call Tracker'!A$2:A$2000,'📞 Call Tracker'!C$2:C$2000,""),"")</f>
        <v>46074</v>
      </c>
      <c r="Y794" s="95" t="str">
        <f>IFERROR(_xlfn.XLOOKUP(TEXT(H794,"0000000000"),'📞 Call Tracker'!A$2:A$2000,'📞 Call Tracker'!D$2:D$2000,""),"")</f>
        <v>YES</v>
      </c>
      <c r="Z794" s="95">
        <f>IFERROR(_xlfn.XLOOKUP(TEXT(H794,"0000000000"),'📞 Call Tracker'!A$2:A$2000,'📞 Call Tracker'!E$2:E$2000,""),"")</f>
        <v>0</v>
      </c>
      <c r="AA794" s="145" t="str">
        <f>IFERROR(_xlfn.XLOOKUP(TEXT(H794,"0000000000"),'📞 Call Tracker'!A$2:A$2000,'📞 Call Tracker'!F$2:F$2000,""),"")</f>
        <v>LEFT VOICE MAIL</v>
      </c>
      <c r="AB794" s="132">
        <f t="shared" si="25"/>
        <v>99</v>
      </c>
      <c r="AC794" s="79"/>
    </row>
    <row r="795" spans="1:29" ht="20.100000000000001" customHeight="1">
      <c r="A795" s="91">
        <v>45919</v>
      </c>
      <c r="B795" s="92" t="str">
        <v>Swett</v>
      </c>
      <c r="C795" s="92" t="str">
        <v>Paige</v>
      </c>
      <c r="D795" s="92" t="str">
        <v xml:space="preserve">Glendale </v>
      </c>
      <c r="E795" s="92">
        <v>85306</v>
      </c>
      <c r="F795" s="137" t="str">
        <v xml:space="preserve">Strongly against rate increase </v>
      </c>
      <c r="G795" s="93" t="str">
        <v>https://docket.images.azcc.gov/E000046531.pdf</v>
      </c>
      <c r="H795" s="150" t="s">
        <v>6380</v>
      </c>
      <c r="I795" s="114" t="str">
        <v>RCPw/R3-47</v>
      </c>
      <c r="J795" s="94" t="str">
        <v>No</v>
      </c>
      <c r="K795" s="94" t="str">
        <v>No</v>
      </c>
      <c r="L795" s="137" t="str">
        <v>Yes</v>
      </c>
      <c r="M795" s="94" t="str">
        <v>No</v>
      </c>
      <c r="N795" s="134" t="str">
        <v>No</v>
      </c>
      <c r="O795" s="119" t="str">
        <v>Yes</v>
      </c>
      <c r="P795" s="92" t="str">
        <v>N</v>
      </c>
      <c r="Q795" s="91">
        <v>45960</v>
      </c>
      <c r="R795" s="140">
        <v>0</v>
      </c>
      <c r="S795" s="92">
        <v>0</v>
      </c>
      <c r="T795" s="92">
        <v>0</v>
      </c>
      <c r="U795" s="137">
        <v>0</v>
      </c>
      <c r="V795" s="126" t="str">
        <f t="shared" si="24"/>
        <v>✅ On Best Plan</v>
      </c>
      <c r="W795" s="130">
        <f>IFERROR(_xlfn.XLOOKUP(TEXT(H795,"0000000000"),'📞 Call Tracker'!A$2:A$2000,'📞 Call Tracker'!B$2:B$2000,""),"")</f>
        <v>0</v>
      </c>
      <c r="X795" s="96">
        <f>IFERROR(_xlfn.XLOOKUP(TEXT(H795,"0000000000"),'📞 Call Tracker'!A$2:A$2000,'📞 Call Tracker'!C$2:C$2000,""),"")</f>
        <v>0</v>
      </c>
      <c r="Y795" s="95">
        <f>IFERROR(_xlfn.XLOOKUP(TEXT(H795,"0000000000"),'📞 Call Tracker'!A$2:A$2000,'📞 Call Tracker'!D$2:D$2000,""),"")</f>
        <v>0</v>
      </c>
      <c r="Z795" s="95">
        <f>IFERROR(_xlfn.XLOOKUP(TEXT(H795,"0000000000"),'📞 Call Tracker'!A$2:A$2000,'📞 Call Tracker'!E$2:E$2000,""),"")</f>
        <v>0</v>
      </c>
      <c r="AA795" s="145">
        <f>IFERROR(_xlfn.XLOOKUP(TEXT(H795,"0000000000"),'📞 Call Tracker'!A$2:A$2000,'📞 Call Tracker'!F$2:F$2000,""),"")</f>
        <v>0</v>
      </c>
      <c r="AB795" s="132">
        <f t="shared" si="25"/>
        <v>99</v>
      </c>
      <c r="AC795" s="79"/>
    </row>
    <row r="796" spans="1:29" ht="20.100000000000001" customHeight="1">
      <c r="A796" s="91">
        <v>45919</v>
      </c>
      <c r="B796" s="92" t="str">
        <v xml:space="preserve">Mathews </v>
      </c>
      <c r="C796" s="92" t="str">
        <v>Dajiah</v>
      </c>
      <c r="D796" s="92" t="str">
        <v>Peoria</v>
      </c>
      <c r="E796" s="92">
        <v>85345</v>
      </c>
      <c r="F796" s="137" t="str">
        <v>Opposed-increase e3 and crises base lines to match</v>
      </c>
      <c r="G796" s="93" t="str">
        <v>https://docket.images.azcc.gov/E000046548.pdf</v>
      </c>
      <c r="H796" s="150" t="s">
        <v>6381</v>
      </c>
      <c r="I796" s="114" t="str">
        <v>R-BASIC</v>
      </c>
      <c r="J796" s="94" t="str">
        <v>No</v>
      </c>
      <c r="K796" s="94" t="str">
        <v>No</v>
      </c>
      <c r="L796" s="137" t="str">
        <v>Yes</v>
      </c>
      <c r="M796" s="94" t="str">
        <v>No</v>
      </c>
      <c r="N796" s="134" t="str">
        <v>No</v>
      </c>
      <c r="O796" s="119" t="str">
        <v>Yes</v>
      </c>
      <c r="P796" s="92" t="str">
        <v>N</v>
      </c>
      <c r="Q796" s="91">
        <v>45960</v>
      </c>
      <c r="R796" s="140">
        <v>0</v>
      </c>
      <c r="S796" s="92">
        <v>0</v>
      </c>
      <c r="T796" s="92">
        <v>0</v>
      </c>
      <c r="U796" s="137">
        <v>0</v>
      </c>
      <c r="V796" s="126" t="str">
        <f t="shared" si="24"/>
        <v>✅ On Best Plan</v>
      </c>
      <c r="W796" s="130" t="str">
        <f>IFERROR(_xlfn.XLOOKUP(TEXT(H796,"0000000000"),'📞 Call Tracker'!A$2:A$2000,'📞 Call Tracker'!B$2:B$2000,""),"")</f>
        <v>Joaquin</v>
      </c>
      <c r="X796" s="96">
        <f>IFERROR(_xlfn.XLOOKUP(TEXT(H796,"0000000000"),'📞 Call Tracker'!A$2:A$2000,'📞 Call Tracker'!C$2:C$2000,""),"")</f>
        <v>46074</v>
      </c>
      <c r="Y796" s="95" t="str">
        <f>IFERROR(_xlfn.XLOOKUP(TEXT(H796,"0000000000"),'📞 Call Tracker'!A$2:A$2000,'📞 Call Tracker'!D$2:D$2000,""),"")</f>
        <v>YES</v>
      </c>
      <c r="Z796" s="95">
        <f>IFERROR(_xlfn.XLOOKUP(TEXT(H796,"0000000000"),'📞 Call Tracker'!A$2:A$2000,'📞 Call Tracker'!E$2:E$2000,""),"")</f>
        <v>0</v>
      </c>
      <c r="AA796" s="145" t="str">
        <f>IFERROR(_xlfn.XLOOKUP(TEXT(H796,"0000000000"),'📞 Call Tracker'!A$2:A$2000,'📞 Call Tracker'!F$2:F$2000,""),"")</f>
        <v>LEFT VOICE MAIL</v>
      </c>
      <c r="AB796" s="132">
        <f t="shared" si="25"/>
        <v>99</v>
      </c>
      <c r="AC796" s="79"/>
    </row>
    <row r="797" spans="1:29" ht="20.100000000000001" customHeight="1">
      <c r="A797" s="91">
        <v>45919</v>
      </c>
      <c r="B797" s="92" t="str">
        <v>Norquist</v>
      </c>
      <c r="C797" s="92" t="str">
        <v>Laura</v>
      </c>
      <c r="D797" s="92" t="str">
        <v>Paradise Valley</v>
      </c>
      <c r="E797" s="92">
        <v>85253</v>
      </c>
      <c r="F797" s="137" t="str">
        <v>Chip factories and AI are driving up costs</v>
      </c>
      <c r="G797" s="93" t="str">
        <v>https://docket.images.azcc.gov/E000046548.pdf</v>
      </c>
      <c r="H797" s="150" t="s">
        <v>6003</v>
      </c>
      <c r="I797" s="114" t="str">
        <v>R3-47</v>
      </c>
      <c r="J797" s="94" t="str">
        <v>No</v>
      </c>
      <c r="K797" s="94" t="str">
        <v>No</v>
      </c>
      <c r="L797" s="137" t="str">
        <v>Yes</v>
      </c>
      <c r="M797" s="94" t="str">
        <v>No</v>
      </c>
      <c r="N797" s="134" t="str">
        <v>No</v>
      </c>
      <c r="O797" s="119" t="str">
        <v>Yes</v>
      </c>
      <c r="P797" s="92" t="str">
        <v>N</v>
      </c>
      <c r="Q797" s="91">
        <v>45960</v>
      </c>
      <c r="R797" s="140">
        <v>0</v>
      </c>
      <c r="S797" s="92">
        <v>0</v>
      </c>
      <c r="T797" s="92">
        <v>0</v>
      </c>
      <c r="U797" s="137">
        <v>0</v>
      </c>
      <c r="V797" s="126" t="str">
        <f t="shared" si="24"/>
        <v>✅ On Best Plan</v>
      </c>
      <c r="W797" s="130" t="str">
        <f>IFERROR(_xlfn.XLOOKUP(TEXT(H797,"0000000000"),'📞 Call Tracker'!A$2:A$2000,'📞 Call Tracker'!B$2:B$2000,""),"")</f>
        <v>Joaquin</v>
      </c>
      <c r="X797" s="96">
        <f>IFERROR(_xlfn.XLOOKUP(TEXT(H797,"0000000000"),'📞 Call Tracker'!A$2:A$2000,'📞 Call Tracker'!C$2:C$2000,""),"")</f>
        <v>45997</v>
      </c>
      <c r="Y797" s="95" t="str">
        <f>IFERROR(_xlfn.XLOOKUP(TEXT(H797,"0000000000"),'📞 Call Tracker'!A$2:A$2000,'📞 Call Tracker'!D$2:D$2000,""),"")</f>
        <v>YES</v>
      </c>
      <c r="Z797" s="95">
        <f>IFERROR(_xlfn.XLOOKUP(TEXT(H797,"0000000000"),'📞 Call Tracker'!A$2:A$2000,'📞 Call Tracker'!E$2:E$2000,""),"")</f>
        <v>0</v>
      </c>
      <c r="AA797" s="145" t="str">
        <f>IFERROR(_xlfn.XLOOKUP(TEXT(H797,"0000000000"),'📞 Call Tracker'!A$2:A$2000,'📞 Call Tracker'!F$2:F$2000,""),"")</f>
        <v>NO E3 ON ACCT IS ON PAYMENT ARRANGEMENT</v>
      </c>
      <c r="AB797" s="132">
        <f t="shared" si="25"/>
        <v>99</v>
      </c>
      <c r="AC797" s="79"/>
    </row>
    <row r="798" spans="1:29" ht="20.100000000000001" customHeight="1">
      <c r="A798" s="91">
        <v>45919</v>
      </c>
      <c r="B798" s="92" t="str">
        <v>Hamilton</v>
      </c>
      <c r="C798" s="92" t="str">
        <v>David</v>
      </c>
      <c r="D798" s="92" t="str">
        <v>Wittmann</v>
      </c>
      <c r="E798" s="92">
        <v>85361</v>
      </c>
      <c r="F798" s="137" t="str">
        <v>Opposed-retired on a fixed income</v>
      </c>
      <c r="G798" s="93" t="str">
        <v>https://docket.images.azcc.gov/E000046548.pdf</v>
      </c>
      <c r="H798" s="150" t="s">
        <v>6731</v>
      </c>
      <c r="I798" s="114" t="str">
        <v>R-XS</v>
      </c>
      <c r="J798" s="94" t="str">
        <v>No</v>
      </c>
      <c r="K798" s="94" t="str">
        <v>No</v>
      </c>
      <c r="L798" s="137" t="str">
        <v>Yes</v>
      </c>
      <c r="M798" s="94" t="str">
        <v>No</v>
      </c>
      <c r="N798" s="134" t="str">
        <v>No</v>
      </c>
      <c r="O798" s="119" t="str">
        <v>Yes</v>
      </c>
      <c r="P798" s="92" t="str">
        <v>N</v>
      </c>
      <c r="Q798" s="91">
        <v>45960</v>
      </c>
      <c r="R798" s="140">
        <v>0</v>
      </c>
      <c r="S798" s="92">
        <v>0</v>
      </c>
      <c r="T798" s="92">
        <v>0</v>
      </c>
      <c r="U798" s="137">
        <v>0</v>
      </c>
      <c r="V798" s="126" t="str">
        <f t="shared" si="24"/>
        <v>✅ On Best Plan</v>
      </c>
      <c r="W798" s="130" t="str">
        <f>IFERROR(_xlfn.XLOOKUP(TEXT(H798,"0000000000"),'📞 Call Tracker'!A$2:A$2000,'📞 Call Tracker'!B$2:B$2000,""),"")</f>
        <v/>
      </c>
      <c r="X798" s="96" t="str">
        <f>IFERROR(_xlfn.XLOOKUP(TEXT(H798,"0000000000"),'📞 Call Tracker'!A$2:A$2000,'📞 Call Tracker'!C$2:C$2000,""),"")</f>
        <v/>
      </c>
      <c r="Y798" s="95" t="str">
        <f>IFERROR(_xlfn.XLOOKUP(TEXT(H798,"0000000000"),'📞 Call Tracker'!A$2:A$2000,'📞 Call Tracker'!D$2:D$2000,""),"")</f>
        <v/>
      </c>
      <c r="Z798" s="95" t="str">
        <f>IFERROR(_xlfn.XLOOKUP(TEXT(H798,"0000000000"),'📞 Call Tracker'!A$2:A$2000,'📞 Call Tracker'!E$2:E$2000,""),"")</f>
        <v/>
      </c>
      <c r="AA798" s="145" t="str">
        <f>IFERROR(_xlfn.XLOOKUP(TEXT(H798,"0000000000"),'📞 Call Tracker'!A$2:A$2000,'📞 Call Tracker'!F$2:F$2000,""),"")</f>
        <v/>
      </c>
      <c r="AB798" s="132">
        <f t="shared" si="25"/>
        <v>4</v>
      </c>
      <c r="AC798" s="79"/>
    </row>
    <row r="799" spans="1:29" ht="20.100000000000001" customHeight="1">
      <c r="A799" s="91">
        <v>45919</v>
      </c>
      <c r="B799" s="92" t="str">
        <v>Brown</v>
      </c>
      <c r="C799" s="92" t="str">
        <v>Ilya</v>
      </c>
      <c r="D799" s="92" t="str">
        <v>Surprise</v>
      </c>
      <c r="E799" s="92">
        <v>85379</v>
      </c>
      <c r="F799" s="137" t="str">
        <v xml:space="preserve">Opposed- deep concern and frustration </v>
      </c>
      <c r="G799" s="93" t="str">
        <v>https://docket.images.azcc.gov/E000046548.pdf</v>
      </c>
      <c r="H799" s="150" t="s">
        <v>6093</v>
      </c>
      <c r="I799" s="114" t="str">
        <v>EPR-6w/ET-2</v>
      </c>
      <c r="J799" s="94" t="str">
        <v>No</v>
      </c>
      <c r="K799" s="94" t="str">
        <v>No</v>
      </c>
      <c r="L799" s="137" t="str">
        <v>Frozen Rate</v>
      </c>
      <c r="M799" s="94" t="str">
        <v>No</v>
      </c>
      <c r="N799" s="134" t="str">
        <v>No</v>
      </c>
      <c r="O799" s="119" t="str">
        <v>Yes</v>
      </c>
      <c r="P799" s="92" t="str">
        <v>N</v>
      </c>
      <c r="Q799" s="91">
        <v>45960</v>
      </c>
      <c r="R799" s="140" t="str">
        <v>Filed Twice</v>
      </c>
      <c r="S799" s="92">
        <v>0</v>
      </c>
      <c r="T799" s="92">
        <v>0</v>
      </c>
      <c r="U799" s="137">
        <v>0</v>
      </c>
      <c r="V799" s="126" t="str">
        <f t="shared" si="24"/>
        <v>❄ Frozen Rate</v>
      </c>
      <c r="W799" s="130" t="str">
        <f>IFERROR(_xlfn.XLOOKUP(TEXT(H799,"0000000000"),'📞 Call Tracker'!A$2:A$2000,'📞 Call Tracker'!B$2:B$2000,""),"")</f>
        <v>Joaquin</v>
      </c>
      <c r="X799" s="96">
        <f>IFERROR(_xlfn.XLOOKUP(TEXT(H799,"0000000000"),'📞 Call Tracker'!A$2:A$2000,'📞 Call Tracker'!C$2:C$2000,""),"")</f>
        <v>46053</v>
      </c>
      <c r="Y799" s="95" t="str">
        <f>IFERROR(_xlfn.XLOOKUP(TEXT(H799,"0000000000"),'📞 Call Tracker'!A$2:A$2000,'📞 Call Tracker'!D$2:D$2000,""),"")</f>
        <v>YES</v>
      </c>
      <c r="Z799" s="95">
        <f>IFERROR(_xlfn.XLOOKUP(TEXT(H799,"0000000000"),'📞 Call Tracker'!A$2:A$2000,'📞 Call Tracker'!E$2:E$2000,""),"")</f>
        <v>0</v>
      </c>
      <c r="AA799" s="145" t="str">
        <f>IFERROR(_xlfn.XLOOKUP(TEXT(H799,"0000000000"),'📞 Call Tracker'!A$2:A$2000,'📞 Call Tracker'!F$2:F$2000,""),"")</f>
        <v>LEFT V-M</v>
      </c>
      <c r="AB799" s="132">
        <f t="shared" si="25"/>
        <v>99</v>
      </c>
      <c r="AC799" s="79"/>
    </row>
    <row r="800" spans="1:29" ht="20.100000000000001" customHeight="1">
      <c r="A800" s="91">
        <v>45919</v>
      </c>
      <c r="B800" s="92" t="str">
        <v>Bourdieu</v>
      </c>
      <c r="C800" s="92" t="str">
        <v>Krystal</v>
      </c>
      <c r="D800" s="92" t="str">
        <v>Phoenix</v>
      </c>
      <c r="E800" s="92">
        <v>85027</v>
      </c>
      <c r="F800" s="137" t="str">
        <v xml:space="preserve">Opposed-2024 net income 600 million </v>
      </c>
      <c r="G800" s="93" t="str">
        <v>https://docket.images.azcc.gov/E000046548.pdf</v>
      </c>
      <c r="H800" s="150" t="s">
        <v>2665</v>
      </c>
      <c r="I800" s="114" t="str">
        <v>EPR-6w/ET-2</v>
      </c>
      <c r="J800" s="94" t="str">
        <v>No</v>
      </c>
      <c r="K800" s="94" t="str">
        <v>No</v>
      </c>
      <c r="L800" s="137" t="str">
        <v>Frozen Rate</v>
      </c>
      <c r="M800" s="94" t="str">
        <v>No</v>
      </c>
      <c r="N800" s="134" t="str">
        <v>No</v>
      </c>
      <c r="O800" s="119" t="str">
        <v>Yes</v>
      </c>
      <c r="P800" s="92" t="str">
        <v>N</v>
      </c>
      <c r="Q800" s="91">
        <v>45960</v>
      </c>
      <c r="R800" s="140">
        <v>0</v>
      </c>
      <c r="S800" s="92">
        <v>0</v>
      </c>
      <c r="T800" s="92">
        <v>0</v>
      </c>
      <c r="U800" s="137">
        <v>0</v>
      </c>
      <c r="V800" s="126" t="str">
        <f t="shared" si="24"/>
        <v>❄ Frozen Rate</v>
      </c>
      <c r="W800" s="130">
        <f>IFERROR(_xlfn.XLOOKUP(TEXT(H800,"0000000000"),'📞 Call Tracker'!A$2:A$2000,'📞 Call Tracker'!B$2:B$2000,""),"")</f>
        <v>0</v>
      </c>
      <c r="X800" s="96">
        <f>IFERROR(_xlfn.XLOOKUP(TEXT(H800,"0000000000"),'📞 Call Tracker'!A$2:A$2000,'📞 Call Tracker'!C$2:C$2000,""),"")</f>
        <v>0</v>
      </c>
      <c r="Y800" s="95">
        <f>IFERROR(_xlfn.XLOOKUP(TEXT(H800,"0000000000"),'📞 Call Tracker'!A$2:A$2000,'📞 Call Tracker'!D$2:D$2000,""),"")</f>
        <v>0</v>
      </c>
      <c r="Z800" s="95">
        <f>IFERROR(_xlfn.XLOOKUP(TEXT(H800,"0000000000"),'📞 Call Tracker'!A$2:A$2000,'📞 Call Tracker'!E$2:E$2000,""),"")</f>
        <v>0</v>
      </c>
      <c r="AA800" s="145">
        <f>IFERROR(_xlfn.XLOOKUP(TEXT(H800,"0000000000"),'📞 Call Tracker'!A$2:A$2000,'📞 Call Tracker'!F$2:F$2000,""),"")</f>
        <v>0</v>
      </c>
      <c r="AB800" s="132">
        <f t="shared" si="25"/>
        <v>99</v>
      </c>
      <c r="AC800" s="79"/>
    </row>
    <row r="801" spans="1:29" ht="20.100000000000001" customHeight="1">
      <c r="A801" s="91">
        <v>45919</v>
      </c>
      <c r="B801" s="92" t="str">
        <v>Ruddy</v>
      </c>
      <c r="C801" s="92" t="str">
        <v>Cayla</v>
      </c>
      <c r="D801" s="92" t="str">
        <v>Peoria</v>
      </c>
      <c r="E801" s="92">
        <v>85382</v>
      </c>
      <c r="F801" s="137" t="str">
        <v>Opposed-APS is not interested in providing affordable energy</v>
      </c>
      <c r="G801" s="93" t="str">
        <v>https://docket.images.azcc.gov/E000046548.pdf</v>
      </c>
      <c r="H801" s="150" t="s">
        <v>2669</v>
      </c>
      <c r="I801" s="114" t="str">
        <v>RCPw/R3-47</v>
      </c>
      <c r="J801" s="94" t="str">
        <v>No</v>
      </c>
      <c r="K801" s="94" t="str">
        <v>No</v>
      </c>
      <c r="L801" s="137" t="str">
        <v>Yes</v>
      </c>
      <c r="M801" s="94" t="str">
        <v>No</v>
      </c>
      <c r="N801" s="134" t="str">
        <v>No</v>
      </c>
      <c r="O801" s="119" t="str">
        <v>Yes</v>
      </c>
      <c r="P801" s="92" t="str">
        <v>N</v>
      </c>
      <c r="Q801" s="91">
        <v>45960</v>
      </c>
      <c r="R801" s="140">
        <v>0</v>
      </c>
      <c r="S801" s="92">
        <v>0</v>
      </c>
      <c r="T801" s="92">
        <v>0</v>
      </c>
      <c r="U801" s="137">
        <v>0</v>
      </c>
      <c r="V801" s="126" t="str">
        <f t="shared" si="24"/>
        <v>✅ On Best Plan</v>
      </c>
      <c r="W801" s="130" t="str">
        <f>IFERROR(_xlfn.XLOOKUP(TEXT(H801,"0000000000"),'📞 Call Tracker'!A$2:A$2000,'📞 Call Tracker'!B$2:B$2000,""),"")</f>
        <v>Joaquin</v>
      </c>
      <c r="X801" s="96">
        <f>IFERROR(_xlfn.XLOOKUP(TEXT(H801,"0000000000"),'📞 Call Tracker'!A$2:A$2000,'📞 Call Tracker'!C$2:C$2000,""),"")</f>
        <v>46074</v>
      </c>
      <c r="Y801" s="95" t="str">
        <f>IFERROR(_xlfn.XLOOKUP(TEXT(H801,"0000000000"),'📞 Call Tracker'!A$2:A$2000,'📞 Call Tracker'!D$2:D$2000,""),"")</f>
        <v>NO</v>
      </c>
      <c r="Z801" s="95" t="str">
        <f>IFERROR(_xlfn.XLOOKUP(TEXT(H801,"0000000000"),'📞 Call Tracker'!A$2:A$2000,'📞 Call Tracker'!E$2:E$2000,""),"")</f>
        <v>General Education</v>
      </c>
      <c r="AA801" s="145">
        <f>IFERROR(_xlfn.XLOOKUP(TEXT(H801,"0000000000"),'📞 Call Tracker'!A$2:A$2000,'📞 Call Tracker'!F$2:F$2000,""),"")</f>
        <v>0</v>
      </c>
      <c r="AB801" s="132">
        <f t="shared" si="25"/>
        <v>99</v>
      </c>
      <c r="AC801" s="79"/>
    </row>
    <row r="802" spans="1:29" ht="20.100000000000001" customHeight="1">
      <c r="A802" s="91">
        <v>45919</v>
      </c>
      <c r="B802" s="92" t="str">
        <v>Toback</v>
      </c>
      <c r="C802" s="92" t="str">
        <v>Vicki</v>
      </c>
      <c r="D802" s="92" t="str">
        <v>Scottsdale</v>
      </c>
      <c r="E802" s="92">
        <v>85254</v>
      </c>
      <c r="F802" s="137" t="str">
        <v>Opposed-Average family wont be able to keep up</v>
      </c>
      <c r="G802" s="93" t="str">
        <v>https://docket.images.azcc.gov/E000046548.pdf</v>
      </c>
      <c r="H802" s="150" t="s">
        <v>2673</v>
      </c>
      <c r="I802" s="114" t="str">
        <v>R3-47</v>
      </c>
      <c r="J802" s="94" t="str">
        <v>No</v>
      </c>
      <c r="K802" s="94" t="str">
        <v>No</v>
      </c>
      <c r="L802" s="137" t="str">
        <v>Yes</v>
      </c>
      <c r="M802" s="94" t="str">
        <v>No</v>
      </c>
      <c r="N802" s="134" t="str">
        <v>No</v>
      </c>
      <c r="O802" s="119" t="str">
        <v>Yes</v>
      </c>
      <c r="P802" s="92" t="str">
        <v>N</v>
      </c>
      <c r="Q802" s="91">
        <v>45960</v>
      </c>
      <c r="R802" s="140">
        <v>0</v>
      </c>
      <c r="S802" s="92">
        <v>0</v>
      </c>
      <c r="T802" s="92">
        <v>0</v>
      </c>
      <c r="U802" s="137">
        <v>0</v>
      </c>
      <c r="V802" s="126" t="str">
        <f t="shared" si="24"/>
        <v>✅ On Best Plan</v>
      </c>
      <c r="W802" s="130" t="str">
        <f>IFERROR(_xlfn.XLOOKUP(TEXT(H802,"0000000000"),'📞 Call Tracker'!A$2:A$2000,'📞 Call Tracker'!B$2:B$2000,""),"")</f>
        <v>Joaquin</v>
      </c>
      <c r="X802" s="96">
        <f>IFERROR(_xlfn.XLOOKUP(TEXT(H802,"0000000000"),'📞 Call Tracker'!A$2:A$2000,'📞 Call Tracker'!C$2:C$2000,""),"")</f>
        <v>46060</v>
      </c>
      <c r="Y802" s="95" t="str">
        <f>IFERROR(_xlfn.XLOOKUP(TEXT(H802,"0000000000"),'📞 Call Tracker'!A$2:A$2000,'📞 Call Tracker'!D$2:D$2000,""),"")</f>
        <v>YES</v>
      </c>
      <c r="Z802" s="95">
        <f>IFERROR(_xlfn.XLOOKUP(TEXT(H802,"0000000000"),'📞 Call Tracker'!A$2:A$2000,'📞 Call Tracker'!E$2:E$2000,""),"")</f>
        <v>0</v>
      </c>
      <c r="AA802" s="145" t="str">
        <f>IFERROR(_xlfn.XLOOKUP(TEXT(H802,"0000000000"),'📞 Call Tracker'!A$2:A$2000,'📞 Call Tracker'!F$2:F$2000,""),"")</f>
        <v>ACCT IS CURRENT .NO E3  LEFT VM</v>
      </c>
      <c r="AB802" s="132">
        <f t="shared" si="25"/>
        <v>99</v>
      </c>
      <c r="AC802" s="79"/>
    </row>
    <row r="803" spans="1:29" ht="20.100000000000001" customHeight="1">
      <c r="A803" s="91">
        <v>45919</v>
      </c>
      <c r="B803" s="92" t="str">
        <v>Phay</v>
      </c>
      <c r="C803" s="92" t="str">
        <v>Brittney</v>
      </c>
      <c r="D803" s="92" t="str">
        <v>Goodyear</v>
      </c>
      <c r="E803" s="92">
        <v>85338</v>
      </c>
      <c r="F803" s="137" t="str">
        <v>Opposed-protect rate payers and reject this</v>
      </c>
      <c r="G803" s="93" t="str">
        <v>https://docket.images.azcc.gov/E000046548.pdf</v>
      </c>
      <c r="H803" s="150" t="s">
        <v>2684</v>
      </c>
      <c r="I803" s="114" t="str">
        <v>R3-47</v>
      </c>
      <c r="J803" s="94" t="str">
        <v>No</v>
      </c>
      <c r="K803" s="94" t="str">
        <v>No</v>
      </c>
      <c r="L803" s="137" t="str">
        <v>Yes</v>
      </c>
      <c r="M803" s="94" t="str">
        <v>Yes</v>
      </c>
      <c r="N803" s="134">
        <v>747.64</v>
      </c>
      <c r="O803" s="119" t="str">
        <v>Yes</v>
      </c>
      <c r="P803" s="92">
        <v>0</v>
      </c>
      <c r="Q803" s="91">
        <v>45960</v>
      </c>
      <c r="R803" s="140" t="str">
        <v>Assistance?</v>
      </c>
      <c r="S803" s="92">
        <v>0</v>
      </c>
      <c r="T803" s="92">
        <v>0</v>
      </c>
      <c r="U803" s="137">
        <v>0</v>
      </c>
      <c r="V803" s="126" t="str">
        <f t="shared" si="24"/>
        <v>✅ On Best Plan</v>
      </c>
      <c r="W803" s="130" t="str">
        <f>IFERROR(_xlfn.XLOOKUP(TEXT(H803,"0000000000"),'📞 Call Tracker'!A$2:A$2000,'📞 Call Tracker'!B$2:B$2000,""),"")</f>
        <v>Joaquin</v>
      </c>
      <c r="X803" s="96">
        <f>IFERROR(_xlfn.XLOOKUP(TEXT(H803,"0000000000"),'📞 Call Tracker'!A$2:A$2000,'📞 Call Tracker'!C$2:C$2000,""),"")</f>
        <v>46074</v>
      </c>
      <c r="Y803" s="95" t="str">
        <f>IFERROR(_xlfn.XLOOKUP(TEXT(H803,"0000000000"),'📞 Call Tracker'!A$2:A$2000,'📞 Call Tracker'!D$2:D$2000,""),"")</f>
        <v>YES</v>
      </c>
      <c r="Z803" s="95">
        <f>IFERROR(_xlfn.XLOOKUP(TEXT(H803,"0000000000"),'📞 Call Tracker'!A$2:A$2000,'📞 Call Tracker'!E$2:E$2000,""),"")</f>
        <v>0</v>
      </c>
      <c r="AA803" s="145" t="str">
        <f>IFERROR(_xlfn.XLOOKUP(TEXT(H803,"0000000000"),'📞 Call Tracker'!A$2:A$2000,'📞 Call Tracker'!F$2:F$2000,""),"")</f>
        <v>LEFT VOICE MAIL</v>
      </c>
      <c r="AB803" s="132">
        <f t="shared" si="25"/>
        <v>99</v>
      </c>
      <c r="AC803" s="79"/>
    </row>
    <row r="804" spans="1:29" ht="20.100000000000001" customHeight="1">
      <c r="A804" s="91">
        <v>45919</v>
      </c>
      <c r="B804" s="92" t="str">
        <v>Sexton</v>
      </c>
      <c r="C804" s="92" t="str">
        <v>Robert</v>
      </c>
      <c r="D804" s="92" t="str">
        <v>Goodyear</v>
      </c>
      <c r="E804" s="92">
        <v>85338</v>
      </c>
      <c r="F804" s="137" t="str">
        <v>Strongly Oppose</v>
      </c>
      <c r="G804" s="93" t="str">
        <v>https://docket.images.azcc.gov/E000046548.pdf</v>
      </c>
      <c r="H804" s="150" t="s">
        <v>2687</v>
      </c>
      <c r="I804" s="114" t="str">
        <v>R-BASIC</v>
      </c>
      <c r="J804" s="94" t="str">
        <v>No</v>
      </c>
      <c r="K804" s="94" t="str">
        <v>No</v>
      </c>
      <c r="L804" s="137" t="str">
        <v>No MEP R-XS ($126.36)</v>
      </c>
      <c r="M804" s="94" t="str">
        <v>No</v>
      </c>
      <c r="N804" s="134" t="str">
        <v>No</v>
      </c>
      <c r="O804" s="119" t="str">
        <v>Yes</v>
      </c>
      <c r="P804" s="92" t="str">
        <v>N</v>
      </c>
      <c r="Q804" s="91">
        <v>45960</v>
      </c>
      <c r="R804" s="140" t="str">
        <v>Will reassign soon</v>
      </c>
      <c r="S804" s="92">
        <v>0</v>
      </c>
      <c r="T804" s="92">
        <v>0</v>
      </c>
      <c r="U804" s="137">
        <v>0</v>
      </c>
      <c r="V804" s="126" t="str">
        <f t="shared" si="24"/>
        <v>❌ Not on Best Plan</v>
      </c>
      <c r="W804" s="130" t="str">
        <f>IFERROR(_xlfn.XLOOKUP(TEXT(H804,"0000000000"),'📞 Call Tracker'!A$2:A$2000,'📞 Call Tracker'!B$2:B$2000,""),"")</f>
        <v>Joaquin</v>
      </c>
      <c r="X804" s="96">
        <f>IFERROR(_xlfn.XLOOKUP(TEXT(H804,"0000000000"),'📞 Call Tracker'!A$2:A$2000,'📞 Call Tracker'!C$2:C$2000,""),"")</f>
        <v>45997</v>
      </c>
      <c r="Y804" s="95" t="str">
        <f>IFERROR(_xlfn.XLOOKUP(TEXT(H804,"0000000000"),'📞 Call Tracker'!A$2:A$2000,'📞 Call Tracker'!D$2:D$2000,""),"")</f>
        <v>YES</v>
      </c>
      <c r="Z804" s="95">
        <f>IFERROR(_xlfn.XLOOKUP(TEXT(H804,"0000000000"),'📞 Call Tracker'!A$2:A$2000,'📞 Call Tracker'!E$2:E$2000,""),"")</f>
        <v>0</v>
      </c>
      <c r="AA804" s="145" t="str">
        <f>IFERROR(_xlfn.XLOOKUP(TEXT(H804,"0000000000"),'📞 Call Tracker'!A$2:A$2000,'📞 Call Tracker'!F$2:F$2000,""),"")</f>
        <v>ACCT IS CURRENT .NO E3</v>
      </c>
      <c r="AB804" s="132">
        <f t="shared" si="25"/>
        <v>99</v>
      </c>
      <c r="AC804" s="79"/>
    </row>
    <row r="805" spans="1:29" ht="20.100000000000001" customHeight="1">
      <c r="A805" s="91">
        <v>45919</v>
      </c>
      <c r="B805" s="92" t="str">
        <v>Vollmer</v>
      </c>
      <c r="C805" s="92" t="str">
        <v>Jacob</v>
      </c>
      <c r="D805" s="92" t="str">
        <v>Unknown</v>
      </c>
      <c r="E805" s="92" t="str">
        <v>Unknown</v>
      </c>
      <c r="F805" s="137" t="str">
        <v>Opposed-Bogus rate increase, money grab</v>
      </c>
      <c r="G805" s="93" t="str">
        <v>https://docket.images.azcc.gov/E000046548.pdf</v>
      </c>
      <c r="H805" s="150" t="s">
        <v>2694</v>
      </c>
      <c r="I805" s="114" t="str">
        <v>EPR-6w/ET-2</v>
      </c>
      <c r="J805" s="94" t="str">
        <v>No</v>
      </c>
      <c r="K805" s="94" t="str">
        <v>No</v>
      </c>
      <c r="L805" s="137" t="str">
        <v>Frozen Rate</v>
      </c>
      <c r="M805" s="94" t="str">
        <v>No</v>
      </c>
      <c r="N805" s="134" t="str">
        <v>No</v>
      </c>
      <c r="O805" s="119" t="str">
        <v>Yes</v>
      </c>
      <c r="P805" s="92" t="str">
        <v>N</v>
      </c>
      <c r="Q805" s="91">
        <v>45960</v>
      </c>
      <c r="R805" s="140">
        <v>0</v>
      </c>
      <c r="S805" s="92">
        <v>0</v>
      </c>
      <c r="T805" s="92">
        <v>0</v>
      </c>
      <c r="U805" s="137">
        <v>0</v>
      </c>
      <c r="V805" s="126" t="str">
        <f t="shared" si="24"/>
        <v>❄ Frozen Rate</v>
      </c>
      <c r="W805" s="130" t="str">
        <f>IFERROR(_xlfn.XLOOKUP(TEXT(H805,"0000000000"),'📞 Call Tracker'!A$2:A$2000,'📞 Call Tracker'!B$2:B$2000,""),"")</f>
        <v>Joaquin</v>
      </c>
      <c r="X805" s="96">
        <f>IFERROR(_xlfn.XLOOKUP(TEXT(H805,"0000000000"),'📞 Call Tracker'!A$2:A$2000,'📞 Call Tracker'!C$2:C$2000,""),"")</f>
        <v>46074</v>
      </c>
      <c r="Y805" s="95" t="str">
        <f>IFERROR(_xlfn.XLOOKUP(TEXT(H805,"0000000000"),'📞 Call Tracker'!A$2:A$2000,'📞 Call Tracker'!D$2:D$2000,""),"")</f>
        <v>YES</v>
      </c>
      <c r="Z805" s="95">
        <f>IFERROR(_xlfn.XLOOKUP(TEXT(H805,"0000000000"),'📞 Call Tracker'!A$2:A$2000,'📞 Call Tracker'!E$2:E$2000,""),"")</f>
        <v>0</v>
      </c>
      <c r="AA805" s="145" t="str">
        <f>IFERROR(_xlfn.XLOOKUP(TEXT(H805,"0000000000"),'📞 Call Tracker'!A$2:A$2000,'📞 Call Tracker'!F$2:F$2000,""),"")</f>
        <v>LEFT VOICE MAIL</v>
      </c>
      <c r="AB805" s="132">
        <f t="shared" si="25"/>
        <v>99</v>
      </c>
      <c r="AC805" s="79"/>
    </row>
    <row r="806" spans="1:29" ht="20.100000000000001" customHeight="1">
      <c r="A806" s="91">
        <v>45919</v>
      </c>
      <c r="B806" s="92" t="str">
        <v>Schiff</v>
      </c>
      <c r="C806" s="92" t="str">
        <v>Adam</v>
      </c>
      <c r="D806" s="92" t="str">
        <v>Phoenix</v>
      </c>
      <c r="E806" s="92">
        <v>85032</v>
      </c>
      <c r="F806" s="137" t="str">
        <v>Opposed</v>
      </c>
      <c r="G806" s="93" t="str">
        <v>https://docket.images.azcc.gov/E000046548.pdf</v>
      </c>
      <c r="H806" s="150" t="s">
        <v>2699</v>
      </c>
      <c r="I806" s="114" t="str">
        <v>EPR-6w/ET-2</v>
      </c>
      <c r="J806" s="94" t="str">
        <v>No</v>
      </c>
      <c r="K806" s="94" t="str">
        <v>No</v>
      </c>
      <c r="L806" s="137" t="str">
        <v>Frozen Rate</v>
      </c>
      <c r="M806" s="94" t="str">
        <v>No</v>
      </c>
      <c r="N806" s="134" t="str">
        <v>No</v>
      </c>
      <c r="O806" s="119" t="str">
        <v>Yes</v>
      </c>
      <c r="P806" s="92" t="str">
        <v>N</v>
      </c>
      <c r="Q806" s="91">
        <v>45960</v>
      </c>
      <c r="R806" s="140">
        <v>0</v>
      </c>
      <c r="S806" s="92">
        <v>0</v>
      </c>
      <c r="T806" s="92">
        <v>0</v>
      </c>
      <c r="U806" s="137">
        <v>0</v>
      </c>
      <c r="V806" s="126" t="str">
        <f t="shared" si="24"/>
        <v>❄ Frozen Rate</v>
      </c>
      <c r="W806" s="130">
        <f>IFERROR(_xlfn.XLOOKUP(TEXT(H806,"0000000000"),'📞 Call Tracker'!A$2:A$2000,'📞 Call Tracker'!B$2:B$2000,""),"")</f>
        <v>0</v>
      </c>
      <c r="X806" s="96">
        <f>IFERROR(_xlfn.XLOOKUP(TEXT(H806,"0000000000"),'📞 Call Tracker'!A$2:A$2000,'📞 Call Tracker'!C$2:C$2000,""),"")</f>
        <v>0</v>
      </c>
      <c r="Y806" s="95">
        <f>IFERROR(_xlfn.XLOOKUP(TEXT(H806,"0000000000"),'📞 Call Tracker'!A$2:A$2000,'📞 Call Tracker'!D$2:D$2000,""),"")</f>
        <v>0</v>
      </c>
      <c r="Z806" s="95">
        <f>IFERROR(_xlfn.XLOOKUP(TEXT(H806,"0000000000"),'📞 Call Tracker'!A$2:A$2000,'📞 Call Tracker'!E$2:E$2000,""),"")</f>
        <v>0</v>
      </c>
      <c r="AA806" s="145">
        <f>IFERROR(_xlfn.XLOOKUP(TEXT(H806,"0000000000"),'📞 Call Tracker'!A$2:A$2000,'📞 Call Tracker'!F$2:F$2000,""),"")</f>
        <v>0</v>
      </c>
      <c r="AB806" s="132">
        <f t="shared" si="25"/>
        <v>99</v>
      </c>
      <c r="AC806" s="79"/>
    </row>
    <row r="807" spans="1:29" ht="20.100000000000001" customHeight="1">
      <c r="A807" s="91">
        <v>45919</v>
      </c>
      <c r="B807" s="92" t="str">
        <v>Knaeble</v>
      </c>
      <c r="C807" s="92" t="str">
        <v>Richard</v>
      </c>
      <c r="D807" s="92" t="str">
        <v>Phoenix</v>
      </c>
      <c r="E807" s="92">
        <v>85022</v>
      </c>
      <c r="F807" s="137" t="str">
        <v>Opposed-Charge data centers more</v>
      </c>
      <c r="G807" s="93" t="str">
        <v>https://docket.images.azcc.gov/E000046548.pdf</v>
      </c>
      <c r="H807" s="150" t="s">
        <v>2703</v>
      </c>
      <c r="I807" s="114" t="str">
        <v>R3-47</v>
      </c>
      <c r="J807" s="94" t="str">
        <v>No</v>
      </c>
      <c r="K807" s="94" t="str">
        <v>No</v>
      </c>
      <c r="L807" s="137" t="str">
        <v>Yes</v>
      </c>
      <c r="M807" s="94" t="str">
        <v>No</v>
      </c>
      <c r="N807" s="134" t="str">
        <v>No</v>
      </c>
      <c r="O807" s="119" t="str">
        <v>Yes</v>
      </c>
      <c r="P807" s="92" t="str">
        <v>N</v>
      </c>
      <c r="Q807" s="91">
        <v>45960</v>
      </c>
      <c r="R807" s="140">
        <v>0</v>
      </c>
      <c r="S807" s="92">
        <v>0</v>
      </c>
      <c r="T807" s="92">
        <v>0</v>
      </c>
      <c r="U807" s="137">
        <v>0</v>
      </c>
      <c r="V807" s="126" t="str">
        <f t="shared" si="24"/>
        <v>✅ On Best Plan</v>
      </c>
      <c r="W807" s="130" t="str">
        <f>IFERROR(_xlfn.XLOOKUP(TEXT(H807,"0000000000"),'📞 Call Tracker'!A$2:A$2000,'📞 Call Tracker'!B$2:B$2000,""),"")</f>
        <v>Joaquin</v>
      </c>
      <c r="X807" s="96">
        <f>IFERROR(_xlfn.XLOOKUP(TEXT(H807,"0000000000"),'📞 Call Tracker'!A$2:A$2000,'📞 Call Tracker'!C$2:C$2000,""),"")</f>
        <v>46074</v>
      </c>
      <c r="Y807" s="95" t="str">
        <f>IFERROR(_xlfn.XLOOKUP(TEXT(H807,"0000000000"),'📞 Call Tracker'!A$2:A$2000,'📞 Call Tracker'!D$2:D$2000,""),"")</f>
        <v>YES</v>
      </c>
      <c r="Z807" s="95">
        <f>IFERROR(_xlfn.XLOOKUP(TEXT(H807,"0000000000"),'📞 Call Tracker'!A$2:A$2000,'📞 Call Tracker'!E$2:E$2000,""),"")</f>
        <v>0</v>
      </c>
      <c r="AA807" s="145" t="str">
        <f>IFERROR(_xlfn.XLOOKUP(TEXT(H807,"0000000000"),'📞 Call Tracker'!A$2:A$2000,'📞 Call Tracker'!F$2:F$2000,""),"")</f>
        <v>LEFT VOICE MAIL</v>
      </c>
      <c r="AB807" s="132">
        <f t="shared" si="25"/>
        <v>99</v>
      </c>
      <c r="AC807" s="79"/>
    </row>
    <row r="808" spans="1:29" ht="20.100000000000001" customHeight="1">
      <c r="A808" s="91">
        <v>45919</v>
      </c>
      <c r="B808" s="92" t="str">
        <v>Valerio</v>
      </c>
      <c r="C808" s="92" t="str">
        <v>Veronica R.</v>
      </c>
      <c r="D808" s="92" t="str">
        <v>Prescott</v>
      </c>
      <c r="E808" s="92">
        <v>86303</v>
      </c>
      <c r="F808" s="137" t="str">
        <v>Opposed-increase is concerning</v>
      </c>
      <c r="G808" s="93" t="str">
        <v>https://docket.images.azcc.gov/E000046548.pdf</v>
      </c>
      <c r="H808" s="150" t="s">
        <v>2706</v>
      </c>
      <c r="I808" s="114" t="str">
        <v>R-BASIC</v>
      </c>
      <c r="J808" s="94" t="str">
        <v>No</v>
      </c>
      <c r="K808" s="94" t="str">
        <v>No</v>
      </c>
      <c r="L808" s="137" t="str">
        <v>Yes</v>
      </c>
      <c r="M808" s="94" t="str">
        <v>No</v>
      </c>
      <c r="N808" s="134" t="str">
        <v>No</v>
      </c>
      <c r="O808" s="119" t="str">
        <v>Yes</v>
      </c>
      <c r="P808" s="92" t="str">
        <v>N</v>
      </c>
      <c r="Q808" s="91">
        <v>45960</v>
      </c>
      <c r="R808" s="140">
        <v>0</v>
      </c>
      <c r="S808" s="92">
        <v>0</v>
      </c>
      <c r="T808" s="92">
        <v>0</v>
      </c>
      <c r="U808" s="137">
        <v>0</v>
      </c>
      <c r="V808" s="126" t="str">
        <f t="shared" si="24"/>
        <v>✅ On Best Plan</v>
      </c>
      <c r="W808" s="130">
        <f>IFERROR(_xlfn.XLOOKUP(TEXT(H808,"0000000000"),'📞 Call Tracker'!A$2:A$2000,'📞 Call Tracker'!B$2:B$2000,""),"")</f>
        <v>0</v>
      </c>
      <c r="X808" s="96">
        <f>IFERROR(_xlfn.XLOOKUP(TEXT(H808,"0000000000"),'📞 Call Tracker'!A$2:A$2000,'📞 Call Tracker'!C$2:C$2000,""),"")</f>
        <v>0</v>
      </c>
      <c r="Y808" s="95">
        <f>IFERROR(_xlfn.XLOOKUP(TEXT(H808,"0000000000"),'📞 Call Tracker'!A$2:A$2000,'📞 Call Tracker'!D$2:D$2000,""),"")</f>
        <v>0</v>
      </c>
      <c r="Z808" s="95">
        <f>IFERROR(_xlfn.XLOOKUP(TEXT(H808,"0000000000"),'📞 Call Tracker'!A$2:A$2000,'📞 Call Tracker'!E$2:E$2000,""),"")</f>
        <v>0</v>
      </c>
      <c r="AA808" s="145">
        <f>IFERROR(_xlfn.XLOOKUP(TEXT(H808,"0000000000"),'📞 Call Tracker'!A$2:A$2000,'📞 Call Tracker'!F$2:F$2000,""),"")</f>
        <v>0</v>
      </c>
      <c r="AB808" s="132">
        <f t="shared" si="25"/>
        <v>99</v>
      </c>
      <c r="AC808" s="79"/>
    </row>
    <row r="809" spans="1:29" ht="20.100000000000001" customHeight="1">
      <c r="A809" s="91">
        <v>45919</v>
      </c>
      <c r="B809" s="92" t="str">
        <v>Eggert</v>
      </c>
      <c r="C809" s="92" t="str">
        <v>Kimberly</v>
      </c>
      <c r="D809" s="92" t="str">
        <v>Scottsdale</v>
      </c>
      <c r="E809" s="92">
        <v>85260</v>
      </c>
      <c r="F809" s="137" t="str">
        <v>Opposed-Is there a reason AZ doesn’t allow competition?</v>
      </c>
      <c r="G809" s="93" t="str">
        <v>https://docket.images.azcc.gov/E000046554.pdf</v>
      </c>
      <c r="H809" s="150" t="s">
        <v>2711</v>
      </c>
      <c r="I809" s="114" t="str">
        <v>R3-47</v>
      </c>
      <c r="J809" s="94" t="str">
        <v>No</v>
      </c>
      <c r="K809" s="94" t="str">
        <v>No</v>
      </c>
      <c r="L809" s="137" t="str">
        <v>Y</v>
      </c>
      <c r="M809" s="94" t="str">
        <v>No</v>
      </c>
      <c r="N809" s="134" t="str">
        <v>No</v>
      </c>
      <c r="O809" s="119" t="str">
        <v>Yes</v>
      </c>
      <c r="P809" s="92" t="str">
        <v>N</v>
      </c>
      <c r="Q809" s="91">
        <v>45960</v>
      </c>
      <c r="R809" s="140">
        <v>0</v>
      </c>
      <c r="S809" s="92">
        <v>0</v>
      </c>
      <c r="T809" s="92">
        <v>0</v>
      </c>
      <c r="U809" s="137">
        <v>0</v>
      </c>
      <c r="V809" s="126" t="str">
        <f t="shared" si="24"/>
        <v>✅ On Best Plan</v>
      </c>
      <c r="W809" s="130" t="str">
        <f>IFERROR(_xlfn.XLOOKUP(TEXT(H809,"0000000000"),'📞 Call Tracker'!A$2:A$2000,'📞 Call Tracker'!B$2:B$2000,""),"")</f>
        <v>Joaquin</v>
      </c>
      <c r="X809" s="96">
        <f>IFERROR(_xlfn.XLOOKUP(TEXT(H809,"0000000000"),'📞 Call Tracker'!A$2:A$2000,'📞 Call Tracker'!C$2:C$2000,""),"")</f>
        <v>46074</v>
      </c>
      <c r="Y809" s="95" t="str">
        <f>IFERROR(_xlfn.XLOOKUP(TEXT(H809,"0000000000"),'📞 Call Tracker'!A$2:A$2000,'📞 Call Tracker'!D$2:D$2000,""),"")</f>
        <v>YES</v>
      </c>
      <c r="Z809" s="95">
        <f>IFERROR(_xlfn.XLOOKUP(TEXT(H809,"0000000000"),'📞 Call Tracker'!A$2:A$2000,'📞 Call Tracker'!E$2:E$2000,""),"")</f>
        <v>0</v>
      </c>
      <c r="AA809" s="145" t="str">
        <f>IFERROR(_xlfn.XLOOKUP(TEXT(H809,"0000000000"),'📞 Call Tracker'!A$2:A$2000,'📞 Call Tracker'!F$2:F$2000,""),"")</f>
        <v>LEFT VOICE MAIL</v>
      </c>
      <c r="AB809" s="132">
        <f t="shared" si="25"/>
        <v>99</v>
      </c>
      <c r="AC809" s="79"/>
    </row>
    <row r="810" spans="1:29" ht="20.100000000000001" customHeight="1">
      <c r="A810" s="91">
        <v>45919</v>
      </c>
      <c r="B810" s="92" t="str">
        <v>Bottlinger</v>
      </c>
      <c r="C810" s="92" t="str">
        <v>Janelle</v>
      </c>
      <c r="D810" s="92" t="str">
        <v>Phoenix</v>
      </c>
      <c r="E810" s="92">
        <v>85013</v>
      </c>
      <c r="F810" s="137" t="str">
        <v>Rates are extremely expensive</v>
      </c>
      <c r="G810" s="93" t="str">
        <v>https://docket.images.azcc.gov/E000046554.pdf</v>
      </c>
      <c r="H810" s="150" t="s">
        <v>2719</v>
      </c>
      <c r="I810" s="114" t="str">
        <v>R3-47</v>
      </c>
      <c r="J810" s="94" t="str">
        <v>No</v>
      </c>
      <c r="K810" s="94" t="str">
        <v>No</v>
      </c>
      <c r="L810" s="137" t="str">
        <v>Y</v>
      </c>
      <c r="M810" s="94" t="str">
        <v>No</v>
      </c>
      <c r="N810" s="134" t="str">
        <v>No</v>
      </c>
      <c r="O810" s="119" t="str">
        <v>Yes</v>
      </c>
      <c r="P810" s="92" t="str">
        <v>N</v>
      </c>
      <c r="Q810" s="91">
        <v>45960</v>
      </c>
      <c r="R810" s="140" t="str">
        <v>Filed Multiple Complaints</v>
      </c>
      <c r="S810" s="92">
        <v>0</v>
      </c>
      <c r="T810" s="92">
        <v>0</v>
      </c>
      <c r="U810" s="137">
        <v>0</v>
      </c>
      <c r="V810" s="126" t="str">
        <f t="shared" si="24"/>
        <v>✅ On Best Plan</v>
      </c>
      <c r="W810" s="130">
        <f>IFERROR(_xlfn.XLOOKUP(TEXT(H810,"0000000000"),'📞 Call Tracker'!A$2:A$2000,'📞 Call Tracker'!B$2:B$2000,""),"")</f>
        <v>0</v>
      </c>
      <c r="X810" s="96">
        <f>IFERROR(_xlfn.XLOOKUP(TEXT(H810,"0000000000"),'📞 Call Tracker'!A$2:A$2000,'📞 Call Tracker'!C$2:C$2000,""),"")</f>
        <v>0</v>
      </c>
      <c r="Y810" s="95">
        <f>IFERROR(_xlfn.XLOOKUP(TEXT(H810,"0000000000"),'📞 Call Tracker'!A$2:A$2000,'📞 Call Tracker'!D$2:D$2000,""),"")</f>
        <v>0</v>
      </c>
      <c r="Z810" s="95">
        <f>IFERROR(_xlfn.XLOOKUP(TEXT(H810,"0000000000"),'📞 Call Tracker'!A$2:A$2000,'📞 Call Tracker'!E$2:E$2000,""),"")</f>
        <v>0</v>
      </c>
      <c r="AA810" s="145">
        <f>IFERROR(_xlfn.XLOOKUP(TEXT(H810,"0000000000"),'📞 Call Tracker'!A$2:A$2000,'📞 Call Tracker'!F$2:F$2000,""),"")</f>
        <v>0</v>
      </c>
      <c r="AB810" s="132">
        <f t="shared" si="25"/>
        <v>99</v>
      </c>
      <c r="AC810" s="79"/>
    </row>
    <row r="811" spans="1:29" ht="20.100000000000001" customHeight="1">
      <c r="A811" s="91">
        <v>45919</v>
      </c>
      <c r="B811" s="92" t="str">
        <v>Gibson</v>
      </c>
      <c r="C811" s="92" t="str">
        <v>Pamela</v>
      </c>
      <c r="D811" s="92" t="str">
        <v>Surprise</v>
      </c>
      <c r="E811" s="92">
        <v>85374</v>
      </c>
      <c r="F811" s="137" t="str">
        <v>No one can keep up with their bills</v>
      </c>
      <c r="G811" s="93" t="str">
        <v>https://docket.images.azcc.gov/E000046554.pdf</v>
      </c>
      <c r="H811" s="150" t="s">
        <v>2723</v>
      </c>
      <c r="I811" s="114" t="str">
        <v>R3-47</v>
      </c>
      <c r="J811" s="94" t="str">
        <v>No</v>
      </c>
      <c r="K811" s="94" t="str">
        <v>No</v>
      </c>
      <c r="L811" s="137" t="str">
        <v>Y</v>
      </c>
      <c r="M811" s="94" t="str">
        <v>No</v>
      </c>
      <c r="N811" s="134" t="str">
        <v>No</v>
      </c>
      <c r="O811" s="119" t="str">
        <v>Yes</v>
      </c>
      <c r="P811" s="92" t="str">
        <v>N</v>
      </c>
      <c r="Q811" s="91">
        <v>45960</v>
      </c>
      <c r="R811" s="140">
        <v>0</v>
      </c>
      <c r="S811" s="92">
        <v>0</v>
      </c>
      <c r="T811" s="92">
        <v>0</v>
      </c>
      <c r="U811" s="137">
        <v>0</v>
      </c>
      <c r="V811" s="126" t="str">
        <f t="shared" si="24"/>
        <v>✅ On Best Plan</v>
      </c>
      <c r="W811" s="130" t="str">
        <f>IFERROR(_xlfn.XLOOKUP(TEXT(H811,"0000000000"),'📞 Call Tracker'!A$2:A$2000,'📞 Call Tracker'!B$2:B$2000,""),"")</f>
        <v>Joaquin</v>
      </c>
      <c r="X811" s="96">
        <f>IFERROR(_xlfn.XLOOKUP(TEXT(H811,"0000000000"),'📞 Call Tracker'!A$2:A$2000,'📞 Call Tracker'!C$2:C$2000,""),"")</f>
        <v>46074</v>
      </c>
      <c r="Y811" s="95" t="str">
        <f>IFERROR(_xlfn.XLOOKUP(TEXT(H811,"0000000000"),'📞 Call Tracker'!A$2:A$2000,'📞 Call Tracker'!D$2:D$2000,""),"")</f>
        <v>YES</v>
      </c>
      <c r="Z811" s="95">
        <f>IFERROR(_xlfn.XLOOKUP(TEXT(H811,"0000000000"),'📞 Call Tracker'!A$2:A$2000,'📞 Call Tracker'!E$2:E$2000,""),"")</f>
        <v>0</v>
      </c>
      <c r="AA811" s="145" t="str">
        <f>IFERROR(_xlfn.XLOOKUP(TEXT(H811,"0000000000"),'📞 Call Tracker'!A$2:A$2000,'📞 Call Tracker'!F$2:F$2000,""),"")</f>
        <v>LEFT VOICE MAIL</v>
      </c>
      <c r="AB811" s="132">
        <f t="shared" si="25"/>
        <v>99</v>
      </c>
      <c r="AC811" s="79"/>
    </row>
    <row r="812" spans="1:29" ht="20.100000000000001" customHeight="1">
      <c r="A812" s="91">
        <v>45921</v>
      </c>
      <c r="B812" s="92" t="str">
        <v>Haggard</v>
      </c>
      <c r="C812" s="92" t="str">
        <v>Jonathan</v>
      </c>
      <c r="D812" s="92" t="str">
        <v>Tempe</v>
      </c>
      <c r="E812" s="92">
        <v>85281</v>
      </c>
      <c r="F812" s="137" t="str">
        <v>Opposed- no reason for a rate hike</v>
      </c>
      <c r="G812" s="93" t="str">
        <v>https://docket.images.azcc.gov/E000046554.pdf</v>
      </c>
      <c r="H812" s="150" t="s">
        <v>2726</v>
      </c>
      <c r="I812" s="114" t="str">
        <v>R3-47</v>
      </c>
      <c r="J812" s="94" t="str">
        <v>No</v>
      </c>
      <c r="K812" s="94" t="str">
        <v>No</v>
      </c>
      <c r="L812" s="137" t="str">
        <v>Not eligible yet (needs 3 months)</v>
      </c>
      <c r="M812" s="94" t="str">
        <v>No</v>
      </c>
      <c r="N812" s="134" t="str">
        <v>No</v>
      </c>
      <c r="O812" s="119" t="str">
        <v>Yes</v>
      </c>
      <c r="P812" s="92" t="str">
        <v>N</v>
      </c>
      <c r="Q812" s="91">
        <v>45960</v>
      </c>
      <c r="R812" s="140">
        <v>0</v>
      </c>
      <c r="S812" s="92">
        <v>0</v>
      </c>
      <c r="T812" s="92">
        <v>0</v>
      </c>
      <c r="U812" s="137">
        <v>0</v>
      </c>
      <c r="V812" s="126" t="str">
        <f t="shared" si="24"/>
        <v>❌ Not on Best Plan</v>
      </c>
      <c r="W812" s="130">
        <f>IFERROR(_xlfn.XLOOKUP(TEXT(H812,"0000000000"),'📞 Call Tracker'!A$2:A$2000,'📞 Call Tracker'!B$2:B$2000,""),"")</f>
        <v>0</v>
      </c>
      <c r="X812" s="96">
        <f>IFERROR(_xlfn.XLOOKUP(TEXT(H812,"0000000000"),'📞 Call Tracker'!A$2:A$2000,'📞 Call Tracker'!C$2:C$2000,""),"")</f>
        <v>0</v>
      </c>
      <c r="Y812" s="95">
        <f>IFERROR(_xlfn.XLOOKUP(TEXT(H812,"0000000000"),'📞 Call Tracker'!A$2:A$2000,'📞 Call Tracker'!D$2:D$2000,""),"")</f>
        <v>0</v>
      </c>
      <c r="Z812" s="95">
        <f>IFERROR(_xlfn.XLOOKUP(TEXT(H812,"0000000000"),'📞 Call Tracker'!A$2:A$2000,'📞 Call Tracker'!E$2:E$2000,""),"")</f>
        <v>0</v>
      </c>
      <c r="AA812" s="145">
        <f>IFERROR(_xlfn.XLOOKUP(TEXT(H812,"0000000000"),'📞 Call Tracker'!A$2:A$2000,'📞 Call Tracker'!F$2:F$2000,""),"")</f>
        <v>0</v>
      </c>
      <c r="AB812" s="132">
        <f t="shared" si="25"/>
        <v>99</v>
      </c>
      <c r="AC812" s="79"/>
    </row>
    <row r="813" spans="1:29" ht="20.100000000000001" customHeight="1">
      <c r="A813" s="91">
        <v>45922</v>
      </c>
      <c r="B813" s="92" t="str">
        <v>Peralta</v>
      </c>
      <c r="C813" s="92" t="str">
        <v>Christopher</v>
      </c>
      <c r="D813" s="92" t="str">
        <v>Gilbert</v>
      </c>
      <c r="E813" s="92">
        <v>85296</v>
      </c>
      <c r="F813" s="137" t="str">
        <v>Opposed-We need full disclosure on spending</v>
      </c>
      <c r="G813" s="93" t="str">
        <v>https://docket.images.azcc.gov/E000046554.pdf</v>
      </c>
      <c r="H813" s="150" t="s">
        <v>2730</v>
      </c>
      <c r="I813" s="114" t="str">
        <v>R3-47</v>
      </c>
      <c r="J813" s="94" t="str">
        <v>No</v>
      </c>
      <c r="K813" s="94" t="str">
        <v>No</v>
      </c>
      <c r="L813" s="137" t="str">
        <v>Y</v>
      </c>
      <c r="M813" s="94" t="str">
        <v>Yes</v>
      </c>
      <c r="N813" s="134">
        <v>507.13</v>
      </c>
      <c r="O813" s="119" t="str">
        <v>Yes</v>
      </c>
      <c r="P813" s="92">
        <v>0</v>
      </c>
      <c r="Q813" s="91">
        <v>45960</v>
      </c>
      <c r="R813" s="140" t="str">
        <v>Assistance?</v>
      </c>
      <c r="S813" s="92">
        <v>0</v>
      </c>
      <c r="T813" s="92">
        <v>0</v>
      </c>
      <c r="U813" s="137">
        <v>0</v>
      </c>
      <c r="V813" s="126" t="str">
        <f t="shared" si="24"/>
        <v>✅ On Best Plan</v>
      </c>
      <c r="W813" s="130" t="str">
        <f>IFERROR(_xlfn.XLOOKUP(TEXT(H813,"0000000000"),'📞 Call Tracker'!A$2:A$2000,'📞 Call Tracker'!B$2:B$2000,""),"")</f>
        <v>Joaquin</v>
      </c>
      <c r="X813" s="96">
        <f>IFERROR(_xlfn.XLOOKUP(TEXT(H813,"0000000000"),'📞 Call Tracker'!A$2:A$2000,'📞 Call Tracker'!C$2:C$2000,""),"")</f>
        <v>45997</v>
      </c>
      <c r="Y813" s="95">
        <f>IFERROR(_xlfn.XLOOKUP(TEXT(H813,"0000000000"),'📞 Call Tracker'!A$2:A$2000,'📞 Call Tracker'!D$2:D$2000,""),"")</f>
        <v>0</v>
      </c>
      <c r="Z813" s="95">
        <f>IFERROR(_xlfn.XLOOKUP(TEXT(H813,"0000000000"),'📞 Call Tracker'!A$2:A$2000,'📞 Call Tracker'!E$2:E$2000,""),"")</f>
        <v>0</v>
      </c>
      <c r="AA813" s="145" t="str">
        <f>IFERROR(_xlfn.XLOOKUP(TEXT(H813,"0000000000"),'📞 Call Tracker'!A$2:A$2000,'📞 Call Tracker'!F$2:F$2000,""),"")</f>
        <v>CHANGE PLAN TIME OF USE PLAN ACCT CURRENT</v>
      </c>
      <c r="AB813" s="132">
        <f t="shared" si="25"/>
        <v>99</v>
      </c>
      <c r="AC813" s="79"/>
    </row>
    <row r="814" spans="1:29" ht="20.100000000000001" customHeight="1">
      <c r="A814" s="91">
        <v>45922</v>
      </c>
      <c r="B814" s="92" t="str">
        <v>LeVangie</v>
      </c>
      <c r="C814" s="92" t="str">
        <v>Richard</v>
      </c>
      <c r="D814" s="92" t="str">
        <v>Phoenix</v>
      </c>
      <c r="E814" s="92">
        <v>85023</v>
      </c>
      <c r="F814" s="137" t="str">
        <v>Opposed-I'm moving to SRP territory</v>
      </c>
      <c r="G814" s="93" t="str">
        <v>https://docket.images.azcc.gov/E000046554.pdf</v>
      </c>
      <c r="H814" s="150" t="s">
        <v>2732</v>
      </c>
      <c r="I814" s="114" t="str">
        <v>R3-47</v>
      </c>
      <c r="J814" s="94" t="str">
        <v>Yes</v>
      </c>
      <c r="K814" s="94" t="str">
        <v>No</v>
      </c>
      <c r="L814" s="137" t="str">
        <v>Not eligible yet (needs 3 months)</v>
      </c>
      <c r="M814" s="94" t="str">
        <v>No</v>
      </c>
      <c r="N814" s="134" t="str">
        <v>No</v>
      </c>
      <c r="O814" s="119" t="str">
        <v>Yes</v>
      </c>
      <c r="P814" s="92" t="str">
        <v>N</v>
      </c>
      <c r="Q814" s="91">
        <v>45960</v>
      </c>
      <c r="R814" s="140">
        <v>0</v>
      </c>
      <c r="S814" s="92">
        <v>0</v>
      </c>
      <c r="T814" s="92">
        <v>0</v>
      </c>
      <c r="U814" s="137">
        <v>0</v>
      </c>
      <c r="V814" s="126" t="str">
        <f t="shared" si="24"/>
        <v>❌ Not on Best Plan</v>
      </c>
      <c r="W814" s="130" t="str">
        <f>IFERROR(_xlfn.XLOOKUP(TEXT(H814,"0000000000"),'📞 Call Tracker'!A$2:A$2000,'📞 Call Tracker'!B$2:B$2000,""),"")</f>
        <v>Joaquin</v>
      </c>
      <c r="X814" s="96">
        <f>IFERROR(_xlfn.XLOOKUP(TEXT(H814,"0000000000"),'📞 Call Tracker'!A$2:A$2000,'📞 Call Tracker'!C$2:C$2000,""),"")</f>
        <v>45997</v>
      </c>
      <c r="Y814" s="95" t="str">
        <f>IFERROR(_xlfn.XLOOKUP(TEXT(H814,"0000000000"),'📞 Call Tracker'!A$2:A$2000,'📞 Call Tracker'!D$2:D$2000,""),"")</f>
        <v>YES</v>
      </c>
      <c r="Z814" s="95">
        <f>IFERROR(_xlfn.XLOOKUP(TEXT(H814,"0000000000"),'📞 Call Tracker'!A$2:A$2000,'📞 Call Tracker'!E$2:E$2000,""),"")</f>
        <v>0</v>
      </c>
      <c r="AA814" s="145" t="str">
        <f>IFERROR(_xlfn.XLOOKUP(TEXT(H814,"0000000000"),'📞 Call Tracker'!A$2:A$2000,'📞 Call Tracker'!F$2:F$2000,""),"")</f>
        <v>IS ON PAYMENT ARRANGEMENT</v>
      </c>
      <c r="AB814" s="132">
        <f t="shared" si="25"/>
        <v>99</v>
      </c>
      <c r="AC814" s="79"/>
    </row>
    <row r="815" spans="1:29" ht="20.100000000000001" customHeight="1">
      <c r="A815" s="91">
        <v>45922</v>
      </c>
      <c r="B815" s="92" t="str">
        <v>Owsley</v>
      </c>
      <c r="C815" s="92" t="str">
        <v>Dawn</v>
      </c>
      <c r="D815" s="92" t="str">
        <v>Unknown</v>
      </c>
      <c r="E815" s="92" t="str">
        <v>Unknown</v>
      </c>
      <c r="F815" s="137" t="str">
        <v>Unacceptable- will leave many unable to pay their bills</v>
      </c>
      <c r="G815" s="93" t="str">
        <v>https://docket.images.azcc.gov/E000046554.pdf</v>
      </c>
      <c r="H815" s="150" t="s">
        <v>2739</v>
      </c>
      <c r="I815" s="114" t="str">
        <v>R3-47</v>
      </c>
      <c r="J815" s="94" t="str">
        <v>No</v>
      </c>
      <c r="K815" s="94" t="str">
        <v>No</v>
      </c>
      <c r="L815" s="137" t="str">
        <v>Y</v>
      </c>
      <c r="M815" s="94" t="str">
        <v>No</v>
      </c>
      <c r="N815" s="134" t="str">
        <v>No</v>
      </c>
      <c r="O815" s="119" t="str">
        <v>Yes</v>
      </c>
      <c r="P815" s="92" t="str">
        <v>N</v>
      </c>
      <c r="Q815" s="91">
        <v>45960</v>
      </c>
      <c r="R815" s="140">
        <v>0</v>
      </c>
      <c r="S815" s="92">
        <v>0</v>
      </c>
      <c r="T815" s="92">
        <v>0</v>
      </c>
      <c r="U815" s="137">
        <v>0</v>
      </c>
      <c r="V815" s="126" t="str">
        <f t="shared" si="24"/>
        <v>✅ On Best Plan</v>
      </c>
      <c r="W815" s="130" t="str">
        <f>IFERROR(_xlfn.XLOOKUP(TEXT(H815,"0000000000"),'📞 Call Tracker'!A$2:A$2000,'📞 Call Tracker'!B$2:B$2000,""),"")</f>
        <v>Joaquin</v>
      </c>
      <c r="X815" s="96">
        <f>IFERROR(_xlfn.XLOOKUP(TEXT(H815,"0000000000"),'📞 Call Tracker'!A$2:A$2000,'📞 Call Tracker'!C$2:C$2000,""),"")</f>
        <v>45997</v>
      </c>
      <c r="Y815" s="95">
        <f>IFERROR(_xlfn.XLOOKUP(TEXT(H815,"0000000000"),'📞 Call Tracker'!A$2:A$2000,'📞 Call Tracker'!D$2:D$2000,""),"")</f>
        <v>0</v>
      </c>
      <c r="Z815" s="95">
        <f>IFERROR(_xlfn.XLOOKUP(TEXT(H815,"0000000000"),'📞 Call Tracker'!A$2:A$2000,'📞 Call Tracker'!E$2:E$2000,""),"")</f>
        <v>0</v>
      </c>
      <c r="AA815" s="145" t="str">
        <f>IFERROR(_xlfn.XLOOKUP(TEXT(H815,"0000000000"),'📞 Call Tracker'!A$2:A$2000,'📞 Call Tracker'!F$2:F$2000,""),"")</f>
        <v>NOT SAME NAME FOR ACCT HAS CREDIT 1122.94</v>
      </c>
      <c r="AB815" s="132">
        <f t="shared" si="25"/>
        <v>99</v>
      </c>
      <c r="AC815" s="79"/>
    </row>
    <row r="816" spans="1:29" ht="20.100000000000001" customHeight="1">
      <c r="A816" s="91">
        <v>45919</v>
      </c>
      <c r="B816" s="92" t="str">
        <v>Castano</v>
      </c>
      <c r="C816" s="92" t="str">
        <v>Kevin</v>
      </c>
      <c r="D816" s="92" t="str">
        <v>Chino Valley</v>
      </c>
      <c r="E816" s="92">
        <v>86323</v>
      </c>
      <c r="F816" s="137" t="str">
        <v>Opposed-already struggling with cost of living</v>
      </c>
      <c r="G816" s="93" t="str">
        <v>https://docket.images.azcc.gov/E000046554.pdf</v>
      </c>
      <c r="H816" s="150" t="s">
        <v>2741</v>
      </c>
      <c r="I816" s="114" t="str">
        <v>R-XS</v>
      </c>
      <c r="J816" s="94" t="str">
        <v>No</v>
      </c>
      <c r="K816" s="94" t="str">
        <v>No</v>
      </c>
      <c r="L816" s="137" t="str">
        <v>Y</v>
      </c>
      <c r="M816" s="94" t="str">
        <v>No</v>
      </c>
      <c r="N816" s="134" t="str">
        <v>No</v>
      </c>
      <c r="O816" s="119" t="str">
        <v>Yes</v>
      </c>
      <c r="P816" s="92" t="str">
        <v>N</v>
      </c>
      <c r="Q816" s="91">
        <v>45960</v>
      </c>
      <c r="R816" s="140">
        <v>0</v>
      </c>
      <c r="S816" s="92">
        <v>0</v>
      </c>
      <c r="T816" s="92">
        <v>0</v>
      </c>
      <c r="U816" s="137">
        <v>0</v>
      </c>
      <c r="V816" s="126" t="str">
        <f t="shared" si="24"/>
        <v>✅ On Best Plan</v>
      </c>
      <c r="W816" s="130">
        <f>IFERROR(_xlfn.XLOOKUP(TEXT(H816,"0000000000"),'📞 Call Tracker'!A$2:A$2000,'📞 Call Tracker'!B$2:B$2000,""),"")</f>
        <v>0</v>
      </c>
      <c r="X816" s="96">
        <f>IFERROR(_xlfn.XLOOKUP(TEXT(H816,"0000000000"),'📞 Call Tracker'!A$2:A$2000,'📞 Call Tracker'!C$2:C$2000,""),"")</f>
        <v>0</v>
      </c>
      <c r="Y816" s="95">
        <f>IFERROR(_xlfn.XLOOKUP(TEXT(H816,"0000000000"),'📞 Call Tracker'!A$2:A$2000,'📞 Call Tracker'!D$2:D$2000,""),"")</f>
        <v>0</v>
      </c>
      <c r="Z816" s="95">
        <f>IFERROR(_xlfn.XLOOKUP(TEXT(H816,"0000000000"),'📞 Call Tracker'!A$2:A$2000,'📞 Call Tracker'!E$2:E$2000,""),"")</f>
        <v>0</v>
      </c>
      <c r="AA816" s="145">
        <f>IFERROR(_xlfn.XLOOKUP(TEXT(H816,"0000000000"),'📞 Call Tracker'!A$2:A$2000,'📞 Call Tracker'!F$2:F$2000,""),"")</f>
        <v>0</v>
      </c>
      <c r="AB816" s="132">
        <f t="shared" si="25"/>
        <v>99</v>
      </c>
      <c r="AC816" s="79"/>
    </row>
    <row r="817" spans="1:29" ht="20.100000000000001" customHeight="1">
      <c r="A817" s="91">
        <v>45922</v>
      </c>
      <c r="B817" s="92" t="str">
        <v>Rhodes</v>
      </c>
      <c r="C817" s="92" t="str">
        <v>Madilyn</v>
      </c>
      <c r="D817" s="92" t="str">
        <v>Phoenix</v>
      </c>
      <c r="E817" s="92">
        <v>85012</v>
      </c>
      <c r="F817" s="137" t="str">
        <v>Opposed-prioritizes share holders over customers</v>
      </c>
      <c r="G817" s="93" t="str">
        <v>https://docket.images.azcc.gov/E000046578.pdf</v>
      </c>
      <c r="H817" s="150" t="s">
        <v>2744</v>
      </c>
      <c r="I817" s="114" t="str">
        <v>R3-47</v>
      </c>
      <c r="J817" s="94" t="str">
        <v>No</v>
      </c>
      <c r="K817" s="94" t="str">
        <v>No</v>
      </c>
      <c r="L817" s="137" t="str">
        <v>No MEP R-BASIC ($254.29)</v>
      </c>
      <c r="M817" s="94" t="str">
        <v>No</v>
      </c>
      <c r="N817" s="134" t="str">
        <v>No</v>
      </c>
      <c r="O817" s="119" t="str">
        <v>Yes</v>
      </c>
      <c r="P817" s="92">
        <v>45940</v>
      </c>
      <c r="Q817" s="91">
        <v>45960</v>
      </c>
      <c r="R817" s="140" t="str">
        <v>Will cb at a later time - Final Bill Sent 10/27</v>
      </c>
      <c r="S817" s="92">
        <v>0</v>
      </c>
      <c r="T817" s="92">
        <v>0</v>
      </c>
      <c r="U817" s="137">
        <v>0</v>
      </c>
      <c r="V817" s="126" t="str">
        <f t="shared" si="24"/>
        <v>❌ Not on Best Plan</v>
      </c>
      <c r="W817" s="130" t="str">
        <f>IFERROR(_xlfn.XLOOKUP(TEXT(H817,"0000000000"),'📞 Call Tracker'!A$2:A$2000,'📞 Call Tracker'!B$2:B$2000,""),"")</f>
        <v>Joaquin</v>
      </c>
      <c r="X817" s="96">
        <f>IFERROR(_xlfn.XLOOKUP(TEXT(H817,"0000000000"),'📞 Call Tracker'!A$2:A$2000,'📞 Call Tracker'!C$2:C$2000,""),"")</f>
        <v>46074</v>
      </c>
      <c r="Y817" s="95" t="str">
        <f>IFERROR(_xlfn.XLOOKUP(TEXT(H817,"0000000000"),'📞 Call Tracker'!A$2:A$2000,'📞 Call Tracker'!D$2:D$2000,""),"")</f>
        <v>NO</v>
      </c>
      <c r="Z817" s="95">
        <f>IFERROR(_xlfn.XLOOKUP(TEXT(H817,"0000000000"),'📞 Call Tracker'!A$2:A$2000,'📞 Call Tracker'!E$2:E$2000,""),"")</f>
        <v>0</v>
      </c>
      <c r="AA817" s="145" t="str">
        <f>IFERROR(_xlfn.XLOOKUP(TEXT(H817,"0000000000"),'📞 Call Tracker'!A$2:A$2000,'📞 Call Tracker'!F$2:F$2000,""),"")</f>
        <v>NO V-M OPTION</v>
      </c>
      <c r="AB817" s="132">
        <f t="shared" si="25"/>
        <v>99</v>
      </c>
      <c r="AC817" s="79"/>
    </row>
    <row r="818" spans="1:29" ht="20.100000000000001" customHeight="1">
      <c r="A818" s="91">
        <v>45922</v>
      </c>
      <c r="B818" s="92" t="str">
        <v>McCloskey</v>
      </c>
      <c r="C818" s="92" t="str">
        <v>Christine</v>
      </c>
      <c r="D818" s="92" t="str">
        <v>Buckeye</v>
      </c>
      <c r="E818" s="92">
        <v>85326</v>
      </c>
      <c r="F818" s="137" t="str">
        <v>Form letter</v>
      </c>
      <c r="G818" s="93" t="str">
        <v>https://docket.images.azcc.gov/E000046578.pdf</v>
      </c>
      <c r="H818" s="150" t="s">
        <v>2748</v>
      </c>
      <c r="I818" s="114" t="str">
        <v>R3-47</v>
      </c>
      <c r="J818" s="94" t="str">
        <v>No</v>
      </c>
      <c r="K818" s="94" t="str">
        <v>No</v>
      </c>
      <c r="L818" s="137" t="str">
        <v>Y</v>
      </c>
      <c r="M818" s="94" t="str">
        <v>No</v>
      </c>
      <c r="N818" s="134" t="str">
        <v>No</v>
      </c>
      <c r="O818" s="119" t="str">
        <v>Yes</v>
      </c>
      <c r="P818" s="92" t="str">
        <v>N</v>
      </c>
      <c r="Q818" s="91">
        <v>45960</v>
      </c>
      <c r="R818" s="140">
        <v>0</v>
      </c>
      <c r="S818" s="92">
        <v>0</v>
      </c>
      <c r="T818" s="92">
        <v>0</v>
      </c>
      <c r="U818" s="137">
        <v>0</v>
      </c>
      <c r="V818" s="126" t="str">
        <f t="shared" si="24"/>
        <v>✅ On Best Plan</v>
      </c>
      <c r="W818" s="130" t="str">
        <f>IFERROR(_xlfn.XLOOKUP(TEXT(H818,"0000000000"),'📞 Call Tracker'!A$2:A$2000,'📞 Call Tracker'!B$2:B$2000,""),"")</f>
        <v>Joaquin</v>
      </c>
      <c r="X818" s="96">
        <f>IFERROR(_xlfn.XLOOKUP(TEXT(H818,"0000000000"),'📞 Call Tracker'!A$2:A$2000,'📞 Call Tracker'!C$2:C$2000,""),"")</f>
        <v>45997</v>
      </c>
      <c r="Y818" s="95">
        <f>IFERROR(_xlfn.XLOOKUP(TEXT(H818,"0000000000"),'📞 Call Tracker'!A$2:A$2000,'📞 Call Tracker'!D$2:D$2000,""),"")</f>
        <v>0</v>
      </c>
      <c r="Z818" s="95">
        <f>IFERROR(_xlfn.XLOOKUP(TEXT(H818,"0000000000"),'📞 Call Tracker'!A$2:A$2000,'📞 Call Tracker'!E$2:E$2000,""),"")</f>
        <v>0</v>
      </c>
      <c r="AA818" s="145" t="str">
        <f>IFERROR(_xlfn.XLOOKUP(TEXT(H818,"0000000000"),'📞 Call Tracker'!A$2:A$2000,'📞 Call Tracker'!F$2:F$2000,""),"")</f>
        <v>DID TALK TO MS BARBOSA ENROLLED IN BB PROGRAM</v>
      </c>
      <c r="AB818" s="132">
        <f t="shared" si="25"/>
        <v>99</v>
      </c>
      <c r="AC818" s="79"/>
    </row>
    <row r="819" spans="1:29" ht="20.100000000000001" customHeight="1">
      <c r="A819" s="91">
        <v>45922</v>
      </c>
      <c r="B819" s="92" t="str">
        <v>Barley</v>
      </c>
      <c r="C819" s="92" t="str">
        <v>Kaitlynne</v>
      </c>
      <c r="D819" s="92" t="str">
        <v>Litchfield Park</v>
      </c>
      <c r="E819" s="92">
        <v>85340</v>
      </c>
      <c r="F819" s="137" t="str">
        <v>Strongly Opposed</v>
      </c>
      <c r="G819" s="93" t="str">
        <v>https://docket.images.azcc.gov/E000046578.pdf</v>
      </c>
      <c r="H819" s="150" t="s">
        <v>2752</v>
      </c>
      <c r="I819" s="114" t="str">
        <v>R3-47</v>
      </c>
      <c r="J819" s="94" t="str">
        <v>No</v>
      </c>
      <c r="K819" s="94" t="str">
        <v>No</v>
      </c>
      <c r="L819" s="137" t="str">
        <v>Y</v>
      </c>
      <c r="M819" s="94" t="str">
        <v>No</v>
      </c>
      <c r="N819" s="134" t="str">
        <v>No</v>
      </c>
      <c r="O819" s="119" t="str">
        <v>Yes</v>
      </c>
      <c r="P819" s="92" t="str">
        <v>N</v>
      </c>
      <c r="Q819" s="91">
        <v>45960</v>
      </c>
      <c r="R819" s="140">
        <v>0</v>
      </c>
      <c r="S819" s="92">
        <v>0</v>
      </c>
      <c r="T819" s="92">
        <v>0</v>
      </c>
      <c r="U819" s="137">
        <v>0</v>
      </c>
      <c r="V819" s="126" t="str">
        <f t="shared" si="24"/>
        <v>✅ On Best Plan</v>
      </c>
      <c r="W819" s="130" t="str">
        <f>IFERROR(_xlfn.XLOOKUP(TEXT(H819,"0000000000"),'📞 Call Tracker'!A$2:A$2000,'📞 Call Tracker'!B$2:B$2000,""),"")</f>
        <v>Joaquin</v>
      </c>
      <c r="X819" s="96">
        <f>IFERROR(_xlfn.XLOOKUP(TEXT(H819,"0000000000"),'📞 Call Tracker'!A$2:A$2000,'📞 Call Tracker'!C$2:C$2000,""),"")</f>
        <v>46074</v>
      </c>
      <c r="Y819" s="95" t="str">
        <f>IFERROR(_xlfn.XLOOKUP(TEXT(H819,"0000000000"),'📞 Call Tracker'!A$2:A$2000,'📞 Call Tracker'!D$2:D$2000,""),"")</f>
        <v>NO</v>
      </c>
      <c r="Z819" s="95" t="str">
        <f>IFERROR(_xlfn.XLOOKUP(TEXT(H819,"0000000000"),'📞 Call Tracker'!A$2:A$2000,'📞 Call Tracker'!E$2:E$2000,""),"")</f>
        <v>General Education</v>
      </c>
      <c r="AA819" s="145">
        <f>IFERROR(_xlfn.XLOOKUP(TEXT(H819,"0000000000"),'📞 Call Tracker'!A$2:A$2000,'📞 Call Tracker'!F$2:F$2000,""),"")</f>
        <v>0</v>
      </c>
      <c r="AB819" s="132">
        <f t="shared" si="25"/>
        <v>99</v>
      </c>
      <c r="AC819" s="79"/>
    </row>
    <row r="820" spans="1:29" ht="20.100000000000001" customHeight="1">
      <c r="A820" s="91">
        <v>45922</v>
      </c>
      <c r="B820" s="92" t="str">
        <v>Hill</v>
      </c>
      <c r="C820" s="92" t="str">
        <v>Samantha</v>
      </c>
      <c r="D820" s="92" t="str">
        <v>Peoria</v>
      </c>
      <c r="E820" s="92">
        <v>85383</v>
      </c>
      <c r="F820" s="137" t="str">
        <v>APS needs to be kept inn check and ave rates controlled</v>
      </c>
      <c r="G820" s="93" t="str">
        <v>https://docket.images.azcc.gov/E000046578.pdf</v>
      </c>
      <c r="H820" s="150" t="s">
        <v>2756</v>
      </c>
      <c r="I820" s="114" t="str">
        <v>RTOUE47</v>
      </c>
      <c r="J820" s="94" t="str">
        <v>No</v>
      </c>
      <c r="K820" s="94" t="str">
        <v>No</v>
      </c>
      <c r="L820" s="137" t="str">
        <v>No MEP R3-47 ($65.89)</v>
      </c>
      <c r="M820" s="94" t="str">
        <v>No</v>
      </c>
      <c r="N820" s="134" t="str">
        <v>No</v>
      </c>
      <c r="O820" s="119" t="str">
        <v>Yes</v>
      </c>
      <c r="P820" s="92" t="str">
        <v>N</v>
      </c>
      <c r="Q820" s="91">
        <v>45960</v>
      </c>
      <c r="R820" s="140">
        <v>0</v>
      </c>
      <c r="S820" s="92">
        <v>0</v>
      </c>
      <c r="T820" s="92">
        <v>0</v>
      </c>
      <c r="U820" s="137">
        <v>0</v>
      </c>
      <c r="V820" s="126" t="str">
        <f t="shared" si="24"/>
        <v>❌ Not on Best Plan</v>
      </c>
      <c r="W820" s="130" t="str">
        <f>IFERROR(_xlfn.XLOOKUP(TEXT(H820,"0000000000"),'📞 Call Tracker'!A$2:A$2000,'📞 Call Tracker'!B$2:B$2000,""),"")</f>
        <v>Joaquin</v>
      </c>
      <c r="X820" s="96">
        <f>IFERROR(_xlfn.XLOOKUP(TEXT(H820,"0000000000"),'📞 Call Tracker'!A$2:A$2000,'📞 Call Tracker'!C$2:C$2000,""),"")</f>
        <v>46074</v>
      </c>
      <c r="Y820" s="95" t="str">
        <f>IFERROR(_xlfn.XLOOKUP(TEXT(H820,"0000000000"),'📞 Call Tracker'!A$2:A$2000,'📞 Call Tracker'!D$2:D$2000,""),"")</f>
        <v>YES</v>
      </c>
      <c r="Z820" s="95">
        <f>IFERROR(_xlfn.XLOOKUP(TEXT(H820,"0000000000"),'📞 Call Tracker'!A$2:A$2000,'📞 Call Tracker'!E$2:E$2000,""),"")</f>
        <v>0</v>
      </c>
      <c r="AA820" s="145" t="str">
        <f>IFERROR(_xlfn.XLOOKUP(TEXT(H820,"0000000000"),'📞 Call Tracker'!A$2:A$2000,'📞 Call Tracker'!F$2:F$2000,""),"")</f>
        <v>LEFT VOICE MAIL</v>
      </c>
      <c r="AB820" s="132">
        <f t="shared" si="25"/>
        <v>99</v>
      </c>
      <c r="AC820" s="79"/>
    </row>
    <row r="821" spans="1:29" ht="20.100000000000001" customHeight="1">
      <c r="A821" s="91">
        <v>45922</v>
      </c>
      <c r="B821" s="92" t="str">
        <v>Hoffner</v>
      </c>
      <c r="C821" s="92" t="str">
        <v>Dawn</v>
      </c>
      <c r="D821" s="92" t="str">
        <v>Scottsdale</v>
      </c>
      <c r="E821" s="92">
        <v>85254</v>
      </c>
      <c r="F821" s="137" t="str">
        <v>Form letter</v>
      </c>
      <c r="G821" s="93" t="str">
        <v>https://docket.images.azcc.gov/E000046578.pdf</v>
      </c>
      <c r="H821" s="150" t="s">
        <v>2763</v>
      </c>
      <c r="I821" s="114" t="str">
        <v>RTOUE47</v>
      </c>
      <c r="J821" s="94" t="str">
        <v>No</v>
      </c>
      <c r="K821" s="94" t="str">
        <v>No</v>
      </c>
      <c r="L821" s="137" t="str">
        <v>No MEP R3-47 ($91.07)</v>
      </c>
      <c r="M821" s="94" t="str">
        <v>No</v>
      </c>
      <c r="N821" s="134" t="str">
        <v>No</v>
      </c>
      <c r="O821" s="119" t="str">
        <v>Yes</v>
      </c>
      <c r="P821" s="92" t="str">
        <v>N</v>
      </c>
      <c r="Q821" s="91">
        <v>45960</v>
      </c>
      <c r="R821" s="140">
        <v>0</v>
      </c>
      <c r="S821" s="92">
        <v>0</v>
      </c>
      <c r="T821" s="92">
        <v>0</v>
      </c>
      <c r="U821" s="137">
        <v>0</v>
      </c>
      <c r="V821" s="126" t="str">
        <f t="shared" si="24"/>
        <v>❌ Not on Best Plan</v>
      </c>
      <c r="W821" s="130">
        <f>IFERROR(_xlfn.XLOOKUP(TEXT(H821,"0000000000"),'📞 Call Tracker'!A$2:A$2000,'📞 Call Tracker'!B$2:B$2000,""),"")</f>
        <v>0</v>
      </c>
      <c r="X821" s="96">
        <f>IFERROR(_xlfn.XLOOKUP(TEXT(H821,"0000000000"),'📞 Call Tracker'!A$2:A$2000,'📞 Call Tracker'!C$2:C$2000,""),"")</f>
        <v>0</v>
      </c>
      <c r="Y821" s="95">
        <f>IFERROR(_xlfn.XLOOKUP(TEXT(H821,"0000000000"),'📞 Call Tracker'!A$2:A$2000,'📞 Call Tracker'!D$2:D$2000,""),"")</f>
        <v>0</v>
      </c>
      <c r="Z821" s="95">
        <f>IFERROR(_xlfn.XLOOKUP(TEXT(H821,"0000000000"),'📞 Call Tracker'!A$2:A$2000,'📞 Call Tracker'!E$2:E$2000,""),"")</f>
        <v>0</v>
      </c>
      <c r="AA821" s="145">
        <f>IFERROR(_xlfn.XLOOKUP(TEXT(H821,"0000000000"),'📞 Call Tracker'!A$2:A$2000,'📞 Call Tracker'!F$2:F$2000,""),"")</f>
        <v>0</v>
      </c>
      <c r="AB821" s="132">
        <f t="shared" si="25"/>
        <v>99</v>
      </c>
      <c r="AC821" s="79"/>
    </row>
    <row r="822" spans="1:29" ht="20.100000000000001" customHeight="1">
      <c r="A822" s="91">
        <v>45922</v>
      </c>
      <c r="B822" s="92" t="str">
        <v>Pablo</v>
      </c>
      <c r="C822" s="92" t="str">
        <v>Jerome</v>
      </c>
      <c r="D822" s="92" t="str">
        <v>Buckeye</v>
      </c>
      <c r="E822" s="92">
        <v>85326</v>
      </c>
      <c r="F822" s="137" t="str">
        <v>Power is already expensive</v>
      </c>
      <c r="G822" s="93" t="str">
        <v>https://docket.images.azcc.gov/E000046578.pdf</v>
      </c>
      <c r="H822" s="150" t="s">
        <v>2769</v>
      </c>
      <c r="I822" s="114" t="str">
        <v>RCPw/RTOUE47</v>
      </c>
      <c r="J822" s="94" t="str">
        <v>No</v>
      </c>
      <c r="K822" s="94" t="str">
        <v>No</v>
      </c>
      <c r="L822" s="137" t="str">
        <v>No MEP R3-47 ($310.77)</v>
      </c>
      <c r="M822" s="94" t="str">
        <v>Yes</v>
      </c>
      <c r="N822" s="134">
        <v>333.26</v>
      </c>
      <c r="O822" s="119" t="str">
        <v>Yes</v>
      </c>
      <c r="P822" s="92">
        <v>45940</v>
      </c>
      <c r="Q822" s="91">
        <v>45960</v>
      </c>
      <c r="R822" s="140" t="str">
        <v>10/10/2025 Left VM</v>
      </c>
      <c r="S822" s="92">
        <v>0</v>
      </c>
      <c r="T822" s="92">
        <v>0</v>
      </c>
      <c r="U822" s="137">
        <v>0</v>
      </c>
      <c r="V822" s="126" t="str">
        <f t="shared" si="24"/>
        <v>❌ Not on Best Plan</v>
      </c>
      <c r="W822" s="130" t="str">
        <f>IFERROR(_xlfn.XLOOKUP(TEXT(H822,"0000000000"),'📞 Call Tracker'!A$2:A$2000,'📞 Call Tracker'!B$2:B$2000,""),"")</f>
        <v>Joaquin</v>
      </c>
      <c r="X822" s="96">
        <f>IFERROR(_xlfn.XLOOKUP(TEXT(H822,"0000000000"),'📞 Call Tracker'!A$2:A$2000,'📞 Call Tracker'!C$2:C$2000,""),"")</f>
        <v>46053</v>
      </c>
      <c r="Y822" s="95" t="str">
        <f>IFERROR(_xlfn.XLOOKUP(TEXT(H822,"0000000000"),'📞 Call Tracker'!A$2:A$2000,'📞 Call Tracker'!D$2:D$2000,""),"")</f>
        <v>YES</v>
      </c>
      <c r="Z822" s="95">
        <f>IFERROR(_xlfn.XLOOKUP(TEXT(H822,"0000000000"),'📞 Call Tracker'!A$2:A$2000,'📞 Call Tracker'!E$2:E$2000,""),"")</f>
        <v>0</v>
      </c>
      <c r="AA822" s="145" t="str">
        <f>IFERROR(_xlfn.XLOOKUP(TEXT(H822,"0000000000"),'📞 Call Tracker'!A$2:A$2000,'📞 Call Tracker'!F$2:F$2000,""),"")</f>
        <v>LEFT V-M</v>
      </c>
      <c r="AB822" s="132">
        <f t="shared" si="25"/>
        <v>99</v>
      </c>
      <c r="AC822" s="79"/>
    </row>
    <row r="823" spans="1:29" ht="20.100000000000001" customHeight="1">
      <c r="A823" s="91">
        <v>45922</v>
      </c>
      <c r="B823" s="92" t="str">
        <v>Barbarite</v>
      </c>
      <c r="C823" s="92" t="str">
        <v>Katherine</v>
      </c>
      <c r="D823" s="92" t="str">
        <v>Dewey</v>
      </c>
      <c r="E823" s="92">
        <v>86327</v>
      </c>
      <c r="F823" s="137" t="str">
        <v>Absolutely Unjust</v>
      </c>
      <c r="G823" s="93" t="str">
        <v>https://docket.images.azcc.gov/E000046578.pdf</v>
      </c>
      <c r="H823" s="150" t="s">
        <v>2776</v>
      </c>
      <c r="I823" s="114" t="str">
        <v>RCPw/RTOUE47</v>
      </c>
      <c r="J823" s="94" t="str">
        <v>No</v>
      </c>
      <c r="K823" s="94" t="str">
        <v>No</v>
      </c>
      <c r="L823" s="137" t="str">
        <v>Y</v>
      </c>
      <c r="M823" s="94" t="str">
        <v>No</v>
      </c>
      <c r="N823" s="134" t="str">
        <v>No</v>
      </c>
      <c r="O823" s="119" t="str">
        <v>Yes</v>
      </c>
      <c r="P823" s="92" t="str">
        <v>N</v>
      </c>
      <c r="Q823" s="91">
        <v>45960</v>
      </c>
      <c r="R823" s="140">
        <v>0</v>
      </c>
      <c r="S823" s="92">
        <v>0</v>
      </c>
      <c r="T823" s="92">
        <v>0</v>
      </c>
      <c r="U823" s="137">
        <v>0</v>
      </c>
      <c r="V823" s="126" t="str">
        <f t="shared" si="24"/>
        <v>✅ On Best Plan</v>
      </c>
      <c r="W823" s="130" t="str">
        <f>IFERROR(_xlfn.XLOOKUP(TEXT(H823,"0000000000"),'📞 Call Tracker'!A$2:A$2000,'📞 Call Tracker'!B$2:B$2000,""),"")</f>
        <v>Joaquin</v>
      </c>
      <c r="X823" s="96">
        <f>IFERROR(_xlfn.XLOOKUP(TEXT(H823,"0000000000"),'📞 Call Tracker'!A$2:A$2000,'📞 Call Tracker'!C$2:C$2000,""),"")</f>
        <v>46039</v>
      </c>
      <c r="Y823" s="95" t="str">
        <f>IFERROR(_xlfn.XLOOKUP(TEXT(H823,"0000000000"),'📞 Call Tracker'!A$2:A$2000,'📞 Call Tracker'!D$2:D$2000,""),"")</f>
        <v>NO</v>
      </c>
      <c r="Z823" s="95" t="str">
        <f>IFERROR(_xlfn.XLOOKUP(TEXT(H823,"0000000000"),'📞 Call Tracker'!A$2:A$2000,'📞 Call Tracker'!E$2:E$2000,""),"")</f>
        <v>General Education</v>
      </c>
      <c r="AA823" s="145" t="str">
        <f>IFERROR(_xlfn.XLOOKUP(TEXT(H823,"0000000000"),'📞 Call Tracker'!A$2:A$2000,'📞 Call Tracker'!F$2:F$2000,""),"")</f>
        <v>WILL CB TO REVIEW OPTIONS TO LOWER BILL</v>
      </c>
      <c r="AB823" s="132">
        <f t="shared" si="25"/>
        <v>99</v>
      </c>
      <c r="AC823" s="79"/>
    </row>
    <row r="824" spans="1:29" ht="20.100000000000001" customHeight="1">
      <c r="A824" s="91">
        <v>45922</v>
      </c>
      <c r="B824" s="92" t="str">
        <v>Rooen</v>
      </c>
      <c r="C824" s="92" t="str">
        <v>Cheyenne</v>
      </c>
      <c r="D824" s="92" t="str">
        <v>Surprise</v>
      </c>
      <c r="E824" s="92">
        <v>85379</v>
      </c>
      <c r="F824" s="137" t="str">
        <v>I cannot afford this</v>
      </c>
      <c r="G824" s="93" t="str">
        <v>https://docket.images.azcc.gov/E000046578.pdf</v>
      </c>
      <c r="H824" s="150" t="s">
        <v>2779</v>
      </c>
      <c r="I824" s="114" t="str">
        <v>RCPw/R3-47</v>
      </c>
      <c r="J824" s="94" t="str">
        <v>No</v>
      </c>
      <c r="K824" s="94" t="str">
        <v>No</v>
      </c>
      <c r="L824" s="137" t="str">
        <v>Yes</v>
      </c>
      <c r="M824" s="94" t="str">
        <v>Yes</v>
      </c>
      <c r="N824" s="134">
        <v>309.36</v>
      </c>
      <c r="O824" s="119" t="str">
        <v>Yes</v>
      </c>
      <c r="P824" s="92" t="str">
        <v>N</v>
      </c>
      <c r="Q824" s="91">
        <v>45960</v>
      </c>
      <c r="R824" s="140">
        <v>0</v>
      </c>
      <c r="S824" s="92">
        <v>0</v>
      </c>
      <c r="T824" s="92">
        <v>0</v>
      </c>
      <c r="U824" s="137">
        <v>0</v>
      </c>
      <c r="V824" s="126" t="str">
        <f t="shared" si="24"/>
        <v>✅ On Best Plan</v>
      </c>
      <c r="W824" s="130" t="str">
        <f>IFERROR(_xlfn.XLOOKUP(TEXT(H824,"0000000000"),'📞 Call Tracker'!A$2:A$2000,'📞 Call Tracker'!B$2:B$2000,""),"")</f>
        <v>Joaquin</v>
      </c>
      <c r="X824" s="96">
        <f>IFERROR(_xlfn.XLOOKUP(TEXT(H824,"0000000000"),'📞 Call Tracker'!A$2:A$2000,'📞 Call Tracker'!C$2:C$2000,""),"")</f>
        <v>46053</v>
      </c>
      <c r="Y824" s="95" t="str">
        <f>IFERROR(_xlfn.XLOOKUP(TEXT(H824,"0000000000"),'📞 Call Tracker'!A$2:A$2000,'📞 Call Tracker'!D$2:D$2000,""),"")</f>
        <v>NO</v>
      </c>
      <c r="Z824" s="95" t="str">
        <f>IFERROR(_xlfn.XLOOKUP(TEXT(H824,"0000000000"),'📞 Call Tracker'!A$2:A$2000,'📞 Call Tracker'!E$2:E$2000,""),"")</f>
        <v>General Education</v>
      </c>
      <c r="AA824" s="145">
        <f>IFERROR(_xlfn.XLOOKUP(TEXT(H824,"0000000000"),'📞 Call Tracker'!A$2:A$2000,'📞 Call Tracker'!F$2:F$2000,""),"")</f>
        <v>0</v>
      </c>
      <c r="AB824" s="132">
        <f t="shared" si="25"/>
        <v>99</v>
      </c>
      <c r="AC824" s="79"/>
    </row>
    <row r="825" spans="1:29" ht="20.100000000000001" customHeight="1">
      <c r="A825" s="91">
        <v>45922</v>
      </c>
      <c r="B825" s="92" t="str">
        <v>Haynes</v>
      </c>
      <c r="C825" s="92" t="str">
        <v>Michelle</v>
      </c>
      <c r="D825" s="92" t="str">
        <v>Prescott</v>
      </c>
      <c r="E825" s="92">
        <v>86303</v>
      </c>
      <c r="F825" s="137" t="str">
        <v>Opposed-Unacceptable</v>
      </c>
      <c r="G825" s="93" t="str">
        <v>https://docket.images.azcc.gov/E000046578.pdf</v>
      </c>
      <c r="H825" s="150" t="s">
        <v>2784</v>
      </c>
      <c r="I825" s="114" t="str">
        <v>R-XS</v>
      </c>
      <c r="J825" s="94" t="str">
        <v>No</v>
      </c>
      <c r="K825" s="94" t="str">
        <v>No</v>
      </c>
      <c r="L825" s="137" t="str">
        <v>Yes</v>
      </c>
      <c r="M825" s="94" t="str">
        <v>No</v>
      </c>
      <c r="N825" s="134" t="str">
        <v>No</v>
      </c>
      <c r="O825" s="119" t="str">
        <v>Yes</v>
      </c>
      <c r="P825" s="92" t="str">
        <v>N</v>
      </c>
      <c r="Q825" s="91">
        <v>45960</v>
      </c>
      <c r="R825" s="140">
        <v>0</v>
      </c>
      <c r="S825" s="92">
        <v>0</v>
      </c>
      <c r="T825" s="92">
        <v>0</v>
      </c>
      <c r="U825" s="137">
        <v>0</v>
      </c>
      <c r="V825" s="126" t="str">
        <f t="shared" si="24"/>
        <v>✅ On Best Plan</v>
      </c>
      <c r="W825" s="130">
        <f>IFERROR(_xlfn.XLOOKUP(TEXT(H825,"0000000000"),'📞 Call Tracker'!A$2:A$2000,'📞 Call Tracker'!B$2:B$2000,""),"")</f>
        <v>0</v>
      </c>
      <c r="X825" s="96">
        <f>IFERROR(_xlfn.XLOOKUP(TEXT(H825,"0000000000"),'📞 Call Tracker'!A$2:A$2000,'📞 Call Tracker'!C$2:C$2000,""),"")</f>
        <v>0</v>
      </c>
      <c r="Y825" s="95">
        <f>IFERROR(_xlfn.XLOOKUP(TEXT(H825,"0000000000"),'📞 Call Tracker'!A$2:A$2000,'📞 Call Tracker'!D$2:D$2000,""),"")</f>
        <v>0</v>
      </c>
      <c r="Z825" s="95">
        <f>IFERROR(_xlfn.XLOOKUP(TEXT(H825,"0000000000"),'📞 Call Tracker'!A$2:A$2000,'📞 Call Tracker'!E$2:E$2000,""),"")</f>
        <v>0</v>
      </c>
      <c r="AA825" s="145">
        <f>IFERROR(_xlfn.XLOOKUP(TEXT(H825,"0000000000"),'📞 Call Tracker'!A$2:A$2000,'📞 Call Tracker'!F$2:F$2000,""),"")</f>
        <v>0</v>
      </c>
      <c r="AB825" s="132">
        <f t="shared" si="25"/>
        <v>99</v>
      </c>
      <c r="AC825" s="79"/>
    </row>
    <row r="826" spans="1:29" ht="20.100000000000001" customHeight="1">
      <c r="A826" s="91">
        <v>45922</v>
      </c>
      <c r="B826" s="92" t="str">
        <v>Valdivia</v>
      </c>
      <c r="C826" s="92" t="str">
        <v>Veronica</v>
      </c>
      <c r="D826" s="92" t="str">
        <v>Buckeye</v>
      </c>
      <c r="E826" s="92">
        <v>85326</v>
      </c>
      <c r="F826" s="137" t="str">
        <v>Why put everyone in a worse situation</v>
      </c>
      <c r="G826" s="93" t="str">
        <v>https://docket.images.azcc.gov/E000046578.pdf</v>
      </c>
      <c r="H826" s="150" t="s">
        <v>2787</v>
      </c>
      <c r="I826" s="114" t="str">
        <v>R3-47</v>
      </c>
      <c r="J826" s="94" t="str">
        <v>No</v>
      </c>
      <c r="K826" s="94" t="str">
        <v>No</v>
      </c>
      <c r="L826" s="137" t="str">
        <v>Yes</v>
      </c>
      <c r="M826" s="94" t="str">
        <v>Yes</v>
      </c>
      <c r="N826" s="134">
        <v>1027.99</v>
      </c>
      <c r="O826" s="119" t="str">
        <v>Yes</v>
      </c>
      <c r="P826" s="92">
        <v>0</v>
      </c>
      <c r="Q826" s="91">
        <v>45960</v>
      </c>
      <c r="R826" s="140" t="str">
        <v>Assistance?</v>
      </c>
      <c r="S826" s="92">
        <v>0</v>
      </c>
      <c r="T826" s="92">
        <v>0</v>
      </c>
      <c r="U826" s="137">
        <v>0</v>
      </c>
      <c r="V826" s="126" t="str">
        <f t="shared" si="24"/>
        <v>✅ On Best Plan</v>
      </c>
      <c r="W826" s="130" t="str">
        <f>IFERROR(_xlfn.XLOOKUP(TEXT(H826,"0000000000"),'📞 Call Tracker'!A$2:A$2000,'📞 Call Tracker'!B$2:B$2000,""),"")</f>
        <v>Joaquin</v>
      </c>
      <c r="X826" s="96">
        <f>IFERROR(_xlfn.XLOOKUP(TEXT(H826,"0000000000"),'📞 Call Tracker'!A$2:A$2000,'📞 Call Tracker'!C$2:C$2000,""),"")</f>
        <v>46074</v>
      </c>
      <c r="Y826" s="95" t="str">
        <f>IFERROR(_xlfn.XLOOKUP(TEXT(H826,"0000000000"),'📞 Call Tracker'!A$2:A$2000,'📞 Call Tracker'!D$2:D$2000,""),"")</f>
        <v>YES</v>
      </c>
      <c r="Z826" s="95">
        <f>IFERROR(_xlfn.XLOOKUP(TEXT(H826,"0000000000"),'📞 Call Tracker'!A$2:A$2000,'📞 Call Tracker'!E$2:E$2000,""),"")</f>
        <v>0</v>
      </c>
      <c r="AA826" s="145" t="str">
        <f>IFERROR(_xlfn.XLOOKUP(TEXT(H826,"0000000000"),'📞 Call Tracker'!A$2:A$2000,'📞 Call Tracker'!F$2:F$2000,""),"")</f>
        <v>LEFT VOICE MAIL</v>
      </c>
      <c r="AB826" s="132">
        <f t="shared" si="25"/>
        <v>99</v>
      </c>
      <c r="AC826" s="79"/>
    </row>
    <row r="827" spans="1:29" ht="20.100000000000001" customHeight="1">
      <c r="A827" s="91">
        <v>45922</v>
      </c>
      <c r="B827" s="92" t="str">
        <v>Mccann</v>
      </c>
      <c r="C827" s="92" t="str">
        <v>Haley</v>
      </c>
      <c r="D827" s="92" t="str">
        <v>Surprise</v>
      </c>
      <c r="E827" s="92">
        <v>85387</v>
      </c>
      <c r="F827" s="137" t="str">
        <v xml:space="preserve">People can barely afford electricity as is now </v>
      </c>
      <c r="G827" s="93" t="str">
        <v>https://docket.images.azcc.gov/E000046578.pdf</v>
      </c>
      <c r="H827" s="150" t="s">
        <v>6094</v>
      </c>
      <c r="I827" s="114" t="str">
        <v>R3-47</v>
      </c>
      <c r="J827" s="94" t="str">
        <v>No</v>
      </c>
      <c r="K827" s="94" t="str">
        <v>No</v>
      </c>
      <c r="L827" s="137" t="str">
        <v>Yes</v>
      </c>
      <c r="M827" s="94" t="str">
        <v>No</v>
      </c>
      <c r="N827" s="134" t="str">
        <v>No</v>
      </c>
      <c r="O827" s="119" t="str">
        <v>Yes</v>
      </c>
      <c r="P827" s="92" t="str">
        <v>N</v>
      </c>
      <c r="Q827" s="91">
        <v>45960</v>
      </c>
      <c r="R827" s="140">
        <v>0</v>
      </c>
      <c r="S827" s="92">
        <v>0</v>
      </c>
      <c r="T827" s="92">
        <v>0</v>
      </c>
      <c r="U827" s="137">
        <v>0</v>
      </c>
      <c r="V827" s="126" t="str">
        <f t="shared" si="24"/>
        <v>✅ On Best Plan</v>
      </c>
      <c r="W827" s="130" t="str">
        <f>IFERROR(_xlfn.XLOOKUP(TEXT(H827,"0000000000"),'📞 Call Tracker'!A$2:A$2000,'📞 Call Tracker'!B$2:B$2000,""),"")</f>
        <v>Joaquin</v>
      </c>
      <c r="X827" s="96">
        <f>IFERROR(_xlfn.XLOOKUP(TEXT(H827,"0000000000"),'📞 Call Tracker'!A$2:A$2000,'📞 Call Tracker'!C$2:C$2000,""),"")</f>
        <v>46039</v>
      </c>
      <c r="Y827" s="95" t="str">
        <f>IFERROR(_xlfn.XLOOKUP(TEXT(H827,"0000000000"),'📞 Call Tracker'!A$2:A$2000,'📞 Call Tracker'!D$2:D$2000,""),"")</f>
        <v>NO</v>
      </c>
      <c r="Z827" s="95">
        <f>IFERROR(_xlfn.XLOOKUP(TEXT(H827,"0000000000"),'📞 Call Tracker'!A$2:A$2000,'📞 Call Tracker'!E$2:E$2000,""),"")</f>
        <v>0</v>
      </c>
      <c r="AA827" s="145" t="str">
        <f>IFERROR(_xlfn.XLOOKUP(TEXT(H827,"0000000000"),'📞 Call Tracker'!A$2:A$2000,'📞 Call Tracker'!F$2:F$2000,""),"")</f>
        <v>CLOSED ACCT 10/27/25</v>
      </c>
      <c r="AB827" s="132">
        <f t="shared" si="25"/>
        <v>99</v>
      </c>
      <c r="AC827" s="79"/>
    </row>
    <row r="828" spans="1:29" ht="20.100000000000001" customHeight="1">
      <c r="A828" s="91">
        <v>45922</v>
      </c>
      <c r="B828" s="92" t="str">
        <v>Ross</v>
      </c>
      <c r="C828" s="92" t="str">
        <v>Shelreece</v>
      </c>
      <c r="D828" s="92" t="str">
        <v>Buckeye</v>
      </c>
      <c r="E828" s="92">
        <v>85326</v>
      </c>
      <c r="F828" s="137" t="str">
        <v xml:space="preserve">People can barely afford electricity as is now </v>
      </c>
      <c r="G828" s="93" t="str">
        <v>https://docket.images.azcc.gov/E000046586.pdf</v>
      </c>
      <c r="H828" s="150" t="s">
        <v>2798</v>
      </c>
      <c r="I828" s="114" t="str">
        <v>R3-47</v>
      </c>
      <c r="J828" s="94" t="str">
        <v>Yes</v>
      </c>
      <c r="K828" s="94" t="str">
        <v>No</v>
      </c>
      <c r="L828" s="137" t="str">
        <v>Yes</v>
      </c>
      <c r="M828" s="94" t="str">
        <v>Yes</v>
      </c>
      <c r="N828" s="134">
        <v>771.64</v>
      </c>
      <c r="O828" s="119" t="str">
        <v>Yes</v>
      </c>
      <c r="P828" s="92">
        <v>0</v>
      </c>
      <c r="Q828" s="91">
        <v>45960</v>
      </c>
      <c r="R828" s="140" t="str">
        <v>Assistance?</v>
      </c>
      <c r="S828" s="92">
        <v>0</v>
      </c>
      <c r="T828" s="92">
        <v>0</v>
      </c>
      <c r="U828" s="137">
        <v>0</v>
      </c>
      <c r="V828" s="126" t="str">
        <f t="shared" si="24"/>
        <v>✅ On Best Plan</v>
      </c>
      <c r="W828" s="130" t="str">
        <f>IFERROR(_xlfn.XLOOKUP(TEXT(H828,"0000000000"),'📞 Call Tracker'!A$2:A$2000,'📞 Call Tracker'!B$2:B$2000,""),"")</f>
        <v>Joaquin</v>
      </c>
      <c r="X828" s="96">
        <f>IFERROR(_xlfn.XLOOKUP(TEXT(H828,"0000000000"),'📞 Call Tracker'!A$2:A$2000,'📞 Call Tracker'!C$2:C$2000,""),"")</f>
        <v>46074</v>
      </c>
      <c r="Y828" s="95" t="str">
        <f>IFERROR(_xlfn.XLOOKUP(TEXT(H828,"0000000000"),'📞 Call Tracker'!A$2:A$2000,'📞 Call Tracker'!D$2:D$2000,""),"")</f>
        <v>NO</v>
      </c>
      <c r="Z828" s="95">
        <f>IFERROR(_xlfn.XLOOKUP(TEXT(H828,"0000000000"),'📞 Call Tracker'!A$2:A$2000,'📞 Call Tracker'!E$2:E$2000,""),"")</f>
        <v>0</v>
      </c>
      <c r="AA828" s="145" t="str">
        <f>IFERROR(_xlfn.XLOOKUP(TEXT(H828,"0000000000"),'📞 Call Tracker'!A$2:A$2000,'📞 Call Tracker'!F$2:F$2000,""),"")</f>
        <v>CALLER HUNG UP</v>
      </c>
      <c r="AB828" s="132">
        <f t="shared" si="25"/>
        <v>99</v>
      </c>
      <c r="AC828" s="79"/>
    </row>
    <row r="829" spans="1:29" ht="20.100000000000001" customHeight="1">
      <c r="A829" s="91">
        <v>45922</v>
      </c>
      <c r="B829" s="92" t="str">
        <v>Dueringer</v>
      </c>
      <c r="C829" s="92" t="str">
        <v>Helen</v>
      </c>
      <c r="D829" s="92" t="str">
        <v>Phoenix</v>
      </c>
      <c r="E829" s="92">
        <v>85022</v>
      </c>
      <c r="F829" s="137" t="str">
        <v>Rates should only be risen for Commercial properties</v>
      </c>
      <c r="G829" s="93" t="str">
        <v>https://docket.images.azcc.gov/E000046579.pdf</v>
      </c>
      <c r="H829" s="150" t="s">
        <v>2802</v>
      </c>
      <c r="I829" s="114" t="str">
        <v>R-BASIC</v>
      </c>
      <c r="J829" s="94" t="str">
        <v>Yes</v>
      </c>
      <c r="K829" s="94" t="str">
        <v>No</v>
      </c>
      <c r="L829" s="137" t="str">
        <v>Yes</v>
      </c>
      <c r="M829" s="94" t="str">
        <v>No</v>
      </c>
      <c r="N829" s="134" t="str">
        <v>No</v>
      </c>
      <c r="O829" s="119" t="str">
        <v>Yes</v>
      </c>
      <c r="P829" s="92" t="str">
        <v>N</v>
      </c>
      <c r="Q829" s="91">
        <v>45960</v>
      </c>
      <c r="R829" s="140">
        <v>0</v>
      </c>
      <c r="S829" s="92">
        <v>0</v>
      </c>
      <c r="T829" s="92">
        <v>0</v>
      </c>
      <c r="U829" s="137">
        <v>0</v>
      </c>
      <c r="V829" s="126" t="str">
        <f t="shared" si="24"/>
        <v>✅ On Best Plan</v>
      </c>
      <c r="W829" s="130">
        <f>IFERROR(_xlfn.XLOOKUP(TEXT(H829,"0000000000"),'📞 Call Tracker'!A$2:A$2000,'📞 Call Tracker'!B$2:B$2000,""),"")</f>
        <v>0</v>
      </c>
      <c r="X829" s="96">
        <f>IFERROR(_xlfn.XLOOKUP(TEXT(H829,"0000000000"),'📞 Call Tracker'!A$2:A$2000,'📞 Call Tracker'!C$2:C$2000,""),"")</f>
        <v>0</v>
      </c>
      <c r="Y829" s="95">
        <f>IFERROR(_xlfn.XLOOKUP(TEXT(H829,"0000000000"),'📞 Call Tracker'!A$2:A$2000,'📞 Call Tracker'!D$2:D$2000,""),"")</f>
        <v>0</v>
      </c>
      <c r="Z829" s="95">
        <f>IFERROR(_xlfn.XLOOKUP(TEXT(H829,"0000000000"),'📞 Call Tracker'!A$2:A$2000,'📞 Call Tracker'!E$2:E$2000,""),"")</f>
        <v>0</v>
      </c>
      <c r="AA829" s="145">
        <f>IFERROR(_xlfn.XLOOKUP(TEXT(H829,"0000000000"),'📞 Call Tracker'!A$2:A$2000,'📞 Call Tracker'!F$2:F$2000,""),"")</f>
        <v>0</v>
      </c>
      <c r="AB829" s="132">
        <f t="shared" si="25"/>
        <v>99</v>
      </c>
      <c r="AC829" s="79"/>
    </row>
    <row r="830" spans="1:29" ht="20.100000000000001" customHeight="1">
      <c r="A830" s="91">
        <v>45923</v>
      </c>
      <c r="B830" s="92" t="str">
        <v>De Santiago</v>
      </c>
      <c r="C830" s="92" t="str">
        <v>Marisol</v>
      </c>
      <c r="D830" s="92" t="str">
        <v>Buckeye</v>
      </c>
      <c r="E830" s="92">
        <v>85326</v>
      </c>
      <c r="F830" s="137" t="str">
        <v>I object</v>
      </c>
      <c r="G830" s="93" t="str">
        <v>https://docket.images.azcc.gov/E000046586.pdf</v>
      </c>
      <c r="H830" s="150" t="s">
        <v>2804</v>
      </c>
      <c r="I830" s="114" t="str">
        <v>RTOUE47</v>
      </c>
      <c r="J830" s="94" t="str">
        <v>No</v>
      </c>
      <c r="K830" s="94" t="str">
        <v>No</v>
      </c>
      <c r="L830" s="137" t="str">
        <v>No MEP R3-47(104.05)</v>
      </c>
      <c r="M830" s="94" t="str">
        <v>No</v>
      </c>
      <c r="N830" s="134" t="str">
        <v>No</v>
      </c>
      <c r="O830" s="119" t="str">
        <v>Yes</v>
      </c>
      <c r="P830" s="92">
        <v>45940</v>
      </c>
      <c r="Q830" s="91">
        <v>45960</v>
      </c>
      <c r="R830" s="140" t="str">
        <v>Cor will remain on current plan</v>
      </c>
      <c r="S830" s="92">
        <v>0</v>
      </c>
      <c r="T830" s="92">
        <v>0</v>
      </c>
      <c r="U830" s="137">
        <v>0</v>
      </c>
      <c r="V830" s="126" t="str">
        <f t="shared" si="24"/>
        <v>❌ Not on Best Plan</v>
      </c>
      <c r="W830" s="130" t="str">
        <f>IFERROR(_xlfn.XLOOKUP(TEXT(H830,"0000000000"),'📞 Call Tracker'!A$2:A$2000,'📞 Call Tracker'!B$2:B$2000,""),"")</f>
        <v>Joaquin</v>
      </c>
      <c r="X830" s="96">
        <f>IFERROR(_xlfn.XLOOKUP(TEXT(H830,"0000000000"),'📞 Call Tracker'!A$2:A$2000,'📞 Call Tracker'!C$2:C$2000,""),"")</f>
        <v>46039</v>
      </c>
      <c r="Y830" s="95" t="str">
        <f>IFERROR(_xlfn.XLOOKUP(TEXT(H830,"0000000000"),'📞 Call Tracker'!A$2:A$2000,'📞 Call Tracker'!D$2:D$2000,""),"")</f>
        <v>NO</v>
      </c>
      <c r="Z830" s="95" t="str">
        <f>IFERROR(_xlfn.XLOOKUP(TEXT(H830,"0000000000"),'📞 Call Tracker'!A$2:A$2000,'📞 Call Tracker'!E$2:E$2000,""),"")</f>
        <v>General Education</v>
      </c>
      <c r="AA830" s="145" t="str">
        <f>IFERROR(_xlfn.XLOOKUP(TEXT(H830,"0000000000"),'📞 Call Tracker'!A$2:A$2000,'📞 Call Tracker'!F$2:F$2000,""),"")</f>
        <v>WILL REVIEW THEN CB TO MAKE CHANGES TO ACT</v>
      </c>
      <c r="AB830" s="132">
        <f t="shared" si="25"/>
        <v>99</v>
      </c>
      <c r="AC830" s="79"/>
    </row>
    <row r="831" spans="1:29" ht="20.100000000000001" customHeight="1">
      <c r="A831" s="91">
        <v>45923</v>
      </c>
      <c r="B831" s="92" t="str">
        <v>Mckinney</v>
      </c>
      <c r="C831" s="92" t="str">
        <v>Karen</v>
      </c>
      <c r="D831" s="92" t="str">
        <v>Buckeye</v>
      </c>
      <c r="E831" s="92">
        <v>85326</v>
      </c>
      <c r="F831" s="137" t="str">
        <v>Strongly disagree</v>
      </c>
      <c r="G831" s="93" t="str">
        <v>https://docket.images.azcc.gov/E000046586.pdf</v>
      </c>
      <c r="H831" s="150" t="s">
        <v>2807</v>
      </c>
      <c r="I831" s="114" t="str">
        <v>RCPw/RTOUE47</v>
      </c>
      <c r="J831" s="94" t="str">
        <v>No</v>
      </c>
      <c r="K831" s="94" t="str">
        <v>No</v>
      </c>
      <c r="L831" s="137" t="str">
        <v>Yes</v>
      </c>
      <c r="M831" s="94" t="str">
        <v>No</v>
      </c>
      <c r="N831" s="134" t="str">
        <v>No</v>
      </c>
      <c r="O831" s="119" t="str">
        <v>Yes</v>
      </c>
      <c r="P831" s="92" t="str">
        <v>N</v>
      </c>
      <c r="Q831" s="91">
        <v>45960</v>
      </c>
      <c r="R831" s="140">
        <v>0</v>
      </c>
      <c r="S831" s="92">
        <v>0</v>
      </c>
      <c r="T831" s="92">
        <v>0</v>
      </c>
      <c r="U831" s="137">
        <v>0</v>
      </c>
      <c r="V831" s="126" t="str">
        <f t="shared" si="24"/>
        <v>✅ On Best Plan</v>
      </c>
      <c r="W831" s="130" t="str">
        <f>IFERROR(_xlfn.XLOOKUP(TEXT(H831,"0000000000"),'📞 Call Tracker'!A$2:A$2000,'📞 Call Tracker'!B$2:B$2000,""),"")</f>
        <v>Joaquin</v>
      </c>
      <c r="X831" s="96">
        <f>IFERROR(_xlfn.XLOOKUP(TEXT(H831,"0000000000"),'📞 Call Tracker'!A$2:A$2000,'📞 Call Tracker'!C$2:C$2000,""),"")</f>
        <v>46039</v>
      </c>
      <c r="Y831" s="95" t="str">
        <f>IFERROR(_xlfn.XLOOKUP(TEXT(H831,"0000000000"),'📞 Call Tracker'!A$2:A$2000,'📞 Call Tracker'!D$2:D$2000,""),"")</f>
        <v>NO</v>
      </c>
      <c r="Z831" s="95" t="str">
        <f>IFERROR(_xlfn.XLOOKUP(TEXT(H831,"0000000000"),'📞 Call Tracker'!A$2:A$2000,'📞 Call Tracker'!E$2:E$2000,""),"")</f>
        <v>E3/E4</v>
      </c>
      <c r="AA831" s="145" t="str">
        <f>IFERROR(_xlfn.XLOOKUP(TEXT(H831,"0000000000"),'📞 Call Tracker'!A$2:A$2000,'📞 Call Tracker'!F$2:F$2000,""),"")</f>
        <v>WILL APPLY ON LINE FOR E-3</v>
      </c>
      <c r="AB831" s="132">
        <f t="shared" si="25"/>
        <v>99</v>
      </c>
      <c r="AC831" s="79"/>
    </row>
    <row r="832" spans="1:29" ht="20.100000000000001" customHeight="1">
      <c r="A832" s="91">
        <v>45923</v>
      </c>
      <c r="B832" s="92" t="str">
        <v>Perkins</v>
      </c>
      <c r="C832" s="92" t="str">
        <v>Rayney</v>
      </c>
      <c r="D832" s="92" t="str">
        <v>Phoenix</v>
      </c>
      <c r="E832" s="92">
        <v>85022</v>
      </c>
      <c r="F832" s="137" t="str">
        <v>Opposed- Single income family of 8</v>
      </c>
      <c r="G832" s="93" t="str">
        <v>https://docket.images.azcc.gov/E000046586.pdf</v>
      </c>
      <c r="H832" s="150" t="s">
        <v>2811</v>
      </c>
      <c r="I832" s="114" t="str">
        <v>R3-47</v>
      </c>
      <c r="J832" s="94" t="str">
        <v>No</v>
      </c>
      <c r="K832" s="94" t="str">
        <v>No</v>
      </c>
      <c r="L832" s="137" t="str">
        <v>Yes</v>
      </c>
      <c r="M832" s="94" t="str">
        <v>Yes</v>
      </c>
      <c r="N832" s="134">
        <v>1080.4000000000001</v>
      </c>
      <c r="O832" s="119" t="str">
        <v>Yes</v>
      </c>
      <c r="P832" s="92">
        <v>0</v>
      </c>
      <c r="Q832" s="91">
        <v>45960</v>
      </c>
      <c r="R832" s="140" t="str">
        <v>Assistance?</v>
      </c>
      <c r="S832" s="92">
        <v>0</v>
      </c>
      <c r="T832" s="92">
        <v>0</v>
      </c>
      <c r="U832" s="137">
        <v>0</v>
      </c>
      <c r="V832" s="126" t="str">
        <f t="shared" si="24"/>
        <v>✅ On Best Plan</v>
      </c>
      <c r="W832" s="130" t="str">
        <f>IFERROR(_xlfn.XLOOKUP(TEXT(H832,"0000000000"),'📞 Call Tracker'!A$2:A$2000,'📞 Call Tracker'!B$2:B$2000,""),"")</f>
        <v>Joaquin</v>
      </c>
      <c r="X832" s="96">
        <f>IFERROR(_xlfn.XLOOKUP(TEXT(H832,"0000000000"),'📞 Call Tracker'!A$2:A$2000,'📞 Call Tracker'!C$2:C$2000,""),"")</f>
        <v>46039</v>
      </c>
      <c r="Y832" s="95" t="str">
        <f>IFERROR(_xlfn.XLOOKUP(TEXT(H832,"0000000000"),'📞 Call Tracker'!A$2:A$2000,'📞 Call Tracker'!D$2:D$2000,""),"")</f>
        <v>YES</v>
      </c>
      <c r="Z832" s="95">
        <f>IFERROR(_xlfn.XLOOKUP(TEXT(H832,"0000000000"),'📞 Call Tracker'!A$2:A$2000,'📞 Call Tracker'!E$2:E$2000,""),"")</f>
        <v>0</v>
      </c>
      <c r="AA832" s="145">
        <f>IFERROR(_xlfn.XLOOKUP(TEXT(H832,"0000000000"),'📞 Call Tracker'!A$2:A$2000,'📞 Call Tracker'!F$2:F$2000,""),"")</f>
        <v>0</v>
      </c>
      <c r="AB832" s="132">
        <f t="shared" si="25"/>
        <v>99</v>
      </c>
      <c r="AC832" s="79"/>
    </row>
    <row r="833" spans="1:29" ht="20.100000000000001" customHeight="1">
      <c r="A833" s="91">
        <v>45923</v>
      </c>
      <c r="B833" s="92" t="str">
        <v>Brown</v>
      </c>
      <c r="C833" s="92" t="str">
        <v>Valerie</v>
      </c>
      <c r="D833" s="92" t="str">
        <v>Litchfield Park</v>
      </c>
      <c r="E833" s="92">
        <v>85340</v>
      </c>
      <c r="F833" s="137" t="str">
        <v>Opposed-already struggling with the last increase</v>
      </c>
      <c r="G833" s="93" t="str">
        <v>https://docket.images.azcc.gov/E000046586.pdf</v>
      </c>
      <c r="H833" s="150" t="s">
        <v>2815</v>
      </c>
      <c r="I833" s="114" t="str">
        <v>R3-47</v>
      </c>
      <c r="J833" s="94" t="str">
        <v>No</v>
      </c>
      <c r="K833" s="94" t="str">
        <v>No</v>
      </c>
      <c r="L833" s="137" t="str">
        <v>Yes</v>
      </c>
      <c r="M833" s="94" t="str">
        <v>No</v>
      </c>
      <c r="N833" s="134" t="str">
        <v>No</v>
      </c>
      <c r="O833" s="119" t="str">
        <v>Yes</v>
      </c>
      <c r="P833" s="92" t="str">
        <v>N</v>
      </c>
      <c r="Q833" s="91">
        <v>45960</v>
      </c>
      <c r="R833" s="140">
        <v>0</v>
      </c>
      <c r="S833" s="92">
        <v>0</v>
      </c>
      <c r="T833" s="92">
        <v>0</v>
      </c>
      <c r="U833" s="137">
        <v>0</v>
      </c>
      <c r="V833" s="126" t="str">
        <f t="shared" si="24"/>
        <v>✅ On Best Plan</v>
      </c>
      <c r="W833" s="130">
        <f>IFERROR(_xlfn.XLOOKUP(TEXT(H833,"0000000000"),'📞 Call Tracker'!A$2:A$2000,'📞 Call Tracker'!B$2:B$2000,""),"")</f>
        <v>0</v>
      </c>
      <c r="X833" s="96">
        <f>IFERROR(_xlfn.XLOOKUP(TEXT(H833,"0000000000"),'📞 Call Tracker'!A$2:A$2000,'📞 Call Tracker'!C$2:C$2000,""),"")</f>
        <v>0</v>
      </c>
      <c r="Y833" s="95">
        <f>IFERROR(_xlfn.XLOOKUP(TEXT(H833,"0000000000"),'📞 Call Tracker'!A$2:A$2000,'📞 Call Tracker'!D$2:D$2000,""),"")</f>
        <v>0</v>
      </c>
      <c r="Z833" s="95">
        <f>IFERROR(_xlfn.XLOOKUP(TEXT(H833,"0000000000"),'📞 Call Tracker'!A$2:A$2000,'📞 Call Tracker'!E$2:E$2000,""),"")</f>
        <v>0</v>
      </c>
      <c r="AA833" s="145">
        <f>IFERROR(_xlfn.XLOOKUP(TEXT(H833,"0000000000"),'📞 Call Tracker'!A$2:A$2000,'📞 Call Tracker'!F$2:F$2000,""),"")</f>
        <v>0</v>
      </c>
      <c r="AB833" s="132">
        <f t="shared" si="25"/>
        <v>99</v>
      </c>
      <c r="AC833" s="79"/>
    </row>
    <row r="834" spans="1:29" ht="20.100000000000001" customHeight="1">
      <c r="A834" s="91">
        <v>44098</v>
      </c>
      <c r="B834" s="92" t="str">
        <v>Hakes</v>
      </c>
      <c r="C834" s="92" t="str">
        <v>Linnea</v>
      </c>
      <c r="D834" s="92" t="str">
        <v>Camp Verde</v>
      </c>
      <c r="E834" s="92">
        <v>86322</v>
      </c>
      <c r="F834" s="137" t="str">
        <v>It’s a shame for APS to think of raising rates</v>
      </c>
      <c r="G834" s="93" t="str">
        <v>https://docket.images.azcc.gov/E000046638.pdf</v>
      </c>
      <c r="H834" s="150" t="s">
        <v>6157</v>
      </c>
      <c r="I834" s="114" t="str">
        <v>R-BASICL</v>
      </c>
      <c r="J834" s="94" t="str">
        <v>No</v>
      </c>
      <c r="K834" s="94" t="str">
        <v>No</v>
      </c>
      <c r="L834" s="137" t="str">
        <v>No MEP RTOUE ($149.70)</v>
      </c>
      <c r="M834" s="94" t="str">
        <v>No</v>
      </c>
      <c r="N834" s="134" t="str">
        <v>No</v>
      </c>
      <c r="O834" s="119" t="str">
        <v>Yes</v>
      </c>
      <c r="P834" s="92">
        <v>45940</v>
      </c>
      <c r="Q834" s="91">
        <v>45960</v>
      </c>
      <c r="R834" s="140" t="str">
        <v>10/10/2025 Left VM</v>
      </c>
      <c r="S834" s="92">
        <v>0</v>
      </c>
      <c r="T834" s="92">
        <v>0</v>
      </c>
      <c r="U834" s="137">
        <v>0</v>
      </c>
      <c r="V834" s="126" t="str">
        <f t="shared" si="24"/>
        <v>❌ Not on Best Plan</v>
      </c>
      <c r="W834" s="130" t="str">
        <f>IFERROR(_xlfn.XLOOKUP(TEXT(H834,"0000000000"),'📞 Call Tracker'!A$2:A$2000,'📞 Call Tracker'!B$2:B$2000,""),"")</f>
        <v>Joaquin</v>
      </c>
      <c r="X834" s="96">
        <f>IFERROR(_xlfn.XLOOKUP(TEXT(H834,"0000000000"),'📞 Call Tracker'!A$2:A$2000,'📞 Call Tracker'!C$2:C$2000,""),"")</f>
        <v>46039</v>
      </c>
      <c r="Y834" s="95" t="str">
        <f>IFERROR(_xlfn.XLOOKUP(TEXT(H834,"0000000000"),'📞 Call Tracker'!A$2:A$2000,'📞 Call Tracker'!D$2:D$2000,""),"")</f>
        <v>NO</v>
      </c>
      <c r="Z834" s="95">
        <f>IFERROR(_xlfn.XLOOKUP(TEXT(H834,"0000000000"),'📞 Call Tracker'!A$2:A$2000,'📞 Call Tracker'!E$2:E$2000,""),"")</f>
        <v>0</v>
      </c>
      <c r="AA834" s="145" t="str">
        <f>IFERROR(_xlfn.XLOOKUP(TEXT(H834,"0000000000"),'📞 Call Tracker'!A$2:A$2000,'📞 Call Tracker'!F$2:F$2000,""),"")</f>
        <v>CONTACT # NEEDS TO BE UPDATED ON ACCT</v>
      </c>
      <c r="AB834" s="132">
        <f t="shared" si="25"/>
        <v>99</v>
      </c>
      <c r="AC834" s="79"/>
    </row>
    <row r="835" spans="1:29" ht="20.100000000000001" customHeight="1">
      <c r="A835" s="91">
        <v>45925</v>
      </c>
      <c r="B835" s="92" t="str">
        <v>Fenton</v>
      </c>
      <c r="C835" s="92" t="str">
        <v>John</v>
      </c>
      <c r="D835" s="92" t="str">
        <v>Payson</v>
      </c>
      <c r="E835" s="92">
        <v>85541</v>
      </c>
      <c r="F835" s="137" t="str">
        <v>Fixed Income, cannot afford an increase</v>
      </c>
      <c r="G835" s="93" t="str">
        <v>https://docket.images.azcc.gov/E000046638.pdf</v>
      </c>
      <c r="H835" s="150" t="s">
        <v>6382</v>
      </c>
      <c r="I835" s="114" t="str">
        <v>R-XS</v>
      </c>
      <c r="J835" s="94" t="str">
        <v>No</v>
      </c>
      <c r="K835" s="94" t="str">
        <v>No</v>
      </c>
      <c r="L835" s="137" t="str">
        <v>Yes</v>
      </c>
      <c r="M835" s="94" t="str">
        <v>No</v>
      </c>
      <c r="N835" s="134" t="str">
        <v>No</v>
      </c>
      <c r="O835" s="119" t="str">
        <v>Yes</v>
      </c>
      <c r="P835" s="92" t="str">
        <v>N</v>
      </c>
      <c r="Q835" s="91">
        <v>45960</v>
      </c>
      <c r="R835" s="140">
        <v>0</v>
      </c>
      <c r="S835" s="92">
        <v>0</v>
      </c>
      <c r="T835" s="92">
        <v>0</v>
      </c>
      <c r="U835" s="137">
        <v>0</v>
      </c>
      <c r="V835" s="126" t="str">
        <f t="shared" ref="V835:V898" si="26">IF(OR(LEFT(TRIM(L835),3)="Yes",TRIM(L835)="Y"),"✅ On Best Plan",IF(OR(L835="Frozen Rate",L835="Frozen Plan"),"❄ Frozen Rate",IF(OR(L835="Not able to Compare",L835="Info Not Avail",L835="NA",L835=""),"⚠ Unknown","❌ Not on Best Plan")))</f>
        <v>✅ On Best Plan</v>
      </c>
      <c r="W835" s="130">
        <f>IFERROR(_xlfn.XLOOKUP(TEXT(H835,"0000000000"),'📞 Call Tracker'!A$2:A$2000,'📞 Call Tracker'!B$2:B$2000,""),"")</f>
        <v>0</v>
      </c>
      <c r="X835" s="96">
        <f>IFERROR(_xlfn.XLOOKUP(TEXT(H835,"0000000000"),'📞 Call Tracker'!A$2:A$2000,'📞 Call Tracker'!C$2:C$2000,""),"")</f>
        <v>0</v>
      </c>
      <c r="Y835" s="95">
        <f>IFERROR(_xlfn.XLOOKUP(TEXT(H835,"0000000000"),'📞 Call Tracker'!A$2:A$2000,'📞 Call Tracker'!D$2:D$2000,""),"")</f>
        <v>0</v>
      </c>
      <c r="Z835" s="95">
        <f>IFERROR(_xlfn.XLOOKUP(TEXT(H835,"0000000000"),'📞 Call Tracker'!A$2:A$2000,'📞 Call Tracker'!E$2:E$2000,""),"")</f>
        <v>0</v>
      </c>
      <c r="AA835" s="145">
        <f>IFERROR(_xlfn.XLOOKUP(TEXT(H835,"0000000000"),'📞 Call Tracker'!A$2:A$2000,'📞 Call Tracker'!F$2:F$2000,""),"")</f>
        <v>0</v>
      </c>
      <c r="AB835" s="132">
        <f t="shared" ref="AB835:AB898" si="27">IF(OR(H835="",X835&lt;&gt;""),99,IF(AND(NOT(OR(LEFT(TRIM(L835),3)="Yes",TRIM(L835)="Y",L835="Frozen Rate",L835="Frozen Plan",L835="Not able to Compare",L835="Info Not Avail",L835="NA",L835="")),AND(N835&lt;&gt;"No",N835&lt;&gt;"")),1,IF(NOT(OR(LEFT(TRIM(L835),3)="Yes",TRIM(L835)="Y",L835="Frozen Rate",L835="Frozen Plan",L835="Not able to Compare",L835="Info Not Avail",L835="NA",L835="")),2,IF(AND(N835&lt;&gt;"No",N835&lt;&gt;""),3,4))))</f>
        <v>99</v>
      </c>
      <c r="AC835" s="79"/>
    </row>
    <row r="836" spans="1:29" ht="20.100000000000001" customHeight="1">
      <c r="A836" s="91">
        <v>45925</v>
      </c>
      <c r="B836" s="92" t="str">
        <v>Apostolides</v>
      </c>
      <c r="C836" s="92" t="str">
        <v>Steven</v>
      </c>
      <c r="D836" s="92" t="str">
        <v>Phoenix</v>
      </c>
      <c r="E836" s="92">
        <v>85032</v>
      </c>
      <c r="F836" s="137" t="str">
        <v>Opposed and upset over fuel pricing</v>
      </c>
      <c r="G836" s="93" t="str">
        <v>https://docket.images.azcc.gov/E000046638.pdf</v>
      </c>
      <c r="H836" s="150" t="s">
        <v>6158</v>
      </c>
      <c r="I836" s="114" t="str">
        <v>Multiple SAs</v>
      </c>
      <c r="J836" s="94" t="str">
        <v>No</v>
      </c>
      <c r="K836" s="94" t="str">
        <v>No</v>
      </c>
      <c r="L836" s="137" t="str">
        <v>Yes</v>
      </c>
      <c r="M836" s="94" t="str">
        <v>No</v>
      </c>
      <c r="N836" s="134" t="str">
        <v>No</v>
      </c>
      <c r="O836" s="119" t="str">
        <v>Yes</v>
      </c>
      <c r="P836" s="92" t="str">
        <v>N</v>
      </c>
      <c r="Q836" s="91">
        <v>45960</v>
      </c>
      <c r="R836" s="140" t="str">
        <v>First SA is on MEP, Second SA could save $41.57 on Tier 2 (should be reassigned next month)</v>
      </c>
      <c r="S836" s="92">
        <v>0</v>
      </c>
      <c r="T836" s="92">
        <v>0</v>
      </c>
      <c r="U836" s="137">
        <v>0</v>
      </c>
      <c r="V836" s="126" t="str">
        <f t="shared" si="26"/>
        <v>✅ On Best Plan</v>
      </c>
      <c r="W836" s="130" t="str">
        <f>IFERROR(_xlfn.XLOOKUP(TEXT(H836,"0000000000"),'📞 Call Tracker'!A$2:A$2000,'📞 Call Tracker'!B$2:B$2000,""),"")</f>
        <v>Joaquin</v>
      </c>
      <c r="X836" s="96">
        <f>IFERROR(_xlfn.XLOOKUP(TEXT(H836,"0000000000"),'📞 Call Tracker'!A$2:A$2000,'📞 Call Tracker'!C$2:C$2000,""),"")</f>
        <v>46039</v>
      </c>
      <c r="Y836" s="95" t="str">
        <f>IFERROR(_xlfn.XLOOKUP(TEXT(H836,"0000000000"),'📞 Call Tracker'!A$2:A$2000,'📞 Call Tracker'!D$2:D$2000,""),"")</f>
        <v>NO</v>
      </c>
      <c r="Z836" s="95" t="str">
        <f>IFERROR(_xlfn.XLOOKUP(TEXT(H836,"0000000000"),'📞 Call Tracker'!A$2:A$2000,'📞 Call Tracker'!E$2:E$2000,""),"")</f>
        <v>E3/E4</v>
      </c>
      <c r="AA836" s="145" t="str">
        <f>IFERROR(_xlfn.XLOOKUP(TEXT(H836,"0000000000"),'📞 Call Tracker'!A$2:A$2000,'📞 Call Tracker'!F$2:F$2000,""),"")</f>
        <v>CALLER HUNG UP</v>
      </c>
      <c r="AB836" s="132">
        <f t="shared" si="27"/>
        <v>99</v>
      </c>
      <c r="AC836" s="79"/>
    </row>
    <row r="837" spans="1:29" ht="20.100000000000001" customHeight="1">
      <c r="A837" s="91">
        <v>45925</v>
      </c>
      <c r="B837" s="92" t="str">
        <v>Lynne</v>
      </c>
      <c r="C837" s="92" t="str">
        <v>Robert</v>
      </c>
      <c r="D837" s="92" t="str">
        <v>Prescott</v>
      </c>
      <c r="E837" s="92">
        <v>86301</v>
      </c>
      <c r="F837" s="137" t="str">
        <v>Opposed-Outrageous</v>
      </c>
      <c r="G837" s="93" t="str">
        <v>https://docket.images.azcc.gov/E000046638.pdf</v>
      </c>
      <c r="H837" s="150" t="s">
        <v>6383</v>
      </c>
      <c r="I837" s="114" t="str">
        <v>RCPw/RTOUE47</v>
      </c>
      <c r="J837" s="94" t="str">
        <v>No</v>
      </c>
      <c r="K837" s="94" t="str">
        <v>No</v>
      </c>
      <c r="L837" s="137" t="str">
        <v>Yes</v>
      </c>
      <c r="M837" s="94" t="str">
        <v>No</v>
      </c>
      <c r="N837" s="134" t="str">
        <v>No</v>
      </c>
      <c r="O837" s="119" t="str">
        <v>Yes</v>
      </c>
      <c r="P837" s="92" t="str">
        <v>N</v>
      </c>
      <c r="Q837" s="91">
        <v>45960</v>
      </c>
      <c r="R837" s="140">
        <v>0</v>
      </c>
      <c r="S837" s="92">
        <v>0</v>
      </c>
      <c r="T837" s="92">
        <v>0</v>
      </c>
      <c r="U837" s="137">
        <v>0</v>
      </c>
      <c r="V837" s="126" t="str">
        <f t="shared" si="26"/>
        <v>✅ On Best Plan</v>
      </c>
      <c r="W837" s="130">
        <f>IFERROR(_xlfn.XLOOKUP(TEXT(H837,"0000000000"),'📞 Call Tracker'!A$2:A$2000,'📞 Call Tracker'!B$2:B$2000,""),"")</f>
        <v>0</v>
      </c>
      <c r="X837" s="96">
        <f>IFERROR(_xlfn.XLOOKUP(TEXT(H837,"0000000000"),'📞 Call Tracker'!A$2:A$2000,'📞 Call Tracker'!C$2:C$2000,""),"")</f>
        <v>0</v>
      </c>
      <c r="Y837" s="95">
        <f>IFERROR(_xlfn.XLOOKUP(TEXT(H837,"0000000000"),'📞 Call Tracker'!A$2:A$2000,'📞 Call Tracker'!D$2:D$2000,""),"")</f>
        <v>0</v>
      </c>
      <c r="Z837" s="95">
        <f>IFERROR(_xlfn.XLOOKUP(TEXT(H837,"0000000000"),'📞 Call Tracker'!A$2:A$2000,'📞 Call Tracker'!E$2:E$2000,""),"")</f>
        <v>0</v>
      </c>
      <c r="AA837" s="145">
        <f>IFERROR(_xlfn.XLOOKUP(TEXT(H837,"0000000000"),'📞 Call Tracker'!A$2:A$2000,'📞 Call Tracker'!F$2:F$2000,""),"")</f>
        <v>0</v>
      </c>
      <c r="AB837" s="132">
        <f t="shared" si="27"/>
        <v>99</v>
      </c>
      <c r="AC837" s="79"/>
    </row>
    <row r="838" spans="1:29" ht="20.100000000000001" customHeight="1">
      <c r="A838" s="91">
        <v>45926</v>
      </c>
      <c r="B838" s="92" t="str">
        <v>Wheeler</v>
      </c>
      <c r="C838" s="92" t="str">
        <v>Brandon</v>
      </c>
      <c r="D838" s="92" t="str">
        <v>Chino Valley</v>
      </c>
      <c r="E838" s="92">
        <v>86323</v>
      </c>
      <c r="F838" s="137" t="str">
        <v>Opposed-CEO needs a pay cut</v>
      </c>
      <c r="G838" s="93" t="str">
        <v>https://docket.images.azcc.gov/E000046665.pdf</v>
      </c>
      <c r="H838" s="150" t="s">
        <v>6159</v>
      </c>
      <c r="I838" s="114" t="str">
        <v>R-BASIC</v>
      </c>
      <c r="J838" s="94" t="str">
        <v>No</v>
      </c>
      <c r="K838" s="94" t="str">
        <v>No</v>
      </c>
      <c r="L838" s="137" t="str">
        <v>Yes</v>
      </c>
      <c r="M838" s="94" t="str">
        <v>No</v>
      </c>
      <c r="N838" s="134" t="str">
        <v>No</v>
      </c>
      <c r="O838" s="119" t="str">
        <v>Yes</v>
      </c>
      <c r="P838" s="92" t="str">
        <v>N</v>
      </c>
      <c r="Q838" s="91">
        <v>45960</v>
      </c>
      <c r="R838" s="140">
        <v>0</v>
      </c>
      <c r="S838" s="92">
        <v>0</v>
      </c>
      <c r="T838" s="92">
        <v>0</v>
      </c>
      <c r="U838" s="137">
        <v>0</v>
      </c>
      <c r="V838" s="126" t="str">
        <f t="shared" si="26"/>
        <v>✅ On Best Plan</v>
      </c>
      <c r="W838" s="130" t="str">
        <f>IFERROR(_xlfn.XLOOKUP(TEXT(H838,"0000000000"),'📞 Call Tracker'!A$2:A$2000,'📞 Call Tracker'!B$2:B$2000,""),"")</f>
        <v>Joaquin</v>
      </c>
      <c r="X838" s="96">
        <f>IFERROR(_xlfn.XLOOKUP(TEXT(H838,"0000000000"),'📞 Call Tracker'!A$2:A$2000,'📞 Call Tracker'!C$2:C$2000,""),"")</f>
        <v>46039</v>
      </c>
      <c r="Y838" s="95" t="str">
        <f>IFERROR(_xlfn.XLOOKUP(TEXT(H838,"0000000000"),'📞 Call Tracker'!A$2:A$2000,'📞 Call Tracker'!D$2:D$2000,""),"")</f>
        <v>YES</v>
      </c>
      <c r="Z838" s="95">
        <f>IFERROR(_xlfn.XLOOKUP(TEXT(H838,"0000000000"),'📞 Call Tracker'!A$2:A$2000,'📞 Call Tracker'!E$2:E$2000,""),"")</f>
        <v>0</v>
      </c>
      <c r="AA838" s="145" t="str">
        <f>IFERROR(_xlfn.XLOOKUP(TEXT(H838,"0000000000"),'📞 Call Tracker'!A$2:A$2000,'📞 Call Tracker'!F$2:F$2000,""),"")</f>
        <v>AGENCYS #S TO ASSIST WITH BILL</v>
      </c>
      <c r="AB838" s="132">
        <f t="shared" si="27"/>
        <v>99</v>
      </c>
      <c r="AC838" s="79"/>
    </row>
    <row r="839" spans="1:29" ht="20.100000000000001" customHeight="1">
      <c r="A839" s="91">
        <v>45926</v>
      </c>
      <c r="B839" s="92" t="str">
        <v>Gonzales</v>
      </c>
      <c r="C839" s="92" t="str">
        <v>Gregory</v>
      </c>
      <c r="D839" s="92" t="str">
        <v>Litchfield Park</v>
      </c>
      <c r="E839" s="92">
        <v>85340</v>
      </c>
      <c r="F839" s="137" t="str">
        <v>Opposed-I don’t want to use aps but have no choice</v>
      </c>
      <c r="G839" s="93" t="str">
        <v>https://docket.images.azcc.gov/E000046665.pdf</v>
      </c>
      <c r="H839" s="150" t="s">
        <v>6384</v>
      </c>
      <c r="I839" s="114" t="str">
        <v>R3-47</v>
      </c>
      <c r="J839" s="94" t="str">
        <v>No</v>
      </c>
      <c r="K839" s="94" t="str">
        <v>No</v>
      </c>
      <c r="L839" s="137" t="str">
        <v>Yes</v>
      </c>
      <c r="M839" s="94" t="str">
        <v>No</v>
      </c>
      <c r="N839" s="134" t="str">
        <v>No</v>
      </c>
      <c r="O839" s="119" t="str">
        <v>Yes</v>
      </c>
      <c r="P839" s="92" t="str">
        <v>N</v>
      </c>
      <c r="Q839" s="91">
        <v>45960</v>
      </c>
      <c r="R839" s="140">
        <v>0</v>
      </c>
      <c r="S839" s="92">
        <v>0</v>
      </c>
      <c r="T839" s="92">
        <v>0</v>
      </c>
      <c r="U839" s="137">
        <v>0</v>
      </c>
      <c r="V839" s="126" t="str">
        <f t="shared" si="26"/>
        <v>✅ On Best Plan</v>
      </c>
      <c r="W839" s="130">
        <f>IFERROR(_xlfn.XLOOKUP(TEXT(H839,"0000000000"),'📞 Call Tracker'!A$2:A$2000,'📞 Call Tracker'!B$2:B$2000,""),"")</f>
        <v>0</v>
      </c>
      <c r="X839" s="96">
        <f>IFERROR(_xlfn.XLOOKUP(TEXT(H839,"0000000000"),'📞 Call Tracker'!A$2:A$2000,'📞 Call Tracker'!C$2:C$2000,""),"")</f>
        <v>0</v>
      </c>
      <c r="Y839" s="95">
        <f>IFERROR(_xlfn.XLOOKUP(TEXT(H839,"0000000000"),'📞 Call Tracker'!A$2:A$2000,'📞 Call Tracker'!D$2:D$2000,""),"")</f>
        <v>0</v>
      </c>
      <c r="Z839" s="95">
        <f>IFERROR(_xlfn.XLOOKUP(TEXT(H839,"0000000000"),'📞 Call Tracker'!A$2:A$2000,'📞 Call Tracker'!E$2:E$2000,""),"")</f>
        <v>0</v>
      </c>
      <c r="AA839" s="145">
        <f>IFERROR(_xlfn.XLOOKUP(TEXT(H839,"0000000000"),'📞 Call Tracker'!A$2:A$2000,'📞 Call Tracker'!F$2:F$2000,""),"")</f>
        <v>0</v>
      </c>
      <c r="AB839" s="132">
        <f t="shared" si="27"/>
        <v>99</v>
      </c>
      <c r="AC839" s="79"/>
    </row>
    <row r="840" spans="1:29" ht="20.100000000000001" customHeight="1">
      <c r="A840" s="91">
        <v>45928</v>
      </c>
      <c r="B840" s="92" t="str">
        <v>Hage</v>
      </c>
      <c r="C840" s="92" t="str">
        <v>Nikki</v>
      </c>
      <c r="D840" s="92" t="str">
        <v>Yuma</v>
      </c>
      <c r="E840" s="92">
        <v>85367</v>
      </c>
      <c r="F840" s="137" t="str">
        <v>What cost cutting measures has aps taken internally?</v>
      </c>
      <c r="G840" s="93" t="str">
        <v>https://docket.images.azcc.gov/E000046726.pdf</v>
      </c>
      <c r="H840" s="150" t="s">
        <v>6095</v>
      </c>
      <c r="I840" s="114" t="str">
        <v>R3-47</v>
      </c>
      <c r="J840" s="94" t="str">
        <v>No</v>
      </c>
      <c r="K840" s="94" t="str">
        <v>No</v>
      </c>
      <c r="L840" s="137" t="str">
        <v>Yes</v>
      </c>
      <c r="M840" s="94" t="str">
        <v>No</v>
      </c>
      <c r="N840" s="134" t="str">
        <v>No</v>
      </c>
      <c r="O840" s="119" t="str">
        <v>Yes</v>
      </c>
      <c r="P840" s="92" t="str">
        <v>N</v>
      </c>
      <c r="Q840" s="91">
        <v>45960</v>
      </c>
      <c r="R840" s="140">
        <v>0</v>
      </c>
      <c r="S840" s="92">
        <v>0</v>
      </c>
      <c r="T840" s="92">
        <v>0</v>
      </c>
      <c r="U840" s="137">
        <v>0</v>
      </c>
      <c r="V840" s="126" t="str">
        <f t="shared" si="26"/>
        <v>✅ On Best Plan</v>
      </c>
      <c r="W840" s="130" t="str">
        <f>IFERROR(_xlfn.XLOOKUP(TEXT(H840,"0000000000"),'📞 Call Tracker'!A$2:A$2000,'📞 Call Tracker'!B$2:B$2000,""),"")</f>
        <v>Joaquin</v>
      </c>
      <c r="X840" s="96">
        <f>IFERROR(_xlfn.XLOOKUP(TEXT(H840,"0000000000"),'📞 Call Tracker'!A$2:A$2000,'📞 Call Tracker'!C$2:C$2000,""),"")</f>
        <v>46053</v>
      </c>
      <c r="Y840" s="95" t="str">
        <f>IFERROR(_xlfn.XLOOKUP(TEXT(H840,"0000000000"),'📞 Call Tracker'!A$2:A$2000,'📞 Call Tracker'!D$2:D$2000,""),"")</f>
        <v>YES</v>
      </c>
      <c r="Z840" s="95">
        <f>IFERROR(_xlfn.XLOOKUP(TEXT(H840,"0000000000"),'📞 Call Tracker'!A$2:A$2000,'📞 Call Tracker'!E$2:E$2000,""),"")</f>
        <v>0</v>
      </c>
      <c r="AA840" s="145" t="str">
        <f>IFERROR(_xlfn.XLOOKUP(TEXT(H840,"0000000000"),'📞 Call Tracker'!A$2:A$2000,'📞 Call Tracker'!F$2:F$2000,""),"")</f>
        <v>LEFT V-M</v>
      </c>
      <c r="AB840" s="132">
        <f t="shared" si="27"/>
        <v>99</v>
      </c>
      <c r="AC840" s="79"/>
    </row>
    <row r="841" spans="1:29" ht="20.100000000000001" customHeight="1">
      <c r="A841" s="91">
        <v>45928</v>
      </c>
      <c r="B841" s="92" t="str">
        <v>Gerblick</v>
      </c>
      <c r="C841" s="92" t="str">
        <v>Alison</v>
      </c>
      <c r="D841" s="92" t="str">
        <v>Glendale</v>
      </c>
      <c r="E841" s="92">
        <v>85310</v>
      </c>
      <c r="F841" s="137" t="str">
        <v>Opposed-AC is a necessity not a luxury for survival</v>
      </c>
      <c r="G841" s="93" t="str">
        <v>https://docket.images.azcc.gov/E000046726.pdf</v>
      </c>
      <c r="H841" s="150" t="s">
        <v>6385</v>
      </c>
      <c r="I841" s="114" t="str">
        <v>R-2</v>
      </c>
      <c r="J841" s="94" t="str">
        <v>No</v>
      </c>
      <c r="K841" s="94" t="str">
        <v>No</v>
      </c>
      <c r="L841" s="137" t="str">
        <v>Frozen Rate</v>
      </c>
      <c r="M841" s="94" t="str">
        <v>Yes</v>
      </c>
      <c r="N841" s="134">
        <v>368.4</v>
      </c>
      <c r="O841" s="119" t="str">
        <v>Yes</v>
      </c>
      <c r="P841" s="92" t="str">
        <v>N</v>
      </c>
      <c r="Q841" s="91">
        <v>45960</v>
      </c>
      <c r="R841" s="140">
        <v>0</v>
      </c>
      <c r="S841" s="92">
        <v>0</v>
      </c>
      <c r="T841" s="92">
        <v>0</v>
      </c>
      <c r="U841" s="137">
        <v>0</v>
      </c>
      <c r="V841" s="126" t="str">
        <f t="shared" si="26"/>
        <v>❄ Frozen Rate</v>
      </c>
      <c r="W841" s="130">
        <f>IFERROR(_xlfn.XLOOKUP(TEXT(H841,"0000000000"),'📞 Call Tracker'!A$2:A$2000,'📞 Call Tracker'!B$2:B$2000,""),"")</f>
        <v>0</v>
      </c>
      <c r="X841" s="96">
        <f>IFERROR(_xlfn.XLOOKUP(TEXT(H841,"0000000000"),'📞 Call Tracker'!A$2:A$2000,'📞 Call Tracker'!C$2:C$2000,""),"")</f>
        <v>0</v>
      </c>
      <c r="Y841" s="95">
        <f>IFERROR(_xlfn.XLOOKUP(TEXT(H841,"0000000000"),'📞 Call Tracker'!A$2:A$2000,'📞 Call Tracker'!D$2:D$2000,""),"")</f>
        <v>0</v>
      </c>
      <c r="Z841" s="95">
        <f>IFERROR(_xlfn.XLOOKUP(TEXT(H841,"0000000000"),'📞 Call Tracker'!A$2:A$2000,'📞 Call Tracker'!E$2:E$2000,""),"")</f>
        <v>0</v>
      </c>
      <c r="AA841" s="145">
        <f>IFERROR(_xlfn.XLOOKUP(TEXT(H841,"0000000000"),'📞 Call Tracker'!A$2:A$2000,'📞 Call Tracker'!F$2:F$2000,""),"")</f>
        <v>0</v>
      </c>
      <c r="AB841" s="132">
        <f t="shared" si="27"/>
        <v>99</v>
      </c>
      <c r="AC841" s="79"/>
    </row>
    <row r="842" spans="1:29" ht="20.100000000000001" customHeight="1">
      <c r="A842" s="91">
        <v>45929</v>
      </c>
      <c r="B842" s="92" t="str">
        <v>Gillespie</v>
      </c>
      <c r="C842" s="92" t="str">
        <v>Elissa</v>
      </c>
      <c r="D842" s="92" t="str">
        <v>Phoenix</v>
      </c>
      <c r="E842" s="92">
        <v>85050</v>
      </c>
      <c r="F842" s="137" t="str">
        <v>Opposed-request something more inline with inflation</v>
      </c>
      <c r="G842" s="93" t="str">
        <v>https://docket.images.azcc.gov/E000046726.pdf</v>
      </c>
      <c r="H842" s="150" t="s">
        <v>6732</v>
      </c>
      <c r="I842" s="114" t="str">
        <v>R3-47</v>
      </c>
      <c r="J842" s="94" t="str">
        <v>No</v>
      </c>
      <c r="K842" s="94" t="str">
        <v>No</v>
      </c>
      <c r="L842" s="137" t="str">
        <v>Yes</v>
      </c>
      <c r="M842" s="94" t="str">
        <v>No</v>
      </c>
      <c r="N842" s="134" t="str">
        <v>No</v>
      </c>
      <c r="O842" s="119" t="str">
        <v>Yes</v>
      </c>
      <c r="P842" s="92" t="str">
        <v>N</v>
      </c>
      <c r="Q842" s="91">
        <v>45960</v>
      </c>
      <c r="R842" s="140">
        <v>0</v>
      </c>
      <c r="S842" s="92">
        <v>0</v>
      </c>
      <c r="T842" s="92">
        <v>0</v>
      </c>
      <c r="U842" s="137">
        <v>0</v>
      </c>
      <c r="V842" s="126" t="str">
        <f t="shared" si="26"/>
        <v>✅ On Best Plan</v>
      </c>
      <c r="W842" s="130" t="str">
        <f>IFERROR(_xlfn.XLOOKUP(TEXT(H842,"0000000000"),'📞 Call Tracker'!A$2:A$2000,'📞 Call Tracker'!B$2:B$2000,""),"")</f>
        <v/>
      </c>
      <c r="X842" s="96" t="str">
        <f>IFERROR(_xlfn.XLOOKUP(TEXT(H842,"0000000000"),'📞 Call Tracker'!A$2:A$2000,'📞 Call Tracker'!C$2:C$2000,""),"")</f>
        <v/>
      </c>
      <c r="Y842" s="95" t="str">
        <f>IFERROR(_xlfn.XLOOKUP(TEXT(H842,"0000000000"),'📞 Call Tracker'!A$2:A$2000,'📞 Call Tracker'!D$2:D$2000,""),"")</f>
        <v/>
      </c>
      <c r="Z842" s="95" t="str">
        <f>IFERROR(_xlfn.XLOOKUP(TEXT(H842,"0000000000"),'📞 Call Tracker'!A$2:A$2000,'📞 Call Tracker'!E$2:E$2000,""),"")</f>
        <v/>
      </c>
      <c r="AA842" s="145" t="str">
        <f>IFERROR(_xlfn.XLOOKUP(TEXT(H842,"0000000000"),'📞 Call Tracker'!A$2:A$2000,'📞 Call Tracker'!F$2:F$2000,""),"")</f>
        <v/>
      </c>
      <c r="AB842" s="132">
        <f t="shared" si="27"/>
        <v>4</v>
      </c>
      <c r="AC842" s="79"/>
    </row>
    <row r="843" spans="1:29" ht="20.100000000000001" customHeight="1">
      <c r="A843" s="91">
        <v>45930</v>
      </c>
      <c r="B843" s="92" t="str">
        <v>Trethewey</v>
      </c>
      <c r="C843" s="92" t="str">
        <v>Peter</v>
      </c>
      <c r="D843" s="92" t="str">
        <v>Scottsdale</v>
      </c>
      <c r="E843" s="92">
        <v>85266</v>
      </c>
      <c r="F843" s="137" t="str">
        <v>Rate increase outpasses the rate of inflation</v>
      </c>
      <c r="G843" s="93" t="str">
        <v>https://docket.images.azcc.gov/E000046710.pdf</v>
      </c>
      <c r="H843" s="150" t="s">
        <v>6386</v>
      </c>
      <c r="I843" s="114" t="str">
        <v>R3-47</v>
      </c>
      <c r="J843" s="94" t="str">
        <v>No</v>
      </c>
      <c r="K843" s="94" t="str">
        <v>No</v>
      </c>
      <c r="L843" s="137" t="str">
        <v>Yes</v>
      </c>
      <c r="M843" s="94" t="str">
        <v>No</v>
      </c>
      <c r="N843" s="134" t="str">
        <v>No</v>
      </c>
      <c r="O843" s="119" t="str">
        <v>Yes</v>
      </c>
      <c r="P843" s="92" t="str">
        <v>N</v>
      </c>
      <c r="Q843" s="91">
        <v>45960</v>
      </c>
      <c r="R843" s="140">
        <v>0</v>
      </c>
      <c r="S843" s="92">
        <v>0</v>
      </c>
      <c r="T843" s="92">
        <v>0</v>
      </c>
      <c r="U843" s="137">
        <v>0</v>
      </c>
      <c r="V843" s="126" t="str">
        <f t="shared" si="26"/>
        <v>✅ On Best Plan</v>
      </c>
      <c r="W843" s="130">
        <f>IFERROR(_xlfn.XLOOKUP(TEXT(H843,"0000000000"),'📞 Call Tracker'!A$2:A$2000,'📞 Call Tracker'!B$2:B$2000,""),"")</f>
        <v>0</v>
      </c>
      <c r="X843" s="96">
        <f>IFERROR(_xlfn.XLOOKUP(TEXT(H843,"0000000000"),'📞 Call Tracker'!A$2:A$2000,'📞 Call Tracker'!C$2:C$2000,""),"")</f>
        <v>0</v>
      </c>
      <c r="Y843" s="95">
        <f>IFERROR(_xlfn.XLOOKUP(TEXT(H843,"0000000000"),'📞 Call Tracker'!A$2:A$2000,'📞 Call Tracker'!D$2:D$2000,""),"")</f>
        <v>0</v>
      </c>
      <c r="Z843" s="95">
        <f>IFERROR(_xlfn.XLOOKUP(TEXT(H843,"0000000000"),'📞 Call Tracker'!A$2:A$2000,'📞 Call Tracker'!E$2:E$2000,""),"")</f>
        <v>0</v>
      </c>
      <c r="AA843" s="145">
        <f>IFERROR(_xlfn.XLOOKUP(TEXT(H843,"0000000000"),'📞 Call Tracker'!A$2:A$2000,'📞 Call Tracker'!F$2:F$2000,""),"")</f>
        <v>0</v>
      </c>
      <c r="AB843" s="132">
        <f t="shared" si="27"/>
        <v>99</v>
      </c>
      <c r="AC843" s="79"/>
    </row>
    <row r="844" spans="1:29" ht="20.100000000000001" customHeight="1">
      <c r="A844" s="91">
        <v>45930</v>
      </c>
      <c r="B844" s="92" t="str">
        <v>Barnes</v>
      </c>
      <c r="C844" s="92" t="str">
        <v>Jessica</v>
      </c>
      <c r="D844" s="92" t="str">
        <v>Sun City</v>
      </c>
      <c r="E844" s="92">
        <v>85351</v>
      </c>
      <c r="F844" s="137" t="str">
        <v>Opposed-highway robbery</v>
      </c>
      <c r="G844" s="93" t="str">
        <v>https://docket.images.azcc.gov/E000046710.pdf</v>
      </c>
      <c r="H844" s="150" t="s">
        <v>2756</v>
      </c>
      <c r="I844" s="114" t="str">
        <v>RCPw/R3-47</v>
      </c>
      <c r="J844" s="94" t="str">
        <v>No</v>
      </c>
      <c r="K844" s="94" t="str">
        <v>No</v>
      </c>
      <c r="L844" s="137" t="str">
        <v>Yes</v>
      </c>
      <c r="M844" s="94" t="str">
        <v>No</v>
      </c>
      <c r="N844" s="134" t="str">
        <v>No</v>
      </c>
      <c r="O844" s="119" t="str">
        <v>Yes</v>
      </c>
      <c r="P844" s="92" t="str">
        <v>N</v>
      </c>
      <c r="Q844" s="91">
        <v>45960</v>
      </c>
      <c r="R844" s="140" t="str">
        <v>Filed complaint with AG and ACC</v>
      </c>
      <c r="S844" s="92">
        <v>0</v>
      </c>
      <c r="T844" s="92">
        <v>0</v>
      </c>
      <c r="U844" s="137">
        <v>0</v>
      </c>
      <c r="V844" s="126" t="str">
        <f t="shared" si="26"/>
        <v>✅ On Best Plan</v>
      </c>
      <c r="W844" s="130" t="str">
        <f>IFERROR(_xlfn.XLOOKUP(TEXT(H844,"0000000000"),'📞 Call Tracker'!A$2:A$2000,'📞 Call Tracker'!B$2:B$2000,""),"")</f>
        <v>Joaquin</v>
      </c>
      <c r="X844" s="96">
        <f>IFERROR(_xlfn.XLOOKUP(TEXT(H844,"0000000000"),'📞 Call Tracker'!A$2:A$2000,'📞 Call Tracker'!C$2:C$2000,""),"")</f>
        <v>46074</v>
      </c>
      <c r="Y844" s="95" t="str">
        <f>IFERROR(_xlfn.XLOOKUP(TEXT(H844,"0000000000"),'📞 Call Tracker'!A$2:A$2000,'📞 Call Tracker'!D$2:D$2000,""),"")</f>
        <v>YES</v>
      </c>
      <c r="Z844" s="95">
        <f>IFERROR(_xlfn.XLOOKUP(TEXT(H844,"0000000000"),'📞 Call Tracker'!A$2:A$2000,'📞 Call Tracker'!E$2:E$2000,""),"")</f>
        <v>0</v>
      </c>
      <c r="AA844" s="145" t="str">
        <f>IFERROR(_xlfn.XLOOKUP(TEXT(H844,"0000000000"),'📞 Call Tracker'!A$2:A$2000,'📞 Call Tracker'!F$2:F$2000,""),"")</f>
        <v>LEFT VOICE MAIL</v>
      </c>
      <c r="AB844" s="132">
        <f t="shared" si="27"/>
        <v>99</v>
      </c>
      <c r="AC844" s="79"/>
    </row>
    <row r="845" spans="1:29" ht="20.100000000000001" customHeight="1">
      <c r="A845" s="91">
        <v>45930</v>
      </c>
      <c r="B845" s="92" t="str">
        <v>Dietrich</v>
      </c>
      <c r="C845" s="92" t="str">
        <v>Karen</v>
      </c>
      <c r="D845" s="92" t="str">
        <v>Dewey</v>
      </c>
      <c r="E845" s="92">
        <v>86327</v>
      </c>
      <c r="F845" s="137" t="str">
        <v>Enough is enough with increases</v>
      </c>
      <c r="G845" s="93" t="str">
        <v>https://docket.images.azcc.gov/E000046710.pdf</v>
      </c>
      <c r="H845" s="150" t="s">
        <v>6733</v>
      </c>
      <c r="I845" s="114" t="str">
        <v>R-XS</v>
      </c>
      <c r="J845" s="94" t="str">
        <v>No</v>
      </c>
      <c r="K845" s="94" t="str">
        <v>No</v>
      </c>
      <c r="L845" s="137" t="str">
        <v>Not eligible</v>
      </c>
      <c r="M845" s="94" t="str">
        <v>No</v>
      </c>
      <c r="N845" s="134" t="str">
        <v>No</v>
      </c>
      <c r="O845" s="119" t="str">
        <v>Yes</v>
      </c>
      <c r="P845" s="92" t="str">
        <v>N</v>
      </c>
      <c r="Q845" s="91">
        <v>45960</v>
      </c>
      <c r="R845" s="140" t="str">
        <v>Non-AMI customer</v>
      </c>
      <c r="S845" s="92">
        <v>0</v>
      </c>
      <c r="T845" s="92">
        <v>0</v>
      </c>
      <c r="U845" s="137">
        <v>0</v>
      </c>
      <c r="V845" s="126" t="str">
        <f t="shared" si="26"/>
        <v>❌ Not on Best Plan</v>
      </c>
      <c r="W845" s="130" t="str">
        <f>IFERROR(_xlfn.XLOOKUP(TEXT(H845,"0000000000"),'📞 Call Tracker'!A$2:A$2000,'📞 Call Tracker'!B$2:B$2000,""),"")</f>
        <v/>
      </c>
      <c r="X845" s="96" t="str">
        <f>IFERROR(_xlfn.XLOOKUP(TEXT(H845,"0000000000"),'📞 Call Tracker'!A$2:A$2000,'📞 Call Tracker'!C$2:C$2000,""),"")</f>
        <v/>
      </c>
      <c r="Y845" s="95" t="str">
        <f>IFERROR(_xlfn.XLOOKUP(TEXT(H845,"0000000000"),'📞 Call Tracker'!A$2:A$2000,'📞 Call Tracker'!D$2:D$2000,""),"")</f>
        <v/>
      </c>
      <c r="Z845" s="95" t="str">
        <f>IFERROR(_xlfn.XLOOKUP(TEXT(H845,"0000000000"),'📞 Call Tracker'!A$2:A$2000,'📞 Call Tracker'!E$2:E$2000,""),"")</f>
        <v/>
      </c>
      <c r="AA845" s="145" t="str">
        <f>IFERROR(_xlfn.XLOOKUP(TEXT(H845,"0000000000"),'📞 Call Tracker'!A$2:A$2000,'📞 Call Tracker'!F$2:F$2000,""),"")</f>
        <v/>
      </c>
      <c r="AB845" s="132">
        <f t="shared" si="27"/>
        <v>2</v>
      </c>
      <c r="AC845" s="79"/>
    </row>
    <row r="846" spans="1:29" ht="20.100000000000001" customHeight="1">
      <c r="A846" s="91">
        <v>45930</v>
      </c>
      <c r="B846" s="92" t="str">
        <v>Morales</v>
      </c>
      <c r="C846" s="92" t="str">
        <v>Linnette</v>
      </c>
      <c r="D846" s="92" t="str">
        <v>Peoria</v>
      </c>
      <c r="E846" s="92">
        <v>85345</v>
      </c>
      <c r="F846" s="137" t="str">
        <v>Form letter</v>
      </c>
      <c r="G846" s="93" t="str">
        <v>https://docket.images.azcc.gov/E000046710.pdf</v>
      </c>
      <c r="H846" s="150" t="s">
        <v>6387</v>
      </c>
      <c r="I846" s="114" t="str">
        <v>RTOUE47</v>
      </c>
      <c r="J846" s="94" t="str">
        <v>No</v>
      </c>
      <c r="K846" s="94" t="str">
        <v>No</v>
      </c>
      <c r="L846" s="137" t="str">
        <v>No MEP R-XS(143.13)</v>
      </c>
      <c r="M846" s="94" t="str">
        <v>No</v>
      </c>
      <c r="N846" s="134" t="str">
        <v>No</v>
      </c>
      <c r="O846" s="119" t="str">
        <v>Yes</v>
      </c>
      <c r="P846" s="92">
        <v>45940</v>
      </c>
      <c r="Q846" s="91">
        <v>45960</v>
      </c>
      <c r="R846" s="140" t="str">
        <v xml:space="preserve">Cor is satisfied with her current service plan </v>
      </c>
      <c r="S846" s="92">
        <v>0</v>
      </c>
      <c r="T846" s="92">
        <v>0</v>
      </c>
      <c r="U846" s="137">
        <v>0</v>
      </c>
      <c r="V846" s="126" t="str">
        <f t="shared" si="26"/>
        <v>❌ Not on Best Plan</v>
      </c>
      <c r="W846" s="130" t="str">
        <f>IFERROR(_xlfn.XLOOKUP(TEXT(H846,"0000000000"),'📞 Call Tracker'!A$2:A$2000,'📞 Call Tracker'!B$2:B$2000,""),"")</f>
        <v>Joaquin</v>
      </c>
      <c r="X846" s="96">
        <f>IFERROR(_xlfn.XLOOKUP(TEXT(H846,"0000000000"),'📞 Call Tracker'!A$2:A$2000,'📞 Call Tracker'!C$2:C$2000,""),"")</f>
        <v>46074</v>
      </c>
      <c r="Y846" s="95" t="str">
        <f>IFERROR(_xlfn.XLOOKUP(TEXT(H846,"0000000000"),'📞 Call Tracker'!A$2:A$2000,'📞 Call Tracker'!D$2:D$2000,""),"")</f>
        <v>YES</v>
      </c>
      <c r="Z846" s="95">
        <f>IFERROR(_xlfn.XLOOKUP(TEXT(H846,"0000000000"),'📞 Call Tracker'!A$2:A$2000,'📞 Call Tracker'!E$2:E$2000,""),"")</f>
        <v>0</v>
      </c>
      <c r="AA846" s="145" t="str">
        <f>IFERROR(_xlfn.XLOOKUP(TEXT(H846,"0000000000"),'📞 Call Tracker'!A$2:A$2000,'📞 Call Tracker'!F$2:F$2000,""),"")</f>
        <v>LEFT VOICE MAIL</v>
      </c>
      <c r="AB846" s="132">
        <f t="shared" si="27"/>
        <v>99</v>
      </c>
      <c r="AC846" s="79"/>
    </row>
    <row r="847" spans="1:29" ht="20.100000000000001" customHeight="1">
      <c r="A847" s="91">
        <v>45930</v>
      </c>
      <c r="B847" s="92" t="str">
        <v>Kapolas</v>
      </c>
      <c r="C847" s="92" t="str">
        <v>Linda</v>
      </c>
      <c r="D847" s="92" t="str">
        <v>Goodyear</v>
      </c>
      <c r="E847" s="92">
        <v>85395</v>
      </c>
      <c r="F847" s="137" t="str">
        <v>From letter</v>
      </c>
      <c r="G847" s="93" t="str">
        <v>https://docket.images.azcc.gov/E000046710.pdf</v>
      </c>
      <c r="H847" s="150" t="s">
        <v>6388</v>
      </c>
      <c r="I847" s="114" t="str">
        <v>RCPw/RTOUE47</v>
      </c>
      <c r="J847" s="94" t="str">
        <v>No</v>
      </c>
      <c r="K847" s="94" t="str">
        <v>No</v>
      </c>
      <c r="L847" s="137" t="str">
        <v>No MEP R3-47(7.05)</v>
      </c>
      <c r="M847" s="94" t="str">
        <v>No</v>
      </c>
      <c r="N847" s="134" t="str">
        <v>No</v>
      </c>
      <c r="O847" s="119" t="str">
        <v>Yes</v>
      </c>
      <c r="P847" s="92" t="str">
        <v>N</v>
      </c>
      <c r="Q847" s="91">
        <v>45960</v>
      </c>
      <c r="R847" s="140">
        <v>0</v>
      </c>
      <c r="S847" s="92">
        <v>0</v>
      </c>
      <c r="T847" s="92">
        <v>0</v>
      </c>
      <c r="U847" s="137">
        <v>0</v>
      </c>
      <c r="V847" s="126" t="str">
        <f t="shared" si="26"/>
        <v>❌ Not on Best Plan</v>
      </c>
      <c r="W847" s="130">
        <f>IFERROR(_xlfn.XLOOKUP(TEXT(H847,"0000000000"),'📞 Call Tracker'!A$2:A$2000,'📞 Call Tracker'!B$2:B$2000,""),"")</f>
        <v>0</v>
      </c>
      <c r="X847" s="96">
        <f>IFERROR(_xlfn.XLOOKUP(TEXT(H847,"0000000000"),'📞 Call Tracker'!A$2:A$2000,'📞 Call Tracker'!C$2:C$2000,""),"")</f>
        <v>0</v>
      </c>
      <c r="Y847" s="95">
        <f>IFERROR(_xlfn.XLOOKUP(TEXT(H847,"0000000000"),'📞 Call Tracker'!A$2:A$2000,'📞 Call Tracker'!D$2:D$2000,""),"")</f>
        <v>0</v>
      </c>
      <c r="Z847" s="95">
        <f>IFERROR(_xlfn.XLOOKUP(TEXT(H847,"0000000000"),'📞 Call Tracker'!A$2:A$2000,'📞 Call Tracker'!E$2:E$2000,""),"")</f>
        <v>0</v>
      </c>
      <c r="AA847" s="145">
        <f>IFERROR(_xlfn.XLOOKUP(TEXT(H847,"0000000000"),'📞 Call Tracker'!A$2:A$2000,'📞 Call Tracker'!F$2:F$2000,""),"")</f>
        <v>0</v>
      </c>
      <c r="AB847" s="132">
        <f t="shared" si="27"/>
        <v>99</v>
      </c>
      <c r="AC847" s="79"/>
    </row>
    <row r="848" spans="1:29" ht="20.100000000000001" customHeight="1">
      <c r="A848" s="91">
        <v>45930</v>
      </c>
      <c r="B848" s="92" t="str">
        <v>Eskew</v>
      </c>
      <c r="C848" s="92" t="str">
        <v>Kendall</v>
      </c>
      <c r="D848" s="92" t="str">
        <v>Buckeye</v>
      </c>
      <c r="E848" s="92">
        <v>85396</v>
      </c>
      <c r="F848" s="137" t="str">
        <v>Opposed- Solar customers are to shoulder the financial burden</v>
      </c>
      <c r="G848" s="93" t="str">
        <v>https://docket.images.azcc.gov/E000046709.pdf</v>
      </c>
      <c r="H848" s="150" t="s">
        <v>6734</v>
      </c>
      <c r="I848" s="114" t="str">
        <v>REV47</v>
      </c>
      <c r="J848" s="94" t="str">
        <v>No</v>
      </c>
      <c r="K848" s="94" t="str">
        <v>No</v>
      </c>
      <c r="L848" s="137" t="str">
        <v>No MEP R3-47(23.91)</v>
      </c>
      <c r="M848" s="94" t="str">
        <v>No</v>
      </c>
      <c r="N848" s="134" t="str">
        <v>No</v>
      </c>
      <c r="O848" s="119" t="str">
        <v>Yes</v>
      </c>
      <c r="P848" s="92" t="str">
        <v>N</v>
      </c>
      <c r="Q848" s="91">
        <v>45960</v>
      </c>
      <c r="R848" s="140">
        <v>0</v>
      </c>
      <c r="S848" s="92">
        <v>0</v>
      </c>
      <c r="T848" s="92">
        <v>0</v>
      </c>
      <c r="U848" s="137">
        <v>0</v>
      </c>
      <c r="V848" s="126" t="str">
        <f t="shared" si="26"/>
        <v>❌ Not on Best Plan</v>
      </c>
      <c r="W848" s="130" t="str">
        <f>IFERROR(_xlfn.XLOOKUP(TEXT(H848,"0000000000"),'📞 Call Tracker'!A$2:A$2000,'📞 Call Tracker'!B$2:B$2000,""),"")</f>
        <v/>
      </c>
      <c r="X848" s="96" t="str">
        <f>IFERROR(_xlfn.XLOOKUP(TEXT(H848,"0000000000"),'📞 Call Tracker'!A$2:A$2000,'📞 Call Tracker'!C$2:C$2000,""),"")</f>
        <v/>
      </c>
      <c r="Y848" s="95" t="str">
        <f>IFERROR(_xlfn.XLOOKUP(TEXT(H848,"0000000000"),'📞 Call Tracker'!A$2:A$2000,'📞 Call Tracker'!D$2:D$2000,""),"")</f>
        <v/>
      </c>
      <c r="Z848" s="95" t="str">
        <f>IFERROR(_xlfn.XLOOKUP(TEXT(H848,"0000000000"),'📞 Call Tracker'!A$2:A$2000,'📞 Call Tracker'!E$2:E$2000,""),"")</f>
        <v/>
      </c>
      <c r="AA848" s="145" t="str">
        <f>IFERROR(_xlfn.XLOOKUP(TEXT(H848,"0000000000"),'📞 Call Tracker'!A$2:A$2000,'📞 Call Tracker'!F$2:F$2000,""),"")</f>
        <v/>
      </c>
      <c r="AB848" s="132">
        <f t="shared" si="27"/>
        <v>2</v>
      </c>
      <c r="AC848" s="79"/>
    </row>
    <row r="849" spans="1:29" ht="20.100000000000001" customHeight="1">
      <c r="A849" s="91">
        <v>45932</v>
      </c>
      <c r="B849" s="92" t="str">
        <v>Lynch</v>
      </c>
      <c r="C849" s="92" t="str">
        <v>Blake</v>
      </c>
      <c r="D849" s="92" t="str">
        <v>Unknown</v>
      </c>
      <c r="E849" s="92" t="str">
        <v>Unknown</v>
      </c>
      <c r="F849" s="137" t="str">
        <v xml:space="preserve">Opposed-Why are you letting aps increase their rates </v>
      </c>
      <c r="G849" s="93" t="str">
        <v>https://docket.images.azcc.gov/E000046791.pdf</v>
      </c>
      <c r="H849" s="150" t="s">
        <v>6389</v>
      </c>
      <c r="I849" s="114" t="str">
        <v>R-2</v>
      </c>
      <c r="J849" s="94" t="str">
        <v>No</v>
      </c>
      <c r="K849" s="94" t="str">
        <v>No</v>
      </c>
      <c r="L849" s="137" t="str">
        <v>Frozen Rate</v>
      </c>
      <c r="M849" s="94" t="str">
        <v>Yes</v>
      </c>
      <c r="N849" s="134">
        <v>170.45</v>
      </c>
      <c r="O849" s="119" t="str">
        <v>Yes</v>
      </c>
      <c r="P849" s="92" t="str">
        <v>N</v>
      </c>
      <c r="Q849" s="91">
        <v>45960</v>
      </c>
      <c r="R849" s="140">
        <v>0</v>
      </c>
      <c r="S849" s="92">
        <v>0</v>
      </c>
      <c r="T849" s="92">
        <v>0</v>
      </c>
      <c r="U849" s="137">
        <v>0</v>
      </c>
      <c r="V849" s="126" t="str">
        <f t="shared" si="26"/>
        <v>❄ Frozen Rate</v>
      </c>
      <c r="W849" s="130">
        <f>IFERROR(_xlfn.XLOOKUP(TEXT(H849,"0000000000"),'📞 Call Tracker'!A$2:A$2000,'📞 Call Tracker'!B$2:B$2000,""),"")</f>
        <v>0</v>
      </c>
      <c r="X849" s="96">
        <f>IFERROR(_xlfn.XLOOKUP(TEXT(H849,"0000000000"),'📞 Call Tracker'!A$2:A$2000,'📞 Call Tracker'!C$2:C$2000,""),"")</f>
        <v>0</v>
      </c>
      <c r="Y849" s="95">
        <f>IFERROR(_xlfn.XLOOKUP(TEXT(H849,"0000000000"),'📞 Call Tracker'!A$2:A$2000,'📞 Call Tracker'!D$2:D$2000,""),"")</f>
        <v>0</v>
      </c>
      <c r="Z849" s="95">
        <f>IFERROR(_xlfn.XLOOKUP(TEXT(H849,"0000000000"),'📞 Call Tracker'!A$2:A$2000,'📞 Call Tracker'!E$2:E$2000,""),"")</f>
        <v>0</v>
      </c>
      <c r="AA849" s="145">
        <f>IFERROR(_xlfn.XLOOKUP(TEXT(H849,"0000000000"),'📞 Call Tracker'!A$2:A$2000,'📞 Call Tracker'!F$2:F$2000,""),"")</f>
        <v>0</v>
      </c>
      <c r="AB849" s="132">
        <f t="shared" si="27"/>
        <v>99</v>
      </c>
      <c r="AC849" s="79"/>
    </row>
    <row r="850" spans="1:29" ht="20.100000000000001" customHeight="1">
      <c r="A850" s="91">
        <v>45932</v>
      </c>
      <c r="B850" s="92" t="str">
        <v>Kozerski</v>
      </c>
      <c r="C850" s="92" t="str">
        <v>Alaxandra</v>
      </c>
      <c r="D850" s="92" t="str">
        <v>Gilbert</v>
      </c>
      <c r="E850" s="92">
        <v>85233</v>
      </c>
      <c r="F850" s="137" t="str">
        <v>Form letter</v>
      </c>
      <c r="G850" s="93" t="str">
        <v>https://edocket.azcc.gov/search/document-search/item-detail/448293</v>
      </c>
      <c r="H850" s="150" t="s">
        <v>6390</v>
      </c>
      <c r="I850" s="114" t="str">
        <v>EPR-6w/E-12</v>
      </c>
      <c r="J850" s="94" t="str">
        <v>No</v>
      </c>
      <c r="K850" s="94" t="str">
        <v>No</v>
      </c>
      <c r="L850" s="137" t="str">
        <v>Frozen Rate</v>
      </c>
      <c r="M850" s="94" t="str">
        <v>No</v>
      </c>
      <c r="N850" s="134" t="str">
        <v>No</v>
      </c>
      <c r="O850" s="119" t="str">
        <v>Yes</v>
      </c>
      <c r="P850" s="92" t="str">
        <v>N</v>
      </c>
      <c r="Q850" s="91">
        <v>45960</v>
      </c>
      <c r="R850" s="140">
        <v>0</v>
      </c>
      <c r="S850" s="92">
        <v>0</v>
      </c>
      <c r="T850" s="92">
        <v>0</v>
      </c>
      <c r="U850" s="137">
        <v>0</v>
      </c>
      <c r="V850" s="126" t="str">
        <f t="shared" si="26"/>
        <v>❄ Frozen Rate</v>
      </c>
      <c r="W850" s="130" t="str">
        <f>IFERROR(_xlfn.XLOOKUP(TEXT(H850,"0000000000"),'📞 Call Tracker'!A$2:A$2000,'📞 Call Tracker'!B$2:B$2000,""),"")</f>
        <v>Joaquin</v>
      </c>
      <c r="X850" s="96">
        <f>IFERROR(_xlfn.XLOOKUP(TEXT(H850,"0000000000"),'📞 Call Tracker'!A$2:A$2000,'📞 Call Tracker'!C$2:C$2000,""),"")</f>
        <v>46074</v>
      </c>
      <c r="Y850" s="95" t="str">
        <f>IFERROR(_xlfn.XLOOKUP(TEXT(H850,"0000000000"),'📞 Call Tracker'!A$2:A$2000,'📞 Call Tracker'!D$2:D$2000,""),"")</f>
        <v>YES</v>
      </c>
      <c r="Z850" s="95">
        <f>IFERROR(_xlfn.XLOOKUP(TEXT(H850,"0000000000"),'📞 Call Tracker'!A$2:A$2000,'📞 Call Tracker'!E$2:E$2000,""),"")</f>
        <v>0</v>
      </c>
      <c r="AA850" s="145" t="str">
        <f>IFERROR(_xlfn.XLOOKUP(TEXT(H850,"0000000000"),'📞 Call Tracker'!A$2:A$2000,'📞 Call Tracker'!F$2:F$2000,""),"")</f>
        <v>LEFT VOICE MAIL</v>
      </c>
      <c r="AB850" s="132">
        <f t="shared" si="27"/>
        <v>99</v>
      </c>
      <c r="AC850" s="79"/>
    </row>
    <row r="851" spans="1:29" ht="20.100000000000001" customHeight="1">
      <c r="A851" s="91">
        <v>45932</v>
      </c>
      <c r="B851" s="92" t="str">
        <v>Simpson</v>
      </c>
      <c r="C851" s="92" t="str">
        <v>Elliot</v>
      </c>
      <c r="D851" s="92" t="str">
        <v>Phoenix</v>
      </c>
      <c r="E851" s="92">
        <v>85085</v>
      </c>
      <c r="F851" s="137" t="str">
        <v>Respectfully Opposed-already financially strained</v>
      </c>
      <c r="G851" s="93" t="str">
        <v>https://edocket.azcc.gov/search/document-search/item-detail/448293</v>
      </c>
      <c r="H851" s="150" t="s">
        <v>6391</v>
      </c>
      <c r="I851" s="114" t="str">
        <v>REV47</v>
      </c>
      <c r="J851" s="94" t="str">
        <v>No</v>
      </c>
      <c r="K851" s="94" t="str">
        <v>No</v>
      </c>
      <c r="L851" s="137" t="str">
        <v>Not eligible yet (needs 3 months)</v>
      </c>
      <c r="M851" s="94" t="str">
        <v>No</v>
      </c>
      <c r="N851" s="134" t="str">
        <v>No</v>
      </c>
      <c r="O851" s="119" t="str">
        <v>Yes</v>
      </c>
      <c r="P851" s="92" t="str">
        <v>N</v>
      </c>
      <c r="Q851" s="91">
        <v>45960</v>
      </c>
      <c r="R851" s="140" t="str">
        <v>Recently changed from Basic to R-EV</v>
      </c>
      <c r="S851" s="92">
        <v>0</v>
      </c>
      <c r="T851" s="92">
        <v>0</v>
      </c>
      <c r="U851" s="137">
        <v>0</v>
      </c>
      <c r="V851" s="126" t="str">
        <f t="shared" si="26"/>
        <v>❌ Not on Best Plan</v>
      </c>
      <c r="W851" s="130">
        <f>IFERROR(_xlfn.XLOOKUP(TEXT(H851,"0000000000"),'📞 Call Tracker'!A$2:A$2000,'📞 Call Tracker'!B$2:B$2000,""),"")</f>
        <v>0</v>
      </c>
      <c r="X851" s="96">
        <f>IFERROR(_xlfn.XLOOKUP(TEXT(H851,"0000000000"),'📞 Call Tracker'!A$2:A$2000,'📞 Call Tracker'!C$2:C$2000,""),"")</f>
        <v>0</v>
      </c>
      <c r="Y851" s="95">
        <f>IFERROR(_xlfn.XLOOKUP(TEXT(H851,"0000000000"),'📞 Call Tracker'!A$2:A$2000,'📞 Call Tracker'!D$2:D$2000,""),"")</f>
        <v>0</v>
      </c>
      <c r="Z851" s="95">
        <f>IFERROR(_xlfn.XLOOKUP(TEXT(H851,"0000000000"),'📞 Call Tracker'!A$2:A$2000,'📞 Call Tracker'!E$2:E$2000,""),"")</f>
        <v>0</v>
      </c>
      <c r="AA851" s="145">
        <f>IFERROR(_xlfn.XLOOKUP(TEXT(H851,"0000000000"),'📞 Call Tracker'!A$2:A$2000,'📞 Call Tracker'!F$2:F$2000,""),"")</f>
        <v>0</v>
      </c>
      <c r="AB851" s="132">
        <f t="shared" si="27"/>
        <v>99</v>
      </c>
      <c r="AC851" s="79"/>
    </row>
    <row r="852" spans="1:29" ht="20.100000000000001" customHeight="1">
      <c r="A852" s="91">
        <v>45933</v>
      </c>
      <c r="B852" s="92" t="str">
        <v>Hellring</v>
      </c>
      <c r="C852" s="92" t="str">
        <v>Bruce</v>
      </c>
      <c r="D852" s="92" t="str">
        <v>Cave Creek</v>
      </c>
      <c r="E852" s="92">
        <v>85331</v>
      </c>
      <c r="F852" s="137" t="str">
        <v>Opposed-no salary has seen an equivalent increase</v>
      </c>
      <c r="G852" s="93" t="str">
        <v>https://docket.images.azcc.gov/E000046843.pdf</v>
      </c>
      <c r="H852" s="150" t="s">
        <v>6160</v>
      </c>
      <c r="I852" s="114" t="str">
        <v>R3-47</v>
      </c>
      <c r="J852" s="94" t="str">
        <v>No</v>
      </c>
      <c r="K852" s="94" t="str">
        <v>No</v>
      </c>
      <c r="L852" s="137" t="str">
        <v>Yes</v>
      </c>
      <c r="M852" s="94" t="str">
        <v>No</v>
      </c>
      <c r="N852" s="134" t="str">
        <v>No</v>
      </c>
      <c r="O852" s="119" t="str">
        <v>Yes</v>
      </c>
      <c r="P852" s="92" t="str">
        <v>N</v>
      </c>
      <c r="Q852" s="91">
        <v>45960</v>
      </c>
      <c r="R852" s="140">
        <v>0</v>
      </c>
      <c r="S852" s="92">
        <v>0</v>
      </c>
      <c r="T852" s="92">
        <v>0</v>
      </c>
      <c r="U852" s="137">
        <v>0</v>
      </c>
      <c r="V852" s="126" t="str">
        <f t="shared" si="26"/>
        <v>✅ On Best Plan</v>
      </c>
      <c r="W852" s="130" t="str">
        <f>IFERROR(_xlfn.XLOOKUP(TEXT(H852,"0000000000"),'📞 Call Tracker'!A$2:A$2000,'📞 Call Tracker'!B$2:B$2000,""),"")</f>
        <v>Joaquin</v>
      </c>
      <c r="X852" s="96">
        <f>IFERROR(_xlfn.XLOOKUP(TEXT(H852,"0000000000"),'📞 Call Tracker'!A$2:A$2000,'📞 Call Tracker'!C$2:C$2000,""),"")</f>
        <v>46039</v>
      </c>
      <c r="Y852" s="95" t="str">
        <f>IFERROR(_xlfn.XLOOKUP(TEXT(H852,"0000000000"),'📞 Call Tracker'!A$2:A$2000,'📞 Call Tracker'!D$2:D$2000,""),"")</f>
        <v>YES</v>
      </c>
      <c r="Z852" s="95">
        <f>IFERROR(_xlfn.XLOOKUP(TEXT(H852,"0000000000"),'📞 Call Tracker'!A$2:A$2000,'📞 Call Tracker'!E$2:E$2000,""),"")</f>
        <v>0</v>
      </c>
      <c r="AA852" s="145" t="str">
        <f>IFERROR(_xlfn.XLOOKUP(TEXT(H852,"0000000000"),'📞 Call Tracker'!A$2:A$2000,'📞 Call Tracker'!F$2:F$2000,""),"")</f>
        <v>E-3 BB PROGRAM</v>
      </c>
      <c r="AB852" s="132">
        <f t="shared" si="27"/>
        <v>99</v>
      </c>
      <c r="AC852" s="79"/>
    </row>
    <row r="853" spans="1:29" ht="20.100000000000001" customHeight="1">
      <c r="A853" s="91">
        <v>45934</v>
      </c>
      <c r="B853" s="92" t="str">
        <v>Moffat</v>
      </c>
      <c r="C853" s="92" t="str">
        <v>Jennifer</v>
      </c>
      <c r="D853" s="92" t="str">
        <v>Phoenix</v>
      </c>
      <c r="E853" s="92">
        <v>85032</v>
      </c>
      <c r="F853" s="137" t="str">
        <v xml:space="preserve">Opposed-I find it appalling </v>
      </c>
      <c r="G853" s="93" t="str">
        <v>https://docket.images.azcc.gov/E000046876.pdf</v>
      </c>
      <c r="H853" s="150" t="s">
        <v>6735</v>
      </c>
      <c r="I853" s="114" t="str">
        <v>R3-47</v>
      </c>
      <c r="J853" s="94" t="str">
        <v>Yes</v>
      </c>
      <c r="K853" s="94" t="str">
        <v>No</v>
      </c>
      <c r="L853" s="137" t="str">
        <v>Yes</v>
      </c>
      <c r="M853" s="94" t="str">
        <v>No</v>
      </c>
      <c r="N853" s="134" t="str">
        <v>No</v>
      </c>
      <c r="O853" s="119" t="str">
        <v>Yes</v>
      </c>
      <c r="P853" s="92" t="str">
        <v>N</v>
      </c>
      <c r="Q853" s="91">
        <v>45954</v>
      </c>
      <c r="R853" s="140">
        <v>0</v>
      </c>
      <c r="S853" s="92">
        <v>0</v>
      </c>
      <c r="T853" s="92">
        <v>0</v>
      </c>
      <c r="U853" s="137">
        <v>0</v>
      </c>
      <c r="V853" s="126" t="str">
        <f t="shared" si="26"/>
        <v>✅ On Best Plan</v>
      </c>
      <c r="W853" s="130" t="str">
        <f>IFERROR(_xlfn.XLOOKUP(TEXT(H853,"0000000000"),'📞 Call Tracker'!A$2:A$2000,'📞 Call Tracker'!B$2:B$2000,""),"")</f>
        <v/>
      </c>
      <c r="X853" s="96" t="str">
        <f>IFERROR(_xlfn.XLOOKUP(TEXT(H853,"0000000000"),'📞 Call Tracker'!A$2:A$2000,'📞 Call Tracker'!C$2:C$2000,""),"")</f>
        <v/>
      </c>
      <c r="Y853" s="95" t="str">
        <f>IFERROR(_xlfn.XLOOKUP(TEXT(H853,"0000000000"),'📞 Call Tracker'!A$2:A$2000,'📞 Call Tracker'!D$2:D$2000,""),"")</f>
        <v/>
      </c>
      <c r="Z853" s="95" t="str">
        <f>IFERROR(_xlfn.XLOOKUP(TEXT(H853,"0000000000"),'📞 Call Tracker'!A$2:A$2000,'📞 Call Tracker'!E$2:E$2000,""),"")</f>
        <v/>
      </c>
      <c r="AA853" s="145" t="str">
        <f>IFERROR(_xlfn.XLOOKUP(TEXT(H853,"0000000000"),'📞 Call Tracker'!A$2:A$2000,'📞 Call Tracker'!F$2:F$2000,""),"")</f>
        <v/>
      </c>
      <c r="AB853" s="132">
        <f t="shared" si="27"/>
        <v>4</v>
      </c>
      <c r="AC853" s="79"/>
    </row>
    <row r="854" spans="1:29" ht="20.100000000000001" customHeight="1">
      <c r="A854" s="91">
        <v>45934</v>
      </c>
      <c r="B854" s="92" t="str">
        <v>Rae</v>
      </c>
      <c r="C854" s="92" t="str">
        <v>Linda</v>
      </c>
      <c r="D854" s="92" t="str">
        <v>Prescott Valley</v>
      </c>
      <c r="E854" s="92">
        <v>86314</v>
      </c>
      <c r="F854" s="137" t="str">
        <v>Retiree, increase will cause hardship</v>
      </c>
      <c r="G854" s="93" t="str">
        <v>https://docket.images.azcc.gov/E000046876.pdf</v>
      </c>
      <c r="H854" s="150" t="s">
        <v>6392</v>
      </c>
      <c r="I854" s="114" t="str">
        <v>RTOUE47</v>
      </c>
      <c r="J854" s="94" t="str">
        <v>No</v>
      </c>
      <c r="K854" s="94" t="str">
        <v>No</v>
      </c>
      <c r="L854" s="137" t="str">
        <v>No MEP R-BASIC(90.00)</v>
      </c>
      <c r="M854" s="94" t="str">
        <v>No</v>
      </c>
      <c r="N854" s="134" t="str">
        <v>No</v>
      </c>
      <c r="O854" s="119" t="str">
        <v>Yes</v>
      </c>
      <c r="P854" s="92" t="str">
        <v>N</v>
      </c>
      <c r="Q854" s="91">
        <v>45954</v>
      </c>
      <c r="R854" s="140">
        <v>0</v>
      </c>
      <c r="S854" s="92">
        <v>0</v>
      </c>
      <c r="T854" s="92">
        <v>0</v>
      </c>
      <c r="U854" s="137">
        <v>0</v>
      </c>
      <c r="V854" s="126" t="str">
        <f t="shared" si="26"/>
        <v>❌ Not on Best Plan</v>
      </c>
      <c r="W854" s="130" t="str">
        <f>IFERROR(_xlfn.XLOOKUP(TEXT(H854,"0000000000"),'📞 Call Tracker'!A$2:A$2000,'📞 Call Tracker'!B$2:B$2000,""),"")</f>
        <v>Joaquin</v>
      </c>
      <c r="X854" s="96">
        <f>IFERROR(_xlfn.XLOOKUP(TEXT(H854,"0000000000"),'📞 Call Tracker'!A$2:A$2000,'📞 Call Tracker'!C$2:C$2000,""),"")</f>
        <v>46074</v>
      </c>
      <c r="Y854" s="95" t="str">
        <f>IFERROR(_xlfn.XLOOKUP(TEXT(H854,"0000000000"),'📞 Call Tracker'!A$2:A$2000,'📞 Call Tracker'!D$2:D$2000,""),"")</f>
        <v>YES</v>
      </c>
      <c r="Z854" s="95">
        <f>IFERROR(_xlfn.XLOOKUP(TEXT(H854,"0000000000"),'📞 Call Tracker'!A$2:A$2000,'📞 Call Tracker'!E$2:E$2000,""),"")</f>
        <v>0</v>
      </c>
      <c r="AA854" s="145" t="str">
        <f>IFERROR(_xlfn.XLOOKUP(TEXT(H854,"0000000000"),'📞 Call Tracker'!A$2:A$2000,'📞 Call Tracker'!F$2:F$2000,""),"")</f>
        <v>LEFT VOICE MAIL</v>
      </c>
      <c r="AB854" s="132">
        <f t="shared" si="27"/>
        <v>99</v>
      </c>
      <c r="AC854" s="79"/>
    </row>
    <row r="855" spans="1:29" ht="20.100000000000001" customHeight="1">
      <c r="A855" s="91">
        <v>45935</v>
      </c>
      <c r="B855" s="92" t="str">
        <v>Faulkner</v>
      </c>
      <c r="C855" s="92" t="str">
        <v>Stephen</v>
      </c>
      <c r="D855" s="92" t="str">
        <v>Cottonwood</v>
      </c>
      <c r="E855" s="92">
        <v>86326</v>
      </c>
      <c r="F855" s="137" t="str">
        <v>Totally inappropriate</v>
      </c>
      <c r="G855" s="93" t="str">
        <v>https://docket.images.azcc.gov/E000046876.pdf</v>
      </c>
      <c r="H855" s="150" t="s">
        <v>6393</v>
      </c>
      <c r="I855" s="114" t="str">
        <v>EPR-6w/E-12</v>
      </c>
      <c r="J855" s="94" t="str">
        <v>No</v>
      </c>
      <c r="K855" s="94" t="str">
        <v>No</v>
      </c>
      <c r="L855" s="137" t="str">
        <v>Frozen Rate</v>
      </c>
      <c r="M855" s="94" t="str">
        <v>No</v>
      </c>
      <c r="N855" s="134" t="str">
        <v>No</v>
      </c>
      <c r="O855" s="119" t="str">
        <v>Yes</v>
      </c>
      <c r="P855" s="92" t="str">
        <v>N</v>
      </c>
      <c r="Q855" s="91">
        <v>45954</v>
      </c>
      <c r="R855" s="140">
        <v>0</v>
      </c>
      <c r="S855" s="92">
        <v>0</v>
      </c>
      <c r="T855" s="92">
        <v>0</v>
      </c>
      <c r="U855" s="137">
        <v>0</v>
      </c>
      <c r="V855" s="126" t="str">
        <f t="shared" si="26"/>
        <v>❄ Frozen Rate</v>
      </c>
      <c r="W855" s="130">
        <f>IFERROR(_xlfn.XLOOKUP(TEXT(H855,"0000000000"),'📞 Call Tracker'!A$2:A$2000,'📞 Call Tracker'!B$2:B$2000,""),"")</f>
        <v>0</v>
      </c>
      <c r="X855" s="96">
        <f>IFERROR(_xlfn.XLOOKUP(TEXT(H855,"0000000000"),'📞 Call Tracker'!A$2:A$2000,'📞 Call Tracker'!C$2:C$2000,""),"")</f>
        <v>0</v>
      </c>
      <c r="Y855" s="95">
        <f>IFERROR(_xlfn.XLOOKUP(TEXT(H855,"0000000000"),'📞 Call Tracker'!A$2:A$2000,'📞 Call Tracker'!D$2:D$2000,""),"")</f>
        <v>0</v>
      </c>
      <c r="Z855" s="95">
        <f>IFERROR(_xlfn.XLOOKUP(TEXT(H855,"0000000000"),'📞 Call Tracker'!A$2:A$2000,'📞 Call Tracker'!E$2:E$2000,""),"")</f>
        <v>0</v>
      </c>
      <c r="AA855" s="145">
        <f>IFERROR(_xlfn.XLOOKUP(TEXT(H855,"0000000000"),'📞 Call Tracker'!A$2:A$2000,'📞 Call Tracker'!F$2:F$2000,""),"")</f>
        <v>0</v>
      </c>
      <c r="AB855" s="132">
        <f t="shared" si="27"/>
        <v>99</v>
      </c>
      <c r="AC855" s="79"/>
    </row>
    <row r="856" spans="1:29" ht="20.100000000000001" customHeight="1">
      <c r="A856" s="91">
        <v>45935</v>
      </c>
      <c r="B856" s="92" t="str">
        <v>Whitmore</v>
      </c>
      <c r="C856" s="92" t="str">
        <v>Donna</v>
      </c>
      <c r="D856" s="92" t="str">
        <v>Clarkdale</v>
      </c>
      <c r="E856" s="92">
        <v>86324</v>
      </c>
      <c r="F856" s="137" t="str">
        <v>Opposed</v>
      </c>
      <c r="G856" s="93" t="str">
        <v>https://docket.images.azcc.gov/E000046876.pdf</v>
      </c>
      <c r="H856" s="150" t="s">
        <v>6096</v>
      </c>
      <c r="I856" s="114" t="str">
        <v>R-XS</v>
      </c>
      <c r="J856" s="94" t="str">
        <v>No</v>
      </c>
      <c r="K856" s="94" t="str">
        <v>No</v>
      </c>
      <c r="L856" s="137" t="str">
        <v>Yes</v>
      </c>
      <c r="M856" s="94" t="str">
        <v>No</v>
      </c>
      <c r="N856" s="134" t="str">
        <v>No</v>
      </c>
      <c r="O856" s="119" t="str">
        <v>Yes</v>
      </c>
      <c r="P856" s="92" t="str">
        <v>N</v>
      </c>
      <c r="Q856" s="91">
        <v>45954</v>
      </c>
      <c r="R856" s="140" t="str">
        <v>Non-AMI customer</v>
      </c>
      <c r="S856" s="92">
        <v>0</v>
      </c>
      <c r="T856" s="92">
        <v>0</v>
      </c>
      <c r="U856" s="137">
        <v>0</v>
      </c>
      <c r="V856" s="126" t="str">
        <f t="shared" si="26"/>
        <v>✅ On Best Plan</v>
      </c>
      <c r="W856" s="130" t="str">
        <f>IFERROR(_xlfn.XLOOKUP(TEXT(H856,"0000000000"),'📞 Call Tracker'!A$2:A$2000,'📞 Call Tracker'!B$2:B$2000,""),"")</f>
        <v>Joaquin</v>
      </c>
      <c r="X856" s="96">
        <f>IFERROR(_xlfn.XLOOKUP(TEXT(H856,"0000000000"),'📞 Call Tracker'!A$2:A$2000,'📞 Call Tracker'!C$2:C$2000,""),"")</f>
        <v>46053</v>
      </c>
      <c r="Y856" s="95" t="str">
        <f>IFERROR(_xlfn.XLOOKUP(TEXT(H856,"0000000000"),'📞 Call Tracker'!A$2:A$2000,'📞 Call Tracker'!D$2:D$2000,""),"")</f>
        <v>YES</v>
      </c>
      <c r="Z856" s="95">
        <f>IFERROR(_xlfn.XLOOKUP(TEXT(H856,"0000000000"),'📞 Call Tracker'!A$2:A$2000,'📞 Call Tracker'!E$2:E$2000,""),"")</f>
        <v>0</v>
      </c>
      <c r="AA856" s="145" t="str">
        <f>IFERROR(_xlfn.XLOOKUP(TEXT(H856,"0000000000"),'📞 Call Tracker'!A$2:A$2000,'📞 Call Tracker'!F$2:F$2000,""),"")</f>
        <v>LEFT V-M</v>
      </c>
      <c r="AB856" s="132">
        <f t="shared" si="27"/>
        <v>99</v>
      </c>
      <c r="AC856" s="79"/>
    </row>
    <row r="857" spans="1:29" ht="20.100000000000001" customHeight="1">
      <c r="A857" s="91">
        <v>45937</v>
      </c>
      <c r="B857" s="92" t="str">
        <v>Pavlov</v>
      </c>
      <c r="C857" s="92" t="str">
        <v>David&amp;Tiffany</v>
      </c>
      <c r="D857" s="92" t="str">
        <v>Goodyear</v>
      </c>
      <c r="E857" s="92">
        <v>85338</v>
      </c>
      <c r="F857" s="137" t="str">
        <v>Opposed- unaffordable</v>
      </c>
      <c r="G857" s="93" t="str">
        <v>https://docket.images.azcc.gov/E000046876.pdf</v>
      </c>
      <c r="H857" s="150" t="s">
        <v>6097</v>
      </c>
      <c r="I857" s="114" t="str">
        <v>R-2</v>
      </c>
      <c r="J857" s="94" t="str">
        <v>Yes</v>
      </c>
      <c r="K857" s="94" t="str">
        <v>No</v>
      </c>
      <c r="L857" s="137" t="str">
        <v>Frozen Rate</v>
      </c>
      <c r="M857" s="94" t="str">
        <v>No</v>
      </c>
      <c r="N857" s="134" t="str">
        <v>No</v>
      </c>
      <c r="O857" s="119" t="str">
        <v>Yes</v>
      </c>
      <c r="P857" s="92" t="str">
        <v>N</v>
      </c>
      <c r="Q857" s="91">
        <v>45954</v>
      </c>
      <c r="R857" s="140">
        <v>0</v>
      </c>
      <c r="S857" s="92">
        <v>0</v>
      </c>
      <c r="T857" s="92">
        <v>0</v>
      </c>
      <c r="U857" s="137">
        <v>0</v>
      </c>
      <c r="V857" s="126" t="str">
        <f t="shared" si="26"/>
        <v>❄ Frozen Rate</v>
      </c>
      <c r="W857" s="130" t="str">
        <f>IFERROR(_xlfn.XLOOKUP(TEXT(H857,"0000000000"),'📞 Call Tracker'!A$2:A$2000,'📞 Call Tracker'!B$2:B$2000,""),"")</f>
        <v>Joaquin</v>
      </c>
      <c r="X857" s="96">
        <f>IFERROR(_xlfn.XLOOKUP(TEXT(H857,"0000000000"),'📞 Call Tracker'!A$2:A$2000,'📞 Call Tracker'!C$2:C$2000,""),"")</f>
        <v>46053</v>
      </c>
      <c r="Y857" s="95" t="str">
        <f>IFERROR(_xlfn.XLOOKUP(TEXT(H857,"0000000000"),'📞 Call Tracker'!A$2:A$2000,'📞 Call Tracker'!D$2:D$2000,""),"")</f>
        <v>YES</v>
      </c>
      <c r="Z857" s="95">
        <f>IFERROR(_xlfn.XLOOKUP(TEXT(H857,"0000000000"),'📞 Call Tracker'!A$2:A$2000,'📞 Call Tracker'!E$2:E$2000,""),"")</f>
        <v>0</v>
      </c>
      <c r="AA857" s="145" t="str">
        <f>IFERROR(_xlfn.XLOOKUP(TEXT(H857,"0000000000"),'📞 Call Tracker'!A$2:A$2000,'📞 Call Tracker'!F$2:F$2000,""),"")</f>
        <v>LEFT V-M</v>
      </c>
      <c r="AB857" s="132">
        <f t="shared" si="27"/>
        <v>99</v>
      </c>
      <c r="AC857" s="79"/>
    </row>
    <row r="858" spans="1:29" ht="20.100000000000001" customHeight="1">
      <c r="A858" s="91">
        <v>45938</v>
      </c>
      <c r="B858" s="92" t="str">
        <v>Yoon</v>
      </c>
      <c r="C858" s="92" t="str">
        <v>Eunice</v>
      </c>
      <c r="D858" s="92" t="str">
        <v>Scottsdale</v>
      </c>
      <c r="E858" s="92">
        <v>85258</v>
      </c>
      <c r="F858" s="137" t="str">
        <v>Opposed-Prioritize cost control</v>
      </c>
      <c r="G858" s="93" t="str">
        <v>https://docket.images.azcc.gov/E000046900.pdf</v>
      </c>
      <c r="H858" s="150" t="s">
        <v>6098</v>
      </c>
      <c r="I858" s="114" t="str">
        <v>R3-47</v>
      </c>
      <c r="J858" s="94" t="str">
        <v>No</v>
      </c>
      <c r="K858" s="94" t="str">
        <v>No</v>
      </c>
      <c r="L858" s="137" t="str">
        <v>Yes</v>
      </c>
      <c r="M858" s="94" t="str">
        <v>No</v>
      </c>
      <c r="N858" s="134" t="str">
        <v>No</v>
      </c>
      <c r="O858" s="119" t="str">
        <v>Yes</v>
      </c>
      <c r="P858" s="92" t="str">
        <v>N</v>
      </c>
      <c r="Q858" s="91">
        <v>45954</v>
      </c>
      <c r="R858" s="140">
        <v>0</v>
      </c>
      <c r="S858" s="92">
        <v>0</v>
      </c>
      <c r="T858" s="92">
        <v>0</v>
      </c>
      <c r="U858" s="137">
        <v>0</v>
      </c>
      <c r="V858" s="126" t="str">
        <f t="shared" si="26"/>
        <v>✅ On Best Plan</v>
      </c>
      <c r="W858" s="130" t="str">
        <f>IFERROR(_xlfn.XLOOKUP(TEXT(H858,"0000000000"),'📞 Call Tracker'!A$2:A$2000,'📞 Call Tracker'!B$2:B$2000,""),"")</f>
        <v>Joaquin</v>
      </c>
      <c r="X858" s="96">
        <f>IFERROR(_xlfn.XLOOKUP(TEXT(H858,"0000000000"),'📞 Call Tracker'!A$2:A$2000,'📞 Call Tracker'!C$2:C$2000,""),"")</f>
        <v>46053</v>
      </c>
      <c r="Y858" s="95" t="str">
        <f>IFERROR(_xlfn.XLOOKUP(TEXT(H858,"0000000000"),'📞 Call Tracker'!A$2:A$2000,'📞 Call Tracker'!D$2:D$2000,""),"")</f>
        <v>NO</v>
      </c>
      <c r="Z858" s="95" t="str">
        <f>IFERROR(_xlfn.XLOOKUP(TEXT(H858,"0000000000"),'📞 Call Tracker'!A$2:A$2000,'📞 Call Tracker'!E$2:E$2000,""),"")</f>
        <v>General Education</v>
      </c>
      <c r="AA858" s="145">
        <f>IFERROR(_xlfn.XLOOKUP(TEXT(H858,"0000000000"),'📞 Call Tracker'!A$2:A$2000,'📞 Call Tracker'!F$2:F$2000,""),"")</f>
        <v>0</v>
      </c>
      <c r="AB858" s="132">
        <f t="shared" si="27"/>
        <v>99</v>
      </c>
      <c r="AC858" s="79"/>
    </row>
    <row r="859" spans="1:29" ht="20.100000000000001" customHeight="1">
      <c r="A859" s="91">
        <v>45938</v>
      </c>
      <c r="B859" s="92" t="str">
        <v>Tornetta</v>
      </c>
      <c r="C859" s="92" t="str">
        <v>Cynthia</v>
      </c>
      <c r="D859" s="92" t="str">
        <v>Unknown</v>
      </c>
      <c r="E859" s="92" t="str">
        <v>Unknown</v>
      </c>
      <c r="F859" s="137" t="str">
        <v>Opposed-please consider seniors,families,fixed income</v>
      </c>
      <c r="G859" s="93" t="str">
        <v>https://docket.images.azcc.gov/E000046900.pdf</v>
      </c>
      <c r="H859" s="150" t="s">
        <v>6099</v>
      </c>
      <c r="I859" s="114" t="str">
        <v>R-BASICL</v>
      </c>
      <c r="J859" s="94" t="str">
        <v>No</v>
      </c>
      <c r="K859" s="94" t="str">
        <v>No</v>
      </c>
      <c r="L859" s="137" t="str">
        <v>No MEP R3-47(68.47)</v>
      </c>
      <c r="M859" s="94" t="str">
        <v>No</v>
      </c>
      <c r="N859" s="134" t="str">
        <v>No</v>
      </c>
      <c r="O859" s="119" t="str">
        <v>Yes</v>
      </c>
      <c r="P859" s="92" t="str">
        <v>N</v>
      </c>
      <c r="Q859" s="91">
        <v>45954</v>
      </c>
      <c r="R859" s="140">
        <v>0</v>
      </c>
      <c r="S859" s="92">
        <v>0</v>
      </c>
      <c r="T859" s="92">
        <v>0</v>
      </c>
      <c r="U859" s="137">
        <v>0</v>
      </c>
      <c r="V859" s="126" t="str">
        <f t="shared" si="26"/>
        <v>❌ Not on Best Plan</v>
      </c>
      <c r="W859" s="130" t="str">
        <f>IFERROR(_xlfn.XLOOKUP(TEXT(H859,"0000000000"),'📞 Call Tracker'!A$2:A$2000,'📞 Call Tracker'!B$2:B$2000,""),"")</f>
        <v>Joaquin</v>
      </c>
      <c r="X859" s="96">
        <f>IFERROR(_xlfn.XLOOKUP(TEXT(H859,"0000000000"),'📞 Call Tracker'!A$2:A$2000,'📞 Call Tracker'!C$2:C$2000,""),"")</f>
        <v>46053</v>
      </c>
      <c r="Y859" s="95" t="str">
        <f>IFERROR(_xlfn.XLOOKUP(TEXT(H859,"0000000000"),'📞 Call Tracker'!A$2:A$2000,'📞 Call Tracker'!D$2:D$2000,""),"")</f>
        <v>NO</v>
      </c>
      <c r="Z859" s="95" t="str">
        <f>IFERROR(_xlfn.XLOOKUP(TEXT(H859,"0000000000"),'📞 Call Tracker'!A$2:A$2000,'📞 Call Tracker'!E$2:E$2000,""),"")</f>
        <v>General Education</v>
      </c>
      <c r="AA859" s="145" t="str">
        <f>IFERROR(_xlfn.XLOOKUP(TEXT(H859,"0000000000"),'📞 Call Tracker'!A$2:A$2000,'📞 Call Tracker'!F$2:F$2000,""),"")</f>
        <v>SOLAR ACCT</v>
      </c>
      <c r="AB859" s="132">
        <f t="shared" si="27"/>
        <v>99</v>
      </c>
      <c r="AC859" s="79"/>
    </row>
    <row r="860" spans="1:29" ht="20.100000000000001" customHeight="1">
      <c r="A860" s="91">
        <v>45938</v>
      </c>
      <c r="B860" s="92" t="str">
        <v>Vallabhaneni</v>
      </c>
      <c r="C860" s="92" t="str">
        <v>Kamala</v>
      </c>
      <c r="D860" s="92" t="str">
        <v>Scottsdale</v>
      </c>
      <c r="E860" s="92">
        <v>85258</v>
      </c>
      <c r="F860" s="137" t="str">
        <v>Opposed-Simply too much</v>
      </c>
      <c r="G860" s="93" t="str">
        <v>https://docket.images.azcc.gov/E000046911.pdf</v>
      </c>
      <c r="H860" s="150" t="s">
        <v>6161</v>
      </c>
      <c r="I860" s="114" t="str">
        <v>R3-47</v>
      </c>
      <c r="J860" s="94" t="str">
        <v>No</v>
      </c>
      <c r="K860" s="94" t="str">
        <v>No</v>
      </c>
      <c r="L860" s="137" t="str">
        <v>Yes</v>
      </c>
      <c r="M860" s="94" t="str">
        <v>No</v>
      </c>
      <c r="N860" s="134" t="str">
        <v>No</v>
      </c>
      <c r="O860" s="119" t="str">
        <v>Yes</v>
      </c>
      <c r="P860" s="92" t="str">
        <v>N</v>
      </c>
      <c r="Q860" s="91">
        <v>45954</v>
      </c>
      <c r="R860" s="140">
        <v>0</v>
      </c>
      <c r="S860" s="92">
        <v>0</v>
      </c>
      <c r="T860" s="92">
        <v>0</v>
      </c>
      <c r="U860" s="137">
        <v>0</v>
      </c>
      <c r="V860" s="126" t="str">
        <f t="shared" si="26"/>
        <v>✅ On Best Plan</v>
      </c>
      <c r="W860" s="130" t="str">
        <f>IFERROR(_xlfn.XLOOKUP(TEXT(H860,"0000000000"),'📞 Call Tracker'!A$2:A$2000,'📞 Call Tracker'!B$2:B$2000,""),"")</f>
        <v>Joaquin</v>
      </c>
      <c r="X860" s="96">
        <f>IFERROR(_xlfn.XLOOKUP(TEXT(H860,"0000000000"),'📞 Call Tracker'!A$2:A$2000,'📞 Call Tracker'!C$2:C$2000,""),"")</f>
        <v>46032</v>
      </c>
      <c r="Y860" s="95" t="str">
        <f>IFERROR(_xlfn.XLOOKUP(TEXT(H860,"0000000000"),'📞 Call Tracker'!A$2:A$2000,'📞 Call Tracker'!D$2:D$2000,""),"")</f>
        <v>YES</v>
      </c>
      <c r="Z860" s="95">
        <f>IFERROR(_xlfn.XLOOKUP(TEXT(H860,"0000000000"),'📞 Call Tracker'!A$2:A$2000,'📞 Call Tracker'!E$2:E$2000,""),"")</f>
        <v>0</v>
      </c>
      <c r="AA860" s="145" t="str">
        <f>IFERROR(_xlfn.XLOOKUP(TEXT(H860,"0000000000"),'📞 Call Tracker'!A$2:A$2000,'📞 Call Tracker'!F$2:F$2000,""),"")</f>
        <v>SOLAR ACCT</v>
      </c>
      <c r="AB860" s="132">
        <f t="shared" si="27"/>
        <v>99</v>
      </c>
      <c r="AC860" s="79"/>
    </row>
    <row r="861" spans="1:29" ht="20.100000000000001" customHeight="1">
      <c r="A861" s="91">
        <v>45938</v>
      </c>
      <c r="B861" s="92" t="str">
        <v>Rogers</v>
      </c>
      <c r="C861" s="92" t="str">
        <v>Arthur</v>
      </c>
      <c r="D861" s="92" t="str">
        <v>Star Valley</v>
      </c>
      <c r="E861" s="92">
        <v>85541</v>
      </c>
      <c r="F861" s="137" t="str">
        <v>Opposed-APS is attempting to influence legislature</v>
      </c>
      <c r="G861" s="93" t="str">
        <v>https://docket.images.azcc.gov/E000046911.pdf</v>
      </c>
      <c r="H861" s="150" t="s">
        <v>6394</v>
      </c>
      <c r="I861" s="114" t="str">
        <v>R-XS</v>
      </c>
      <c r="J861" s="94" t="str">
        <v>No</v>
      </c>
      <c r="K861" s="94" t="str">
        <v>No</v>
      </c>
      <c r="L861" s="137" t="str">
        <v>Yes</v>
      </c>
      <c r="M861" s="94" t="str">
        <v>No</v>
      </c>
      <c r="N861" s="134" t="str">
        <v>No</v>
      </c>
      <c r="O861" s="119" t="str">
        <v>Yes</v>
      </c>
      <c r="P861" s="92" t="str">
        <v>N</v>
      </c>
      <c r="Q861" s="91">
        <v>45954</v>
      </c>
      <c r="R861" s="140">
        <v>0</v>
      </c>
      <c r="S861" s="92">
        <v>0</v>
      </c>
      <c r="T861" s="92">
        <v>0</v>
      </c>
      <c r="U861" s="137">
        <v>0</v>
      </c>
      <c r="V861" s="126" t="str">
        <f t="shared" si="26"/>
        <v>✅ On Best Plan</v>
      </c>
      <c r="W861" s="130">
        <f>IFERROR(_xlfn.XLOOKUP(TEXT(H861,"0000000000"),'📞 Call Tracker'!A$2:A$2000,'📞 Call Tracker'!B$2:B$2000,""),"")</f>
        <v>0</v>
      </c>
      <c r="X861" s="96">
        <f>IFERROR(_xlfn.XLOOKUP(TEXT(H861,"0000000000"),'📞 Call Tracker'!A$2:A$2000,'📞 Call Tracker'!C$2:C$2000,""),"")</f>
        <v>0</v>
      </c>
      <c r="Y861" s="95">
        <f>IFERROR(_xlfn.XLOOKUP(TEXT(H861,"0000000000"),'📞 Call Tracker'!A$2:A$2000,'📞 Call Tracker'!D$2:D$2000,""),"")</f>
        <v>0</v>
      </c>
      <c r="Z861" s="95">
        <f>IFERROR(_xlfn.XLOOKUP(TEXT(H861,"0000000000"),'📞 Call Tracker'!A$2:A$2000,'📞 Call Tracker'!E$2:E$2000,""),"")</f>
        <v>0</v>
      </c>
      <c r="AA861" s="145">
        <f>IFERROR(_xlfn.XLOOKUP(TEXT(H861,"0000000000"),'📞 Call Tracker'!A$2:A$2000,'📞 Call Tracker'!F$2:F$2000,""),"")</f>
        <v>0</v>
      </c>
      <c r="AB861" s="132">
        <f t="shared" si="27"/>
        <v>99</v>
      </c>
      <c r="AC861" s="79"/>
    </row>
    <row r="862" spans="1:29" ht="20.100000000000001" customHeight="1">
      <c r="A862" s="91">
        <v>45939</v>
      </c>
      <c r="B862" s="92" t="str">
        <v>Rademacher</v>
      </c>
      <c r="C862" s="92" t="str">
        <v>Judy</v>
      </c>
      <c r="D862" s="92" t="str">
        <v>Peoria</v>
      </c>
      <c r="E862" s="92">
        <v>85382</v>
      </c>
      <c r="F862" s="137" t="str">
        <v>Opposed-Fixed Income</v>
      </c>
      <c r="G862" s="93" t="str">
        <v>https://docket.images.azcc.gov/E000046911.pdf</v>
      </c>
      <c r="H862" s="150" t="s">
        <v>6100</v>
      </c>
      <c r="I862" s="114" t="str">
        <v>R3-47</v>
      </c>
      <c r="J862" s="94" t="str">
        <v>No</v>
      </c>
      <c r="K862" s="94" t="str">
        <v>No</v>
      </c>
      <c r="L862" s="137" t="str">
        <v>Yes</v>
      </c>
      <c r="M862" s="94" t="str">
        <v>No</v>
      </c>
      <c r="N862" s="134" t="str">
        <v>No</v>
      </c>
      <c r="O862" s="119" t="str">
        <v>Yes</v>
      </c>
      <c r="P862" s="92" t="str">
        <v>N</v>
      </c>
      <c r="Q862" s="91">
        <v>45954</v>
      </c>
      <c r="R862" s="140">
        <v>0</v>
      </c>
      <c r="S862" s="92">
        <v>0</v>
      </c>
      <c r="T862" s="92">
        <v>0</v>
      </c>
      <c r="U862" s="137">
        <v>0</v>
      </c>
      <c r="V862" s="126" t="str">
        <f t="shared" si="26"/>
        <v>✅ On Best Plan</v>
      </c>
      <c r="W862" s="130" t="str">
        <f>IFERROR(_xlfn.XLOOKUP(TEXT(H862,"0000000000"),'📞 Call Tracker'!A$2:A$2000,'📞 Call Tracker'!B$2:B$2000,""),"")</f>
        <v>Joaquin</v>
      </c>
      <c r="X862" s="96">
        <f>IFERROR(_xlfn.XLOOKUP(TEXT(H862,"0000000000"),'📞 Call Tracker'!A$2:A$2000,'📞 Call Tracker'!C$2:C$2000,""),"")</f>
        <v>46053</v>
      </c>
      <c r="Y862" s="95" t="str">
        <f>IFERROR(_xlfn.XLOOKUP(TEXT(H862,"0000000000"),'📞 Call Tracker'!A$2:A$2000,'📞 Call Tracker'!D$2:D$2000,""),"")</f>
        <v>NO</v>
      </c>
      <c r="Z862" s="95" t="str">
        <f>IFERROR(_xlfn.XLOOKUP(TEXT(H862,"0000000000"),'📞 Call Tracker'!A$2:A$2000,'📞 Call Tracker'!E$2:E$2000,""),"")</f>
        <v>General Education</v>
      </c>
      <c r="AA862" s="145">
        <f>IFERROR(_xlfn.XLOOKUP(TEXT(H862,"0000000000"),'📞 Call Tracker'!A$2:A$2000,'📞 Call Tracker'!F$2:F$2000,""),"")</f>
        <v>0</v>
      </c>
      <c r="AB862" s="132">
        <f t="shared" si="27"/>
        <v>99</v>
      </c>
      <c r="AC862" s="79"/>
    </row>
    <row r="863" spans="1:29" ht="20.100000000000001" customHeight="1">
      <c r="A863" s="91">
        <v>45940</v>
      </c>
      <c r="B863" s="92" t="str">
        <v>Spencer</v>
      </c>
      <c r="C863" s="92" t="str">
        <v>Delaney</v>
      </c>
      <c r="D863" s="92" t="str">
        <v>Florence</v>
      </c>
      <c r="E863" s="92">
        <v>85132</v>
      </c>
      <c r="F863" s="137" t="str">
        <v>Unreasonable ever-increasing rates</v>
      </c>
      <c r="G863" s="93" t="str">
        <v>https://docket.images.azcc.gov/E000046970.pdf</v>
      </c>
      <c r="H863" s="150" t="s">
        <v>6395</v>
      </c>
      <c r="I863" s="114" t="str">
        <v>RCPw/R3-47</v>
      </c>
      <c r="J863" s="94" t="str">
        <v>No</v>
      </c>
      <c r="K863" s="94" t="str">
        <v>No</v>
      </c>
      <c r="L863" s="137" t="str">
        <v>Yes</v>
      </c>
      <c r="M863" s="94" t="str">
        <v>No</v>
      </c>
      <c r="N863" s="134" t="str">
        <v>No</v>
      </c>
      <c r="O863" s="119" t="str">
        <v>Yes</v>
      </c>
      <c r="P863" s="92" t="str">
        <v>N</v>
      </c>
      <c r="Q863" s="91">
        <v>45954</v>
      </c>
      <c r="R863" s="140">
        <v>0</v>
      </c>
      <c r="S863" s="92">
        <v>0</v>
      </c>
      <c r="T863" s="92">
        <v>0</v>
      </c>
      <c r="U863" s="137">
        <v>0</v>
      </c>
      <c r="V863" s="126" t="str">
        <f t="shared" si="26"/>
        <v>✅ On Best Plan</v>
      </c>
      <c r="W863" s="130" t="str">
        <f>IFERROR(_xlfn.XLOOKUP(TEXT(H863,"0000000000"),'📞 Call Tracker'!A$2:A$2000,'📞 Call Tracker'!B$2:B$2000,""),"")</f>
        <v>Michelle</v>
      </c>
      <c r="X863" s="96">
        <f>IFERROR(_xlfn.XLOOKUP(TEXT(H863,"0000000000"),'📞 Call Tracker'!A$2:A$2000,'📞 Call Tracker'!C$2:C$2000,""),"")</f>
        <v>46074</v>
      </c>
      <c r="Y863" s="95" t="str">
        <f>IFERROR(_xlfn.XLOOKUP(TEXT(H863,"0000000000"),'📞 Call Tracker'!A$2:A$2000,'📞 Call Tracker'!D$2:D$2000,""),"")</f>
        <v>YES</v>
      </c>
      <c r="Z863" s="95">
        <f>IFERROR(_xlfn.XLOOKUP(TEXT(H863,"0000000000"),'📞 Call Tracker'!A$2:A$2000,'📞 Call Tracker'!E$2:E$2000,""),"")</f>
        <v>0</v>
      </c>
      <c r="AA863" s="145">
        <f>IFERROR(_xlfn.XLOOKUP(TEXT(H863,"0000000000"),'📞 Call Tracker'!A$2:A$2000,'📞 Call Tracker'!F$2:F$2000,""),"")</f>
        <v>0</v>
      </c>
      <c r="AB863" s="132">
        <f t="shared" si="27"/>
        <v>99</v>
      </c>
      <c r="AC863" s="79"/>
    </row>
    <row r="864" spans="1:29" ht="20.100000000000001" customHeight="1">
      <c r="A864" s="91">
        <v>45940</v>
      </c>
      <c r="B864" s="92" t="str">
        <v>Eason</v>
      </c>
      <c r="C864" s="92" t="str">
        <v>Ashley</v>
      </c>
      <c r="D864" s="92" t="str">
        <v>Casa Grande</v>
      </c>
      <c r="E864" s="92">
        <v>85122</v>
      </c>
      <c r="F864" s="137" t="str">
        <v>This rate hike would be deeply burdensome to families, seniors and working individuals</v>
      </c>
      <c r="G864" s="93" t="str">
        <v>https://docket.images.azcc.gov/E000046970.pdf</v>
      </c>
      <c r="H864" s="150" t="s">
        <v>6396</v>
      </c>
      <c r="I864" s="114" t="str">
        <v>R3-47</v>
      </c>
      <c r="J864" s="94" t="str">
        <v>No</v>
      </c>
      <c r="K864" s="94" t="str">
        <v>No</v>
      </c>
      <c r="L864" s="137" t="str">
        <v>Yes</v>
      </c>
      <c r="M864" s="94" t="str">
        <v>No</v>
      </c>
      <c r="N864" s="134" t="str">
        <v>No</v>
      </c>
      <c r="O864" s="119" t="str">
        <v>Yes</v>
      </c>
      <c r="P864" s="92" t="str">
        <v>N</v>
      </c>
      <c r="Q864" s="91">
        <v>45954</v>
      </c>
      <c r="R864" s="140" t="str">
        <v>Solar Communities</v>
      </c>
      <c r="S864" s="92">
        <v>0</v>
      </c>
      <c r="T864" s="92">
        <v>0</v>
      </c>
      <c r="U864" s="137">
        <v>0</v>
      </c>
      <c r="V864" s="126" t="str">
        <f t="shared" si="26"/>
        <v>✅ On Best Plan</v>
      </c>
      <c r="W864" s="130" t="str">
        <f>IFERROR(_xlfn.XLOOKUP(TEXT(H864,"0000000000"),'📞 Call Tracker'!A$2:A$2000,'📞 Call Tracker'!B$2:B$2000,""),"")</f>
        <v>Joaquin</v>
      </c>
      <c r="X864" s="96">
        <f>IFERROR(_xlfn.XLOOKUP(TEXT(H864,"0000000000"),'📞 Call Tracker'!A$2:A$2000,'📞 Call Tracker'!C$2:C$2000,""),"")</f>
        <v>46074</v>
      </c>
      <c r="Y864" s="95" t="str">
        <f>IFERROR(_xlfn.XLOOKUP(TEXT(H864,"0000000000"),'📞 Call Tracker'!A$2:A$2000,'📞 Call Tracker'!D$2:D$2000,""),"")</f>
        <v>NO</v>
      </c>
      <c r="Z864" s="95" t="str">
        <f>IFERROR(_xlfn.XLOOKUP(TEXT(H864,"0000000000"),'📞 Call Tracker'!A$2:A$2000,'📞 Call Tracker'!E$2:E$2000,""),"")</f>
        <v>Other (fill in)</v>
      </c>
      <c r="AA864" s="145" t="str">
        <f>IFERROR(_xlfn.XLOOKUP(TEXT(H864,"0000000000"),'📞 Call Tracker'!A$2:A$2000,'📞 Call Tracker'!F$2:F$2000,""),"")</f>
        <v>CALLER HUNG UP</v>
      </c>
      <c r="AB864" s="132">
        <f t="shared" si="27"/>
        <v>99</v>
      </c>
      <c r="AC864" s="79"/>
    </row>
    <row r="865" spans="1:29" ht="20.100000000000001" customHeight="1">
      <c r="A865" s="91">
        <v>45942</v>
      </c>
      <c r="B865" s="92" t="str">
        <v>Hall</v>
      </c>
      <c r="C865" s="92" t="str">
        <v>Steven</v>
      </c>
      <c r="D865" s="92" t="str">
        <v>Casa Grande</v>
      </c>
      <c r="E865" s="92">
        <v>85122</v>
      </c>
      <c r="F865" s="137" t="str">
        <v>Rate hike would place an even heavier financial burden on families, seniors, and small businesses across our state.</v>
      </c>
      <c r="G865" s="93" t="str">
        <v>https://docket.images.azcc.gov/E000046970.pdf</v>
      </c>
      <c r="H865" s="150" t="s">
        <v>6397</v>
      </c>
      <c r="I865" s="114" t="str">
        <v>R3-47</v>
      </c>
      <c r="J865" s="94" t="str">
        <v>No</v>
      </c>
      <c r="K865" s="94" t="str">
        <v>No</v>
      </c>
      <c r="L865" s="137" t="str">
        <v>Yes</v>
      </c>
      <c r="M865" s="94" t="str">
        <v>No</v>
      </c>
      <c r="N865" s="134" t="str">
        <v>No</v>
      </c>
      <c r="O865" s="119" t="str">
        <v>Yes</v>
      </c>
      <c r="P865" s="92" t="str">
        <v>N</v>
      </c>
      <c r="Q865" s="91">
        <v>45954</v>
      </c>
      <c r="R865" s="140">
        <v>0</v>
      </c>
      <c r="S865" s="92">
        <v>0</v>
      </c>
      <c r="T865" s="92">
        <v>0</v>
      </c>
      <c r="U865" s="137">
        <v>0</v>
      </c>
      <c r="V865" s="126" t="str">
        <f t="shared" si="26"/>
        <v>✅ On Best Plan</v>
      </c>
      <c r="W865" s="130">
        <f>IFERROR(_xlfn.XLOOKUP(TEXT(H865,"0000000000"),'📞 Call Tracker'!A$2:A$2000,'📞 Call Tracker'!B$2:B$2000,""),"")</f>
        <v>0</v>
      </c>
      <c r="X865" s="96">
        <f>IFERROR(_xlfn.XLOOKUP(TEXT(H865,"0000000000"),'📞 Call Tracker'!A$2:A$2000,'📞 Call Tracker'!C$2:C$2000,""),"")</f>
        <v>0</v>
      </c>
      <c r="Y865" s="95">
        <f>IFERROR(_xlfn.XLOOKUP(TEXT(H865,"0000000000"),'📞 Call Tracker'!A$2:A$2000,'📞 Call Tracker'!D$2:D$2000,""),"")</f>
        <v>0</v>
      </c>
      <c r="Z865" s="95">
        <f>IFERROR(_xlfn.XLOOKUP(TEXT(H865,"0000000000"),'📞 Call Tracker'!A$2:A$2000,'📞 Call Tracker'!E$2:E$2000,""),"")</f>
        <v>0</v>
      </c>
      <c r="AA865" s="145">
        <f>IFERROR(_xlfn.XLOOKUP(TEXT(H865,"0000000000"),'📞 Call Tracker'!A$2:A$2000,'📞 Call Tracker'!F$2:F$2000,""),"")</f>
        <v>0</v>
      </c>
      <c r="AB865" s="132">
        <f t="shared" si="27"/>
        <v>99</v>
      </c>
      <c r="AC865" s="79"/>
    </row>
    <row r="866" spans="1:29" ht="20.100000000000001" customHeight="1">
      <c r="A866" s="91">
        <v>45939</v>
      </c>
      <c r="B866" s="92" t="str">
        <v>Quinte</v>
      </c>
      <c r="C866" s="92" t="str">
        <v>Roger</v>
      </c>
      <c r="D866" s="92" t="str">
        <v>Phoenix</v>
      </c>
      <c r="E866" s="92">
        <v>85050</v>
      </c>
      <c r="F866" s="137" t="str">
        <v>Form Letter: Enough is enough! You must reject the latest 14% rate hikes by APS and TEP</v>
      </c>
      <c r="G866" s="93" t="str">
        <v>https://docket.images.azcc.gov/E000046970.pdf</v>
      </c>
      <c r="H866" s="150" t="s">
        <v>6101</v>
      </c>
      <c r="I866" s="114" t="str">
        <v>EPR-6w/ECT-2</v>
      </c>
      <c r="J866" s="94" t="str">
        <v>No</v>
      </c>
      <c r="K866" s="94" t="str">
        <v>No</v>
      </c>
      <c r="L866" s="137" t="str">
        <v>Frozen Rate</v>
      </c>
      <c r="M866" s="94" t="str">
        <v>No</v>
      </c>
      <c r="N866" s="134" t="str">
        <v>No</v>
      </c>
      <c r="O866" s="119" t="str">
        <v>Yes</v>
      </c>
      <c r="P866" s="92" t="str">
        <v>N</v>
      </c>
      <c r="Q866" s="91">
        <v>45954</v>
      </c>
      <c r="R866" s="140">
        <v>0</v>
      </c>
      <c r="S866" s="92">
        <v>0</v>
      </c>
      <c r="T866" s="92">
        <v>0</v>
      </c>
      <c r="U866" s="137">
        <v>0</v>
      </c>
      <c r="V866" s="126" t="str">
        <f t="shared" si="26"/>
        <v>❄ Frozen Rate</v>
      </c>
      <c r="W866" s="130" t="str">
        <f>IFERROR(_xlfn.XLOOKUP(TEXT(H866,"0000000000"),'📞 Call Tracker'!A$2:A$2000,'📞 Call Tracker'!B$2:B$2000,""),"")</f>
        <v>Joaquin</v>
      </c>
      <c r="X866" s="96">
        <f>IFERROR(_xlfn.XLOOKUP(TEXT(H866,"0000000000"),'📞 Call Tracker'!A$2:A$2000,'📞 Call Tracker'!C$2:C$2000,""),"")</f>
        <v>46053</v>
      </c>
      <c r="Y866" s="95" t="str">
        <f>IFERROR(_xlfn.XLOOKUP(TEXT(H866,"0000000000"),'📞 Call Tracker'!A$2:A$2000,'📞 Call Tracker'!D$2:D$2000,""),"")</f>
        <v>YES</v>
      </c>
      <c r="Z866" s="95">
        <f>IFERROR(_xlfn.XLOOKUP(TEXT(H866,"0000000000"),'📞 Call Tracker'!A$2:A$2000,'📞 Call Tracker'!E$2:E$2000,""),"")</f>
        <v>0</v>
      </c>
      <c r="AA866" s="145" t="str">
        <f>IFERROR(_xlfn.XLOOKUP(TEXT(H866,"0000000000"),'📞 Call Tracker'!A$2:A$2000,'📞 Call Tracker'!F$2:F$2000,""),"")</f>
        <v>LEFT V-M</v>
      </c>
      <c r="AB866" s="132">
        <f t="shared" si="27"/>
        <v>99</v>
      </c>
      <c r="AC866" s="79"/>
    </row>
    <row r="867" spans="1:29" ht="20.100000000000001" customHeight="1">
      <c r="A867" s="91">
        <v>45940</v>
      </c>
      <c r="B867" s="92" t="str">
        <v>Ratner</v>
      </c>
      <c r="C867" s="92" t="str">
        <v>Sherry</v>
      </c>
      <c r="D867" s="92" t="str">
        <v>Cornville</v>
      </c>
      <c r="E867" s="92">
        <v>86325</v>
      </c>
      <c r="F867" s="137" t="str">
        <v>Low fixed income cannot afford such huge rate increases</v>
      </c>
      <c r="G867" s="93" t="str">
        <v>https://docket.images.azcc.gov/E000046970.pdf</v>
      </c>
      <c r="H867" s="150" t="s">
        <v>6398</v>
      </c>
      <c r="I867" s="114" t="str">
        <v>R-XS</v>
      </c>
      <c r="J867" s="94" t="str">
        <v>Yes</v>
      </c>
      <c r="K867" s="94" t="str">
        <v>No</v>
      </c>
      <c r="L867" s="137" t="str">
        <v>NA</v>
      </c>
      <c r="M867" s="94" t="str">
        <v>No</v>
      </c>
      <c r="N867" s="134" t="str">
        <v>No</v>
      </c>
      <c r="O867" s="119" t="str">
        <v>Yes</v>
      </c>
      <c r="P867" s="92" t="str">
        <v>N</v>
      </c>
      <c r="Q867" s="91">
        <v>45954</v>
      </c>
      <c r="R867" s="140" t="str">
        <v>Non-AMI customer, has filed multiple ACC complaints and rate case comments over the years</v>
      </c>
      <c r="S867" s="92">
        <v>0</v>
      </c>
      <c r="T867" s="92">
        <v>0</v>
      </c>
      <c r="U867" s="137">
        <v>0</v>
      </c>
      <c r="V867" s="126" t="str">
        <f t="shared" si="26"/>
        <v>⚠ Unknown</v>
      </c>
      <c r="W867" s="130">
        <f>IFERROR(_xlfn.XLOOKUP(TEXT(H867,"0000000000"),'📞 Call Tracker'!A$2:A$2000,'📞 Call Tracker'!B$2:B$2000,""),"")</f>
        <v>0</v>
      </c>
      <c r="X867" s="96">
        <f>IFERROR(_xlfn.XLOOKUP(TEXT(H867,"0000000000"),'📞 Call Tracker'!A$2:A$2000,'📞 Call Tracker'!C$2:C$2000,""),"")</f>
        <v>0</v>
      </c>
      <c r="Y867" s="95">
        <f>IFERROR(_xlfn.XLOOKUP(TEXT(H867,"0000000000"),'📞 Call Tracker'!A$2:A$2000,'📞 Call Tracker'!D$2:D$2000,""),"")</f>
        <v>0</v>
      </c>
      <c r="Z867" s="95">
        <f>IFERROR(_xlfn.XLOOKUP(TEXT(H867,"0000000000"),'📞 Call Tracker'!A$2:A$2000,'📞 Call Tracker'!E$2:E$2000,""),"")</f>
        <v>0</v>
      </c>
      <c r="AA867" s="145">
        <f>IFERROR(_xlfn.XLOOKUP(TEXT(H867,"0000000000"),'📞 Call Tracker'!A$2:A$2000,'📞 Call Tracker'!F$2:F$2000,""),"")</f>
        <v>0</v>
      </c>
      <c r="AB867" s="132">
        <f t="shared" si="27"/>
        <v>99</v>
      </c>
      <c r="AC867" s="79"/>
    </row>
    <row r="868" spans="1:29" ht="20.100000000000001" customHeight="1">
      <c r="A868" s="91">
        <v>45940</v>
      </c>
      <c r="B868" s="92" t="str">
        <v>Arbizu</v>
      </c>
      <c r="C868" s="92" t="str">
        <v>Angelina</v>
      </c>
      <c r="D868" s="92" t="str">
        <v>Phoenix</v>
      </c>
      <c r="E868" s="92">
        <v>85029</v>
      </c>
      <c r="F868" s="137" t="str">
        <v>Form Letter: Enough is enough! You must reject the latest 14% rate hikes by APS and TEP</v>
      </c>
      <c r="G868" s="93" t="str">
        <v>https://docket.images.azcc.gov/E000046970.pdf</v>
      </c>
      <c r="H868" s="150" t="s">
        <v>6399</v>
      </c>
      <c r="I868" s="114" t="str">
        <v>EPR-6w/ET-2</v>
      </c>
      <c r="J868" s="94" t="str">
        <v>No</v>
      </c>
      <c r="K868" s="94" t="str">
        <v>No</v>
      </c>
      <c r="L868" s="137" t="str">
        <v>Frozen Rate</v>
      </c>
      <c r="M868" s="94" t="str">
        <v>Yes</v>
      </c>
      <c r="N868" s="134">
        <v>288.29000000000002</v>
      </c>
      <c r="O868" s="119" t="str">
        <v>Yes</v>
      </c>
      <c r="P868" s="92" t="str">
        <v>N</v>
      </c>
      <c r="Q868" s="91">
        <v>45954</v>
      </c>
      <c r="R868" s="140">
        <v>0</v>
      </c>
      <c r="S868" s="92">
        <v>0</v>
      </c>
      <c r="T868" s="92">
        <v>0</v>
      </c>
      <c r="U868" s="137">
        <v>0</v>
      </c>
      <c r="V868" s="126" t="str">
        <f t="shared" si="26"/>
        <v>❄ Frozen Rate</v>
      </c>
      <c r="W868" s="130" t="str">
        <f>IFERROR(_xlfn.XLOOKUP(TEXT(H868,"0000000000"),'📞 Call Tracker'!A$2:A$2000,'📞 Call Tracker'!B$2:B$2000,""),"")</f>
        <v>Joaquin</v>
      </c>
      <c r="X868" s="96">
        <f>IFERROR(_xlfn.XLOOKUP(TEXT(H868,"0000000000"),'📞 Call Tracker'!A$2:A$2000,'📞 Call Tracker'!C$2:C$2000,""),"")</f>
        <v>46074</v>
      </c>
      <c r="Y868" s="95" t="str">
        <f>IFERROR(_xlfn.XLOOKUP(TEXT(H868,"0000000000"),'📞 Call Tracker'!A$2:A$2000,'📞 Call Tracker'!D$2:D$2000,""),"")</f>
        <v>YES</v>
      </c>
      <c r="Z868" s="95">
        <f>IFERROR(_xlfn.XLOOKUP(TEXT(H868,"0000000000"),'📞 Call Tracker'!A$2:A$2000,'📞 Call Tracker'!E$2:E$2000,""),"")</f>
        <v>0</v>
      </c>
      <c r="AA868" s="145" t="str">
        <f>IFERROR(_xlfn.XLOOKUP(TEXT(H868,"0000000000"),'📞 Call Tracker'!A$2:A$2000,'📞 Call Tracker'!F$2:F$2000,""),"")</f>
        <v>LEFT VOICE MAIL</v>
      </c>
      <c r="AB868" s="132">
        <f t="shared" si="27"/>
        <v>99</v>
      </c>
      <c r="AC868" s="79"/>
    </row>
    <row r="869" spans="1:29" ht="20.100000000000001" customHeight="1">
      <c r="A869" s="91">
        <v>45940</v>
      </c>
      <c r="B869" s="92" t="str">
        <v>Myers</v>
      </c>
      <c r="C869" s="92" t="str">
        <v>Brenda</v>
      </c>
      <c r="D869" s="92" t="str">
        <v>Sun City</v>
      </c>
      <c r="E869" s="92">
        <v>85373</v>
      </c>
      <c r="F869" s="137" t="str">
        <v>Form Letter: Enough is enough! You must reject the latest 14% rate hikes by APS and TEP</v>
      </c>
      <c r="G869" s="93" t="str">
        <v>https://docket.images.azcc.gov/E000046970.pdf</v>
      </c>
      <c r="H869" s="150" t="s">
        <v>6400</v>
      </c>
      <c r="I869" s="114" t="str">
        <v>R-BASICL</v>
      </c>
      <c r="J869" s="94" t="str">
        <v>Yes</v>
      </c>
      <c r="K869" s="94" t="str">
        <v>No</v>
      </c>
      <c r="L869" s="137" t="str">
        <v xml:space="preserve">No MEP R3-47 ($272.50) </v>
      </c>
      <c r="M869" s="94" t="str">
        <v>No</v>
      </c>
      <c r="N869" s="134" t="str">
        <v>No</v>
      </c>
      <c r="O869" s="119" t="str">
        <v>Yes</v>
      </c>
      <c r="P869" s="92">
        <v>45945</v>
      </c>
      <c r="Q869" s="91">
        <v>45954</v>
      </c>
      <c r="R869" s="140" t="str">
        <v>10/15 Left VM</v>
      </c>
      <c r="S869" s="92">
        <v>0</v>
      </c>
      <c r="T869" s="92">
        <v>0</v>
      </c>
      <c r="U869" s="137">
        <v>0</v>
      </c>
      <c r="V869" s="126" t="str">
        <f t="shared" si="26"/>
        <v>❌ Not on Best Plan</v>
      </c>
      <c r="W869" s="130">
        <f>IFERROR(_xlfn.XLOOKUP(TEXT(H869,"0000000000"),'📞 Call Tracker'!A$2:A$2000,'📞 Call Tracker'!B$2:B$2000,""),"")</f>
        <v>0</v>
      </c>
      <c r="X869" s="96">
        <f>IFERROR(_xlfn.XLOOKUP(TEXT(H869,"0000000000"),'📞 Call Tracker'!A$2:A$2000,'📞 Call Tracker'!C$2:C$2000,""),"")</f>
        <v>0</v>
      </c>
      <c r="Y869" s="95">
        <f>IFERROR(_xlfn.XLOOKUP(TEXT(H869,"0000000000"),'📞 Call Tracker'!A$2:A$2000,'📞 Call Tracker'!D$2:D$2000,""),"")</f>
        <v>0</v>
      </c>
      <c r="Z869" s="95">
        <f>IFERROR(_xlfn.XLOOKUP(TEXT(H869,"0000000000"),'📞 Call Tracker'!A$2:A$2000,'📞 Call Tracker'!E$2:E$2000,""),"")</f>
        <v>0</v>
      </c>
      <c r="AA869" s="145">
        <f>IFERROR(_xlfn.XLOOKUP(TEXT(H869,"0000000000"),'📞 Call Tracker'!A$2:A$2000,'📞 Call Tracker'!F$2:F$2000,""),"")</f>
        <v>0</v>
      </c>
      <c r="AB869" s="132">
        <f t="shared" si="27"/>
        <v>99</v>
      </c>
      <c r="AC869" s="79"/>
    </row>
    <row r="870" spans="1:29" ht="20.100000000000001" customHeight="1">
      <c r="A870" s="91">
        <v>45940</v>
      </c>
      <c r="B870" s="92" t="str">
        <v>Holcombe</v>
      </c>
      <c r="C870" s="92" t="str">
        <v>Gene</v>
      </c>
      <c r="D870" s="92" t="str">
        <v>Cave Creek</v>
      </c>
      <c r="E870" s="92">
        <v>85331</v>
      </c>
      <c r="F870" s="137" t="str">
        <v>Form Letter: Enough is enough! You must reject the latest 14% rate hikes by APS and TEP</v>
      </c>
      <c r="G870" s="93" t="str">
        <v>https://docket.images.azcc.gov/E000046970.pdf</v>
      </c>
      <c r="H870" s="150" t="s">
        <v>6401</v>
      </c>
      <c r="I870" s="114" t="str">
        <v>RCPw/RTOUE47</v>
      </c>
      <c r="J870" s="94" t="str">
        <v>No</v>
      </c>
      <c r="K870" s="94" t="str">
        <v>No</v>
      </c>
      <c r="L870" s="137" t="str">
        <v>Not eligible yet (needs 3 months)</v>
      </c>
      <c r="M870" s="94" t="str">
        <v>No</v>
      </c>
      <c r="N870" s="134" t="str">
        <v>No</v>
      </c>
      <c r="O870" s="119" t="str">
        <v>Yes</v>
      </c>
      <c r="P870" s="92" t="str">
        <v>N</v>
      </c>
      <c r="Q870" s="91">
        <v>45954</v>
      </c>
      <c r="R870" s="140" t="str">
        <v>Only 3  months in new location and 2 months since solar was installed. Requested rate online 10/8 - moving to R3-47</v>
      </c>
      <c r="S870" s="92">
        <v>0</v>
      </c>
      <c r="T870" s="92">
        <v>0</v>
      </c>
      <c r="U870" s="137">
        <v>0</v>
      </c>
      <c r="V870" s="126" t="str">
        <f t="shared" si="26"/>
        <v>❌ Not on Best Plan</v>
      </c>
      <c r="W870" s="130" t="str">
        <f>IFERROR(_xlfn.XLOOKUP(TEXT(H870,"0000000000"),'📞 Call Tracker'!A$2:A$2000,'📞 Call Tracker'!B$2:B$2000,""),"")</f>
        <v>Joaquin</v>
      </c>
      <c r="X870" s="96">
        <f>IFERROR(_xlfn.XLOOKUP(TEXT(H870,"0000000000"),'📞 Call Tracker'!A$2:A$2000,'📞 Call Tracker'!C$2:C$2000,""),"")</f>
        <v>46074</v>
      </c>
      <c r="Y870" s="95" t="str">
        <f>IFERROR(_xlfn.XLOOKUP(TEXT(H870,"0000000000"),'📞 Call Tracker'!A$2:A$2000,'📞 Call Tracker'!D$2:D$2000,""),"")</f>
        <v>YES</v>
      </c>
      <c r="Z870" s="95">
        <f>IFERROR(_xlfn.XLOOKUP(TEXT(H870,"0000000000"),'📞 Call Tracker'!A$2:A$2000,'📞 Call Tracker'!E$2:E$2000,""),"")</f>
        <v>0</v>
      </c>
      <c r="AA870" s="145" t="str">
        <f>IFERROR(_xlfn.XLOOKUP(TEXT(H870,"0000000000"),'📞 Call Tracker'!A$2:A$2000,'📞 Call Tracker'!F$2:F$2000,""),"")</f>
        <v>LEFT VOICE MAIL</v>
      </c>
      <c r="AB870" s="132">
        <f t="shared" si="27"/>
        <v>99</v>
      </c>
      <c r="AC870" s="79"/>
    </row>
    <row r="871" spans="1:29" ht="20.100000000000001" customHeight="1">
      <c r="A871" s="91">
        <v>45940</v>
      </c>
      <c r="B871" s="92" t="str">
        <v>Ogledzinski</v>
      </c>
      <c r="C871" s="92" t="str">
        <v>Debra</v>
      </c>
      <c r="D871" s="92" t="str">
        <v>Phoenix</v>
      </c>
      <c r="E871" s="92">
        <v>85050</v>
      </c>
      <c r="F871" s="137" t="str">
        <v>Form Letter: Enough is enough! You must reject the latest 14% rate hikes by APS and TEP</v>
      </c>
      <c r="G871" s="93" t="str">
        <v>https://docket.images.azcc.gov/E000046970.pdf</v>
      </c>
      <c r="H871" s="150" t="s">
        <v>6102</v>
      </c>
      <c r="I871" s="114" t="str">
        <v>R-2</v>
      </c>
      <c r="J871" s="94" t="str">
        <v>No</v>
      </c>
      <c r="K871" s="94" t="str">
        <v>No</v>
      </c>
      <c r="L871" s="137" t="str">
        <v>Frozen Rate</v>
      </c>
      <c r="M871" s="94" t="str">
        <v>No</v>
      </c>
      <c r="N871" s="134" t="str">
        <v>No</v>
      </c>
      <c r="O871" s="119" t="str">
        <v>Yes</v>
      </c>
      <c r="P871" s="92" t="str">
        <v>N</v>
      </c>
      <c r="Q871" s="91">
        <v>45954</v>
      </c>
      <c r="R871" s="140">
        <v>0</v>
      </c>
      <c r="S871" s="92">
        <v>0</v>
      </c>
      <c r="T871" s="92">
        <v>0</v>
      </c>
      <c r="U871" s="137">
        <v>0</v>
      </c>
      <c r="V871" s="126" t="str">
        <f t="shared" si="26"/>
        <v>❄ Frozen Rate</v>
      </c>
      <c r="W871" s="130" t="str">
        <f>IFERROR(_xlfn.XLOOKUP(TEXT(H871,"0000000000"),'📞 Call Tracker'!A$2:A$2000,'📞 Call Tracker'!B$2:B$2000,""),"")</f>
        <v>Joaquin</v>
      </c>
      <c r="X871" s="96">
        <f>IFERROR(_xlfn.XLOOKUP(TEXT(H871,"0000000000"),'📞 Call Tracker'!A$2:A$2000,'📞 Call Tracker'!C$2:C$2000,""),"")</f>
        <v>46053</v>
      </c>
      <c r="Y871" s="95" t="str">
        <f>IFERROR(_xlfn.XLOOKUP(TEXT(H871,"0000000000"),'📞 Call Tracker'!A$2:A$2000,'📞 Call Tracker'!D$2:D$2000,""),"")</f>
        <v>YES</v>
      </c>
      <c r="Z871" s="95">
        <f>IFERROR(_xlfn.XLOOKUP(TEXT(H871,"0000000000"),'📞 Call Tracker'!A$2:A$2000,'📞 Call Tracker'!E$2:E$2000,""),"")</f>
        <v>0</v>
      </c>
      <c r="AA871" s="145" t="str">
        <f>IFERROR(_xlfn.XLOOKUP(TEXT(H871,"0000000000"),'📞 Call Tracker'!A$2:A$2000,'📞 Call Tracker'!F$2:F$2000,""),"")</f>
        <v>LEFT V-M</v>
      </c>
      <c r="AB871" s="132">
        <f t="shared" si="27"/>
        <v>99</v>
      </c>
      <c r="AC871" s="79"/>
    </row>
    <row r="872" spans="1:29" ht="20.100000000000001" customHeight="1">
      <c r="A872" s="91">
        <v>45940</v>
      </c>
      <c r="B872" s="92" t="str">
        <v>Youngker</v>
      </c>
      <c r="C872" s="92" t="str">
        <v>Virginia</v>
      </c>
      <c r="D872" s="92" t="str">
        <v>Scottsdale</v>
      </c>
      <c r="E872" s="92">
        <v>85254</v>
      </c>
      <c r="F872" s="137" t="str">
        <v>Form Letter: Enough is enough! You must reject the latest 14% rate hikes by APS and TEP</v>
      </c>
      <c r="G872" s="93" t="str">
        <v>https://docket.images.azcc.gov/E000046970.pdf</v>
      </c>
      <c r="H872" s="150" t="s">
        <v>2968</v>
      </c>
      <c r="I872" s="114" t="str">
        <v>RTOUE47</v>
      </c>
      <c r="J872" s="94" t="str">
        <v>No</v>
      </c>
      <c r="K872" s="94" t="str">
        <v>No</v>
      </c>
      <c r="L872" s="137" t="str">
        <v>No MEP R3-47 ($991.58)</v>
      </c>
      <c r="M872" s="94" t="str">
        <v>Yes</v>
      </c>
      <c r="N872" s="134">
        <v>2463.12</v>
      </c>
      <c r="O872" s="119" t="str">
        <v>Yes</v>
      </c>
      <c r="P872" s="92">
        <v>45945</v>
      </c>
      <c r="Q872" s="91">
        <v>45954</v>
      </c>
      <c r="R872" s="140" t="str">
        <v>10/15 Left VM, payment history shows several missed payments and broken PAs</v>
      </c>
      <c r="S872" s="92">
        <v>0</v>
      </c>
      <c r="T872" s="92">
        <v>0</v>
      </c>
      <c r="U872" s="137">
        <v>0</v>
      </c>
      <c r="V872" s="126" t="str">
        <f t="shared" si="26"/>
        <v>❌ Not on Best Plan</v>
      </c>
      <c r="W872" s="130" t="str">
        <f>IFERROR(_xlfn.XLOOKUP(TEXT(H872,"0000000000"),'📞 Call Tracker'!A$2:A$2000,'📞 Call Tracker'!B$2:B$2000,""),"")</f>
        <v>Joaquin</v>
      </c>
      <c r="X872" s="96">
        <f>IFERROR(_xlfn.XLOOKUP(TEXT(H872,"0000000000"),'📞 Call Tracker'!A$2:A$2000,'📞 Call Tracker'!C$2:C$2000,""),"")</f>
        <v>46074</v>
      </c>
      <c r="Y872" s="95" t="str">
        <f>IFERROR(_xlfn.XLOOKUP(TEXT(H872,"0000000000"),'📞 Call Tracker'!A$2:A$2000,'📞 Call Tracker'!D$2:D$2000,""),"")</f>
        <v>YES</v>
      </c>
      <c r="Z872" s="95">
        <f>IFERROR(_xlfn.XLOOKUP(TEXT(H872,"0000000000"),'📞 Call Tracker'!A$2:A$2000,'📞 Call Tracker'!E$2:E$2000,""),"")</f>
        <v>0</v>
      </c>
      <c r="AA872" s="145" t="str">
        <f>IFERROR(_xlfn.XLOOKUP(TEXT(H872,"0000000000"),'📞 Call Tracker'!A$2:A$2000,'📞 Call Tracker'!F$2:F$2000,""),"")</f>
        <v>LEFT VOICE MAIL</v>
      </c>
      <c r="AB872" s="132">
        <f t="shared" si="27"/>
        <v>99</v>
      </c>
      <c r="AC872" s="79"/>
    </row>
    <row r="873" spans="1:29" ht="20.100000000000001" customHeight="1">
      <c r="A873" s="91">
        <v>45944</v>
      </c>
      <c r="B873" s="92" t="str">
        <v>Hartley</v>
      </c>
      <c r="C873" s="92" t="str">
        <v>Collene</v>
      </c>
      <c r="D873" s="92" t="str">
        <v>Phoenix</v>
      </c>
      <c r="E873" s="92">
        <v>85032</v>
      </c>
      <c r="F873" s="137" t="str">
        <v>Form Letter: Enough is enough! You must reject the latest 14% rate hikes by APS and TEP</v>
      </c>
      <c r="G873" s="93" t="str">
        <v>https://docket.images.azcc.gov/E000046988.pdf</v>
      </c>
      <c r="H873" s="150" t="s">
        <v>6402</v>
      </c>
      <c r="I873" s="114" t="str">
        <v>R3-47</v>
      </c>
      <c r="J873" s="94" t="str">
        <v>No</v>
      </c>
      <c r="K873" s="94" t="str">
        <v>No</v>
      </c>
      <c r="L873" s="137" t="str">
        <v>Y</v>
      </c>
      <c r="M873" s="94" t="str">
        <v>No</v>
      </c>
      <c r="N873" s="134" t="str">
        <v>No</v>
      </c>
      <c r="O873" s="119" t="str">
        <v>Yes</v>
      </c>
      <c r="P873" s="92" t="str">
        <v>N</v>
      </c>
      <c r="Q873" s="91">
        <v>45954</v>
      </c>
      <c r="R873" s="140">
        <v>0</v>
      </c>
      <c r="S873" s="92">
        <v>0</v>
      </c>
      <c r="T873" s="92">
        <v>0</v>
      </c>
      <c r="U873" s="137">
        <v>0</v>
      </c>
      <c r="V873" s="126" t="str">
        <f t="shared" si="26"/>
        <v>✅ On Best Plan</v>
      </c>
      <c r="W873" s="130">
        <f>IFERROR(_xlfn.XLOOKUP(TEXT(H873,"0000000000"),'📞 Call Tracker'!A$2:A$2000,'📞 Call Tracker'!B$2:B$2000,""),"")</f>
        <v>0</v>
      </c>
      <c r="X873" s="96">
        <f>IFERROR(_xlfn.XLOOKUP(TEXT(H873,"0000000000"),'📞 Call Tracker'!A$2:A$2000,'📞 Call Tracker'!C$2:C$2000,""),"")</f>
        <v>0</v>
      </c>
      <c r="Y873" s="95">
        <f>IFERROR(_xlfn.XLOOKUP(TEXT(H873,"0000000000"),'📞 Call Tracker'!A$2:A$2000,'📞 Call Tracker'!D$2:D$2000,""),"")</f>
        <v>0</v>
      </c>
      <c r="Z873" s="95">
        <f>IFERROR(_xlfn.XLOOKUP(TEXT(H873,"0000000000"),'📞 Call Tracker'!A$2:A$2000,'📞 Call Tracker'!E$2:E$2000,""),"")</f>
        <v>0</v>
      </c>
      <c r="AA873" s="145">
        <f>IFERROR(_xlfn.XLOOKUP(TEXT(H873,"0000000000"),'📞 Call Tracker'!A$2:A$2000,'📞 Call Tracker'!F$2:F$2000,""),"")</f>
        <v>0</v>
      </c>
      <c r="AB873" s="132">
        <f t="shared" si="27"/>
        <v>99</v>
      </c>
      <c r="AC873" s="79"/>
    </row>
    <row r="874" spans="1:29" ht="20.100000000000001" customHeight="1">
      <c r="A874" s="91">
        <v>45944</v>
      </c>
      <c r="B874" s="92" t="str">
        <v>Warnecke</v>
      </c>
      <c r="C874" s="92" t="str">
        <v>Kristi</v>
      </c>
      <c r="D874" s="92" t="str">
        <v>Sun City</v>
      </c>
      <c r="E874" s="92">
        <v>85351</v>
      </c>
      <c r="F874" s="137" t="str">
        <v>Senior on fixed income, could be choosing between air conditioning and medicine</v>
      </c>
      <c r="G874" s="93" t="str">
        <v>https://docket.images.azcc.gov/E000046988.pdf</v>
      </c>
      <c r="H874" s="150" t="s">
        <v>6403</v>
      </c>
      <c r="I874" s="114" t="str">
        <v>R3-47</v>
      </c>
      <c r="J874" s="94" t="str">
        <v>No</v>
      </c>
      <c r="K874" s="94" t="str">
        <v>No</v>
      </c>
      <c r="L874" s="137" t="str">
        <v>Y</v>
      </c>
      <c r="M874" s="94" t="str">
        <v>No</v>
      </c>
      <c r="N874" s="134" t="str">
        <v>No</v>
      </c>
      <c r="O874" s="119" t="str">
        <v>Yes</v>
      </c>
      <c r="P874" s="92" t="str">
        <v>N</v>
      </c>
      <c r="Q874" s="91">
        <v>45954</v>
      </c>
      <c r="R874" s="140">
        <v>0</v>
      </c>
      <c r="S874" s="92">
        <v>0</v>
      </c>
      <c r="T874" s="92">
        <v>0</v>
      </c>
      <c r="U874" s="137">
        <v>0</v>
      </c>
      <c r="V874" s="126" t="str">
        <f t="shared" si="26"/>
        <v>✅ On Best Plan</v>
      </c>
      <c r="W874" s="130" t="str">
        <f>IFERROR(_xlfn.XLOOKUP(TEXT(H874,"0000000000"),'📞 Call Tracker'!A$2:A$2000,'📞 Call Tracker'!B$2:B$2000,""),"")</f>
        <v>Joaquin</v>
      </c>
      <c r="X874" s="96">
        <f>IFERROR(_xlfn.XLOOKUP(TEXT(H874,"0000000000"),'📞 Call Tracker'!A$2:A$2000,'📞 Call Tracker'!C$2:C$2000,""),"")</f>
        <v>46074</v>
      </c>
      <c r="Y874" s="95" t="str">
        <f>IFERROR(_xlfn.XLOOKUP(TEXT(H874,"0000000000"),'📞 Call Tracker'!A$2:A$2000,'📞 Call Tracker'!D$2:D$2000,""),"")</f>
        <v>YES</v>
      </c>
      <c r="Z874" s="95">
        <f>IFERROR(_xlfn.XLOOKUP(TEXT(H874,"0000000000"),'📞 Call Tracker'!A$2:A$2000,'📞 Call Tracker'!E$2:E$2000,""),"")</f>
        <v>0</v>
      </c>
      <c r="AA874" s="145" t="str">
        <f>IFERROR(_xlfn.XLOOKUP(TEXT(H874,"0000000000"),'📞 Call Tracker'!A$2:A$2000,'📞 Call Tracker'!F$2:F$2000,""),"")</f>
        <v>LEFT VOICE MAIL</v>
      </c>
      <c r="AB874" s="132">
        <f t="shared" si="27"/>
        <v>99</v>
      </c>
      <c r="AC874" s="79"/>
    </row>
    <row r="875" spans="1:29" ht="20.100000000000001" customHeight="1">
      <c r="A875" s="91">
        <v>45945</v>
      </c>
      <c r="B875" s="92" t="str">
        <v>Foti</v>
      </c>
      <c r="C875" s="92" t="str">
        <v>Danielle</v>
      </c>
      <c r="D875" s="92" t="str">
        <v>Bisbee</v>
      </c>
      <c r="E875" s="92">
        <v>85603</v>
      </c>
      <c r="F875" s="137" t="str">
        <v>Opposed - Arizonans are already struggling with inflation</v>
      </c>
      <c r="G875" s="93" t="str">
        <v>https://docket.images.azcc.gov/E000047024.pdf</v>
      </c>
      <c r="H875" s="150" t="s">
        <v>2986</v>
      </c>
      <c r="I875" s="114" t="str">
        <v>RTOUE47</v>
      </c>
      <c r="J875" s="94" t="str">
        <v>No</v>
      </c>
      <c r="K875" s="94" t="str">
        <v>No</v>
      </c>
      <c r="L875" s="137" t="str">
        <v>No MEP R-XS ($108.43)</v>
      </c>
      <c r="M875" s="94" t="str">
        <v>No</v>
      </c>
      <c r="N875" s="134" t="str">
        <v>No</v>
      </c>
      <c r="O875" s="119" t="str">
        <v>Yes</v>
      </c>
      <c r="P875" s="92">
        <v>45947</v>
      </c>
      <c r="Q875" s="91">
        <v>45954</v>
      </c>
      <c r="R875" s="140" t="str">
        <v>10/17 Left VM</v>
      </c>
      <c r="S875" s="92">
        <v>0</v>
      </c>
      <c r="T875" s="92">
        <v>0</v>
      </c>
      <c r="U875" s="137">
        <v>0</v>
      </c>
      <c r="V875" s="126" t="str">
        <f t="shared" si="26"/>
        <v>❌ Not on Best Plan</v>
      </c>
      <c r="W875" s="130" t="str">
        <f>IFERROR(_xlfn.XLOOKUP(TEXT(H875,"0000000000"),'📞 Call Tracker'!A$2:A$2000,'📞 Call Tracker'!B$2:B$2000,""),"")</f>
        <v>Joaquin</v>
      </c>
      <c r="X875" s="96">
        <f>IFERROR(_xlfn.XLOOKUP(TEXT(H875,"0000000000"),'📞 Call Tracker'!A$2:A$2000,'📞 Call Tracker'!C$2:C$2000,""),"")</f>
        <v>45997</v>
      </c>
      <c r="Y875" s="95" t="str">
        <f>IFERROR(_xlfn.XLOOKUP(TEXT(H875,"0000000000"),'📞 Call Tracker'!A$2:A$2000,'📞 Call Tracker'!D$2:D$2000,""),"")</f>
        <v>YES</v>
      </c>
      <c r="Z875" s="95">
        <f>IFERROR(_xlfn.XLOOKUP(TEXT(H875,"0000000000"),'📞 Call Tracker'!A$2:A$2000,'📞 Call Tracker'!E$2:E$2000,""),"")</f>
        <v>0</v>
      </c>
      <c r="AA875" s="145" t="str">
        <f>IFERROR(_xlfn.XLOOKUP(TEXT(H875,"0000000000"),'📞 Call Tracker'!A$2:A$2000,'📞 Call Tracker'!F$2:F$2000,""),"")</f>
        <v>CORE ON BB PROGRAM</v>
      </c>
      <c r="AB875" s="132">
        <f t="shared" si="27"/>
        <v>99</v>
      </c>
      <c r="AC875" s="79"/>
    </row>
    <row r="876" spans="1:29" ht="20.100000000000001" customHeight="1">
      <c r="A876" s="91">
        <v>45944</v>
      </c>
      <c r="B876" s="92" t="str">
        <v>Haden</v>
      </c>
      <c r="C876" s="92" t="str">
        <v>Scott</v>
      </c>
      <c r="D876" s="92" t="str">
        <v>Phoenix</v>
      </c>
      <c r="E876" s="92">
        <v>85032</v>
      </c>
      <c r="F876" s="137" t="str">
        <v>Form Letter: Enough is enough! You must reject the latest 14% rate hikes by APS and TEP</v>
      </c>
      <c r="G876" s="93" t="str">
        <v>https://docket.images.azcc.gov/E000046996.pdf</v>
      </c>
      <c r="H876" s="150" t="s">
        <v>2990</v>
      </c>
      <c r="I876" s="114" t="str">
        <v>RTOUE47</v>
      </c>
      <c r="J876" s="94" t="str">
        <v>No</v>
      </c>
      <c r="K876" s="94">
        <v>0</v>
      </c>
      <c r="L876" s="137" t="str">
        <v>No MEP R3-47 ($43.09)</v>
      </c>
      <c r="M876" s="94">
        <v>0</v>
      </c>
      <c r="N876" s="134">
        <v>0</v>
      </c>
      <c r="O876" s="119" t="str">
        <v>Yes</v>
      </c>
      <c r="P876" s="92" t="str">
        <v>N</v>
      </c>
      <c r="Q876" s="91">
        <v>0</v>
      </c>
      <c r="R876" s="140" t="str">
        <v>Signed petition 8</v>
      </c>
      <c r="S876" s="92">
        <v>0</v>
      </c>
      <c r="T876" s="92">
        <v>0</v>
      </c>
      <c r="U876" s="137">
        <v>0</v>
      </c>
      <c r="V876" s="126" t="str">
        <f t="shared" si="26"/>
        <v>❌ Not on Best Plan</v>
      </c>
      <c r="W876" s="130" t="str">
        <f>IFERROR(_xlfn.XLOOKUP(TEXT(H876,"0000000000"),'📞 Call Tracker'!A$2:A$2000,'📞 Call Tracker'!B$2:B$2000,""),"")</f>
        <v>Joaquin</v>
      </c>
      <c r="X876" s="96">
        <f>IFERROR(_xlfn.XLOOKUP(TEXT(H876,"0000000000"),'📞 Call Tracker'!A$2:A$2000,'📞 Call Tracker'!C$2:C$2000,""),"")</f>
        <v>46074</v>
      </c>
      <c r="Y876" s="95" t="str">
        <f>IFERROR(_xlfn.XLOOKUP(TEXT(H876,"0000000000"),'📞 Call Tracker'!A$2:A$2000,'📞 Call Tracker'!D$2:D$2000,""),"")</f>
        <v>NO</v>
      </c>
      <c r="Z876" s="95" t="str">
        <f>IFERROR(_xlfn.XLOOKUP(TEXT(H876,"0000000000"),'📞 Call Tracker'!A$2:A$2000,'📞 Call Tracker'!E$2:E$2000,""),"")</f>
        <v>General Education</v>
      </c>
      <c r="AA876" s="145" t="str">
        <f>IFERROR(_xlfn.XLOOKUP(TEXT(H876,"0000000000"),'📞 Call Tracker'!A$2:A$2000,'📞 Call Tracker'!F$2:F$2000,""),"")</f>
        <v>not for rate increases</v>
      </c>
      <c r="AB876" s="132">
        <f t="shared" si="27"/>
        <v>99</v>
      </c>
      <c r="AC876" s="79"/>
    </row>
    <row r="877" spans="1:29" ht="20.100000000000001" customHeight="1">
      <c r="A877" s="91">
        <v>45944</v>
      </c>
      <c r="B877" s="92" t="str">
        <v>Grimwood</v>
      </c>
      <c r="C877" s="92" t="str">
        <v>Jaime</v>
      </c>
      <c r="D877" s="92" t="str">
        <v>Phoenix</v>
      </c>
      <c r="E877" s="92">
        <v>85015</v>
      </c>
      <c r="F877" s="137" t="str">
        <v>Form Letter: Enough is enough! You must reject the latest 14% rate hikes by APS and TEP</v>
      </c>
      <c r="G877" s="93" t="str">
        <v>https://docket.images.azcc.gov/E000046996.pdf</v>
      </c>
      <c r="H877" s="150" t="s">
        <v>2993</v>
      </c>
      <c r="I877" s="114" t="str">
        <v>R-BASICL</v>
      </c>
      <c r="J877" s="94" t="str">
        <v>No</v>
      </c>
      <c r="K877" s="94" t="str">
        <v>No</v>
      </c>
      <c r="L877" s="137" t="str">
        <v>No MEP R3-47 ($437.04)</v>
      </c>
      <c r="M877" s="94" t="str">
        <v>No</v>
      </c>
      <c r="N877" s="134" t="str">
        <v>No</v>
      </c>
      <c r="O877" s="119" t="str">
        <v>Yes</v>
      </c>
      <c r="P877" s="92">
        <v>45947</v>
      </c>
      <c r="Q877" s="91">
        <v>45954</v>
      </c>
      <c r="R877" s="140" t="str">
        <v>Signed petition 8 - 10/17 Left VM</v>
      </c>
      <c r="S877" s="92">
        <v>0</v>
      </c>
      <c r="T877" s="92">
        <v>0</v>
      </c>
      <c r="U877" s="137">
        <v>0</v>
      </c>
      <c r="V877" s="126" t="str">
        <f t="shared" si="26"/>
        <v>❌ Not on Best Plan</v>
      </c>
      <c r="W877" s="130" t="str">
        <f>IFERROR(_xlfn.XLOOKUP(TEXT(H877,"0000000000"),'📞 Call Tracker'!A$2:A$2000,'📞 Call Tracker'!B$2:B$2000,""),"")</f>
        <v>Joaquin</v>
      </c>
      <c r="X877" s="96">
        <f>IFERROR(_xlfn.XLOOKUP(TEXT(H877,"0000000000"),'📞 Call Tracker'!A$2:A$2000,'📞 Call Tracker'!C$2:C$2000,""),"")</f>
        <v>46074</v>
      </c>
      <c r="Y877" s="95" t="str">
        <f>IFERROR(_xlfn.XLOOKUP(TEXT(H877,"0000000000"),'📞 Call Tracker'!A$2:A$2000,'📞 Call Tracker'!D$2:D$2000,""),"")</f>
        <v>NO</v>
      </c>
      <c r="Z877" s="95" t="str">
        <f>IFERROR(_xlfn.XLOOKUP(TEXT(H877,"0000000000"),'📞 Call Tracker'!A$2:A$2000,'📞 Call Tracker'!E$2:E$2000,""),"")</f>
        <v>General Education</v>
      </c>
      <c r="AA877" s="145" t="str">
        <f>IFERROR(_xlfn.XLOOKUP(TEXT(H877,"0000000000"),'📞 Call Tracker'!A$2:A$2000,'📞 Call Tracker'!F$2:F$2000,""),"")</f>
        <v>not for rate increases</v>
      </c>
      <c r="AB877" s="132">
        <f t="shared" si="27"/>
        <v>99</v>
      </c>
      <c r="AC877" s="79"/>
    </row>
    <row r="878" spans="1:29" ht="20.100000000000001" customHeight="1">
      <c r="A878" s="91">
        <v>45944</v>
      </c>
      <c r="B878" s="92" t="str">
        <v>Pollock</v>
      </c>
      <c r="C878" s="92" t="str">
        <v>James</v>
      </c>
      <c r="D878" s="92" t="str">
        <v>Phoenix</v>
      </c>
      <c r="E878" s="92">
        <v>85032</v>
      </c>
      <c r="F878" s="137" t="str">
        <v>Form Letter: Enough is enough! You must reject the latest 14% rate hikes by APS and TEP</v>
      </c>
      <c r="G878" s="93" t="str">
        <v>https://docket.images.azcc.gov/E000046996.pdf</v>
      </c>
      <c r="H878" s="150" t="s">
        <v>2999</v>
      </c>
      <c r="I878" s="114" t="str">
        <v>RCPw/RTOUE47</v>
      </c>
      <c r="J878" s="94" t="str">
        <v>No</v>
      </c>
      <c r="K878" s="94" t="str">
        <v>No</v>
      </c>
      <c r="L878" s="137" t="str">
        <v>Y</v>
      </c>
      <c r="M878" s="94" t="str">
        <v>No</v>
      </c>
      <c r="N878" s="134" t="str">
        <v>No</v>
      </c>
      <c r="O878" s="119" t="str">
        <v>Yes</v>
      </c>
      <c r="P878" s="92" t="str">
        <v>N</v>
      </c>
      <c r="Q878" s="91">
        <v>45954</v>
      </c>
      <c r="R878" s="140" t="str">
        <v>Signed petition 8 - Filed same letter again on 10/27</v>
      </c>
      <c r="S878" s="92">
        <v>0</v>
      </c>
      <c r="T878" s="92">
        <v>0</v>
      </c>
      <c r="U878" s="137">
        <v>0</v>
      </c>
      <c r="V878" s="126" t="str">
        <f t="shared" si="26"/>
        <v>✅ On Best Plan</v>
      </c>
      <c r="W878" s="130">
        <f>IFERROR(_xlfn.XLOOKUP(TEXT(H878,"0000000000"),'📞 Call Tracker'!A$2:A$2000,'📞 Call Tracker'!B$2:B$2000,""),"")</f>
        <v>0</v>
      </c>
      <c r="X878" s="96">
        <f>IFERROR(_xlfn.XLOOKUP(TEXT(H878,"0000000000"),'📞 Call Tracker'!A$2:A$2000,'📞 Call Tracker'!C$2:C$2000,""),"")</f>
        <v>0</v>
      </c>
      <c r="Y878" s="95">
        <f>IFERROR(_xlfn.XLOOKUP(TEXT(H878,"0000000000"),'📞 Call Tracker'!A$2:A$2000,'📞 Call Tracker'!D$2:D$2000,""),"")</f>
        <v>0</v>
      </c>
      <c r="Z878" s="95">
        <f>IFERROR(_xlfn.XLOOKUP(TEXT(H878,"0000000000"),'📞 Call Tracker'!A$2:A$2000,'📞 Call Tracker'!E$2:E$2000,""),"")</f>
        <v>0</v>
      </c>
      <c r="AA878" s="145">
        <f>IFERROR(_xlfn.XLOOKUP(TEXT(H878,"0000000000"),'📞 Call Tracker'!A$2:A$2000,'📞 Call Tracker'!F$2:F$2000,""),"")</f>
        <v>0</v>
      </c>
      <c r="AB878" s="132">
        <f t="shared" si="27"/>
        <v>99</v>
      </c>
      <c r="AC878" s="79"/>
    </row>
    <row r="879" spans="1:29" ht="20.100000000000001" customHeight="1">
      <c r="A879" s="91">
        <v>45944</v>
      </c>
      <c r="B879" s="92" t="str">
        <v>Miller</v>
      </c>
      <c r="C879" s="92" t="str">
        <v>Shem</v>
      </c>
      <c r="D879" s="92" t="str">
        <v>Phoenix</v>
      </c>
      <c r="E879" s="92">
        <v>85007</v>
      </c>
      <c r="F879" s="137" t="str">
        <v>Form Letter: Enough is enough! You must reject the latest 14% rate hikes by APS and TEP</v>
      </c>
      <c r="G879" s="93" t="str">
        <v>https://docket.images.azcc.gov/E000046996.pdf</v>
      </c>
      <c r="H879" s="150" t="s">
        <v>3003</v>
      </c>
      <c r="I879" s="114" t="str">
        <v>R3-47</v>
      </c>
      <c r="J879" s="94" t="str">
        <v>No</v>
      </c>
      <c r="K879" s="94" t="str">
        <v>No</v>
      </c>
      <c r="L879" s="137" t="str">
        <v>Y</v>
      </c>
      <c r="M879" s="94" t="str">
        <v>No</v>
      </c>
      <c r="N879" s="134" t="str">
        <v>No</v>
      </c>
      <c r="O879" s="119" t="str">
        <v>Yes</v>
      </c>
      <c r="P879" s="92" t="str">
        <v>N</v>
      </c>
      <c r="Q879" s="91">
        <v>45954</v>
      </c>
      <c r="R879" s="140" t="str">
        <v>Signed petition 8</v>
      </c>
      <c r="S879" s="92">
        <v>0</v>
      </c>
      <c r="T879" s="92">
        <v>0</v>
      </c>
      <c r="U879" s="137">
        <v>0</v>
      </c>
      <c r="V879" s="126" t="str">
        <f t="shared" si="26"/>
        <v>✅ On Best Plan</v>
      </c>
      <c r="W879" s="130" t="str">
        <f>IFERROR(_xlfn.XLOOKUP(TEXT(H879,"0000000000"),'📞 Call Tracker'!A$2:A$2000,'📞 Call Tracker'!B$2:B$2000,""),"")</f>
        <v>Joaquin</v>
      </c>
      <c r="X879" s="96">
        <f>IFERROR(_xlfn.XLOOKUP(TEXT(H879,"0000000000"),'📞 Call Tracker'!A$2:A$2000,'📞 Call Tracker'!C$2:C$2000,""),"")</f>
        <v>46074</v>
      </c>
      <c r="Y879" s="95" t="str">
        <f>IFERROR(_xlfn.XLOOKUP(TEXT(H879,"0000000000"),'📞 Call Tracker'!A$2:A$2000,'📞 Call Tracker'!D$2:D$2000,""),"")</f>
        <v>NO</v>
      </c>
      <c r="Z879" s="95" t="str">
        <f>IFERROR(_xlfn.XLOOKUP(TEXT(H879,"0000000000"),'📞 Call Tracker'!A$2:A$2000,'📞 Call Tracker'!E$2:E$2000,""),"")</f>
        <v>General Education</v>
      </c>
      <c r="AA879" s="145" t="str">
        <f>IFERROR(_xlfn.XLOOKUP(TEXT(H879,"0000000000"),'📞 Call Tracker'!A$2:A$2000,'📞 Call Tracker'!F$2:F$2000,""),"")</f>
        <v>not for rate increases</v>
      </c>
      <c r="AB879" s="132">
        <f t="shared" si="27"/>
        <v>99</v>
      </c>
      <c r="AC879" s="79"/>
    </row>
    <row r="880" spans="1:29" ht="20.100000000000001" customHeight="1">
      <c r="A880" s="91">
        <v>45945</v>
      </c>
      <c r="B880" s="92" t="str">
        <v>Yarber</v>
      </c>
      <c r="C880" s="92" t="str">
        <v>Catherine</v>
      </c>
      <c r="D880" s="92" t="str">
        <v>Seligman</v>
      </c>
      <c r="E880" s="92">
        <v>86337</v>
      </c>
      <c r="F880" s="137" t="str">
        <v>Do not allow APS to constantly raise their rates</v>
      </c>
      <c r="G880" s="93" t="str">
        <v>https://docket.images.azcc.gov/E000047007.pdf</v>
      </c>
      <c r="H880" s="150" t="s">
        <v>3007</v>
      </c>
      <c r="I880" s="114" t="str">
        <v>EPR-6w/ET-2</v>
      </c>
      <c r="J880" s="94" t="str">
        <v>No</v>
      </c>
      <c r="K880" s="94" t="str">
        <v>No</v>
      </c>
      <c r="L880" s="137" t="str">
        <v>Frozen Rate</v>
      </c>
      <c r="M880" s="94" t="str">
        <v>No</v>
      </c>
      <c r="N880" s="134" t="str">
        <v>No</v>
      </c>
      <c r="O880" s="119" t="str">
        <v>Yes</v>
      </c>
      <c r="P880" s="92" t="str">
        <v>N</v>
      </c>
      <c r="Q880" s="91">
        <v>45954</v>
      </c>
      <c r="R880" s="140">
        <v>0</v>
      </c>
      <c r="S880" s="92">
        <v>0</v>
      </c>
      <c r="T880" s="92">
        <v>0</v>
      </c>
      <c r="U880" s="137">
        <v>0</v>
      </c>
      <c r="V880" s="126" t="str">
        <f t="shared" si="26"/>
        <v>❄ Frozen Rate</v>
      </c>
      <c r="W880" s="130" t="str">
        <f>IFERROR(_xlfn.XLOOKUP(TEXT(H880,"0000000000"),'📞 Call Tracker'!A$2:A$2000,'📞 Call Tracker'!B$2:B$2000,""),"")</f>
        <v>Joaquin</v>
      </c>
      <c r="X880" s="96">
        <f>IFERROR(_xlfn.XLOOKUP(TEXT(H880,"0000000000"),'📞 Call Tracker'!A$2:A$2000,'📞 Call Tracker'!C$2:C$2000,""),"")</f>
        <v>46067</v>
      </c>
      <c r="Y880" s="95" t="str">
        <f>IFERROR(_xlfn.XLOOKUP(TEXT(H880,"0000000000"),'📞 Call Tracker'!A$2:A$2000,'📞 Call Tracker'!D$2:D$2000,""),"")</f>
        <v>NO</v>
      </c>
      <c r="Z880" s="95" t="str">
        <f>IFERROR(_xlfn.XLOOKUP(TEXT(H880,"0000000000"),'📞 Call Tracker'!A$2:A$2000,'📞 Call Tracker'!E$2:E$2000,""),"")</f>
        <v>General Education</v>
      </c>
      <c r="AA880" s="145">
        <f>IFERROR(_xlfn.XLOOKUP(TEXT(H880,"0000000000"),'📞 Call Tracker'!A$2:A$2000,'📞 Call Tracker'!F$2:F$2000,""),"")</f>
        <v>0</v>
      </c>
      <c r="AB880" s="132">
        <f t="shared" si="27"/>
        <v>99</v>
      </c>
      <c r="AC880" s="79"/>
    </row>
    <row r="881" spans="1:29" ht="20.100000000000001" customHeight="1">
      <c r="A881" s="91">
        <v>45945</v>
      </c>
      <c r="B881" s="92" t="str">
        <v>Robnett</v>
      </c>
      <c r="C881" s="92" t="str">
        <v>Dawn</v>
      </c>
      <c r="D881" s="92" t="str">
        <v>Sierra Vista</v>
      </c>
      <c r="E881" s="92">
        <v>85650</v>
      </c>
      <c r="F881" s="137" t="str">
        <v>What are you doing to stop this from happening?</v>
      </c>
      <c r="G881" s="93" t="str">
        <v>https://docket.images.azcc.gov/E000047007.pdf</v>
      </c>
      <c r="H881" s="150" t="s">
        <v>3014</v>
      </c>
      <c r="I881" s="114" t="str">
        <v>R3-47</v>
      </c>
      <c r="J881" s="94" t="str">
        <v>No</v>
      </c>
      <c r="K881" s="94" t="str">
        <v>No</v>
      </c>
      <c r="L881" s="137" t="str">
        <v>Y</v>
      </c>
      <c r="M881" s="94" t="str">
        <v>No</v>
      </c>
      <c r="N881" s="134" t="str">
        <v>No</v>
      </c>
      <c r="O881" s="119" t="str">
        <v>Yes</v>
      </c>
      <c r="P881" s="92" t="str">
        <v>N</v>
      </c>
      <c r="Q881" s="91">
        <v>45954</v>
      </c>
      <c r="R881" s="140">
        <v>0</v>
      </c>
      <c r="S881" s="92">
        <v>0</v>
      </c>
      <c r="T881" s="92">
        <v>0</v>
      </c>
      <c r="U881" s="137">
        <v>0</v>
      </c>
      <c r="V881" s="126" t="str">
        <f t="shared" si="26"/>
        <v>✅ On Best Plan</v>
      </c>
      <c r="W881" s="130" t="str">
        <f>IFERROR(_xlfn.XLOOKUP(TEXT(H881,"0000000000"),'📞 Call Tracker'!A$2:A$2000,'📞 Call Tracker'!B$2:B$2000,""),"")</f>
        <v>Joaquin</v>
      </c>
      <c r="X881" s="96">
        <f>IFERROR(_xlfn.XLOOKUP(TEXT(H881,"0000000000"),'📞 Call Tracker'!A$2:A$2000,'📞 Call Tracker'!C$2:C$2000,""),"")</f>
        <v>45997</v>
      </c>
      <c r="Y881" s="95" t="str">
        <f>IFERROR(_xlfn.XLOOKUP(TEXT(H881,"0000000000"),'📞 Call Tracker'!A$2:A$2000,'📞 Call Tracker'!D$2:D$2000,""),"")</f>
        <v>YES</v>
      </c>
      <c r="Z881" s="95">
        <f>IFERROR(_xlfn.XLOOKUP(TEXT(H881,"0000000000"),'📞 Call Tracker'!A$2:A$2000,'📞 Call Tracker'!E$2:E$2000,""),"")</f>
        <v>0</v>
      </c>
      <c r="AA881" s="145" t="str">
        <f>IFERROR(_xlfn.XLOOKUP(TEXT(H881,"0000000000"),'📞 Call Tracker'!A$2:A$2000,'📞 Call Tracker'!F$2:F$2000,""),"")</f>
        <v>SOLAR ACCT</v>
      </c>
      <c r="AB881" s="132">
        <f t="shared" si="27"/>
        <v>99</v>
      </c>
      <c r="AC881" s="79"/>
    </row>
    <row r="882" spans="1:29" ht="20.100000000000001" customHeight="1">
      <c r="A882" s="91">
        <v>45946</v>
      </c>
      <c r="B882" s="92" t="str">
        <v>Settje</v>
      </c>
      <c r="C882" s="92" t="str">
        <v>Scott</v>
      </c>
      <c r="D882" s="92" t="str">
        <v>Tonto Basin</v>
      </c>
      <c r="E882" s="92">
        <v>85553</v>
      </c>
      <c r="F882" s="137" t="str">
        <v>Off-peak/demand income and demand charges after outages</v>
      </c>
      <c r="G882" s="93" t="str">
        <v>https://docket.images.azcc.gov/E000047034.pdf</v>
      </c>
      <c r="H882" s="150" t="s">
        <v>3016</v>
      </c>
      <c r="I882" s="114" t="str">
        <v>R-2</v>
      </c>
      <c r="J882" s="94" t="str">
        <v>No</v>
      </c>
      <c r="K882" s="94" t="str">
        <v>No</v>
      </c>
      <c r="L882" s="137" t="str">
        <v>Frozen Rate</v>
      </c>
      <c r="M882" s="94" t="str">
        <v>No</v>
      </c>
      <c r="N882" s="134" t="str">
        <v>No</v>
      </c>
      <c r="O882" s="119" t="str">
        <v>Yes</v>
      </c>
      <c r="P882" s="92" t="str">
        <v>N</v>
      </c>
      <c r="Q882" s="91">
        <v>45954</v>
      </c>
      <c r="R882" s="140">
        <v>0</v>
      </c>
      <c r="S882" s="92">
        <v>0</v>
      </c>
      <c r="T882" s="92">
        <v>0</v>
      </c>
      <c r="U882" s="137">
        <v>0</v>
      </c>
      <c r="V882" s="126" t="str">
        <f t="shared" si="26"/>
        <v>❄ Frozen Rate</v>
      </c>
      <c r="W882" s="130" t="str">
        <f>IFERROR(_xlfn.XLOOKUP(TEXT(H882,"0000000000"),'📞 Call Tracker'!A$2:A$2000,'📞 Call Tracker'!B$2:B$2000,""),"")</f>
        <v>Joaquin</v>
      </c>
      <c r="X882" s="96">
        <f>IFERROR(_xlfn.XLOOKUP(TEXT(H882,"0000000000"),'📞 Call Tracker'!A$2:A$2000,'📞 Call Tracker'!C$2:C$2000,""),"")</f>
        <v>46032</v>
      </c>
      <c r="Y882" s="95" t="str">
        <f>IFERROR(_xlfn.XLOOKUP(TEXT(H882,"0000000000"),'📞 Call Tracker'!A$2:A$2000,'📞 Call Tracker'!D$2:D$2000,""),"")</f>
        <v>YES</v>
      </c>
      <c r="Z882" s="95">
        <f>IFERROR(_xlfn.XLOOKUP(TEXT(H882,"0000000000"),'📞 Call Tracker'!A$2:A$2000,'📞 Call Tracker'!E$2:E$2000,""),"")</f>
        <v>0</v>
      </c>
      <c r="AA882" s="145" t="str">
        <f>IFERROR(_xlfn.XLOOKUP(TEXT(H882,"0000000000"),'📞 Call Tracker'!A$2:A$2000,'📞 Call Tracker'!F$2:F$2000,""),"")</f>
        <v>BETTER RATE TIME OF USE WITH DEMAND</v>
      </c>
      <c r="AB882" s="132">
        <f t="shared" si="27"/>
        <v>99</v>
      </c>
      <c r="AC882" s="79"/>
    </row>
    <row r="883" spans="1:29" ht="20.100000000000001" customHeight="1">
      <c r="A883" s="91">
        <v>45946</v>
      </c>
      <c r="B883" s="92" t="str">
        <v>Cunningham</v>
      </c>
      <c r="C883" s="92" t="str">
        <v>Terrie</v>
      </c>
      <c r="D883" s="92" t="str">
        <v>Phoenix</v>
      </c>
      <c r="E883" s="92">
        <v>85024</v>
      </c>
      <c r="F883" s="137" t="str">
        <v>Opposed, significant burden, especially when cost of living continued to rise</v>
      </c>
      <c r="G883" s="93" t="str">
        <v>https://docket.images.azcc.gov/E000047053.pdf</v>
      </c>
      <c r="H883" s="150" t="s">
        <v>3020</v>
      </c>
      <c r="I883" s="114" t="str">
        <v>R3-47</v>
      </c>
      <c r="J883" s="94" t="str">
        <v>No</v>
      </c>
      <c r="K883" s="94" t="str">
        <v>No</v>
      </c>
      <c r="L883" s="137" t="str">
        <v>Y</v>
      </c>
      <c r="M883" s="94" t="str">
        <v>No</v>
      </c>
      <c r="N883" s="134" t="str">
        <v>No</v>
      </c>
      <c r="O883" s="119" t="str">
        <v>Yes</v>
      </c>
      <c r="P883" s="92" t="str">
        <v>N</v>
      </c>
      <c r="Q883" s="91">
        <v>45954</v>
      </c>
      <c r="R883" s="140">
        <v>0</v>
      </c>
      <c r="S883" s="92">
        <v>0</v>
      </c>
      <c r="T883" s="92">
        <v>0</v>
      </c>
      <c r="U883" s="137">
        <v>0</v>
      </c>
      <c r="V883" s="126" t="str">
        <f t="shared" si="26"/>
        <v>✅ On Best Plan</v>
      </c>
      <c r="W883" s="130" t="str">
        <f>IFERROR(_xlfn.XLOOKUP(TEXT(H883,"0000000000"),'📞 Call Tracker'!A$2:A$2000,'📞 Call Tracker'!B$2:B$2000,""),"")</f>
        <v>Joaquin</v>
      </c>
      <c r="X883" s="96">
        <f>IFERROR(_xlfn.XLOOKUP(TEXT(H883,"0000000000"),'📞 Call Tracker'!A$2:A$2000,'📞 Call Tracker'!C$2:C$2000,""),"")</f>
        <v>46053</v>
      </c>
      <c r="Y883" s="95" t="str">
        <f>IFERROR(_xlfn.XLOOKUP(TEXT(H883,"0000000000"),'📞 Call Tracker'!A$2:A$2000,'📞 Call Tracker'!D$2:D$2000,""),"")</f>
        <v>NO</v>
      </c>
      <c r="Z883" s="95" t="str">
        <f>IFERROR(_xlfn.XLOOKUP(TEXT(H883,"0000000000"),'📞 Call Tracker'!A$2:A$2000,'📞 Call Tracker'!E$2:E$2000,""),"")</f>
        <v>General Education</v>
      </c>
      <c r="AA883" s="145">
        <f>IFERROR(_xlfn.XLOOKUP(TEXT(H883,"0000000000"),'📞 Call Tracker'!A$2:A$2000,'📞 Call Tracker'!F$2:F$2000,""),"")</f>
        <v>0</v>
      </c>
      <c r="AB883" s="132">
        <f t="shared" si="27"/>
        <v>99</v>
      </c>
      <c r="AC883" s="79"/>
    </row>
    <row r="884" spans="1:29" ht="20.100000000000001" customHeight="1">
      <c r="A884" s="91">
        <v>45946</v>
      </c>
      <c r="B884" s="92" t="str">
        <v>Hughes</v>
      </c>
      <c r="C884" s="92" t="str">
        <v>Brent</v>
      </c>
      <c r="D884" s="92" t="str">
        <v>Prescott</v>
      </c>
      <c r="E884" s="92">
        <v>86301</v>
      </c>
      <c r="F884" s="137" t="str">
        <v>Opposed, vote for something more reasonable</v>
      </c>
      <c r="G884" s="93" t="str">
        <v>https://docket.images.azcc.gov/E000047091.pdf</v>
      </c>
      <c r="H884" s="150" t="s">
        <v>3023</v>
      </c>
      <c r="I884" s="114" t="str">
        <v>R3-47</v>
      </c>
      <c r="J884" s="94" t="str">
        <v>No</v>
      </c>
      <c r="K884" s="94" t="str">
        <v>No</v>
      </c>
      <c r="L884" s="137" t="str">
        <v>Y</v>
      </c>
      <c r="M884" s="94" t="str">
        <v>No</v>
      </c>
      <c r="N884" s="134" t="str">
        <v>No</v>
      </c>
      <c r="O884" s="119" t="str">
        <v>Yes</v>
      </c>
      <c r="P884" s="92" t="str">
        <v>N</v>
      </c>
      <c r="Q884" s="91">
        <v>45954</v>
      </c>
      <c r="R884" s="140">
        <v>0</v>
      </c>
      <c r="S884" s="92">
        <v>0</v>
      </c>
      <c r="T884" s="92">
        <v>0</v>
      </c>
      <c r="U884" s="137">
        <v>0</v>
      </c>
      <c r="V884" s="126" t="str">
        <f t="shared" si="26"/>
        <v>✅ On Best Plan</v>
      </c>
      <c r="W884" s="130">
        <f>IFERROR(_xlfn.XLOOKUP(TEXT(H884,"0000000000"),'📞 Call Tracker'!A$2:A$2000,'📞 Call Tracker'!B$2:B$2000,""),"")</f>
        <v>0</v>
      </c>
      <c r="X884" s="96">
        <f>IFERROR(_xlfn.XLOOKUP(TEXT(H884,"0000000000"),'📞 Call Tracker'!A$2:A$2000,'📞 Call Tracker'!C$2:C$2000,""),"")</f>
        <v>0</v>
      </c>
      <c r="Y884" s="95">
        <f>IFERROR(_xlfn.XLOOKUP(TEXT(H884,"0000000000"),'📞 Call Tracker'!A$2:A$2000,'📞 Call Tracker'!D$2:D$2000,""),"")</f>
        <v>0</v>
      </c>
      <c r="Z884" s="95">
        <f>IFERROR(_xlfn.XLOOKUP(TEXT(H884,"0000000000"),'📞 Call Tracker'!A$2:A$2000,'📞 Call Tracker'!E$2:E$2000,""),"")</f>
        <v>0</v>
      </c>
      <c r="AA884" s="145">
        <f>IFERROR(_xlfn.XLOOKUP(TEXT(H884,"0000000000"),'📞 Call Tracker'!A$2:A$2000,'📞 Call Tracker'!F$2:F$2000,""),"")</f>
        <v>0</v>
      </c>
      <c r="AB884" s="132">
        <f t="shared" si="27"/>
        <v>99</v>
      </c>
      <c r="AC884" s="79"/>
    </row>
    <row r="885" spans="1:29" ht="20.100000000000001" customHeight="1">
      <c r="A885" s="91">
        <v>45946</v>
      </c>
      <c r="B885" s="92" t="str">
        <v>Terranova</v>
      </c>
      <c r="C885" s="92" t="str">
        <v>Joseph</v>
      </c>
      <c r="D885" s="92" t="str">
        <v>Yuma</v>
      </c>
      <c r="E885" s="92">
        <v>85364</v>
      </c>
      <c r="F885" s="137" t="str">
        <v>belt-tightening needed here</v>
      </c>
      <c r="G885" s="93" t="str">
        <v>https://docket.images.azcc.gov/E000047091.pdf</v>
      </c>
      <c r="H885" s="150" t="s">
        <v>3026</v>
      </c>
      <c r="I885" s="114" t="str">
        <v>RCPw/RTOUE47</v>
      </c>
      <c r="J885" s="94" t="str">
        <v>No</v>
      </c>
      <c r="K885" s="94" t="str">
        <v>No</v>
      </c>
      <c r="L885" s="137" t="str">
        <v>No MEP R3-47 ($42.77)</v>
      </c>
      <c r="M885" s="94" t="str">
        <v>No</v>
      </c>
      <c r="N885" s="134" t="str">
        <v>No</v>
      </c>
      <c r="O885" s="119" t="str">
        <v>Yes</v>
      </c>
      <c r="P885" s="92" t="str">
        <v>N</v>
      </c>
      <c r="Q885" s="91">
        <v>45954</v>
      </c>
      <c r="R885" s="140" t="str">
        <v>Mr. Terranova filed a separate ACC complaint on 9/30 regarding the price he sells back his solar. Beth spoke with him.</v>
      </c>
      <c r="S885" s="92">
        <v>0</v>
      </c>
      <c r="T885" s="92">
        <v>0</v>
      </c>
      <c r="U885" s="137">
        <v>0</v>
      </c>
      <c r="V885" s="126" t="str">
        <f t="shared" si="26"/>
        <v>❌ Not on Best Plan</v>
      </c>
      <c r="W885" s="130" t="str">
        <f>IFERROR(_xlfn.XLOOKUP(TEXT(H885,"0000000000"),'📞 Call Tracker'!A$2:A$2000,'📞 Call Tracker'!B$2:B$2000,""),"")</f>
        <v>Joaquin</v>
      </c>
      <c r="X885" s="96">
        <f>IFERROR(_xlfn.XLOOKUP(TEXT(H885,"0000000000"),'📞 Call Tracker'!A$2:A$2000,'📞 Call Tracker'!C$2:C$2000,""),"")</f>
        <v>46032</v>
      </c>
      <c r="Y885" s="95">
        <f>IFERROR(_xlfn.XLOOKUP(TEXT(H885,"0000000000"),'📞 Call Tracker'!A$2:A$2000,'📞 Call Tracker'!D$2:D$2000,""),"")</f>
        <v>0</v>
      </c>
      <c r="Z885" s="95" t="str">
        <f>IFERROR(_xlfn.XLOOKUP(TEXT(H885,"0000000000"),'📞 Call Tracker'!A$2:A$2000,'📞 Call Tracker'!E$2:E$2000,""),"")</f>
        <v>Other (fill in)</v>
      </c>
      <c r="AA885" s="145" t="str">
        <f>IFERROR(_xlfn.XLOOKUP(TEXT(H885,"0000000000"),'📞 Call Tracker'!A$2:A$2000,'📞 Call Tracker'!F$2:F$2000,""),"")</f>
        <v>CALLER HUNG UP</v>
      </c>
      <c r="AB885" s="132">
        <f t="shared" si="27"/>
        <v>99</v>
      </c>
      <c r="AC885" s="79"/>
    </row>
    <row r="886" spans="1:29" ht="20.100000000000001" customHeight="1">
      <c r="A886" s="91">
        <v>45946</v>
      </c>
      <c r="B886" s="92" t="str">
        <v>Smith</v>
      </c>
      <c r="C886" s="92" t="str">
        <v>Barbara</v>
      </c>
      <c r="D886" s="92" t="str">
        <v>Phoenix</v>
      </c>
      <c r="E886" s="92">
        <v>85006</v>
      </c>
      <c r="F886" s="137" t="str">
        <v xml:space="preserve">Form letter </v>
      </c>
      <c r="G886" s="93" t="str">
        <v>https://docket.images.azcc.gov/E000047091.pdf</v>
      </c>
      <c r="H886" s="150" t="s">
        <v>3037</v>
      </c>
      <c r="I886" s="114" t="str">
        <v>R-2</v>
      </c>
      <c r="J886" s="94" t="str">
        <v>No</v>
      </c>
      <c r="K886" s="94" t="str">
        <v>No</v>
      </c>
      <c r="L886" s="137" t="str">
        <v>Frozen Rate</v>
      </c>
      <c r="M886" s="94" t="str">
        <v>No</v>
      </c>
      <c r="N886" s="134" t="str">
        <v>No</v>
      </c>
      <c r="O886" s="119" t="str">
        <v>Yes</v>
      </c>
      <c r="P886" s="92" t="str">
        <v>N</v>
      </c>
      <c r="Q886" s="91">
        <v>45954</v>
      </c>
      <c r="R886" s="140">
        <v>0</v>
      </c>
      <c r="S886" s="92">
        <v>0</v>
      </c>
      <c r="T886" s="92">
        <v>0</v>
      </c>
      <c r="U886" s="137">
        <v>0</v>
      </c>
      <c r="V886" s="126" t="str">
        <f t="shared" si="26"/>
        <v>❄ Frozen Rate</v>
      </c>
      <c r="W886" s="130">
        <f>IFERROR(_xlfn.XLOOKUP(TEXT(H886,"0000000000"),'📞 Call Tracker'!A$2:A$2000,'📞 Call Tracker'!B$2:B$2000,""),"")</f>
        <v>0</v>
      </c>
      <c r="X886" s="96">
        <f>IFERROR(_xlfn.XLOOKUP(TEXT(H886,"0000000000"),'📞 Call Tracker'!A$2:A$2000,'📞 Call Tracker'!C$2:C$2000,""),"")</f>
        <v>0</v>
      </c>
      <c r="Y886" s="95">
        <f>IFERROR(_xlfn.XLOOKUP(TEXT(H886,"0000000000"),'📞 Call Tracker'!A$2:A$2000,'📞 Call Tracker'!D$2:D$2000,""),"")</f>
        <v>0</v>
      </c>
      <c r="Z886" s="95">
        <f>IFERROR(_xlfn.XLOOKUP(TEXT(H886,"0000000000"),'📞 Call Tracker'!A$2:A$2000,'📞 Call Tracker'!E$2:E$2000,""),"")</f>
        <v>0</v>
      </c>
      <c r="AA886" s="145">
        <f>IFERROR(_xlfn.XLOOKUP(TEXT(H886,"0000000000"),'📞 Call Tracker'!A$2:A$2000,'📞 Call Tracker'!F$2:F$2000,""),"")</f>
        <v>0</v>
      </c>
      <c r="AB886" s="132">
        <f t="shared" si="27"/>
        <v>99</v>
      </c>
      <c r="AC886" s="79"/>
    </row>
    <row r="887" spans="1:29" ht="20.100000000000001" customHeight="1">
      <c r="A887" s="91">
        <v>45946</v>
      </c>
      <c r="B887" s="92" t="str">
        <v>VanCleave</v>
      </c>
      <c r="C887" s="92" t="str">
        <v>Magi</v>
      </c>
      <c r="D887" s="92" t="str">
        <v>Flagstaff</v>
      </c>
      <c r="E887" s="92">
        <v>86005</v>
      </c>
      <c r="F887" s="137" t="str">
        <v>Pad corporate profits at the expense of AZ consumers</v>
      </c>
      <c r="G887" s="93" t="str">
        <v>https://docket.images.azcc.gov/E000047091.pdf</v>
      </c>
      <c r="H887" s="150" t="s">
        <v>3041</v>
      </c>
      <c r="I887" s="114" t="str">
        <v>R-BASIC</v>
      </c>
      <c r="J887" s="94" t="str">
        <v>No</v>
      </c>
      <c r="K887" s="94" t="str">
        <v>No</v>
      </c>
      <c r="L887" s="137" t="str">
        <v>No MEP TOUE ($29.42)</v>
      </c>
      <c r="M887" s="94" t="str">
        <v>No</v>
      </c>
      <c r="N887" s="134" t="str">
        <v>No</v>
      </c>
      <c r="O887" s="119" t="str">
        <v>Yes</v>
      </c>
      <c r="P887" s="92" t="str">
        <v>N</v>
      </c>
      <c r="Q887" s="91">
        <v>45954</v>
      </c>
      <c r="R887" s="140">
        <v>0</v>
      </c>
      <c r="S887" s="92">
        <v>0</v>
      </c>
      <c r="T887" s="92">
        <v>0</v>
      </c>
      <c r="U887" s="137">
        <v>0</v>
      </c>
      <c r="V887" s="126" t="str">
        <f t="shared" si="26"/>
        <v>❌ Not on Best Plan</v>
      </c>
      <c r="W887" s="130" t="str">
        <f>IFERROR(_xlfn.XLOOKUP(TEXT(H887,"0000000000"),'📞 Call Tracker'!A$2:A$2000,'📞 Call Tracker'!B$2:B$2000,""),"")</f>
        <v>Joaquin</v>
      </c>
      <c r="X887" s="96">
        <f>IFERROR(_xlfn.XLOOKUP(TEXT(H887,"0000000000"),'📞 Call Tracker'!A$2:A$2000,'📞 Call Tracker'!C$2:C$2000,""),"")</f>
        <v>46067</v>
      </c>
      <c r="Y887" s="95" t="str">
        <f>IFERROR(_xlfn.XLOOKUP(TEXT(H887,"0000000000"),'📞 Call Tracker'!A$2:A$2000,'📞 Call Tracker'!D$2:D$2000,""),"")</f>
        <v>NO</v>
      </c>
      <c r="Z887" s="95" t="str">
        <f>IFERROR(_xlfn.XLOOKUP(TEXT(H887,"0000000000"),'📞 Call Tracker'!A$2:A$2000,'📞 Call Tracker'!E$2:E$2000,""),"")</f>
        <v>General Education</v>
      </c>
      <c r="AA887" s="145" t="str">
        <f>IFERROR(_xlfn.XLOOKUP(TEXT(H887,"0000000000"),'📞 Call Tracker'!A$2:A$2000,'📞 Call Tracker'!F$2:F$2000,""),"")</f>
        <v>NEW BB  AMOUNT 309.00</v>
      </c>
      <c r="AB887" s="132">
        <f t="shared" si="27"/>
        <v>99</v>
      </c>
      <c r="AC887" s="79"/>
    </row>
    <row r="888" spans="1:29" ht="20.100000000000001" customHeight="1">
      <c r="A888" s="91">
        <v>45946</v>
      </c>
      <c r="B888" s="92" t="str">
        <v>Flores</v>
      </c>
      <c r="C888" s="92" t="str">
        <v>Ariana</v>
      </c>
      <c r="D888" s="92" t="str">
        <v>Phoenix</v>
      </c>
      <c r="E888" s="92">
        <v>85029</v>
      </c>
      <c r="F888" s="137" t="str">
        <v>Against the proposed rate increase</v>
      </c>
      <c r="G888" s="93" t="str">
        <v>https://docket.images.azcc.gov/E000047091.pdf</v>
      </c>
      <c r="H888" s="150" t="s">
        <v>3047</v>
      </c>
      <c r="I888" s="114" t="str">
        <v>R-BASIC</v>
      </c>
      <c r="J888" s="94" t="str">
        <v>No</v>
      </c>
      <c r="K888" s="94" t="str">
        <v>No</v>
      </c>
      <c r="L888" s="137" t="str">
        <v>Y</v>
      </c>
      <c r="M888" s="94" t="str">
        <v>No</v>
      </c>
      <c r="N888" s="134" t="str">
        <v>No</v>
      </c>
      <c r="O888" s="119" t="str">
        <v>Yes</v>
      </c>
      <c r="P888" s="92" t="str">
        <v>N</v>
      </c>
      <c r="Q888" s="91">
        <v>45954</v>
      </c>
      <c r="R888" s="140">
        <v>0</v>
      </c>
      <c r="S888" s="92">
        <v>0</v>
      </c>
      <c r="T888" s="92">
        <v>0</v>
      </c>
      <c r="U888" s="137">
        <v>0</v>
      </c>
      <c r="V888" s="126" t="str">
        <f t="shared" si="26"/>
        <v>✅ On Best Plan</v>
      </c>
      <c r="W888" s="130" t="str">
        <f>IFERROR(_xlfn.XLOOKUP(TEXT(H888,"0000000000"),'📞 Call Tracker'!A$2:A$2000,'📞 Call Tracker'!B$2:B$2000,""),"")</f>
        <v>Joaquin</v>
      </c>
      <c r="X888" s="96">
        <f>IFERROR(_xlfn.XLOOKUP(TEXT(H888,"0000000000"),'📞 Call Tracker'!A$2:A$2000,'📞 Call Tracker'!C$2:C$2000,""),"")</f>
        <v>46032</v>
      </c>
      <c r="Y888" s="95" t="str">
        <f>IFERROR(_xlfn.XLOOKUP(TEXT(H888,"0000000000"),'📞 Call Tracker'!A$2:A$2000,'📞 Call Tracker'!D$2:D$2000,""),"")</f>
        <v>YES</v>
      </c>
      <c r="Z888" s="95">
        <f>IFERROR(_xlfn.XLOOKUP(TEXT(H888,"0000000000"),'📞 Call Tracker'!A$2:A$2000,'📞 Call Tracker'!E$2:E$2000,""),"")</f>
        <v>0</v>
      </c>
      <c r="AA888" s="145" t="str">
        <f>IFERROR(_xlfn.XLOOKUP(TEXT(H888,"0000000000"),'📞 Call Tracker'!A$2:A$2000,'📞 Call Tracker'!F$2:F$2000,""),"")</f>
        <v>BETTER RATE FIXXED ENERGY PLAN</v>
      </c>
      <c r="AB888" s="132">
        <f t="shared" si="27"/>
        <v>99</v>
      </c>
      <c r="AC888" s="79"/>
    </row>
    <row r="889" spans="1:29" ht="20.100000000000001" customHeight="1">
      <c r="A889" s="91">
        <v>45947</v>
      </c>
      <c r="B889" s="92" t="str">
        <v>Wittie</v>
      </c>
      <c r="C889" s="92" t="str">
        <v>Steve</v>
      </c>
      <c r="D889" s="92" t="str">
        <v>Scottsdale</v>
      </c>
      <c r="E889" s="92">
        <v>85254</v>
      </c>
      <c r="F889" s="137" t="str">
        <v>Please do not vote for the APS rate increase</v>
      </c>
      <c r="G889" s="93" t="str">
        <v>https://docket.images.azcc.gov/E000047066.pdf</v>
      </c>
      <c r="H889" s="150" t="s">
        <v>3052</v>
      </c>
      <c r="I889" s="114" t="str">
        <v>R-XS</v>
      </c>
      <c r="J889" s="94" t="str">
        <v>No</v>
      </c>
      <c r="K889" s="94" t="str">
        <v>No</v>
      </c>
      <c r="L889" s="137" t="str">
        <v>Y</v>
      </c>
      <c r="M889" s="94" t="str">
        <v>No</v>
      </c>
      <c r="N889" s="134" t="str">
        <v>No</v>
      </c>
      <c r="O889" s="119" t="str">
        <v>Yes</v>
      </c>
      <c r="P889" s="92" t="str">
        <v>N</v>
      </c>
      <c r="Q889" s="91">
        <v>45954</v>
      </c>
      <c r="R889" s="140">
        <v>0</v>
      </c>
      <c r="S889" s="92">
        <v>0</v>
      </c>
      <c r="T889" s="92">
        <v>0</v>
      </c>
      <c r="U889" s="137">
        <v>0</v>
      </c>
      <c r="V889" s="126" t="str">
        <f t="shared" si="26"/>
        <v>✅ On Best Plan</v>
      </c>
      <c r="W889" s="130" t="str">
        <f>IFERROR(_xlfn.XLOOKUP(TEXT(H889,"0000000000"),'📞 Call Tracker'!A$2:A$2000,'📞 Call Tracker'!B$2:B$2000,""),"")</f>
        <v>Joaquin</v>
      </c>
      <c r="X889" s="96">
        <f>IFERROR(_xlfn.XLOOKUP(TEXT(H889,"0000000000"),'📞 Call Tracker'!A$2:A$2000,'📞 Call Tracker'!C$2:C$2000,""),"")</f>
        <v>46032</v>
      </c>
      <c r="Y889" s="95" t="str">
        <f>IFERROR(_xlfn.XLOOKUP(TEXT(H889,"0000000000"),'📞 Call Tracker'!A$2:A$2000,'📞 Call Tracker'!D$2:D$2000,""),"")</f>
        <v>YES</v>
      </c>
      <c r="Z889" s="95">
        <f>IFERROR(_xlfn.XLOOKUP(TEXT(H889,"0000000000"),'📞 Call Tracker'!A$2:A$2000,'📞 Call Tracker'!E$2:E$2000,""),"")</f>
        <v>0</v>
      </c>
      <c r="AA889" s="145" t="str">
        <f>IFERROR(_xlfn.XLOOKUP(TEXT(H889,"0000000000"),'📞 Call Tracker'!A$2:A$2000,'📞 Call Tracker'!F$2:F$2000,""),"")</f>
        <v>BETTER RATE FIXXED ENERGY PLAN</v>
      </c>
      <c r="AB889" s="132">
        <f t="shared" si="27"/>
        <v>99</v>
      </c>
      <c r="AC889" s="79"/>
    </row>
    <row r="890" spans="1:29" ht="20.100000000000001" customHeight="1">
      <c r="A890" s="91">
        <v>45951</v>
      </c>
      <c r="B890" s="92" t="str">
        <v>Margolis</v>
      </c>
      <c r="C890" s="92" t="str">
        <v>Bruce</v>
      </c>
      <c r="D890" s="92" t="str">
        <v>Parker</v>
      </c>
      <c r="E890" s="92">
        <v>85344</v>
      </c>
      <c r="F890" s="137" t="str">
        <v>Express my frustration and disappointment regarding the recent rate increases</v>
      </c>
      <c r="G890" s="93" t="str">
        <v>https://docket.images.azcc.gov/E000047089.pdf</v>
      </c>
      <c r="H890" s="150" t="s">
        <v>3056</v>
      </c>
      <c r="I890" s="114" t="str">
        <v>R-BASIC</v>
      </c>
      <c r="J890" s="94" t="str">
        <v>No</v>
      </c>
      <c r="K890" s="94" t="str">
        <v>No</v>
      </c>
      <c r="L890" s="137">
        <v>0</v>
      </c>
      <c r="M890" s="94" t="str">
        <v>No</v>
      </c>
      <c r="N890" s="134" t="str">
        <v>No</v>
      </c>
      <c r="O890" s="119" t="str">
        <v>Yes</v>
      </c>
      <c r="P890" s="92" t="str">
        <v>N</v>
      </c>
      <c r="Q890" s="91">
        <v>45954</v>
      </c>
      <c r="R890" s="140" t="str">
        <v>Moving to R-XS</v>
      </c>
      <c r="S890" s="92">
        <v>0</v>
      </c>
      <c r="T890" s="92">
        <v>0</v>
      </c>
      <c r="U890" s="137">
        <v>0</v>
      </c>
      <c r="V890" s="126" t="str">
        <f t="shared" si="26"/>
        <v>❌ Not on Best Plan</v>
      </c>
      <c r="W890" s="130" t="str">
        <f>IFERROR(_xlfn.XLOOKUP(TEXT(H890,"0000000000"),'📞 Call Tracker'!A$2:A$2000,'📞 Call Tracker'!B$2:B$2000,""),"")</f>
        <v>Joaquin</v>
      </c>
      <c r="X890" s="96">
        <f>IFERROR(_xlfn.XLOOKUP(TEXT(H890,"0000000000"),'📞 Call Tracker'!A$2:A$2000,'📞 Call Tracker'!C$2:C$2000,""),"")</f>
        <v>46032</v>
      </c>
      <c r="Y890" s="95">
        <f>IFERROR(_xlfn.XLOOKUP(TEXT(H890,"0000000000"),'📞 Call Tracker'!A$2:A$2000,'📞 Call Tracker'!D$2:D$2000,""),"")</f>
        <v>0</v>
      </c>
      <c r="Z890" s="95" t="str">
        <f>IFERROR(_xlfn.XLOOKUP(TEXT(H890,"0000000000"),'📞 Call Tracker'!A$2:A$2000,'📞 Call Tracker'!E$2:E$2000,""),"")</f>
        <v>General Education</v>
      </c>
      <c r="AA890" s="145" t="str">
        <f>IFERROR(_xlfn.XLOOKUP(TEXT(H890,"0000000000"),'📞 Call Tracker'!A$2:A$2000,'📞 Call Tracker'!F$2:F$2000,""),"")</f>
        <v>BETTER RATE TIME OF USE WITH DEMAND</v>
      </c>
      <c r="AB890" s="132">
        <f t="shared" si="27"/>
        <v>99</v>
      </c>
      <c r="AC890" s="79"/>
    </row>
    <row r="891" spans="1:29" ht="20.100000000000001" customHeight="1">
      <c r="A891" s="91">
        <v>45951</v>
      </c>
      <c r="B891" s="92" t="str">
        <v>Lagerquist</v>
      </c>
      <c r="C891" s="92" t="str">
        <v>Adam</v>
      </c>
      <c r="D891" s="92" t="str">
        <v>Peoria</v>
      </c>
      <c r="E891" s="92">
        <v>85383</v>
      </c>
      <c r="F891" s="137" t="str">
        <v>That's not a reasonable increase!</v>
      </c>
      <c r="G891" s="93" t="str">
        <v>https://docket.images.azcc.gov/E000047105.pdf</v>
      </c>
      <c r="H891" s="150" t="s">
        <v>3065</v>
      </c>
      <c r="I891" s="114" t="str">
        <v>R3-47</v>
      </c>
      <c r="J891" s="94" t="str">
        <v>No</v>
      </c>
      <c r="K891" s="94" t="str">
        <v>No</v>
      </c>
      <c r="L891" s="137" t="str">
        <v>Y</v>
      </c>
      <c r="M891" s="94" t="str">
        <v>No</v>
      </c>
      <c r="N891" s="134" t="str">
        <v>No</v>
      </c>
      <c r="O891" s="119" t="str">
        <v>Yes</v>
      </c>
      <c r="P891" s="92" t="str">
        <v>N</v>
      </c>
      <c r="Q891" s="91">
        <v>45954</v>
      </c>
      <c r="R891" s="140">
        <v>0</v>
      </c>
      <c r="S891" s="92">
        <v>0</v>
      </c>
      <c r="T891" s="92">
        <v>0</v>
      </c>
      <c r="U891" s="137">
        <v>0</v>
      </c>
      <c r="V891" s="126" t="str">
        <f t="shared" si="26"/>
        <v>✅ On Best Plan</v>
      </c>
      <c r="W891" s="130" t="str">
        <f>IFERROR(_xlfn.XLOOKUP(TEXT(H891,"0000000000"),'📞 Call Tracker'!A$2:A$2000,'📞 Call Tracker'!B$2:B$2000,""),"")</f>
        <v>Joaquin</v>
      </c>
      <c r="X891" s="96">
        <f>IFERROR(_xlfn.XLOOKUP(TEXT(H891,"0000000000"),'📞 Call Tracker'!A$2:A$2000,'📞 Call Tracker'!C$2:C$2000,""),"")</f>
        <v>46067</v>
      </c>
      <c r="Y891" s="95" t="str">
        <f>IFERROR(_xlfn.XLOOKUP(TEXT(H891,"0000000000"),'📞 Call Tracker'!A$2:A$2000,'📞 Call Tracker'!D$2:D$2000,""),"")</f>
        <v>YES</v>
      </c>
      <c r="Z891" s="95">
        <f>IFERROR(_xlfn.XLOOKUP(TEXT(H891,"0000000000"),'📞 Call Tracker'!A$2:A$2000,'📞 Call Tracker'!E$2:E$2000,""),"")</f>
        <v>0</v>
      </c>
      <c r="AA891" s="145" t="str">
        <f>IFERROR(_xlfn.XLOOKUP(TEXT(H891,"0000000000"),'📞 Call Tracker'!A$2:A$2000,'📞 Call Tracker'!F$2:F$2000,""),"")</f>
        <v>LEFT VOICE MESSAGE</v>
      </c>
      <c r="AB891" s="132">
        <f t="shared" si="27"/>
        <v>99</v>
      </c>
      <c r="AC891" s="79"/>
    </row>
    <row r="892" spans="1:29" ht="20.100000000000001" customHeight="1">
      <c r="A892" s="91">
        <v>45951</v>
      </c>
      <c r="B892" s="92" t="str">
        <v>Rudy</v>
      </c>
      <c r="C892" s="92" t="str">
        <v>Robert</v>
      </c>
      <c r="D892" s="92" t="str">
        <v>Goodyear</v>
      </c>
      <c r="E892" s="92">
        <v>85338</v>
      </c>
      <c r="F892" s="137" t="str">
        <v>Major hardship for my family. My solar benefits APS</v>
      </c>
      <c r="G892" s="93" t="str">
        <v>https://docket.images.azcc.gov/E000047105.pdf</v>
      </c>
      <c r="H892" s="150" t="s">
        <v>3068</v>
      </c>
      <c r="I892" s="114" t="str">
        <v>EPR-6w/ET-2</v>
      </c>
      <c r="J892" s="94" t="str">
        <v>No</v>
      </c>
      <c r="K892" s="94" t="str">
        <v>No</v>
      </c>
      <c r="L892" s="137" t="str">
        <v>Frozen Rate</v>
      </c>
      <c r="M892" s="94" t="str">
        <v>No</v>
      </c>
      <c r="N892" s="134" t="str">
        <v>No</v>
      </c>
      <c r="O892" s="119" t="str">
        <v>Yes</v>
      </c>
      <c r="P892" s="92" t="str">
        <v>N</v>
      </c>
      <c r="Q892" s="91">
        <v>45954</v>
      </c>
      <c r="R892" s="140">
        <v>0</v>
      </c>
      <c r="S892" s="92">
        <v>0</v>
      </c>
      <c r="T892" s="92">
        <v>0</v>
      </c>
      <c r="U892" s="137">
        <v>0</v>
      </c>
      <c r="V892" s="126" t="str">
        <f t="shared" si="26"/>
        <v>❄ Frozen Rate</v>
      </c>
      <c r="W892" s="130">
        <f>IFERROR(_xlfn.XLOOKUP(TEXT(H892,"0000000000"),'📞 Call Tracker'!A$2:A$2000,'📞 Call Tracker'!B$2:B$2000,""),"")</f>
        <v>0</v>
      </c>
      <c r="X892" s="96">
        <f>IFERROR(_xlfn.XLOOKUP(TEXT(H892,"0000000000"),'📞 Call Tracker'!A$2:A$2000,'📞 Call Tracker'!C$2:C$2000,""),"")</f>
        <v>0</v>
      </c>
      <c r="Y892" s="95">
        <f>IFERROR(_xlfn.XLOOKUP(TEXT(H892,"0000000000"),'📞 Call Tracker'!A$2:A$2000,'📞 Call Tracker'!D$2:D$2000,""),"")</f>
        <v>0</v>
      </c>
      <c r="Z892" s="95">
        <f>IFERROR(_xlfn.XLOOKUP(TEXT(H892,"0000000000"),'📞 Call Tracker'!A$2:A$2000,'📞 Call Tracker'!E$2:E$2000,""),"")</f>
        <v>0</v>
      </c>
      <c r="AA892" s="145">
        <f>IFERROR(_xlfn.XLOOKUP(TEXT(H892,"0000000000"),'📞 Call Tracker'!A$2:A$2000,'📞 Call Tracker'!F$2:F$2000,""),"")</f>
        <v>0</v>
      </c>
      <c r="AB892" s="132">
        <f t="shared" si="27"/>
        <v>99</v>
      </c>
      <c r="AC892" s="79"/>
    </row>
    <row r="893" spans="1:29" ht="20.100000000000001" customHeight="1">
      <c r="A893" s="91">
        <v>45952</v>
      </c>
      <c r="B893" s="92" t="str">
        <v>Davenport</v>
      </c>
      <c r="C893" s="92" t="str">
        <v>Preston</v>
      </c>
      <c r="D893" s="92" t="str">
        <v>Phoenix</v>
      </c>
      <c r="E893" s="92">
        <v>85012</v>
      </c>
      <c r="F893" s="137" t="str">
        <v>Rate hike would make it harder for working residents - concerned that this appears to subsidize data centers</v>
      </c>
      <c r="G893" s="93" t="str">
        <v>https://docket.images.azcc.gov/E000047136.pdf</v>
      </c>
      <c r="H893" s="150" t="s">
        <v>3076</v>
      </c>
      <c r="I893" s="114" t="str">
        <v>R-XS</v>
      </c>
      <c r="J893" s="94" t="str">
        <v>No</v>
      </c>
      <c r="K893" s="94" t="str">
        <v>No</v>
      </c>
      <c r="L893" s="137" t="str">
        <v>No MEP R3-47 ($84.40)</v>
      </c>
      <c r="M893" s="94" t="str">
        <v>No</v>
      </c>
      <c r="N893" s="134" t="str">
        <v>No</v>
      </c>
      <c r="O893" s="119" t="str">
        <v>Yes</v>
      </c>
      <c r="P893" s="92" t="str">
        <v>N</v>
      </c>
      <c r="Q893" s="91">
        <v>45954</v>
      </c>
      <c r="R893" s="140">
        <v>0</v>
      </c>
      <c r="S893" s="92">
        <v>0</v>
      </c>
      <c r="T893" s="92">
        <v>0</v>
      </c>
      <c r="U893" s="137">
        <v>0</v>
      </c>
      <c r="V893" s="126" t="str">
        <f t="shared" si="26"/>
        <v>❌ Not on Best Plan</v>
      </c>
      <c r="W893" s="130" t="str">
        <f>IFERROR(_xlfn.XLOOKUP(TEXT(H893,"0000000000"),'📞 Call Tracker'!A$2:A$2000,'📞 Call Tracker'!B$2:B$2000,""),"")</f>
        <v>Joaquin</v>
      </c>
      <c r="X893" s="96">
        <f>IFERROR(_xlfn.XLOOKUP(TEXT(H893,"0000000000"),'📞 Call Tracker'!A$2:A$2000,'📞 Call Tracker'!C$2:C$2000,""),"")</f>
        <v>46067</v>
      </c>
      <c r="Y893" s="95" t="str">
        <f>IFERROR(_xlfn.XLOOKUP(TEXT(H893,"0000000000"),'📞 Call Tracker'!A$2:A$2000,'📞 Call Tracker'!D$2:D$2000,""),"")</f>
        <v>NO</v>
      </c>
      <c r="Z893" s="95" t="str">
        <f>IFERROR(_xlfn.XLOOKUP(TEXT(H893,"0000000000"),'📞 Call Tracker'!A$2:A$2000,'📞 Call Tracker'!E$2:E$2000,""),"")</f>
        <v>E3/E4</v>
      </c>
      <c r="AA893" s="145" t="str">
        <f>IFERROR(_xlfn.XLOOKUP(TEXT(H893,"0000000000"),'📞 Call Tracker'!A$2:A$2000,'📞 Call Tracker'!F$2:F$2000,""),"")</f>
        <v>MAILED OUT E3</v>
      </c>
      <c r="AB893" s="132">
        <f t="shared" si="27"/>
        <v>99</v>
      </c>
      <c r="AC893" s="79"/>
    </row>
    <row r="894" spans="1:29" ht="20.100000000000001" customHeight="1">
      <c r="A894" s="91">
        <v>45952</v>
      </c>
      <c r="B894" s="92" t="str">
        <v>Koval</v>
      </c>
      <c r="C894" s="92" t="str">
        <v>Jane</v>
      </c>
      <c r="D894" s="92" t="str">
        <v>Phoenix</v>
      </c>
      <c r="E894" s="92">
        <v>85023</v>
      </c>
      <c r="F894" s="137" t="str">
        <v>Supports the expansion and updates for energy infrastructure</v>
      </c>
      <c r="G894" s="93" t="str">
        <v>https://docket.images.azcc.gov/E000047140.pdf</v>
      </c>
      <c r="H894" s="150" t="s">
        <v>3080</v>
      </c>
      <c r="I894" s="114" t="str">
        <v>R3-47</v>
      </c>
      <c r="J894" s="94" t="str">
        <v>No</v>
      </c>
      <c r="K894" s="94" t="str">
        <v>Yes</v>
      </c>
      <c r="L894" s="137" t="str">
        <v>Y</v>
      </c>
      <c r="M894" s="94" t="str">
        <v>No</v>
      </c>
      <c r="N894" s="134" t="str">
        <v>No</v>
      </c>
      <c r="O894" s="119" t="str">
        <v>Yes</v>
      </c>
      <c r="P894" s="92" t="str">
        <v>N</v>
      </c>
      <c r="Q894" s="91">
        <v>45954</v>
      </c>
      <c r="R894" s="140">
        <v>0</v>
      </c>
      <c r="S894" s="92">
        <v>0</v>
      </c>
      <c r="T894" s="92">
        <v>0</v>
      </c>
      <c r="U894" s="137">
        <v>0</v>
      </c>
      <c r="V894" s="126" t="str">
        <f t="shared" si="26"/>
        <v>✅ On Best Plan</v>
      </c>
      <c r="W894" s="130">
        <f>IFERROR(_xlfn.XLOOKUP(TEXT(H894,"0000000000"),'📞 Call Tracker'!A$2:A$2000,'📞 Call Tracker'!B$2:B$2000,""),"")</f>
        <v>0</v>
      </c>
      <c r="X894" s="96">
        <f>IFERROR(_xlfn.XLOOKUP(TEXT(H894,"0000000000"),'📞 Call Tracker'!A$2:A$2000,'📞 Call Tracker'!C$2:C$2000,""),"")</f>
        <v>0</v>
      </c>
      <c r="Y894" s="95">
        <f>IFERROR(_xlfn.XLOOKUP(TEXT(H894,"0000000000"),'📞 Call Tracker'!A$2:A$2000,'📞 Call Tracker'!D$2:D$2000,""),"")</f>
        <v>0</v>
      </c>
      <c r="Z894" s="95">
        <f>IFERROR(_xlfn.XLOOKUP(TEXT(H894,"0000000000"),'📞 Call Tracker'!A$2:A$2000,'📞 Call Tracker'!E$2:E$2000,""),"")</f>
        <v>0</v>
      </c>
      <c r="AA894" s="145">
        <f>IFERROR(_xlfn.XLOOKUP(TEXT(H894,"0000000000"),'📞 Call Tracker'!A$2:A$2000,'📞 Call Tracker'!F$2:F$2000,""),"")</f>
        <v>0</v>
      </c>
      <c r="AB894" s="132">
        <f t="shared" si="27"/>
        <v>99</v>
      </c>
      <c r="AC894" s="79"/>
    </row>
    <row r="895" spans="1:29" ht="20.100000000000001" customHeight="1">
      <c r="A895" s="91">
        <v>45952</v>
      </c>
      <c r="B895" s="92" t="str">
        <v>Bennett</v>
      </c>
      <c r="C895" s="92" t="str">
        <v>Laura</v>
      </c>
      <c r="D895" s="92" t="str">
        <v>Buckeye</v>
      </c>
      <c r="E895" s="92">
        <v>85396</v>
      </c>
      <c r="F895" s="137" t="str">
        <v>Too many rate increases</v>
      </c>
      <c r="G895" s="93" t="str">
        <v>https://docket.images.azcc.gov/E000047139.pdf</v>
      </c>
      <c r="H895" s="150" t="s">
        <v>3087</v>
      </c>
      <c r="I895" s="114" t="str">
        <v>EPR-6w/ET-1</v>
      </c>
      <c r="J895" s="94" t="str">
        <v>No</v>
      </c>
      <c r="K895" s="94" t="str">
        <v>No</v>
      </c>
      <c r="L895" s="137" t="str">
        <v>Frozen Rate</v>
      </c>
      <c r="M895" s="94" t="str">
        <v>No</v>
      </c>
      <c r="N895" s="134" t="str">
        <v>No</v>
      </c>
      <c r="O895" s="119" t="str">
        <v>Yes</v>
      </c>
      <c r="P895" s="92" t="str">
        <v>N</v>
      </c>
      <c r="Q895" s="91">
        <v>45954</v>
      </c>
      <c r="R895" s="140">
        <v>0</v>
      </c>
      <c r="S895" s="92">
        <v>0</v>
      </c>
      <c r="T895" s="92">
        <v>0</v>
      </c>
      <c r="U895" s="137">
        <v>0</v>
      </c>
      <c r="V895" s="126" t="str">
        <f t="shared" si="26"/>
        <v>❄ Frozen Rate</v>
      </c>
      <c r="W895" s="130" t="str">
        <f>IFERROR(_xlfn.XLOOKUP(TEXT(H895,"0000000000"),'📞 Call Tracker'!A$2:A$2000,'📞 Call Tracker'!B$2:B$2000,""),"")</f>
        <v>Joaquin</v>
      </c>
      <c r="X895" s="96">
        <f>IFERROR(_xlfn.XLOOKUP(TEXT(H895,"0000000000"),'📞 Call Tracker'!A$2:A$2000,'📞 Call Tracker'!C$2:C$2000,""),"")</f>
        <v>46067</v>
      </c>
      <c r="Y895" s="95" t="str">
        <f>IFERROR(_xlfn.XLOOKUP(TEXT(H895,"0000000000"),'📞 Call Tracker'!A$2:A$2000,'📞 Call Tracker'!D$2:D$2000,""),"")</f>
        <v>YES</v>
      </c>
      <c r="Z895" s="95">
        <f>IFERROR(_xlfn.XLOOKUP(TEXT(H895,"0000000000"),'📞 Call Tracker'!A$2:A$2000,'📞 Call Tracker'!E$2:E$2000,""),"")</f>
        <v>0</v>
      </c>
      <c r="AA895" s="145" t="str">
        <f>IFERROR(_xlfn.XLOOKUP(TEXT(H895,"0000000000"),'📞 Call Tracker'!A$2:A$2000,'📞 Call Tracker'!F$2:F$2000,""),"")</f>
        <v>LEFT VOICE MESSAGE</v>
      </c>
      <c r="AB895" s="132">
        <f t="shared" si="27"/>
        <v>99</v>
      </c>
      <c r="AC895" s="79"/>
    </row>
    <row r="896" spans="1:29" ht="20.100000000000001" customHeight="1">
      <c r="A896" s="91">
        <v>45954</v>
      </c>
      <c r="B896" s="92" t="str">
        <v>Toro</v>
      </c>
      <c r="C896" s="92" t="str">
        <v>Petty</v>
      </c>
      <c r="D896" s="92" t="str">
        <v>Buckeye</v>
      </c>
      <c r="E896" s="92">
        <v>85326</v>
      </c>
      <c r="F896" s="137" t="str">
        <v>I object to this rate increase due to the excessive executive pay</v>
      </c>
      <c r="G896" s="93" t="str">
        <v>https://docket.images.azcc.gov/E000047175.pdf</v>
      </c>
      <c r="H896" s="150" t="s">
        <v>3091</v>
      </c>
      <c r="I896" s="114" t="str">
        <v>RCPw/RTOUE47</v>
      </c>
      <c r="J896" s="94" t="str">
        <v>No</v>
      </c>
      <c r="K896" s="94" t="str">
        <v>No</v>
      </c>
      <c r="L896" s="137" t="str">
        <v>Y</v>
      </c>
      <c r="M896" s="94" t="str">
        <v>Yes</v>
      </c>
      <c r="N896" s="134">
        <v>384.67</v>
      </c>
      <c r="O896" s="119" t="str">
        <v>Yes</v>
      </c>
      <c r="P896" s="92" t="str">
        <v>N</v>
      </c>
      <c r="Q896" s="91">
        <v>45960</v>
      </c>
      <c r="R896" s="140">
        <v>0</v>
      </c>
      <c r="S896" s="92">
        <v>0</v>
      </c>
      <c r="T896" s="92">
        <v>0</v>
      </c>
      <c r="U896" s="137">
        <v>0</v>
      </c>
      <c r="V896" s="126" t="str">
        <f t="shared" si="26"/>
        <v>✅ On Best Plan</v>
      </c>
      <c r="W896" s="130">
        <f>IFERROR(_xlfn.XLOOKUP(TEXT(H896,"0000000000"),'📞 Call Tracker'!A$2:A$2000,'📞 Call Tracker'!B$2:B$2000,""),"")</f>
        <v>0</v>
      </c>
      <c r="X896" s="96">
        <f>IFERROR(_xlfn.XLOOKUP(TEXT(H896,"0000000000"),'📞 Call Tracker'!A$2:A$2000,'📞 Call Tracker'!C$2:C$2000,""),"")</f>
        <v>0</v>
      </c>
      <c r="Y896" s="95">
        <f>IFERROR(_xlfn.XLOOKUP(TEXT(H896,"0000000000"),'📞 Call Tracker'!A$2:A$2000,'📞 Call Tracker'!D$2:D$2000,""),"")</f>
        <v>0</v>
      </c>
      <c r="Z896" s="95">
        <f>IFERROR(_xlfn.XLOOKUP(TEXT(H896,"0000000000"),'📞 Call Tracker'!A$2:A$2000,'📞 Call Tracker'!E$2:E$2000,""),"")</f>
        <v>0</v>
      </c>
      <c r="AA896" s="145">
        <f>IFERROR(_xlfn.XLOOKUP(TEXT(H896,"0000000000"),'📞 Call Tracker'!A$2:A$2000,'📞 Call Tracker'!F$2:F$2000,""),"")</f>
        <v>0</v>
      </c>
      <c r="AB896" s="132">
        <f t="shared" si="27"/>
        <v>99</v>
      </c>
      <c r="AC896" s="79"/>
    </row>
    <row r="897" spans="1:29" ht="20.100000000000001" customHeight="1">
      <c r="A897" s="91">
        <v>45954</v>
      </c>
      <c r="B897" s="92" t="str">
        <v>Hagen</v>
      </c>
      <c r="C897" s="92" t="str">
        <v>Nicholas</v>
      </c>
      <c r="D897" s="92" t="str">
        <v>Peoria</v>
      </c>
      <c r="E897" s="92">
        <v>85383</v>
      </c>
      <c r="F897" s="137" t="str">
        <v>Rates are already too high and lack of competition</v>
      </c>
      <c r="G897" s="93" t="str">
        <v>https://docket.images.azcc.gov/E000047175.pdf</v>
      </c>
      <c r="H897" s="150" t="s">
        <v>3095</v>
      </c>
      <c r="I897" s="114" t="str">
        <v>R3-47</v>
      </c>
      <c r="J897" s="94" t="str">
        <v>No</v>
      </c>
      <c r="K897" s="94" t="str">
        <v>No</v>
      </c>
      <c r="L897" s="137" t="str">
        <v>Y</v>
      </c>
      <c r="M897" s="94" t="str">
        <v>No</v>
      </c>
      <c r="N897" s="134" t="str">
        <v>No</v>
      </c>
      <c r="O897" s="119" t="str">
        <v>Yes</v>
      </c>
      <c r="P897" s="92" t="str">
        <v>N</v>
      </c>
      <c r="Q897" s="91">
        <v>45960</v>
      </c>
      <c r="R897" s="140">
        <v>0</v>
      </c>
      <c r="S897" s="92">
        <v>0</v>
      </c>
      <c r="T897" s="92">
        <v>0</v>
      </c>
      <c r="U897" s="137">
        <v>0</v>
      </c>
      <c r="V897" s="126" t="str">
        <f t="shared" si="26"/>
        <v>✅ On Best Plan</v>
      </c>
      <c r="W897" s="130" t="str">
        <f>IFERROR(_xlfn.XLOOKUP(TEXT(H897,"0000000000"),'📞 Call Tracker'!A$2:A$2000,'📞 Call Tracker'!B$2:B$2000,""),"")</f>
        <v>Joaquin</v>
      </c>
      <c r="X897" s="96">
        <f>IFERROR(_xlfn.XLOOKUP(TEXT(H897,"0000000000"),'📞 Call Tracker'!A$2:A$2000,'📞 Call Tracker'!C$2:C$2000,""),"")</f>
        <v>46067</v>
      </c>
      <c r="Y897" s="95" t="str">
        <f>IFERROR(_xlfn.XLOOKUP(TEXT(H897,"0000000000"),'📞 Call Tracker'!A$2:A$2000,'📞 Call Tracker'!D$2:D$2000,""),"")</f>
        <v>YES</v>
      </c>
      <c r="Z897" s="95">
        <f>IFERROR(_xlfn.XLOOKUP(TEXT(H897,"0000000000"),'📞 Call Tracker'!A$2:A$2000,'📞 Call Tracker'!E$2:E$2000,""),"")</f>
        <v>0</v>
      </c>
      <c r="AA897" s="145" t="str">
        <f>IFERROR(_xlfn.XLOOKUP(TEXT(H897,"0000000000"),'📞 Call Tracker'!A$2:A$2000,'📞 Call Tracker'!F$2:F$2000,""),"")</f>
        <v>LEFT VOICE MESSAGE</v>
      </c>
      <c r="AB897" s="132">
        <f t="shared" si="27"/>
        <v>99</v>
      </c>
      <c r="AC897" s="79"/>
    </row>
    <row r="898" spans="1:29" ht="20.100000000000001" customHeight="1">
      <c r="A898" s="91">
        <v>45954</v>
      </c>
      <c r="B898" s="92" t="str">
        <v>Dayton</v>
      </c>
      <c r="C898" s="92" t="str">
        <v>Michael</v>
      </c>
      <c r="D898" s="92" t="str">
        <v>Goodyear</v>
      </c>
      <c r="E898" s="92">
        <v>85395</v>
      </c>
      <c r="F898" s="137" t="str">
        <v>For families like mine, the continued rise in utility costs presents a significant burden.</v>
      </c>
      <c r="G898" s="93" t="str">
        <v>https://docket.images.azcc.gov/E000047175.pdf</v>
      </c>
      <c r="H898" s="150" t="s">
        <v>3098</v>
      </c>
      <c r="I898" s="114" t="str">
        <v>EPR-6w/ET-2</v>
      </c>
      <c r="J898" s="94" t="str">
        <v>No</v>
      </c>
      <c r="K898" s="94" t="str">
        <v>No</v>
      </c>
      <c r="L898" s="137" t="str">
        <v>Frozen Rate</v>
      </c>
      <c r="M898" s="94" t="str">
        <v>No</v>
      </c>
      <c r="N898" s="134" t="str">
        <v>No</v>
      </c>
      <c r="O898" s="119" t="str">
        <v>Yes</v>
      </c>
      <c r="P898" s="92" t="str">
        <v>N</v>
      </c>
      <c r="Q898" s="91">
        <v>45960</v>
      </c>
      <c r="R898" s="140">
        <v>0</v>
      </c>
      <c r="S898" s="92">
        <v>0</v>
      </c>
      <c r="T898" s="92">
        <v>0</v>
      </c>
      <c r="U898" s="137">
        <v>0</v>
      </c>
      <c r="V898" s="126" t="str">
        <f t="shared" si="26"/>
        <v>❄ Frozen Rate</v>
      </c>
      <c r="W898" s="130" t="str">
        <f>IFERROR(_xlfn.XLOOKUP(TEXT(H898,"0000000000"),'📞 Call Tracker'!A$2:A$2000,'📞 Call Tracker'!B$2:B$2000,""),"")</f>
        <v>Joaquin</v>
      </c>
      <c r="X898" s="96">
        <f>IFERROR(_xlfn.XLOOKUP(TEXT(H898,"0000000000"),'📞 Call Tracker'!A$2:A$2000,'📞 Call Tracker'!C$2:C$2000,""),"")</f>
        <v>46039</v>
      </c>
      <c r="Y898" s="95" t="str">
        <f>IFERROR(_xlfn.XLOOKUP(TEXT(H898,"0000000000"),'📞 Call Tracker'!A$2:A$2000,'📞 Call Tracker'!D$2:D$2000,""),"")</f>
        <v>YES</v>
      </c>
      <c r="Z898" s="95">
        <f>IFERROR(_xlfn.XLOOKUP(TEXT(H898,"0000000000"),'📞 Call Tracker'!A$2:A$2000,'📞 Call Tracker'!E$2:E$2000,""),"")</f>
        <v>0</v>
      </c>
      <c r="AA898" s="145" t="str">
        <f>IFERROR(_xlfn.XLOOKUP(TEXT(H898,"0000000000"),'📞 Call Tracker'!A$2:A$2000,'📞 Call Tracker'!F$2:F$2000,""),"")</f>
        <v>SOLAR ACCT</v>
      </c>
      <c r="AB898" s="132">
        <f t="shared" si="27"/>
        <v>99</v>
      </c>
      <c r="AC898" s="79"/>
    </row>
    <row r="899" spans="1:29" ht="20.100000000000001" customHeight="1">
      <c r="A899" s="91">
        <v>45954</v>
      </c>
      <c r="B899" s="92" t="str">
        <v>Summons</v>
      </c>
      <c r="C899" s="92" t="str">
        <v>Miranda</v>
      </c>
      <c r="D899" s="92" t="str">
        <v>Phoenix</v>
      </c>
      <c r="E899" s="92">
        <v>85003</v>
      </c>
      <c r="F899" s="137" t="str">
        <v>I am against the rate increase</v>
      </c>
      <c r="G899" s="93" t="str">
        <v>https://docket.images.azcc.gov/E000047191.pdf</v>
      </c>
      <c r="H899" s="150" t="s">
        <v>3104</v>
      </c>
      <c r="I899" s="114" t="str">
        <v>R-BASIC</v>
      </c>
      <c r="J899" s="94" t="str">
        <v>No</v>
      </c>
      <c r="K899" s="94" t="str">
        <v>No</v>
      </c>
      <c r="L899" s="137" t="str">
        <v>No MEP R3-47 ($3.61)</v>
      </c>
      <c r="M899" s="94" t="str">
        <v>Yes</v>
      </c>
      <c r="N899" s="134">
        <v>398.69</v>
      </c>
      <c r="O899" s="119" t="str">
        <v>Yes</v>
      </c>
      <c r="P899" s="92" t="str">
        <v>N</v>
      </c>
      <c r="Q899" s="91">
        <v>45960</v>
      </c>
      <c r="R899" s="140">
        <v>0</v>
      </c>
      <c r="S899" s="92">
        <v>0</v>
      </c>
      <c r="T899" s="92">
        <v>0</v>
      </c>
      <c r="U899" s="137">
        <v>0</v>
      </c>
      <c r="V899" s="126" t="str">
        <f t="shared" ref="V899:V962" si="28">IF(OR(LEFT(TRIM(L899),3)="Yes",TRIM(L899)="Y"),"✅ On Best Plan",IF(OR(L899="Frozen Rate",L899="Frozen Plan"),"❄ Frozen Rate",IF(OR(L899="Not able to Compare",L899="Info Not Avail",L899="NA",L899=""),"⚠ Unknown","❌ Not on Best Plan")))</f>
        <v>❌ Not on Best Plan</v>
      </c>
      <c r="W899" s="130" t="str">
        <f>IFERROR(_xlfn.XLOOKUP(TEXT(H899,"0000000000"),'📞 Call Tracker'!A$2:A$2000,'📞 Call Tracker'!B$2:B$2000,""),"")</f>
        <v>Joaquin</v>
      </c>
      <c r="X899" s="96">
        <f>IFERROR(_xlfn.XLOOKUP(TEXT(H899,"0000000000"),'📞 Call Tracker'!A$2:A$2000,'📞 Call Tracker'!C$2:C$2000,""),"")</f>
        <v>46067</v>
      </c>
      <c r="Y899" s="95" t="str">
        <f>IFERROR(_xlfn.XLOOKUP(TEXT(H899,"0000000000"),'📞 Call Tracker'!A$2:A$2000,'📞 Call Tracker'!D$2:D$2000,""),"")</f>
        <v>YES</v>
      </c>
      <c r="Z899" s="95">
        <f>IFERROR(_xlfn.XLOOKUP(TEXT(H899,"0000000000"),'📞 Call Tracker'!A$2:A$2000,'📞 Call Tracker'!E$2:E$2000,""),"")</f>
        <v>0</v>
      </c>
      <c r="AA899" s="145" t="str">
        <f>IFERROR(_xlfn.XLOOKUP(TEXT(H899,"0000000000"),'📞 Call Tracker'!A$2:A$2000,'📞 Call Tracker'!F$2:F$2000,""),"")</f>
        <v>LEFT VOICE MESSAGE</v>
      </c>
      <c r="AB899" s="132">
        <f t="shared" ref="AB899:AB962" si="29">IF(OR(H899="",X899&lt;&gt;""),99,IF(AND(NOT(OR(LEFT(TRIM(L899),3)="Yes",TRIM(L899)="Y",L899="Frozen Rate",L899="Frozen Plan",L899="Not able to Compare",L899="Info Not Avail",L899="NA",L899="")),AND(N899&lt;&gt;"No",N899&lt;&gt;"")),1,IF(NOT(OR(LEFT(TRIM(L899),3)="Yes",TRIM(L899)="Y",L899="Frozen Rate",L899="Frozen Plan",L899="Not able to Compare",L899="Info Not Avail",L899="NA",L899="")),2,IF(AND(N899&lt;&gt;"No",N899&lt;&gt;""),3,4))))</f>
        <v>99</v>
      </c>
      <c r="AC899" s="79"/>
    </row>
    <row r="900" spans="1:29" ht="20.100000000000001" customHeight="1">
      <c r="A900" s="91">
        <v>45959</v>
      </c>
      <c r="B900" s="92" t="str">
        <v>Byman</v>
      </c>
      <c r="C900" s="92" t="str">
        <v>Rachel</v>
      </c>
      <c r="D900" s="92" t="str">
        <v>Phoenix</v>
      </c>
      <c r="E900" s="92">
        <v>85086</v>
      </c>
      <c r="F900" s="137" t="str">
        <v>Form Letter: Enough is enough! You must reject the latest 14% rate hikes by APS and TEP</v>
      </c>
      <c r="G900" s="93" t="str">
        <v>https://docket.images.azcc.gov/E000047270.pdf</v>
      </c>
      <c r="H900" s="150" t="s">
        <v>3108</v>
      </c>
      <c r="I900" s="114" t="str">
        <v>R3-47</v>
      </c>
      <c r="J900" s="94" t="str">
        <v>Yes</v>
      </c>
      <c r="K900" s="94" t="str">
        <v>No</v>
      </c>
      <c r="L900" s="137" t="str">
        <v>No MEP RTOUE ($1.30)</v>
      </c>
      <c r="M900" s="94" t="str">
        <v>Yes</v>
      </c>
      <c r="N900" s="134">
        <v>318.62</v>
      </c>
      <c r="O900" s="119" t="str">
        <v>Yes</v>
      </c>
      <c r="P900" s="92" t="str">
        <v>N</v>
      </c>
      <c r="Q900" s="91">
        <v>45960</v>
      </c>
      <c r="R900" s="140" t="str">
        <v>Petition</v>
      </c>
      <c r="S900" s="92">
        <v>0</v>
      </c>
      <c r="T900" s="92">
        <v>0</v>
      </c>
      <c r="U900" s="137">
        <v>0</v>
      </c>
      <c r="V900" s="126" t="str">
        <f t="shared" si="28"/>
        <v>❌ Not on Best Plan</v>
      </c>
      <c r="W900" s="130" t="str">
        <f>IFERROR(_xlfn.XLOOKUP(TEXT(H900,"0000000000"),'📞 Call Tracker'!A$2:A$2000,'📞 Call Tracker'!B$2:B$2000,""),"")</f>
        <v>Joaquin</v>
      </c>
      <c r="X900" s="96">
        <f>IFERROR(_xlfn.XLOOKUP(TEXT(H900,"0000000000"),'📞 Call Tracker'!A$2:A$2000,'📞 Call Tracker'!C$2:C$2000,""),"")</f>
        <v>45997</v>
      </c>
      <c r="Y900" s="95" t="str">
        <f>IFERROR(_xlfn.XLOOKUP(TEXT(H900,"0000000000"),'📞 Call Tracker'!A$2:A$2000,'📞 Call Tracker'!D$2:D$2000,""),"")</f>
        <v>YES</v>
      </c>
      <c r="Z900" s="95">
        <f>IFERROR(_xlfn.XLOOKUP(TEXT(H900,"0000000000"),'📞 Call Tracker'!A$2:A$2000,'📞 Call Tracker'!E$2:E$2000,""),"")</f>
        <v>0</v>
      </c>
      <c r="AA900" s="145" t="str">
        <f>IFERROR(_xlfn.XLOOKUP(TEXT(H900,"0000000000"),'📞 Call Tracker'!A$2:A$2000,'📞 Call Tracker'!F$2:F$2000,""),"")</f>
        <v>2ND TIME LEAVING V-M</v>
      </c>
      <c r="AB900" s="132">
        <f t="shared" si="29"/>
        <v>99</v>
      </c>
      <c r="AC900" s="79"/>
    </row>
    <row r="901" spans="1:29" ht="20.100000000000001" customHeight="1">
      <c r="A901" s="91">
        <v>45959</v>
      </c>
      <c r="B901" s="92" t="str">
        <v>Lawson</v>
      </c>
      <c r="C901" s="92" t="str">
        <v>Kourtney</v>
      </c>
      <c r="D901" s="92" t="str">
        <v>Buckeye</v>
      </c>
      <c r="E901" s="92">
        <v>85396</v>
      </c>
      <c r="F901" s="137" t="str">
        <v>Form Letter: Enough is enough! You must reject the latest 14% rate hikes by APS and TEP</v>
      </c>
      <c r="G901" s="93" t="str">
        <v>https://docket.images.azcc.gov/E000047270.pdf</v>
      </c>
      <c r="H901" s="150" t="s">
        <v>3112</v>
      </c>
      <c r="I901" s="114" t="str">
        <v>R3-47</v>
      </c>
      <c r="J901" s="94" t="str">
        <v>No</v>
      </c>
      <c r="K901" s="94" t="str">
        <v>No</v>
      </c>
      <c r="L901" s="137" t="str">
        <v>Y</v>
      </c>
      <c r="M901" s="94" t="str">
        <v>No</v>
      </c>
      <c r="N901" s="134" t="str">
        <v>No</v>
      </c>
      <c r="O901" s="119" t="str">
        <v>Yes</v>
      </c>
      <c r="P901" s="92" t="str">
        <v>N</v>
      </c>
      <c r="Q901" s="91">
        <v>45960</v>
      </c>
      <c r="R901" s="140" t="str">
        <v>Petition</v>
      </c>
      <c r="S901" s="92">
        <v>0</v>
      </c>
      <c r="T901" s="92">
        <v>0</v>
      </c>
      <c r="U901" s="137">
        <v>0</v>
      </c>
      <c r="V901" s="126" t="str">
        <f t="shared" si="28"/>
        <v>✅ On Best Plan</v>
      </c>
      <c r="W901" s="130" t="str">
        <f>IFERROR(_xlfn.XLOOKUP(TEXT(H901,"0000000000"),'📞 Call Tracker'!A$2:A$2000,'📞 Call Tracker'!B$2:B$2000,""),"")</f>
        <v>Joaquin</v>
      </c>
      <c r="X901" s="96">
        <f>IFERROR(_xlfn.XLOOKUP(TEXT(H901,"0000000000"),'📞 Call Tracker'!A$2:A$2000,'📞 Call Tracker'!C$2:C$2000,""),"")</f>
        <v>46067</v>
      </c>
      <c r="Y901" s="95" t="str">
        <f>IFERROR(_xlfn.XLOOKUP(TEXT(H901,"0000000000"),'📞 Call Tracker'!A$2:A$2000,'📞 Call Tracker'!D$2:D$2000,""),"")</f>
        <v>NO</v>
      </c>
      <c r="Z901" s="95" t="str">
        <f>IFERROR(_xlfn.XLOOKUP(TEXT(H901,"0000000000"),'📞 Call Tracker'!A$2:A$2000,'📞 Call Tracker'!E$2:E$2000,""),"")</f>
        <v>General Education</v>
      </c>
      <c r="AA901" s="145">
        <f>IFERROR(_xlfn.XLOOKUP(TEXT(H901,"0000000000"),'📞 Call Tracker'!A$2:A$2000,'📞 Call Tracker'!F$2:F$2000,""),"")</f>
        <v>0</v>
      </c>
      <c r="AB901" s="132">
        <f t="shared" si="29"/>
        <v>99</v>
      </c>
      <c r="AC901" s="79"/>
    </row>
    <row r="902" spans="1:29" ht="20.100000000000001" customHeight="1">
      <c r="A902" s="91">
        <v>45959</v>
      </c>
      <c r="B902" s="92" t="str">
        <v>Gaietto</v>
      </c>
      <c r="C902" s="92" t="str">
        <v>Vince</v>
      </c>
      <c r="D902" s="92" t="str">
        <v>Surprise</v>
      </c>
      <c r="E902" s="92">
        <v>85387</v>
      </c>
      <c r="F902" s="137" t="str">
        <v>Form Letter: Enough is enough! You must reject the latest 14% rate hikes by APS and TEP</v>
      </c>
      <c r="G902" s="93" t="str">
        <v>https://docket.images.azcc.gov/E000047270.pdf</v>
      </c>
      <c r="H902" s="150" t="s">
        <v>3119</v>
      </c>
      <c r="I902" s="114" t="str">
        <v>R3-47</v>
      </c>
      <c r="J902" s="94" t="str">
        <v>No</v>
      </c>
      <c r="K902" s="94" t="str">
        <v>No</v>
      </c>
      <c r="L902" s="137" t="str">
        <v>Y</v>
      </c>
      <c r="M902" s="94" t="str">
        <v>No</v>
      </c>
      <c r="N902" s="134" t="str">
        <v>No</v>
      </c>
      <c r="O902" s="119" t="str">
        <v>Yes</v>
      </c>
      <c r="P902" s="92" t="str">
        <v>N</v>
      </c>
      <c r="Q902" s="91">
        <v>45960</v>
      </c>
      <c r="R902" s="140" t="str">
        <v>Petition</v>
      </c>
      <c r="S902" s="92">
        <v>0</v>
      </c>
      <c r="T902" s="92">
        <v>0</v>
      </c>
      <c r="U902" s="137">
        <v>0</v>
      </c>
      <c r="V902" s="126" t="str">
        <f t="shared" si="28"/>
        <v>✅ On Best Plan</v>
      </c>
      <c r="W902" s="130" t="str">
        <f>IFERROR(_xlfn.XLOOKUP(TEXT(H902,"0000000000"),'📞 Call Tracker'!A$2:A$2000,'📞 Call Tracker'!B$2:B$2000,""),"")</f>
        <v>Joaquin</v>
      </c>
      <c r="X902" s="96">
        <f>IFERROR(_xlfn.XLOOKUP(TEXT(H902,"0000000000"),'📞 Call Tracker'!A$2:A$2000,'📞 Call Tracker'!C$2:C$2000,""),"")</f>
        <v>46067</v>
      </c>
      <c r="Y902" s="95" t="str">
        <f>IFERROR(_xlfn.XLOOKUP(TEXT(H902,"0000000000"),'📞 Call Tracker'!A$2:A$2000,'📞 Call Tracker'!D$2:D$2000,""),"")</f>
        <v>YES</v>
      </c>
      <c r="Z902" s="95">
        <f>IFERROR(_xlfn.XLOOKUP(TEXT(H902,"0000000000"),'📞 Call Tracker'!A$2:A$2000,'📞 Call Tracker'!E$2:E$2000,""),"")</f>
        <v>0</v>
      </c>
      <c r="AA902" s="145" t="str">
        <f>IFERROR(_xlfn.XLOOKUP(TEXT(H902,"0000000000"),'📞 Call Tracker'!A$2:A$2000,'📞 Call Tracker'!F$2:F$2000,""),"")</f>
        <v>LEFT VOICE MESSAGE</v>
      </c>
      <c r="AB902" s="132">
        <f t="shared" si="29"/>
        <v>99</v>
      </c>
      <c r="AC902" s="79"/>
    </row>
    <row r="903" spans="1:29" ht="20.100000000000001" customHeight="1">
      <c r="A903" s="91">
        <v>45959</v>
      </c>
      <c r="B903" s="92" t="str">
        <v>Cantore</v>
      </c>
      <c r="C903" s="92" t="str">
        <v>Xiomara</v>
      </c>
      <c r="D903" s="92" t="str">
        <v>Surprise</v>
      </c>
      <c r="E903" s="92">
        <v>85379</v>
      </c>
      <c r="F903" s="137" t="str">
        <v>Form Letter: Enough is enough! You must reject the latest 14% rate hikes by APS and TEP</v>
      </c>
      <c r="G903" s="93" t="str">
        <v>https://docket.images.azcc.gov/E000047270.pdf</v>
      </c>
      <c r="H903" s="150" t="s">
        <v>3128</v>
      </c>
      <c r="I903" s="114" t="str">
        <v>RTOUE47</v>
      </c>
      <c r="J903" s="94" t="str">
        <v>No</v>
      </c>
      <c r="K903" s="94" t="str">
        <v>No</v>
      </c>
      <c r="L903" s="137" t="str">
        <v>No MEP RBASIC ($65.01)</v>
      </c>
      <c r="M903" s="94" t="str">
        <v>No</v>
      </c>
      <c r="N903" s="134" t="str">
        <v>No</v>
      </c>
      <c r="O903" s="119" t="str">
        <v>Yes</v>
      </c>
      <c r="P903" s="92" t="str">
        <v>N</v>
      </c>
      <c r="Q903" s="91">
        <v>45960</v>
      </c>
      <c r="R903" s="140" t="str">
        <v>Petition</v>
      </c>
      <c r="S903" s="92">
        <v>0</v>
      </c>
      <c r="T903" s="92">
        <v>0</v>
      </c>
      <c r="U903" s="137">
        <v>0</v>
      </c>
      <c r="V903" s="126" t="str">
        <f t="shared" si="28"/>
        <v>❌ Not on Best Plan</v>
      </c>
      <c r="W903" s="130">
        <f>IFERROR(_xlfn.XLOOKUP(TEXT(H903,"0000000000"),'📞 Call Tracker'!A$2:A$2000,'📞 Call Tracker'!B$2:B$2000,""),"")</f>
        <v>0</v>
      </c>
      <c r="X903" s="96">
        <f>IFERROR(_xlfn.XLOOKUP(TEXT(H903,"0000000000"),'📞 Call Tracker'!A$2:A$2000,'📞 Call Tracker'!C$2:C$2000,""),"")</f>
        <v>0</v>
      </c>
      <c r="Y903" s="95">
        <f>IFERROR(_xlfn.XLOOKUP(TEXT(H903,"0000000000"),'📞 Call Tracker'!A$2:A$2000,'📞 Call Tracker'!D$2:D$2000,""),"")</f>
        <v>0</v>
      </c>
      <c r="Z903" s="95">
        <f>IFERROR(_xlfn.XLOOKUP(TEXT(H903,"0000000000"),'📞 Call Tracker'!A$2:A$2000,'📞 Call Tracker'!E$2:E$2000,""),"")</f>
        <v>0</v>
      </c>
      <c r="AA903" s="145">
        <f>IFERROR(_xlfn.XLOOKUP(TEXT(H903,"0000000000"),'📞 Call Tracker'!A$2:A$2000,'📞 Call Tracker'!F$2:F$2000,""),"")</f>
        <v>0</v>
      </c>
      <c r="AB903" s="132">
        <f t="shared" si="29"/>
        <v>99</v>
      </c>
      <c r="AC903" s="79"/>
    </row>
    <row r="904" spans="1:29" ht="20.100000000000001" customHeight="1">
      <c r="A904" s="91">
        <v>45959</v>
      </c>
      <c r="B904" s="92" t="str">
        <v>Marino</v>
      </c>
      <c r="C904" s="92" t="str">
        <v>Susie</v>
      </c>
      <c r="D904" s="92" t="str">
        <v>Surprise</v>
      </c>
      <c r="E904" s="92">
        <v>85379</v>
      </c>
      <c r="F904" s="137" t="str">
        <v>Form Letter: Enough is enough! You must reject the latest 14% rate hikes by APS and TEP</v>
      </c>
      <c r="G904" s="93" t="str">
        <v>https://docket.images.azcc.gov/E000047270.pdf</v>
      </c>
      <c r="H904" s="150" t="s">
        <v>3133</v>
      </c>
      <c r="I904" s="114" t="str">
        <v>R-2</v>
      </c>
      <c r="J904" s="94" t="str">
        <v>No</v>
      </c>
      <c r="K904" s="94" t="str">
        <v>No</v>
      </c>
      <c r="L904" s="137" t="str">
        <v>Frozen Rate</v>
      </c>
      <c r="M904" s="94" t="str">
        <v>No</v>
      </c>
      <c r="N904" s="134" t="str">
        <v>No</v>
      </c>
      <c r="O904" s="119" t="str">
        <v>Yes</v>
      </c>
      <c r="P904" s="92" t="str">
        <v>N</v>
      </c>
      <c r="Q904" s="91">
        <v>45960</v>
      </c>
      <c r="R904" s="140" t="str">
        <v>Petition</v>
      </c>
      <c r="S904" s="92">
        <v>0</v>
      </c>
      <c r="T904" s="92">
        <v>0</v>
      </c>
      <c r="U904" s="137">
        <v>0</v>
      </c>
      <c r="V904" s="126" t="str">
        <f t="shared" si="28"/>
        <v>❄ Frozen Rate</v>
      </c>
      <c r="W904" s="130" t="str">
        <f>IFERROR(_xlfn.XLOOKUP(TEXT(H904,"0000000000"),'📞 Call Tracker'!A$2:A$2000,'📞 Call Tracker'!B$2:B$2000,""),"")</f>
        <v>Joaquin</v>
      </c>
      <c r="X904" s="96">
        <f>IFERROR(_xlfn.XLOOKUP(TEXT(H904,"0000000000"),'📞 Call Tracker'!A$2:A$2000,'📞 Call Tracker'!C$2:C$2000,""),"")</f>
        <v>46067</v>
      </c>
      <c r="Y904" s="95" t="str">
        <f>IFERROR(_xlfn.XLOOKUP(TEXT(H904,"0000000000"),'📞 Call Tracker'!A$2:A$2000,'📞 Call Tracker'!D$2:D$2000,""),"")</f>
        <v>NO</v>
      </c>
      <c r="Z904" s="95" t="str">
        <f>IFERROR(_xlfn.XLOOKUP(TEXT(H904,"0000000000"),'📞 Call Tracker'!A$2:A$2000,'📞 Call Tracker'!E$2:E$2000,""),"")</f>
        <v>Other (fill in)</v>
      </c>
      <c r="AA904" s="145" t="str">
        <f>IFERROR(_xlfn.XLOOKUP(TEXT(H904,"0000000000"),'📞 Call Tracker'!A$2:A$2000,'📞 Call Tracker'!F$2:F$2000,""),"")</f>
        <v>DID NOT WANT TO BE CALLED</v>
      </c>
      <c r="AB904" s="132">
        <f t="shared" si="29"/>
        <v>99</v>
      </c>
      <c r="AC904" s="79"/>
    </row>
    <row r="905" spans="1:29" ht="20.100000000000001" customHeight="1">
      <c r="A905" s="91">
        <v>45959</v>
      </c>
      <c r="B905" s="92" t="str">
        <v>Hughes</v>
      </c>
      <c r="C905" s="92" t="str">
        <v>Kristen</v>
      </c>
      <c r="D905" s="92" t="str">
        <v>Phoenix</v>
      </c>
      <c r="E905" s="92">
        <v>85020</v>
      </c>
      <c r="F905" s="137" t="str">
        <v>Form Letter: Enough is enough! You must reject the latest 14% rate hikes by APS and TEP</v>
      </c>
      <c r="G905" s="93" t="str">
        <v>https://docket.images.azcc.gov/E000047255.pdf</v>
      </c>
      <c r="H905" s="150" t="s">
        <v>3136</v>
      </c>
      <c r="I905" s="114" t="str">
        <v>R-XS</v>
      </c>
      <c r="J905" s="94" t="str">
        <v>No</v>
      </c>
      <c r="K905" s="94" t="str">
        <v>No</v>
      </c>
      <c r="L905" s="137" t="str">
        <v>Y</v>
      </c>
      <c r="M905" s="94" t="str">
        <v>No</v>
      </c>
      <c r="N905" s="134" t="str">
        <v>No</v>
      </c>
      <c r="O905" s="119" t="str">
        <v>Yes</v>
      </c>
      <c r="P905" s="92" t="str">
        <v>N</v>
      </c>
      <c r="Q905" s="91">
        <v>45960</v>
      </c>
      <c r="R905" s="140">
        <v>0</v>
      </c>
      <c r="S905" s="92">
        <v>0</v>
      </c>
      <c r="T905" s="92">
        <v>0</v>
      </c>
      <c r="U905" s="137">
        <v>0</v>
      </c>
      <c r="V905" s="126" t="str">
        <f t="shared" si="28"/>
        <v>✅ On Best Plan</v>
      </c>
      <c r="W905" s="130">
        <f>IFERROR(_xlfn.XLOOKUP(TEXT(H905,"0000000000"),'📞 Call Tracker'!A$2:A$2000,'📞 Call Tracker'!B$2:B$2000,""),"")</f>
        <v>0</v>
      </c>
      <c r="X905" s="96">
        <f>IFERROR(_xlfn.XLOOKUP(TEXT(H905,"0000000000"),'📞 Call Tracker'!A$2:A$2000,'📞 Call Tracker'!C$2:C$2000,""),"")</f>
        <v>0</v>
      </c>
      <c r="Y905" s="95">
        <f>IFERROR(_xlfn.XLOOKUP(TEXT(H905,"0000000000"),'📞 Call Tracker'!A$2:A$2000,'📞 Call Tracker'!D$2:D$2000,""),"")</f>
        <v>0</v>
      </c>
      <c r="Z905" s="95">
        <f>IFERROR(_xlfn.XLOOKUP(TEXT(H905,"0000000000"),'📞 Call Tracker'!A$2:A$2000,'📞 Call Tracker'!E$2:E$2000,""),"")</f>
        <v>0</v>
      </c>
      <c r="AA905" s="145">
        <f>IFERROR(_xlfn.XLOOKUP(TEXT(H905,"0000000000"),'📞 Call Tracker'!A$2:A$2000,'📞 Call Tracker'!F$2:F$2000,""),"")</f>
        <v>0</v>
      </c>
      <c r="AB905" s="132">
        <f t="shared" si="29"/>
        <v>99</v>
      </c>
      <c r="AC905" s="79"/>
    </row>
    <row r="906" spans="1:29" ht="20.100000000000001" customHeight="1">
      <c r="A906" s="91">
        <v>45959</v>
      </c>
      <c r="B906" s="92" t="str">
        <v>Jaffe</v>
      </c>
      <c r="C906" s="92" t="str">
        <v>Russell</v>
      </c>
      <c r="D906" s="92" t="str">
        <v>Buckeye</v>
      </c>
      <c r="E906" s="92">
        <v>85396</v>
      </c>
      <c r="F906" s="137" t="str">
        <v>This is an insane request in these challenging times</v>
      </c>
      <c r="G906" s="93" t="str">
        <v>https://docket.images.azcc.gov/E000047250.pdf</v>
      </c>
      <c r="H906" s="150" t="s">
        <v>3144</v>
      </c>
      <c r="I906" s="114" t="str">
        <v>R3-47</v>
      </c>
      <c r="J906" s="94" t="str">
        <v>No</v>
      </c>
      <c r="K906" s="94" t="str">
        <v>No</v>
      </c>
      <c r="L906" s="137" t="str">
        <v>Y</v>
      </c>
      <c r="M906" s="94" t="str">
        <v>No</v>
      </c>
      <c r="N906" s="134" t="str">
        <v>No</v>
      </c>
      <c r="O906" s="119" t="str">
        <v>Yes</v>
      </c>
      <c r="P906" s="92" t="str">
        <v>N</v>
      </c>
      <c r="Q906" s="91">
        <v>45960</v>
      </c>
      <c r="R906" s="140">
        <v>0</v>
      </c>
      <c r="S906" s="92">
        <v>0</v>
      </c>
      <c r="T906" s="92">
        <v>0</v>
      </c>
      <c r="U906" s="137">
        <v>0</v>
      </c>
      <c r="V906" s="126" t="str">
        <f t="shared" si="28"/>
        <v>✅ On Best Plan</v>
      </c>
      <c r="W906" s="130" t="str">
        <f>IFERROR(_xlfn.XLOOKUP(TEXT(H906,"0000000000"),'📞 Call Tracker'!A$2:A$2000,'📞 Call Tracker'!B$2:B$2000,""),"")</f>
        <v>Joaquin</v>
      </c>
      <c r="X906" s="96">
        <f>IFERROR(_xlfn.XLOOKUP(TEXT(H906,"0000000000"),'📞 Call Tracker'!A$2:A$2000,'📞 Call Tracker'!C$2:C$2000,""),"")</f>
        <v>46039</v>
      </c>
      <c r="Y906" s="95" t="str">
        <f>IFERROR(_xlfn.XLOOKUP(TEXT(H906,"0000000000"),'📞 Call Tracker'!A$2:A$2000,'📞 Call Tracker'!D$2:D$2000,""),"")</f>
        <v>YES</v>
      </c>
      <c r="Z906" s="95">
        <f>IFERROR(_xlfn.XLOOKUP(TEXT(H906,"0000000000"),'📞 Call Tracker'!A$2:A$2000,'📞 Call Tracker'!E$2:E$2000,""),"")</f>
        <v>0</v>
      </c>
      <c r="AA906" s="145" t="str">
        <f>IFERROR(_xlfn.XLOOKUP(TEXT(H906,"0000000000"),'📞 Call Tracker'!A$2:A$2000,'📞 Call Tracker'!F$2:F$2000,""),"")</f>
        <v>2ND TIME LEAVING V-M</v>
      </c>
      <c r="AB906" s="132">
        <f t="shared" si="29"/>
        <v>99</v>
      </c>
      <c r="AC906" s="79"/>
    </row>
    <row r="907" spans="1:29" ht="20.100000000000001" customHeight="1">
      <c r="A907" s="91">
        <v>45961</v>
      </c>
      <c r="B907" s="92" t="str">
        <v>Allen</v>
      </c>
      <c r="C907" s="92" t="str">
        <v>Katie</v>
      </c>
      <c r="D907" s="92" t="str">
        <v>Phoenix</v>
      </c>
      <c r="E907" s="92">
        <v>85083</v>
      </c>
      <c r="F907" s="137" t="str">
        <v>Form Letter: Enough is enough! You must reject the latest 14% rate hikes by APS and TEP</v>
      </c>
      <c r="G907" s="93" t="str">
        <v>https://docket.images.azcc.gov/E000047297.pdf</v>
      </c>
      <c r="H907" s="150" t="s">
        <v>3153</v>
      </c>
      <c r="I907" s="114" t="str">
        <v>EPR-6w/E-12</v>
      </c>
      <c r="J907" s="94" t="str">
        <v>No</v>
      </c>
      <c r="K907" s="94" t="str">
        <v>No</v>
      </c>
      <c r="L907" s="137" t="str">
        <v>Frozen Rate</v>
      </c>
      <c r="M907" s="94" t="str">
        <v>No</v>
      </c>
      <c r="N907" s="134" t="str">
        <v>No</v>
      </c>
      <c r="O907" s="119" t="str">
        <v>Yes</v>
      </c>
      <c r="P907" s="92" t="str">
        <v>N</v>
      </c>
      <c r="Q907" s="91">
        <v>45961</v>
      </c>
      <c r="R907" s="140" t="str">
        <v>Petition</v>
      </c>
      <c r="S907" s="92">
        <v>0</v>
      </c>
      <c r="T907" s="92">
        <v>0</v>
      </c>
      <c r="U907" s="137">
        <v>0</v>
      </c>
      <c r="V907" s="126" t="str">
        <f t="shared" si="28"/>
        <v>❄ Frozen Rate</v>
      </c>
      <c r="W907" s="130">
        <f>IFERROR(_xlfn.XLOOKUP(TEXT(H907,"0000000000"),'📞 Call Tracker'!A$2:A$2000,'📞 Call Tracker'!B$2:B$2000,""),"")</f>
        <v>0</v>
      </c>
      <c r="X907" s="96">
        <f>IFERROR(_xlfn.XLOOKUP(TEXT(H907,"0000000000"),'📞 Call Tracker'!A$2:A$2000,'📞 Call Tracker'!C$2:C$2000,""),"")</f>
        <v>0</v>
      </c>
      <c r="Y907" s="95">
        <f>IFERROR(_xlfn.XLOOKUP(TEXT(H907,"0000000000"),'📞 Call Tracker'!A$2:A$2000,'📞 Call Tracker'!D$2:D$2000,""),"")</f>
        <v>0</v>
      </c>
      <c r="Z907" s="95">
        <f>IFERROR(_xlfn.XLOOKUP(TEXT(H907,"0000000000"),'📞 Call Tracker'!A$2:A$2000,'📞 Call Tracker'!E$2:E$2000,""),"")</f>
        <v>0</v>
      </c>
      <c r="AA907" s="145">
        <f>IFERROR(_xlfn.XLOOKUP(TEXT(H907,"0000000000"),'📞 Call Tracker'!A$2:A$2000,'📞 Call Tracker'!F$2:F$2000,""),"")</f>
        <v>0</v>
      </c>
      <c r="AB907" s="132">
        <f t="shared" si="29"/>
        <v>99</v>
      </c>
      <c r="AC907" s="79"/>
    </row>
    <row r="908" spans="1:29" ht="20.100000000000001" customHeight="1">
      <c r="A908" s="91">
        <v>45961</v>
      </c>
      <c r="B908" s="92" t="str">
        <v>Anderson</v>
      </c>
      <c r="C908" s="92" t="str">
        <v>Felicia</v>
      </c>
      <c r="D908" s="92" t="str">
        <v>Coolidge</v>
      </c>
      <c r="E908" s="92">
        <v>85128</v>
      </c>
      <c r="F908" s="137" t="str">
        <v>Form Letter: Enough is enough! You must reject the latest 14% rate hikes by APS and TEP</v>
      </c>
      <c r="G908" s="93" t="str">
        <v>https://docket.images.azcc.gov/E000047297.pdf</v>
      </c>
      <c r="H908" s="150" t="s">
        <v>6736</v>
      </c>
      <c r="I908" s="114" t="str">
        <v>R3-47</v>
      </c>
      <c r="J908" s="94" t="str">
        <v>No</v>
      </c>
      <c r="K908" s="94" t="str">
        <v>No</v>
      </c>
      <c r="L908" s="137" t="str">
        <v>Y</v>
      </c>
      <c r="M908" s="94" t="str">
        <v>No</v>
      </c>
      <c r="N908" s="134" t="str">
        <v>No</v>
      </c>
      <c r="O908" s="119" t="str">
        <v>Yes</v>
      </c>
      <c r="P908" s="92" t="str">
        <v>N</v>
      </c>
      <c r="Q908" s="91">
        <v>45961</v>
      </c>
      <c r="R908" s="140" t="str">
        <v>Petition</v>
      </c>
      <c r="S908" s="92">
        <v>0</v>
      </c>
      <c r="T908" s="92">
        <v>0</v>
      </c>
      <c r="U908" s="137">
        <v>0</v>
      </c>
      <c r="V908" s="126" t="str">
        <f t="shared" si="28"/>
        <v>✅ On Best Plan</v>
      </c>
      <c r="W908" s="130" t="str">
        <f>IFERROR(_xlfn.XLOOKUP(TEXT(H908,"0000000000"),'📞 Call Tracker'!A$2:A$2000,'📞 Call Tracker'!B$2:B$2000,""),"")</f>
        <v/>
      </c>
      <c r="X908" s="96" t="str">
        <f>IFERROR(_xlfn.XLOOKUP(TEXT(H908,"0000000000"),'📞 Call Tracker'!A$2:A$2000,'📞 Call Tracker'!C$2:C$2000,""),"")</f>
        <v/>
      </c>
      <c r="Y908" s="95" t="str">
        <f>IFERROR(_xlfn.XLOOKUP(TEXT(H908,"0000000000"),'📞 Call Tracker'!A$2:A$2000,'📞 Call Tracker'!D$2:D$2000,""),"")</f>
        <v/>
      </c>
      <c r="Z908" s="95" t="str">
        <f>IFERROR(_xlfn.XLOOKUP(TEXT(H908,"0000000000"),'📞 Call Tracker'!A$2:A$2000,'📞 Call Tracker'!E$2:E$2000,""),"")</f>
        <v/>
      </c>
      <c r="AA908" s="145" t="str">
        <f>IFERROR(_xlfn.XLOOKUP(TEXT(H908,"0000000000"),'📞 Call Tracker'!A$2:A$2000,'📞 Call Tracker'!F$2:F$2000,""),"")</f>
        <v/>
      </c>
      <c r="AB908" s="132">
        <f t="shared" si="29"/>
        <v>4</v>
      </c>
      <c r="AC908" s="79"/>
    </row>
    <row r="909" spans="1:29" ht="20.100000000000001" customHeight="1">
      <c r="A909" s="91">
        <v>45961</v>
      </c>
      <c r="B909" s="92" t="str">
        <v>Johnson</v>
      </c>
      <c r="C909" s="92" t="str">
        <v>Madison</v>
      </c>
      <c r="D909" s="92" t="str">
        <v>Peoria</v>
      </c>
      <c r="E909" s="92">
        <v>85382</v>
      </c>
      <c r="F909" s="137" t="str">
        <v>Form Letter: Enough is enough! You must reject the latest 14% rate hikes by APS and TEP</v>
      </c>
      <c r="G909" s="93" t="str">
        <v>https://docket.images.azcc.gov/E000047297.pdf</v>
      </c>
      <c r="H909" s="150" t="s">
        <v>3168</v>
      </c>
      <c r="I909" s="114" t="str">
        <v>R3-47</v>
      </c>
      <c r="J909" s="94" t="str">
        <v>No</v>
      </c>
      <c r="K909" s="94" t="str">
        <v>No</v>
      </c>
      <c r="L909" s="137" t="str">
        <v>Y</v>
      </c>
      <c r="M909" s="94" t="str">
        <v>No</v>
      </c>
      <c r="N909" s="134" t="str">
        <v>No</v>
      </c>
      <c r="O909" s="119" t="str">
        <v>Yes</v>
      </c>
      <c r="P909" s="92" t="str">
        <v>N</v>
      </c>
      <c r="Q909" s="91">
        <v>45961</v>
      </c>
      <c r="R909" s="140" t="str">
        <v>Petition</v>
      </c>
      <c r="S909" s="92">
        <v>0</v>
      </c>
      <c r="T909" s="92">
        <v>0</v>
      </c>
      <c r="U909" s="137">
        <v>0</v>
      </c>
      <c r="V909" s="126" t="str">
        <f t="shared" si="28"/>
        <v>✅ On Best Plan</v>
      </c>
      <c r="W909" s="130" t="str">
        <f>IFERROR(_xlfn.XLOOKUP(TEXT(H909,"0000000000"),'📞 Call Tracker'!A$2:A$2000,'📞 Call Tracker'!B$2:B$2000,""),"")</f>
        <v>Joaquin</v>
      </c>
      <c r="X909" s="96">
        <f>IFERROR(_xlfn.XLOOKUP(TEXT(H909,"0000000000"),'📞 Call Tracker'!A$2:A$2000,'📞 Call Tracker'!C$2:C$2000,""),"")</f>
        <v>46032</v>
      </c>
      <c r="Y909" s="95">
        <f>IFERROR(_xlfn.XLOOKUP(TEXT(H909,"0000000000"),'📞 Call Tracker'!A$2:A$2000,'📞 Call Tracker'!D$2:D$2000,""),"")</f>
        <v>0</v>
      </c>
      <c r="Z909" s="95" t="str">
        <f>IFERROR(_xlfn.XLOOKUP(TEXT(H909,"0000000000"),'📞 Call Tracker'!A$2:A$2000,'📞 Call Tracker'!E$2:E$2000,""),"")</f>
        <v>General Education</v>
      </c>
      <c r="AA909" s="145" t="str">
        <f>IFERROR(_xlfn.XLOOKUP(TEXT(H909,"0000000000"),'📞 Call Tracker'!A$2:A$2000,'📞 Call Tracker'!F$2:F$2000,""),"")</f>
        <v>OFFER OPTION TO LOWER BILL E3 --SOLAR ACCT</v>
      </c>
      <c r="AB909" s="132">
        <f t="shared" si="29"/>
        <v>99</v>
      </c>
      <c r="AC909" s="79"/>
    </row>
    <row r="910" spans="1:29" ht="20.100000000000001" customHeight="1">
      <c r="A910" s="91">
        <v>45961</v>
      </c>
      <c r="B910" s="92" t="str">
        <v>Medina</v>
      </c>
      <c r="C910" s="92" t="str">
        <v>Alexandria</v>
      </c>
      <c r="D910" s="92" t="str">
        <v>Buckeye</v>
      </c>
      <c r="E910" s="92">
        <v>85326</v>
      </c>
      <c r="F910" s="137" t="str">
        <v>Form Letter: Enough is enough! You must reject the latest 14% rate hikes by APS and TEP</v>
      </c>
      <c r="G910" s="93" t="str">
        <v>https://docket.images.azcc.gov/E000047297.pdf</v>
      </c>
      <c r="H910" s="150" t="s">
        <v>3171</v>
      </c>
      <c r="I910" s="114" t="str">
        <v>ER-6w/ET-2</v>
      </c>
      <c r="J910" s="94" t="str">
        <v>Yes</v>
      </c>
      <c r="K910" s="94" t="str">
        <v>No</v>
      </c>
      <c r="L910" s="137" t="str">
        <v>Frozen Rate</v>
      </c>
      <c r="M910" s="94" t="str">
        <v>No</v>
      </c>
      <c r="N910" s="134" t="str">
        <v>No</v>
      </c>
      <c r="O910" s="119" t="str">
        <v>Yes</v>
      </c>
      <c r="P910" s="92" t="str">
        <v>N</v>
      </c>
      <c r="Q910" s="91">
        <v>45961</v>
      </c>
      <c r="R910" s="140" t="str">
        <v>Petition</v>
      </c>
      <c r="S910" s="92">
        <v>0</v>
      </c>
      <c r="T910" s="92">
        <v>0</v>
      </c>
      <c r="U910" s="137">
        <v>0</v>
      </c>
      <c r="V910" s="126" t="str">
        <f t="shared" si="28"/>
        <v>❄ Frozen Rate</v>
      </c>
      <c r="W910" s="130" t="str">
        <f>IFERROR(_xlfn.XLOOKUP(TEXT(H910,"0000000000"),'📞 Call Tracker'!A$2:A$2000,'📞 Call Tracker'!B$2:B$2000,""),"")</f>
        <v>Joaquin</v>
      </c>
      <c r="X910" s="96">
        <f>IFERROR(_xlfn.XLOOKUP(TEXT(H910,"0000000000"),'📞 Call Tracker'!A$2:A$2000,'📞 Call Tracker'!C$2:C$2000,""),"")</f>
        <v>46067</v>
      </c>
      <c r="Y910" s="95" t="str">
        <f>IFERROR(_xlfn.XLOOKUP(TEXT(H910,"0000000000"),'📞 Call Tracker'!A$2:A$2000,'📞 Call Tracker'!D$2:D$2000,""),"")</f>
        <v>NO</v>
      </c>
      <c r="Z910" s="95" t="str">
        <f>IFERROR(_xlfn.XLOOKUP(TEXT(H910,"0000000000"),'📞 Call Tracker'!A$2:A$2000,'📞 Call Tracker'!E$2:E$2000,""),"")</f>
        <v>Other (fill in)</v>
      </c>
      <c r="AA910" s="145" t="str">
        <f>IFERROR(_xlfn.XLOOKUP(TEXT(H910,"0000000000"),'📞 Call Tracker'!A$2:A$2000,'📞 Call Tracker'!F$2:F$2000,""),"")</f>
        <v>REJECTED CALL</v>
      </c>
      <c r="AB910" s="132">
        <f t="shared" si="29"/>
        <v>99</v>
      </c>
      <c r="AC910" s="79"/>
    </row>
    <row r="911" spans="1:29" ht="20.100000000000001" customHeight="1">
      <c r="A911" s="91">
        <v>45959</v>
      </c>
      <c r="B911" s="92" t="str">
        <v>Ponce</v>
      </c>
      <c r="C911" s="92" t="str">
        <v>Joi</v>
      </c>
      <c r="D911" s="92" t="str">
        <v>Phoenix</v>
      </c>
      <c r="E911" s="92">
        <v>85032</v>
      </c>
      <c r="F911" s="137" t="str">
        <v>Form Letter: For families like mine this is simply too much</v>
      </c>
      <c r="G911" s="93" t="str">
        <v>https://docket.images.azcc.gov/E000047324.pdf</v>
      </c>
      <c r="H911" s="150" t="s">
        <v>3174</v>
      </c>
      <c r="I911" s="114" t="str">
        <v>R-BASIC</v>
      </c>
      <c r="J911" s="94" t="str">
        <v>No</v>
      </c>
      <c r="K911" s="94" t="str">
        <v>No</v>
      </c>
      <c r="L911" s="137" t="str">
        <v>Not eligible yet (needs 3 months)</v>
      </c>
      <c r="M911" s="94" t="str">
        <v>No</v>
      </c>
      <c r="N911" s="134" t="str">
        <v>No</v>
      </c>
      <c r="O911" s="119" t="str">
        <v>Yes</v>
      </c>
      <c r="P911" s="92" t="str">
        <v>N</v>
      </c>
      <c r="Q911" s="91">
        <v>45964</v>
      </c>
      <c r="R911" s="140">
        <v>0</v>
      </c>
      <c r="S911" s="92">
        <v>0</v>
      </c>
      <c r="T911" s="92">
        <v>0</v>
      </c>
      <c r="U911" s="137">
        <v>0</v>
      </c>
      <c r="V911" s="126" t="str">
        <f t="shared" si="28"/>
        <v>❌ Not on Best Plan</v>
      </c>
      <c r="W911" s="130">
        <f>IFERROR(_xlfn.XLOOKUP(TEXT(H911,"0000000000"),'📞 Call Tracker'!A$2:A$2000,'📞 Call Tracker'!B$2:B$2000,""),"")</f>
        <v>0</v>
      </c>
      <c r="X911" s="96">
        <f>IFERROR(_xlfn.XLOOKUP(TEXT(H911,"0000000000"),'📞 Call Tracker'!A$2:A$2000,'📞 Call Tracker'!C$2:C$2000,""),"")</f>
        <v>0</v>
      </c>
      <c r="Y911" s="95">
        <f>IFERROR(_xlfn.XLOOKUP(TEXT(H911,"0000000000"),'📞 Call Tracker'!A$2:A$2000,'📞 Call Tracker'!D$2:D$2000,""),"")</f>
        <v>0</v>
      </c>
      <c r="Z911" s="95">
        <f>IFERROR(_xlfn.XLOOKUP(TEXT(H911,"0000000000"),'📞 Call Tracker'!A$2:A$2000,'📞 Call Tracker'!E$2:E$2000,""),"")</f>
        <v>0</v>
      </c>
      <c r="AA911" s="145">
        <f>IFERROR(_xlfn.XLOOKUP(TEXT(H911,"0000000000"),'📞 Call Tracker'!A$2:A$2000,'📞 Call Tracker'!F$2:F$2000,""),"")</f>
        <v>0</v>
      </c>
      <c r="AB911" s="132">
        <f t="shared" si="29"/>
        <v>99</v>
      </c>
      <c r="AC911" s="79"/>
    </row>
    <row r="912" spans="1:29" ht="20.100000000000001" customHeight="1">
      <c r="A912" s="91">
        <v>45961</v>
      </c>
      <c r="B912" s="92" t="str">
        <v>Ortiz</v>
      </c>
      <c r="C912" s="92" t="str">
        <v>Noel</v>
      </c>
      <c r="D912" s="92" t="str">
        <v>Phoenix</v>
      </c>
      <c r="E912" s="92">
        <v>85050</v>
      </c>
      <c r="F912" s="137" t="str">
        <v>Form Letter: Enough is enough! You must reject the latest 14% rate hikes by APS and TEP</v>
      </c>
      <c r="G912" s="93" t="str">
        <v>https://docket.images.azcc.gov/E000047324.pdf</v>
      </c>
      <c r="H912" s="150" t="s">
        <v>3177</v>
      </c>
      <c r="I912" s="114" t="str">
        <v>R-BASIC</v>
      </c>
      <c r="J912" s="94" t="str">
        <v>No</v>
      </c>
      <c r="K912" s="94" t="str">
        <v>No</v>
      </c>
      <c r="L912" s="137" t="str">
        <v>Yes</v>
      </c>
      <c r="M912" s="94" t="str">
        <v>Yes</v>
      </c>
      <c r="N912" s="134">
        <v>302.06</v>
      </c>
      <c r="O912" s="119" t="str">
        <v>Yes</v>
      </c>
      <c r="P912" s="92" t="str">
        <v>N</v>
      </c>
      <c r="Q912" s="91">
        <v>45964</v>
      </c>
      <c r="R912" s="140">
        <v>0</v>
      </c>
      <c r="S912" s="92">
        <v>0</v>
      </c>
      <c r="T912" s="92">
        <v>0</v>
      </c>
      <c r="U912" s="137">
        <v>0</v>
      </c>
      <c r="V912" s="126" t="str">
        <f t="shared" si="28"/>
        <v>✅ On Best Plan</v>
      </c>
      <c r="W912" s="130" t="str">
        <f>IFERROR(_xlfn.XLOOKUP(TEXT(H912,"0000000000"),'📞 Call Tracker'!A$2:A$2000,'📞 Call Tracker'!B$2:B$2000,""),"")</f>
        <v>Joaquin</v>
      </c>
      <c r="X912" s="96">
        <f>IFERROR(_xlfn.XLOOKUP(TEXT(H912,"0000000000"),'📞 Call Tracker'!A$2:A$2000,'📞 Call Tracker'!C$2:C$2000,""),"")</f>
        <v>46032</v>
      </c>
      <c r="Y912" s="95" t="str">
        <f>IFERROR(_xlfn.XLOOKUP(TEXT(H912,"0000000000"),'📞 Call Tracker'!A$2:A$2000,'📞 Call Tracker'!D$2:D$2000,""),"")</f>
        <v>YES</v>
      </c>
      <c r="Z912" s="95">
        <f>IFERROR(_xlfn.XLOOKUP(TEXT(H912,"0000000000"),'📞 Call Tracker'!A$2:A$2000,'📞 Call Tracker'!E$2:E$2000,""),"")</f>
        <v>0</v>
      </c>
      <c r="AA912" s="145" t="str">
        <f>IFERROR(_xlfn.XLOOKUP(TEXT(H912,"0000000000"),'📞 Call Tracker'!A$2:A$2000,'📞 Call Tracker'!F$2:F$2000,""),"")</f>
        <v>LEFT VOICE MESSAGE</v>
      </c>
      <c r="AB912" s="132">
        <f t="shared" si="29"/>
        <v>99</v>
      </c>
      <c r="AC912" s="79"/>
    </row>
    <row r="913" spans="1:29" ht="20.100000000000001" customHeight="1">
      <c r="A913" s="91">
        <v>45959</v>
      </c>
      <c r="B913" s="92" t="str">
        <v>Fisher</v>
      </c>
      <c r="C913" s="92" t="str">
        <v>Nathan</v>
      </c>
      <c r="D913" s="92" t="str">
        <v>Phoenix</v>
      </c>
      <c r="E913" s="92">
        <v>85085</v>
      </c>
      <c r="F913" s="137" t="str">
        <v>16% increase is egregious</v>
      </c>
      <c r="G913" s="93" t="str">
        <v>https://docket.images.azcc.gov/E000047324.pdf</v>
      </c>
      <c r="H913" s="150" t="s">
        <v>3183</v>
      </c>
      <c r="I913" s="114" t="str">
        <v>R3-47</v>
      </c>
      <c r="J913" s="94" t="str">
        <v>No</v>
      </c>
      <c r="K913" s="94" t="str">
        <v>No</v>
      </c>
      <c r="L913" s="137" t="str">
        <v>Yes</v>
      </c>
      <c r="M913" s="94" t="str">
        <v>No</v>
      </c>
      <c r="N913" s="134" t="str">
        <v>No</v>
      </c>
      <c r="O913" s="119" t="str">
        <v>Yes</v>
      </c>
      <c r="P913" s="92" t="str">
        <v>N</v>
      </c>
      <c r="Q913" s="91">
        <v>45964</v>
      </c>
      <c r="R913" s="140">
        <v>0</v>
      </c>
      <c r="S913" s="92">
        <v>0</v>
      </c>
      <c r="T913" s="92">
        <v>0</v>
      </c>
      <c r="U913" s="137">
        <v>0</v>
      </c>
      <c r="V913" s="126" t="str">
        <f t="shared" si="28"/>
        <v>✅ On Best Plan</v>
      </c>
      <c r="W913" s="130" t="str">
        <f>IFERROR(_xlfn.XLOOKUP(TEXT(H913,"0000000000"),'📞 Call Tracker'!A$2:A$2000,'📞 Call Tracker'!B$2:B$2000,""),"")</f>
        <v>Joaquin</v>
      </c>
      <c r="X913" s="96">
        <f>IFERROR(_xlfn.XLOOKUP(TEXT(H913,"0000000000"),'📞 Call Tracker'!A$2:A$2000,'📞 Call Tracker'!C$2:C$2000,""),"")</f>
        <v>46032</v>
      </c>
      <c r="Y913" s="95" t="str">
        <f>IFERROR(_xlfn.XLOOKUP(TEXT(H913,"0000000000"),'📞 Call Tracker'!A$2:A$2000,'📞 Call Tracker'!D$2:D$2000,""),"")</f>
        <v>YES</v>
      </c>
      <c r="Z913" s="95">
        <f>IFERROR(_xlfn.XLOOKUP(TEXT(H913,"0000000000"),'📞 Call Tracker'!A$2:A$2000,'📞 Call Tracker'!E$2:E$2000,""),"")</f>
        <v>0</v>
      </c>
      <c r="AA913" s="145" t="str">
        <f>IFERROR(_xlfn.XLOOKUP(TEXT(H913,"0000000000"),'📞 Call Tracker'!A$2:A$2000,'📞 Call Tracker'!F$2:F$2000,""),"")</f>
        <v>LEFT VOICE MESSAGE</v>
      </c>
      <c r="AB913" s="132">
        <f t="shared" si="29"/>
        <v>99</v>
      </c>
      <c r="AC913" s="79"/>
    </row>
    <row r="914" spans="1:29" ht="20.100000000000001" customHeight="1">
      <c r="A914" s="91">
        <v>45961</v>
      </c>
      <c r="B914" s="92" t="str">
        <v>Sundell</v>
      </c>
      <c r="C914" s="92" t="str">
        <v>Michael</v>
      </c>
      <c r="D914" s="92" t="str">
        <v>Sun City West</v>
      </c>
      <c r="E914" s="92">
        <v>85375</v>
      </c>
      <c r="F914" s="137" t="str">
        <v>As a senior citizen, this rate increase request will directly affect my financial situation.</v>
      </c>
      <c r="G914" s="93" t="str">
        <v>https://docket.images.azcc.gov/0000215502.pdf</v>
      </c>
      <c r="H914" s="150" t="s">
        <v>3186</v>
      </c>
      <c r="I914" s="114" t="str">
        <v>R-2</v>
      </c>
      <c r="J914" s="94" t="str">
        <v>No</v>
      </c>
      <c r="K914" s="94" t="str">
        <v>No</v>
      </c>
      <c r="L914" s="137" t="str">
        <v>Frozen Rate</v>
      </c>
      <c r="M914" s="94" t="str">
        <v>No</v>
      </c>
      <c r="N914" s="134" t="str">
        <v>No</v>
      </c>
      <c r="O914" s="119" t="str">
        <v>Yes</v>
      </c>
      <c r="P914" s="92" t="str">
        <v>N</v>
      </c>
      <c r="Q914" s="91">
        <v>45964</v>
      </c>
      <c r="R914" s="140" t="str">
        <v>Previously filed two different ACC Complaints in 2021 and 2024</v>
      </c>
      <c r="S914" s="92">
        <v>0</v>
      </c>
      <c r="T914" s="92">
        <v>0</v>
      </c>
      <c r="U914" s="137">
        <v>0</v>
      </c>
      <c r="V914" s="126" t="str">
        <f t="shared" si="28"/>
        <v>❄ Frozen Rate</v>
      </c>
      <c r="W914" s="130" t="str">
        <f>IFERROR(_xlfn.XLOOKUP(TEXT(H914,"0000000000"),'📞 Call Tracker'!A$2:A$2000,'📞 Call Tracker'!B$2:B$2000,""),"")</f>
        <v>Joaquin</v>
      </c>
      <c r="X914" s="96">
        <f>IFERROR(_xlfn.XLOOKUP(TEXT(H914,"0000000000"),'📞 Call Tracker'!A$2:A$2000,'📞 Call Tracker'!C$2:C$2000,""),"")</f>
        <v>46067</v>
      </c>
      <c r="Y914" s="95" t="str">
        <f>IFERROR(_xlfn.XLOOKUP(TEXT(H914,"0000000000"),'📞 Call Tracker'!A$2:A$2000,'📞 Call Tracker'!D$2:D$2000,""),"")</f>
        <v>YES</v>
      </c>
      <c r="Z914" s="95">
        <f>IFERROR(_xlfn.XLOOKUP(TEXT(H914,"0000000000"),'📞 Call Tracker'!A$2:A$2000,'📞 Call Tracker'!E$2:E$2000,""),"")</f>
        <v>0</v>
      </c>
      <c r="AA914" s="145" t="str">
        <f>IFERROR(_xlfn.XLOOKUP(TEXT(H914,"0000000000"),'📞 Call Tracker'!A$2:A$2000,'📞 Call Tracker'!F$2:F$2000,""),"")</f>
        <v>LEFT VOICE MESSAGE</v>
      </c>
      <c r="AB914" s="132">
        <f t="shared" si="29"/>
        <v>99</v>
      </c>
      <c r="AC914" s="79"/>
    </row>
    <row r="915" spans="1:29" ht="20.100000000000001" customHeight="1">
      <c r="A915" s="91">
        <v>45961</v>
      </c>
      <c r="B915" s="92" t="str">
        <v>Stines</v>
      </c>
      <c r="C915" s="92" t="str">
        <v>Carol</v>
      </c>
      <c r="D915" s="92" t="str">
        <v>Unknown</v>
      </c>
      <c r="E915" s="92" t="str">
        <v>Unknown</v>
      </c>
      <c r="F915" s="137" t="str">
        <v>Stop net zero plans</v>
      </c>
      <c r="G915" s="93" t="str">
        <v>https://docket.images.azcc.gov/E000047338.pdf</v>
      </c>
      <c r="H915" s="150" t="s">
        <v>3192</v>
      </c>
      <c r="I915" s="114" t="str">
        <v>R-BASIC</v>
      </c>
      <c r="J915" s="94" t="str">
        <v>No</v>
      </c>
      <c r="K915" s="94" t="str">
        <v>No</v>
      </c>
      <c r="L915" s="137" t="str">
        <v>Yes</v>
      </c>
      <c r="M915" s="94" t="str">
        <v>No</v>
      </c>
      <c r="N915" s="134" t="str">
        <v>No</v>
      </c>
      <c r="O915" s="119" t="str">
        <v>Yes</v>
      </c>
      <c r="P915" s="92" t="str">
        <v>N</v>
      </c>
      <c r="Q915" s="91">
        <v>45965</v>
      </c>
      <c r="R915" s="140">
        <v>0</v>
      </c>
      <c r="S915" s="92">
        <v>0</v>
      </c>
      <c r="T915" s="92">
        <v>0</v>
      </c>
      <c r="U915" s="137">
        <v>0</v>
      </c>
      <c r="V915" s="126" t="str">
        <f t="shared" si="28"/>
        <v>✅ On Best Plan</v>
      </c>
      <c r="W915" s="130">
        <f>IFERROR(_xlfn.XLOOKUP(TEXT(H915,"0000000000"),'📞 Call Tracker'!A$2:A$2000,'📞 Call Tracker'!B$2:B$2000,""),"")</f>
        <v>0</v>
      </c>
      <c r="X915" s="96">
        <f>IFERROR(_xlfn.XLOOKUP(TEXT(H915,"0000000000"),'📞 Call Tracker'!A$2:A$2000,'📞 Call Tracker'!C$2:C$2000,""),"")</f>
        <v>0</v>
      </c>
      <c r="Y915" s="95">
        <f>IFERROR(_xlfn.XLOOKUP(TEXT(H915,"0000000000"),'📞 Call Tracker'!A$2:A$2000,'📞 Call Tracker'!D$2:D$2000,""),"")</f>
        <v>0</v>
      </c>
      <c r="Z915" s="95">
        <f>IFERROR(_xlfn.XLOOKUP(TEXT(H915,"0000000000"),'📞 Call Tracker'!A$2:A$2000,'📞 Call Tracker'!E$2:E$2000,""),"")</f>
        <v>0</v>
      </c>
      <c r="AA915" s="145">
        <f>IFERROR(_xlfn.XLOOKUP(TEXT(H915,"0000000000"),'📞 Call Tracker'!A$2:A$2000,'📞 Call Tracker'!F$2:F$2000,""),"")</f>
        <v>0</v>
      </c>
      <c r="AB915" s="132">
        <f t="shared" si="29"/>
        <v>99</v>
      </c>
      <c r="AC915" s="79"/>
    </row>
    <row r="916" spans="1:29" ht="20.100000000000001" customHeight="1">
      <c r="A916" s="91">
        <v>45961</v>
      </c>
      <c r="B916" s="92" t="str">
        <v>Thompson</v>
      </c>
      <c r="C916" s="92" t="str">
        <v>Greg</v>
      </c>
      <c r="D916" s="92" t="str">
        <v>Glendale</v>
      </c>
      <c r="E916" s="92">
        <v>85310</v>
      </c>
      <c r="F916" s="137" t="str">
        <v>Form Letter: Enough is enough! You must reject the latest 14% rate hikes by APS and TEP</v>
      </c>
      <c r="G916" s="93" t="str">
        <v>https://docket.images.azcc.gov/E000047365.pdf</v>
      </c>
      <c r="H916" s="150" t="s">
        <v>3195</v>
      </c>
      <c r="I916" s="114" t="str">
        <v>RCPw/RTOUE47</v>
      </c>
      <c r="J916" s="94" t="str">
        <v>No</v>
      </c>
      <c r="K916" s="94" t="str">
        <v>No</v>
      </c>
      <c r="L916" s="137" t="str">
        <v>Yes</v>
      </c>
      <c r="M916" s="94" t="str">
        <v>No</v>
      </c>
      <c r="N916" s="134" t="str">
        <v>No</v>
      </c>
      <c r="O916" s="119" t="str">
        <v>Yes</v>
      </c>
      <c r="P916" s="92" t="str">
        <v>N</v>
      </c>
      <c r="Q916" s="91">
        <v>45965</v>
      </c>
      <c r="R916" s="140">
        <v>0</v>
      </c>
      <c r="S916" s="92">
        <v>0</v>
      </c>
      <c r="T916" s="92">
        <v>0</v>
      </c>
      <c r="U916" s="137">
        <v>0</v>
      </c>
      <c r="V916" s="126" t="str">
        <f t="shared" si="28"/>
        <v>✅ On Best Plan</v>
      </c>
      <c r="W916" s="130" t="str">
        <f>IFERROR(_xlfn.XLOOKUP(TEXT(H916,"0000000000"),'📞 Call Tracker'!A$2:A$2000,'📞 Call Tracker'!B$2:B$2000,""),"")</f>
        <v>Joaquin</v>
      </c>
      <c r="X916" s="96">
        <f>IFERROR(_xlfn.XLOOKUP(TEXT(H916,"0000000000"),'📞 Call Tracker'!A$2:A$2000,'📞 Call Tracker'!C$2:C$2000,""),"")</f>
        <v>46032</v>
      </c>
      <c r="Y916" s="95" t="str">
        <f>IFERROR(_xlfn.XLOOKUP(TEXT(H916,"0000000000"),'📞 Call Tracker'!A$2:A$2000,'📞 Call Tracker'!D$2:D$2000,""),"")</f>
        <v>YES</v>
      </c>
      <c r="Z916" s="95">
        <f>IFERROR(_xlfn.XLOOKUP(TEXT(H916,"0000000000"),'📞 Call Tracker'!A$2:A$2000,'📞 Call Tracker'!E$2:E$2000,""),"")</f>
        <v>0</v>
      </c>
      <c r="AA916" s="145" t="str">
        <f>IFERROR(_xlfn.XLOOKUP(TEXT(H916,"0000000000"),'📞 Call Tracker'!A$2:A$2000,'📞 Call Tracker'!F$2:F$2000,""),"")</f>
        <v>BETTER RATE</v>
      </c>
      <c r="AB916" s="132">
        <f t="shared" si="29"/>
        <v>99</v>
      </c>
      <c r="AC916" s="79"/>
    </row>
    <row r="917" spans="1:29" ht="20.100000000000001" customHeight="1">
      <c r="A917" s="91">
        <v>45961</v>
      </c>
      <c r="B917" s="92" t="str">
        <v>Hernandez</v>
      </c>
      <c r="C917" s="92" t="str">
        <v>Maria</v>
      </c>
      <c r="D917" s="92" t="str">
        <v>Youngtown</v>
      </c>
      <c r="E917" s="92">
        <v>85363</v>
      </c>
      <c r="F917" s="137" t="str">
        <v>Form Letter: Enough is enough! You must reject the latest 14% rate hikes by APS and TEP</v>
      </c>
      <c r="G917" s="93" t="str">
        <v>https://docket.images.azcc.gov/E000047365.pdf</v>
      </c>
      <c r="H917" s="150" t="s">
        <v>3201</v>
      </c>
      <c r="I917" s="114" t="str">
        <v>RTOUE47</v>
      </c>
      <c r="J917" s="94" t="str">
        <v>No</v>
      </c>
      <c r="K917" s="94" t="str">
        <v>No</v>
      </c>
      <c r="L917" s="137" t="str">
        <v>No MEP R3-47 ($62.21)</v>
      </c>
      <c r="M917" s="94" t="str">
        <v>Yes</v>
      </c>
      <c r="N917" s="134">
        <v>1482.25</v>
      </c>
      <c r="O917" s="119" t="str">
        <v>Yes</v>
      </c>
      <c r="P917" s="92">
        <v>0</v>
      </c>
      <c r="Q917" s="91">
        <v>45965</v>
      </c>
      <c r="R917" s="140" t="str">
        <v xml:space="preserve">Assistance? In collections Note: Spanish Bill </v>
      </c>
      <c r="S917" s="92">
        <v>0</v>
      </c>
      <c r="T917" s="92">
        <v>0</v>
      </c>
      <c r="U917" s="137">
        <v>0</v>
      </c>
      <c r="V917" s="126" t="str">
        <f t="shared" si="28"/>
        <v>❌ Not on Best Plan</v>
      </c>
      <c r="W917" s="130">
        <f>IFERROR(_xlfn.XLOOKUP(TEXT(H917,"0000000000"),'📞 Call Tracker'!A$2:A$2000,'📞 Call Tracker'!B$2:B$2000,""),"")</f>
        <v>0</v>
      </c>
      <c r="X917" s="96">
        <f>IFERROR(_xlfn.XLOOKUP(TEXT(H917,"0000000000"),'📞 Call Tracker'!A$2:A$2000,'📞 Call Tracker'!C$2:C$2000,""),"")</f>
        <v>0</v>
      </c>
      <c r="Y917" s="95">
        <f>IFERROR(_xlfn.XLOOKUP(TEXT(H917,"0000000000"),'📞 Call Tracker'!A$2:A$2000,'📞 Call Tracker'!D$2:D$2000,""),"")</f>
        <v>0</v>
      </c>
      <c r="Z917" s="95">
        <f>IFERROR(_xlfn.XLOOKUP(TEXT(H917,"0000000000"),'📞 Call Tracker'!A$2:A$2000,'📞 Call Tracker'!E$2:E$2000,""),"")</f>
        <v>0</v>
      </c>
      <c r="AA917" s="145">
        <f>IFERROR(_xlfn.XLOOKUP(TEXT(H917,"0000000000"),'📞 Call Tracker'!A$2:A$2000,'📞 Call Tracker'!F$2:F$2000,""),"")</f>
        <v>0</v>
      </c>
      <c r="AB917" s="132">
        <f t="shared" si="29"/>
        <v>99</v>
      </c>
      <c r="AC917" s="79"/>
    </row>
    <row r="918" spans="1:29" ht="20.100000000000001" customHeight="1">
      <c r="A918" s="91">
        <v>45962</v>
      </c>
      <c r="B918" s="92" t="str">
        <v>Nacinovich</v>
      </c>
      <c r="C918" s="92" t="str">
        <v>Richard</v>
      </c>
      <c r="D918" s="92" t="str">
        <v>Phoenix</v>
      </c>
      <c r="E918" s="92">
        <v>85029</v>
      </c>
      <c r="F918" s="137" t="str">
        <v>reject this proposed rate increase and to ensure that the financial responsibility for new grid demand falls on the businesses creating i</v>
      </c>
      <c r="G918" s="93" t="str">
        <v>https://docket.images.azcc.gov/E000047365.pdf</v>
      </c>
      <c r="H918" s="150" t="s">
        <v>3205</v>
      </c>
      <c r="I918" s="114" t="str">
        <v>R3-47</v>
      </c>
      <c r="J918" s="94" t="str">
        <v>No</v>
      </c>
      <c r="K918" s="94" t="str">
        <v>No</v>
      </c>
      <c r="L918" s="137" t="str">
        <v>Yes</v>
      </c>
      <c r="M918" s="94" t="str">
        <v>No</v>
      </c>
      <c r="N918" s="134" t="str">
        <v>No</v>
      </c>
      <c r="O918" s="119" t="str">
        <v>Yes</v>
      </c>
      <c r="P918" s="92" t="str">
        <v>N</v>
      </c>
      <c r="Q918" s="91">
        <v>45965</v>
      </c>
      <c r="R918" s="140">
        <v>0</v>
      </c>
      <c r="S918" s="92">
        <v>0</v>
      </c>
      <c r="T918" s="92">
        <v>0</v>
      </c>
      <c r="U918" s="137">
        <v>0</v>
      </c>
      <c r="V918" s="126" t="str">
        <f t="shared" si="28"/>
        <v>✅ On Best Plan</v>
      </c>
      <c r="W918" s="130" t="str">
        <f>IFERROR(_xlfn.XLOOKUP(TEXT(H918,"0000000000"),'📞 Call Tracker'!A$2:A$2000,'📞 Call Tracker'!B$2:B$2000,""),"")</f>
        <v>Joaquin</v>
      </c>
      <c r="X918" s="96">
        <f>IFERROR(_xlfn.XLOOKUP(TEXT(H918,"0000000000"),'📞 Call Tracker'!A$2:A$2000,'📞 Call Tracker'!C$2:C$2000,""),"")</f>
        <v>46067</v>
      </c>
      <c r="Y918" s="95" t="str">
        <f>IFERROR(_xlfn.XLOOKUP(TEXT(H918,"0000000000"),'📞 Call Tracker'!A$2:A$2000,'📞 Call Tracker'!D$2:D$2000,""),"")</f>
        <v>NO</v>
      </c>
      <c r="Z918" s="95">
        <f>IFERROR(_xlfn.XLOOKUP(TEXT(H918,"0000000000"),'📞 Call Tracker'!A$2:A$2000,'📞 Call Tracker'!E$2:E$2000,""),"")</f>
        <v>0</v>
      </c>
      <c r="AA918" s="145" t="str">
        <f>IFERROR(_xlfn.XLOOKUP(TEXT(H918,"0000000000"),'📞 Call Tracker'!A$2:A$2000,'📞 Call Tracker'!F$2:F$2000,""),"")</f>
        <v>NO VOICE MAIL OPTION</v>
      </c>
      <c r="AB918" s="132">
        <f t="shared" si="29"/>
        <v>99</v>
      </c>
      <c r="AC918" s="79"/>
    </row>
    <row r="919" spans="1:29" ht="20.100000000000001" customHeight="1">
      <c r="A919" s="91">
        <v>45963</v>
      </c>
      <c r="B919" s="92" t="str">
        <v>Drobnica</v>
      </c>
      <c r="C919" s="92" t="str">
        <v>John</v>
      </c>
      <c r="D919" s="92" t="str">
        <v>Cottonwood</v>
      </c>
      <c r="E919" s="92">
        <v>86326</v>
      </c>
      <c r="F919" s="137" t="str">
        <v>Many customers are on a fixed income that isn't growing with the rates APS, Focus on providing safe, reliable and affordable energy not corporate philanthropy</v>
      </c>
      <c r="G919" s="93" t="str">
        <v>https://docket.images.azcc.gov/E000047365.pdf</v>
      </c>
      <c r="H919" s="150" t="s">
        <v>3210</v>
      </c>
      <c r="I919" s="114" t="str">
        <v>R-2</v>
      </c>
      <c r="J919" s="94" t="str">
        <v>No</v>
      </c>
      <c r="K919" s="94" t="str">
        <v>No</v>
      </c>
      <c r="L919" s="137" t="str">
        <v>Frozen Rate</v>
      </c>
      <c r="M919" s="94" t="str">
        <v>No</v>
      </c>
      <c r="N919" s="134" t="str">
        <v>No</v>
      </c>
      <c r="O919" s="119" t="str">
        <v>Yes</v>
      </c>
      <c r="P919" s="92" t="str">
        <v>N</v>
      </c>
      <c r="Q919" s="91">
        <v>45965</v>
      </c>
      <c r="R919" s="140">
        <v>0</v>
      </c>
      <c r="S919" s="92">
        <v>0</v>
      </c>
      <c r="T919" s="92">
        <v>0</v>
      </c>
      <c r="U919" s="137">
        <v>0</v>
      </c>
      <c r="V919" s="126" t="str">
        <f t="shared" si="28"/>
        <v>❄ Frozen Rate</v>
      </c>
      <c r="W919" s="130">
        <f>IFERROR(_xlfn.XLOOKUP(TEXT(H919,"0000000000"),'📞 Call Tracker'!A$2:A$2000,'📞 Call Tracker'!B$2:B$2000,""),"")</f>
        <v>0</v>
      </c>
      <c r="X919" s="96">
        <f>IFERROR(_xlfn.XLOOKUP(TEXT(H919,"0000000000"),'📞 Call Tracker'!A$2:A$2000,'📞 Call Tracker'!C$2:C$2000,""),"")</f>
        <v>0</v>
      </c>
      <c r="Y919" s="95">
        <f>IFERROR(_xlfn.XLOOKUP(TEXT(H919,"0000000000"),'📞 Call Tracker'!A$2:A$2000,'📞 Call Tracker'!D$2:D$2000,""),"")</f>
        <v>0</v>
      </c>
      <c r="Z919" s="95">
        <f>IFERROR(_xlfn.XLOOKUP(TEXT(H919,"0000000000"),'📞 Call Tracker'!A$2:A$2000,'📞 Call Tracker'!E$2:E$2000,""),"")</f>
        <v>0</v>
      </c>
      <c r="AA919" s="145">
        <f>IFERROR(_xlfn.XLOOKUP(TEXT(H919,"0000000000"),'📞 Call Tracker'!A$2:A$2000,'📞 Call Tracker'!F$2:F$2000,""),"")</f>
        <v>0</v>
      </c>
      <c r="AB919" s="132">
        <f t="shared" si="29"/>
        <v>99</v>
      </c>
      <c r="AC919" s="79"/>
    </row>
    <row r="920" spans="1:29" ht="20.100000000000001" customHeight="1">
      <c r="A920" s="91">
        <v>45965</v>
      </c>
      <c r="B920" s="92" t="str">
        <v>Susser</v>
      </c>
      <c r="C920" s="92" t="str">
        <v>Norm</v>
      </c>
      <c r="D920" s="92" t="str">
        <v>Cave Creek</v>
      </c>
      <c r="E920" s="92">
        <v>85331</v>
      </c>
      <c r="F920" s="137" t="str">
        <v>Fees, taxes, surcharges and adjustors seem excessive</v>
      </c>
      <c r="G920" s="93" t="str">
        <v>https://docket.images.azcc.gov/E000047398.pdf</v>
      </c>
      <c r="H920" s="150" t="s">
        <v>3215</v>
      </c>
      <c r="I920" s="114" t="str">
        <v>R3-47</v>
      </c>
      <c r="J920" s="94" t="str">
        <v>No</v>
      </c>
      <c r="K920" s="94" t="str">
        <v>No</v>
      </c>
      <c r="L920" s="137" t="str">
        <v>Yes</v>
      </c>
      <c r="M920" s="94" t="str">
        <v>No</v>
      </c>
      <c r="N920" s="134" t="str">
        <v>No</v>
      </c>
      <c r="O920" s="119" t="str">
        <v>Yes</v>
      </c>
      <c r="P920" s="92" t="str">
        <v>N</v>
      </c>
      <c r="Q920" s="91">
        <v>45966</v>
      </c>
      <c r="R920" s="140">
        <v>0</v>
      </c>
      <c r="S920" s="92">
        <v>0</v>
      </c>
      <c r="T920" s="92">
        <v>0</v>
      </c>
      <c r="U920" s="137">
        <v>0</v>
      </c>
      <c r="V920" s="126" t="str">
        <f t="shared" si="28"/>
        <v>✅ On Best Plan</v>
      </c>
      <c r="W920" s="130" t="str">
        <f>IFERROR(_xlfn.XLOOKUP(TEXT(H920,"0000000000"),'📞 Call Tracker'!A$2:A$2000,'📞 Call Tracker'!B$2:B$2000,""),"")</f>
        <v>Joaquin</v>
      </c>
      <c r="X920" s="96">
        <f>IFERROR(_xlfn.XLOOKUP(TEXT(H920,"0000000000"),'📞 Call Tracker'!A$2:A$2000,'📞 Call Tracker'!C$2:C$2000,""),"")</f>
        <v>46067</v>
      </c>
      <c r="Y920" s="95" t="str">
        <f>IFERROR(_xlfn.XLOOKUP(TEXT(H920,"0000000000"),'📞 Call Tracker'!A$2:A$2000,'📞 Call Tracker'!D$2:D$2000,""),"")</f>
        <v>YES</v>
      </c>
      <c r="Z920" s="95">
        <f>IFERROR(_xlfn.XLOOKUP(TEXT(H920,"0000000000"),'📞 Call Tracker'!A$2:A$2000,'📞 Call Tracker'!E$2:E$2000,""),"")</f>
        <v>0</v>
      </c>
      <c r="AA920" s="145" t="str">
        <f>IFERROR(_xlfn.XLOOKUP(TEXT(H920,"0000000000"),'📞 Call Tracker'!A$2:A$2000,'📞 Call Tracker'!F$2:F$2000,""),"")</f>
        <v>LEFT VOICE MESSAGE</v>
      </c>
      <c r="AB920" s="132">
        <f t="shared" si="29"/>
        <v>99</v>
      </c>
      <c r="AC920" s="79"/>
    </row>
    <row r="921" spans="1:29" ht="20.100000000000001" customHeight="1">
      <c r="A921" s="91">
        <v>45906</v>
      </c>
      <c r="B921" s="92" t="str">
        <v>Sellers</v>
      </c>
      <c r="C921" s="92" t="str">
        <v>Jennifer</v>
      </c>
      <c r="D921" s="92" t="str">
        <v>Flagstaff</v>
      </c>
      <c r="E921" s="92">
        <v>86005</v>
      </c>
      <c r="F921" s="137" t="str">
        <v>Form Letter: For families like mine this is simply too much</v>
      </c>
      <c r="G921" s="93" t="str">
        <v>https://docket.images.azcc.gov/E000047398.pdf</v>
      </c>
      <c r="H921" s="150" t="s">
        <v>3217</v>
      </c>
      <c r="I921" s="114" t="str">
        <v>Multiple SAs</v>
      </c>
      <c r="J921" s="94" t="str">
        <v>No</v>
      </c>
      <c r="K921" s="94" t="str">
        <v>No</v>
      </c>
      <c r="L921" s="137" t="str">
        <v>No MEP R3-47 ($176.69)</v>
      </c>
      <c r="M921" s="94" t="str">
        <v>No</v>
      </c>
      <c r="N921" s="134" t="str">
        <v>No</v>
      </c>
      <c r="O921" s="119" t="str">
        <v>Yes</v>
      </c>
      <c r="P921" s="92">
        <v>45971</v>
      </c>
      <c r="Q921" s="91">
        <v>45966</v>
      </c>
      <c r="R921" s="140" t="str">
        <v>11/10 Left VM regarding MEP at Flagstaff SA</v>
      </c>
      <c r="S921" s="92">
        <v>0</v>
      </c>
      <c r="T921" s="92">
        <v>0</v>
      </c>
      <c r="U921" s="137">
        <v>0</v>
      </c>
      <c r="V921" s="126" t="str">
        <f t="shared" si="28"/>
        <v>❌ Not on Best Plan</v>
      </c>
      <c r="W921" s="130">
        <f>IFERROR(_xlfn.XLOOKUP(TEXT(H921,"0000000000"),'📞 Call Tracker'!A$2:A$2000,'📞 Call Tracker'!B$2:B$2000,""),"")</f>
        <v>0</v>
      </c>
      <c r="X921" s="96">
        <f>IFERROR(_xlfn.XLOOKUP(TEXT(H921,"0000000000"),'📞 Call Tracker'!A$2:A$2000,'📞 Call Tracker'!C$2:C$2000,""),"")</f>
        <v>0</v>
      </c>
      <c r="Y921" s="95">
        <f>IFERROR(_xlfn.XLOOKUP(TEXT(H921,"0000000000"),'📞 Call Tracker'!A$2:A$2000,'📞 Call Tracker'!D$2:D$2000,""),"")</f>
        <v>0</v>
      </c>
      <c r="Z921" s="95">
        <f>IFERROR(_xlfn.XLOOKUP(TEXT(H921,"0000000000"),'📞 Call Tracker'!A$2:A$2000,'📞 Call Tracker'!E$2:E$2000,""),"")</f>
        <v>0</v>
      </c>
      <c r="AA921" s="145">
        <f>IFERROR(_xlfn.XLOOKUP(TEXT(H921,"0000000000"),'📞 Call Tracker'!A$2:A$2000,'📞 Call Tracker'!F$2:F$2000,""),"")</f>
        <v>0</v>
      </c>
      <c r="AB921" s="132">
        <f t="shared" si="29"/>
        <v>99</v>
      </c>
      <c r="AC921" s="79"/>
    </row>
    <row r="922" spans="1:29" ht="20.100000000000001" customHeight="1">
      <c r="A922" s="91">
        <v>45964</v>
      </c>
      <c r="B922" s="92" t="str">
        <v>Dershowitz</v>
      </c>
      <c r="C922" s="92" t="str">
        <v>Mark</v>
      </c>
      <c r="D922" s="92" t="str">
        <v>Scottsdale</v>
      </c>
      <c r="E922" s="92">
        <v>85255</v>
      </c>
      <c r="F922" s="137" t="str">
        <v>SS going up 2.8%, suggest rate increase be limited to the same</v>
      </c>
      <c r="G922" s="93" t="str">
        <v>https://docket.images.azcc.gov/E000047371.pdf</v>
      </c>
      <c r="H922" s="150" t="s">
        <v>3218</v>
      </c>
      <c r="I922" s="114" t="str">
        <v>RTOUE47</v>
      </c>
      <c r="J922" s="94" t="str">
        <v>No</v>
      </c>
      <c r="K922" s="94" t="str">
        <v>No</v>
      </c>
      <c r="L922" s="137" t="str">
        <v>No MEP R3-47 ($255.76)</v>
      </c>
      <c r="M922" s="94" t="str">
        <v>No</v>
      </c>
      <c r="N922" s="134" t="str">
        <v>No</v>
      </c>
      <c r="O922" s="119" t="str">
        <v>Yes</v>
      </c>
      <c r="P922" s="92">
        <v>45971</v>
      </c>
      <c r="Q922" s="91">
        <v>45966</v>
      </c>
      <c r="R922" s="140" t="str">
        <v xml:space="preserve">11/10 Spoke to customer briefly then he said "leave me alone" and hung up. </v>
      </c>
      <c r="S922" s="92">
        <v>0</v>
      </c>
      <c r="T922" s="92">
        <v>0</v>
      </c>
      <c r="U922" s="137">
        <v>0</v>
      </c>
      <c r="V922" s="126" t="str">
        <f t="shared" si="28"/>
        <v>❌ Not on Best Plan</v>
      </c>
      <c r="W922" s="130" t="str">
        <f>IFERROR(_xlfn.XLOOKUP(TEXT(H922,"0000000000"),'📞 Call Tracker'!A$2:A$2000,'📞 Call Tracker'!B$2:B$2000,""),"")</f>
        <v>Joaquin</v>
      </c>
      <c r="X922" s="96">
        <f>IFERROR(_xlfn.XLOOKUP(TEXT(H922,"0000000000"),'📞 Call Tracker'!A$2:A$2000,'📞 Call Tracker'!C$2:C$2000,""),"")</f>
        <v>46067</v>
      </c>
      <c r="Y922" s="95" t="str">
        <f>IFERROR(_xlfn.XLOOKUP(TEXT(H922,"0000000000"),'📞 Call Tracker'!A$2:A$2000,'📞 Call Tracker'!D$2:D$2000,""),"")</f>
        <v>YES</v>
      </c>
      <c r="Z922" s="95">
        <f>IFERROR(_xlfn.XLOOKUP(TEXT(H922,"0000000000"),'📞 Call Tracker'!A$2:A$2000,'📞 Call Tracker'!E$2:E$2000,""),"")</f>
        <v>0</v>
      </c>
      <c r="AA922" s="145" t="str">
        <f>IFERROR(_xlfn.XLOOKUP(TEXT(H922,"0000000000"),'📞 Call Tracker'!A$2:A$2000,'📞 Call Tracker'!F$2:F$2000,""),"")</f>
        <v>LEFT VOICE MESSAGE</v>
      </c>
      <c r="AB922" s="132">
        <f t="shared" si="29"/>
        <v>99</v>
      </c>
      <c r="AC922" s="79"/>
    </row>
    <row r="923" spans="1:29" ht="20.100000000000001" customHeight="1">
      <c r="A923" s="91">
        <v>45966</v>
      </c>
      <c r="B923" s="92" t="str">
        <v>Curds</v>
      </c>
      <c r="C923" s="92" t="str">
        <v>Diana</v>
      </c>
      <c r="D923" s="92" t="str">
        <v>Phoenix</v>
      </c>
      <c r="E923" s="92">
        <v>85022</v>
      </c>
      <c r="F923" s="137" t="str">
        <v>I oppose the rate hike. Bills are high enough. No one can survive paying $650.</v>
      </c>
      <c r="G923" s="93" t="str">
        <v>https://docket.images.azcc.gov/E000047425.pdf</v>
      </c>
      <c r="H923" s="150" t="s">
        <v>3222</v>
      </c>
      <c r="I923" s="114" t="str">
        <v>RTOUE47</v>
      </c>
      <c r="J923" s="94" t="str">
        <v>No</v>
      </c>
      <c r="K923" s="94" t="str">
        <v>No</v>
      </c>
      <c r="L923" s="137" t="str">
        <v>No MEP R3-47 ($113.52)</v>
      </c>
      <c r="M923" s="94" t="str">
        <v>Yes</v>
      </c>
      <c r="N923" s="134">
        <v>99.98</v>
      </c>
      <c r="O923" s="119" t="str">
        <v>Yes</v>
      </c>
      <c r="P923" s="92" t="str">
        <v>N</v>
      </c>
      <c r="Q923" s="91">
        <v>45967</v>
      </c>
      <c r="R923" s="140" t="str">
        <v>Customer filed an ACC complaint 11/3</v>
      </c>
      <c r="S923" s="92">
        <v>0</v>
      </c>
      <c r="T923" s="92">
        <v>0</v>
      </c>
      <c r="U923" s="137">
        <v>0</v>
      </c>
      <c r="V923" s="126" t="str">
        <f t="shared" si="28"/>
        <v>❌ Not on Best Plan</v>
      </c>
      <c r="W923" s="130">
        <f>IFERROR(_xlfn.XLOOKUP(TEXT(H923,"0000000000"),'📞 Call Tracker'!A$2:A$2000,'📞 Call Tracker'!B$2:B$2000,""),"")</f>
        <v>0</v>
      </c>
      <c r="X923" s="96">
        <f>IFERROR(_xlfn.XLOOKUP(TEXT(H923,"0000000000"),'📞 Call Tracker'!A$2:A$2000,'📞 Call Tracker'!C$2:C$2000,""),"")</f>
        <v>0</v>
      </c>
      <c r="Y923" s="95">
        <f>IFERROR(_xlfn.XLOOKUP(TEXT(H923,"0000000000"),'📞 Call Tracker'!A$2:A$2000,'📞 Call Tracker'!D$2:D$2000,""),"")</f>
        <v>0</v>
      </c>
      <c r="Z923" s="95">
        <f>IFERROR(_xlfn.XLOOKUP(TEXT(H923,"0000000000"),'📞 Call Tracker'!A$2:A$2000,'📞 Call Tracker'!E$2:E$2000,""),"")</f>
        <v>0</v>
      </c>
      <c r="AA923" s="145">
        <f>IFERROR(_xlfn.XLOOKUP(TEXT(H923,"0000000000"),'📞 Call Tracker'!A$2:A$2000,'📞 Call Tracker'!F$2:F$2000,""),"")</f>
        <v>0</v>
      </c>
      <c r="AB923" s="132">
        <f t="shared" si="29"/>
        <v>99</v>
      </c>
      <c r="AC923" s="79"/>
    </row>
    <row r="924" spans="1:29" ht="20.100000000000001" customHeight="1">
      <c r="A924" s="91">
        <v>45966</v>
      </c>
      <c r="B924" s="92" t="str">
        <v>Thome</v>
      </c>
      <c r="C924" s="92" t="str">
        <v>Cari</v>
      </c>
      <c r="D924" s="92" t="str">
        <v>Buckeye</v>
      </c>
      <c r="E924" s="92">
        <v>85326</v>
      </c>
      <c r="F924" s="137" t="str">
        <v>Opposed to another rate hike - they have frequently asked for rate increases</v>
      </c>
      <c r="G924" s="93" t="str">
        <v>https://docket.images.azcc.gov/E000047425.pdf</v>
      </c>
      <c r="H924" s="150" t="s">
        <v>3228</v>
      </c>
      <c r="I924" s="114" t="str">
        <v>R3-47</v>
      </c>
      <c r="J924" s="94" t="str">
        <v>No</v>
      </c>
      <c r="K924" s="94" t="str">
        <v>No</v>
      </c>
      <c r="L924" s="137" t="str">
        <v>Yes</v>
      </c>
      <c r="M924" s="94" t="str">
        <v>Yes</v>
      </c>
      <c r="N924" s="134">
        <v>1209</v>
      </c>
      <c r="O924" s="119" t="str">
        <v>Yes</v>
      </c>
      <c r="P924" s="92">
        <v>0</v>
      </c>
      <c r="Q924" s="91">
        <v>45967</v>
      </c>
      <c r="R924" s="140" t="str">
        <v>Assistance?</v>
      </c>
      <c r="S924" s="92">
        <v>0</v>
      </c>
      <c r="T924" s="92">
        <v>0</v>
      </c>
      <c r="U924" s="137">
        <v>0</v>
      </c>
      <c r="V924" s="126" t="str">
        <f t="shared" si="28"/>
        <v>✅ On Best Plan</v>
      </c>
      <c r="W924" s="130" t="str">
        <f>IFERROR(_xlfn.XLOOKUP(TEXT(H924,"0000000000"),'📞 Call Tracker'!A$2:A$2000,'📞 Call Tracker'!B$2:B$2000,""),"")</f>
        <v>Joaquin</v>
      </c>
      <c r="X924" s="96">
        <f>IFERROR(_xlfn.XLOOKUP(TEXT(H924,"0000000000"),'📞 Call Tracker'!A$2:A$2000,'📞 Call Tracker'!C$2:C$2000,""),"")</f>
        <v>46053</v>
      </c>
      <c r="Y924" s="95" t="str">
        <f>IFERROR(_xlfn.XLOOKUP(TEXT(H924,"0000000000"),'📞 Call Tracker'!A$2:A$2000,'📞 Call Tracker'!D$2:D$2000,""),"")</f>
        <v>NO</v>
      </c>
      <c r="Z924" s="95" t="str">
        <f>IFERROR(_xlfn.XLOOKUP(TEXT(H924,"0000000000"),'📞 Call Tracker'!A$2:A$2000,'📞 Call Tracker'!E$2:E$2000,""),"")</f>
        <v>General Education</v>
      </c>
      <c r="AA924" s="145" t="str">
        <f>IFERROR(_xlfn.XLOOKUP(TEXT(H924,"0000000000"),'📞 Call Tracker'!A$2:A$2000,'📞 Call Tracker'!F$2:F$2000,""),"")</f>
        <v>DOUBLE IN SPREAD SHEET</v>
      </c>
      <c r="AB924" s="132">
        <f t="shared" si="29"/>
        <v>99</v>
      </c>
      <c r="AC924" s="79"/>
    </row>
    <row r="925" spans="1:29" ht="20.100000000000001" customHeight="1">
      <c r="A925" s="91">
        <v>45967</v>
      </c>
      <c r="B925" s="92" t="str">
        <v>Boyd</v>
      </c>
      <c r="C925" s="92" t="str">
        <v>Magan</v>
      </c>
      <c r="D925" s="92" t="str">
        <v>Tonopah</v>
      </c>
      <c r="E925" s="92">
        <v>85354</v>
      </c>
      <c r="F925" s="137" t="str">
        <v>It makes no sense that the rates are higher… Issues with energy water agreements (PV).</v>
      </c>
      <c r="G925" s="93" t="str">
        <v>https://docket.images.azcc.gov/E000047432.pdf</v>
      </c>
      <c r="H925" s="150" t="s">
        <v>3230</v>
      </c>
      <c r="I925" s="114" t="str">
        <v>R3-47</v>
      </c>
      <c r="J925" s="94" t="str">
        <v>No</v>
      </c>
      <c r="K925" s="94" t="str">
        <v>No</v>
      </c>
      <c r="L925" s="137" t="str">
        <v>Yes</v>
      </c>
      <c r="M925" s="94" t="str">
        <v>Yes</v>
      </c>
      <c r="N925" s="134">
        <v>347.99</v>
      </c>
      <c r="O925" s="119" t="str">
        <v>Yes</v>
      </c>
      <c r="P925" s="92" t="str">
        <v>N</v>
      </c>
      <c r="Q925" s="91">
        <v>45968</v>
      </c>
      <c r="R925" s="140">
        <v>0</v>
      </c>
      <c r="S925" s="92">
        <v>0</v>
      </c>
      <c r="T925" s="92">
        <v>0</v>
      </c>
      <c r="U925" s="137">
        <v>0</v>
      </c>
      <c r="V925" s="126" t="str">
        <f t="shared" si="28"/>
        <v>✅ On Best Plan</v>
      </c>
      <c r="W925" s="130" t="str">
        <f>IFERROR(_xlfn.XLOOKUP(TEXT(H925,"0000000000"),'📞 Call Tracker'!A$2:A$2000,'📞 Call Tracker'!B$2:B$2000,""),"")</f>
        <v>Joaquin</v>
      </c>
      <c r="X925" s="96">
        <f>IFERROR(_xlfn.XLOOKUP(TEXT(H925,"0000000000"),'📞 Call Tracker'!A$2:A$2000,'📞 Call Tracker'!C$2:C$2000,""),"")</f>
        <v>46039</v>
      </c>
      <c r="Y925" s="95" t="str">
        <f>IFERROR(_xlfn.XLOOKUP(TEXT(H925,"0000000000"),'📞 Call Tracker'!A$2:A$2000,'📞 Call Tracker'!D$2:D$2000,""),"")</f>
        <v>YES</v>
      </c>
      <c r="Z925" s="95">
        <f>IFERROR(_xlfn.XLOOKUP(TEXT(H925,"0000000000"),'📞 Call Tracker'!A$2:A$2000,'📞 Call Tracker'!E$2:E$2000,""),"")</f>
        <v>0</v>
      </c>
      <c r="AA925" s="145">
        <f>IFERROR(_xlfn.XLOOKUP(TEXT(H925,"0000000000"),'📞 Call Tracker'!A$2:A$2000,'📞 Call Tracker'!F$2:F$2000,""),"")</f>
        <v>0</v>
      </c>
      <c r="AB925" s="132">
        <f t="shared" si="29"/>
        <v>99</v>
      </c>
      <c r="AC925" s="79"/>
    </row>
    <row r="926" spans="1:29" ht="20.100000000000001" customHeight="1">
      <c r="A926" s="91">
        <v>45967</v>
      </c>
      <c r="B926" s="92" t="str">
        <v>Arnold</v>
      </c>
      <c r="C926" s="92" t="str">
        <v>Terrence</v>
      </c>
      <c r="D926" s="92" t="str">
        <v>Glendale</v>
      </c>
      <c r="E926" s="92">
        <v>85308</v>
      </c>
      <c r="F926" s="137" t="str">
        <v>The recent APS request to rate increase of 16% is absurd</v>
      </c>
      <c r="G926" s="93" t="str">
        <v>https://docket.images.azcc.gov/E000047432.pdf</v>
      </c>
      <c r="H926" s="150" t="s">
        <v>3238</v>
      </c>
      <c r="I926" s="114" t="str">
        <v>R3-47</v>
      </c>
      <c r="J926" s="94" t="str">
        <v>No</v>
      </c>
      <c r="K926" s="94" t="str">
        <v>No</v>
      </c>
      <c r="L926" s="137" t="str">
        <v>Yes</v>
      </c>
      <c r="M926" s="94" t="str">
        <v>No</v>
      </c>
      <c r="N926" s="134" t="str">
        <v>No</v>
      </c>
      <c r="O926" s="119" t="str">
        <v>Yes</v>
      </c>
      <c r="P926" s="92" t="str">
        <v>N</v>
      </c>
      <c r="Q926" s="91">
        <v>45968</v>
      </c>
      <c r="R926" s="140">
        <v>0</v>
      </c>
      <c r="S926" s="92">
        <v>0</v>
      </c>
      <c r="T926" s="92">
        <v>0</v>
      </c>
      <c r="U926" s="137">
        <v>0</v>
      </c>
      <c r="V926" s="126" t="str">
        <f t="shared" si="28"/>
        <v>✅ On Best Plan</v>
      </c>
      <c r="W926" s="130" t="str">
        <f>IFERROR(_xlfn.XLOOKUP(TEXT(H926,"0000000000"),'📞 Call Tracker'!A$2:A$2000,'📞 Call Tracker'!B$2:B$2000,""),"")</f>
        <v>Joaquin</v>
      </c>
      <c r="X926" s="96">
        <f>IFERROR(_xlfn.XLOOKUP(TEXT(H926,"0000000000"),'📞 Call Tracker'!A$2:A$2000,'📞 Call Tracker'!C$2:C$2000,""),"")</f>
        <v>46067</v>
      </c>
      <c r="Y926" s="95" t="str">
        <f>IFERROR(_xlfn.XLOOKUP(TEXT(H926,"0000000000"),'📞 Call Tracker'!A$2:A$2000,'📞 Call Tracker'!D$2:D$2000,""),"")</f>
        <v>YES</v>
      </c>
      <c r="Z926" s="95">
        <f>IFERROR(_xlfn.XLOOKUP(TEXT(H926,"0000000000"),'📞 Call Tracker'!A$2:A$2000,'📞 Call Tracker'!E$2:E$2000,""),"")</f>
        <v>0</v>
      </c>
      <c r="AA926" s="145" t="str">
        <f>IFERROR(_xlfn.XLOOKUP(TEXT(H926,"0000000000"),'📞 Call Tracker'!A$2:A$2000,'📞 Call Tracker'!F$2:F$2000,""),"")</f>
        <v>LEFT VOICE MESSAGE</v>
      </c>
      <c r="AB926" s="132">
        <f t="shared" si="29"/>
        <v>99</v>
      </c>
      <c r="AC926" s="79"/>
    </row>
    <row r="927" spans="1:29" ht="20.100000000000001" customHeight="1">
      <c r="A927" s="91">
        <v>45967</v>
      </c>
      <c r="B927" s="92" t="str">
        <v>Jeronimo</v>
      </c>
      <c r="C927" s="92" t="str">
        <v>Esmeralda</v>
      </c>
      <c r="D927" s="92" t="str">
        <v>Phoenix</v>
      </c>
      <c r="E927" s="92">
        <v>850027</v>
      </c>
      <c r="F927" s="137" t="str">
        <v>Form Letter: Enough is enough! You must reject the latest 14% rate hikes by APS lda TEP</v>
      </c>
      <c r="G927" s="93" t="str">
        <v>https://docket.images.azcc.gov/E000047451.pdf</v>
      </c>
      <c r="H927" s="150" t="s">
        <v>3248</v>
      </c>
      <c r="I927" s="114" t="str">
        <v>RTOUE47</v>
      </c>
      <c r="J927" s="94" t="str">
        <v>No</v>
      </c>
      <c r="K927" s="94" t="str">
        <v>No</v>
      </c>
      <c r="L927" s="137" t="str">
        <v>Yes</v>
      </c>
      <c r="M927" s="94" t="str">
        <v>Yes</v>
      </c>
      <c r="N927" s="134">
        <v>933.92</v>
      </c>
      <c r="O927" s="119" t="str">
        <v>Yes</v>
      </c>
      <c r="P927" s="92">
        <v>0</v>
      </c>
      <c r="Q927" s="91">
        <v>45968</v>
      </c>
      <c r="R927" s="140" t="str">
        <v>Petition - Assistance?</v>
      </c>
      <c r="S927" s="92">
        <v>0</v>
      </c>
      <c r="T927" s="92">
        <v>0</v>
      </c>
      <c r="U927" s="137">
        <v>0</v>
      </c>
      <c r="V927" s="126" t="str">
        <f t="shared" si="28"/>
        <v>✅ On Best Plan</v>
      </c>
      <c r="W927" s="130">
        <f>IFERROR(_xlfn.XLOOKUP(TEXT(H927,"0000000000"),'📞 Call Tracker'!A$2:A$2000,'📞 Call Tracker'!B$2:B$2000,""),"")</f>
        <v>0</v>
      </c>
      <c r="X927" s="96">
        <f>IFERROR(_xlfn.XLOOKUP(TEXT(H927,"0000000000"),'📞 Call Tracker'!A$2:A$2000,'📞 Call Tracker'!C$2:C$2000,""),"")</f>
        <v>0</v>
      </c>
      <c r="Y927" s="95">
        <f>IFERROR(_xlfn.XLOOKUP(TEXT(H927,"0000000000"),'📞 Call Tracker'!A$2:A$2000,'📞 Call Tracker'!D$2:D$2000,""),"")</f>
        <v>0</v>
      </c>
      <c r="Z927" s="95">
        <f>IFERROR(_xlfn.XLOOKUP(TEXT(H927,"0000000000"),'📞 Call Tracker'!A$2:A$2000,'📞 Call Tracker'!E$2:E$2000,""),"")</f>
        <v>0</v>
      </c>
      <c r="AA927" s="145">
        <f>IFERROR(_xlfn.XLOOKUP(TEXT(H927,"0000000000"),'📞 Call Tracker'!A$2:A$2000,'📞 Call Tracker'!F$2:F$2000,""),"")</f>
        <v>0</v>
      </c>
      <c r="AB927" s="132">
        <f t="shared" si="29"/>
        <v>99</v>
      </c>
      <c r="AC927" s="79"/>
    </row>
    <row r="928" spans="1:29" ht="20.100000000000001" customHeight="1">
      <c r="A928" s="91">
        <v>45967</v>
      </c>
      <c r="B928" s="92" t="str">
        <v>McKnight</v>
      </c>
      <c r="C928" s="92" t="str">
        <v>Jasmine</v>
      </c>
      <c r="D928" s="92" t="str">
        <v>Phoenix</v>
      </c>
      <c r="E928" s="92">
        <v>85012</v>
      </c>
      <c r="F928" s="137" t="str">
        <v>Form Letter: Enough is enough! You must reject the latest 14% rate hikes by APS e TEP</v>
      </c>
      <c r="G928" s="93" t="str">
        <v>https://docket.images.azcc.gov/E000047451.pdf</v>
      </c>
      <c r="H928" s="150" t="s">
        <v>3258</v>
      </c>
      <c r="I928" s="114" t="str">
        <v>R-BASIC</v>
      </c>
      <c r="J928" s="94" t="str">
        <v>No</v>
      </c>
      <c r="K928" s="94" t="str">
        <v>No</v>
      </c>
      <c r="L928" s="137" t="str">
        <v>Yes</v>
      </c>
      <c r="M928" s="94" t="str">
        <v>No</v>
      </c>
      <c r="N928" s="134" t="str">
        <v>No</v>
      </c>
      <c r="O928" s="119" t="str">
        <v>Yes</v>
      </c>
      <c r="P928" s="92" t="str">
        <v>N</v>
      </c>
      <c r="Q928" s="91">
        <v>45968</v>
      </c>
      <c r="R928" s="140" t="str">
        <v>Petition</v>
      </c>
      <c r="S928" s="92">
        <v>0</v>
      </c>
      <c r="T928" s="92">
        <v>0</v>
      </c>
      <c r="U928" s="137">
        <v>0</v>
      </c>
      <c r="V928" s="126" t="str">
        <f t="shared" si="28"/>
        <v>✅ On Best Plan</v>
      </c>
      <c r="W928" s="130" t="str">
        <f>IFERROR(_xlfn.XLOOKUP(TEXT(H928,"0000000000"),'📞 Call Tracker'!A$2:A$2000,'📞 Call Tracker'!B$2:B$2000,""),"")</f>
        <v>Joaquin</v>
      </c>
      <c r="X928" s="96">
        <f>IFERROR(_xlfn.XLOOKUP(TEXT(H928,"0000000000"),'📞 Call Tracker'!A$2:A$2000,'📞 Call Tracker'!C$2:C$2000,""),"")</f>
        <v>46067</v>
      </c>
      <c r="Y928" s="95" t="str">
        <f>IFERROR(_xlfn.XLOOKUP(TEXT(H928,"0000000000"),'📞 Call Tracker'!A$2:A$2000,'📞 Call Tracker'!D$2:D$2000,""),"")</f>
        <v>NO</v>
      </c>
      <c r="Z928" s="95" t="str">
        <f>IFERROR(_xlfn.XLOOKUP(TEXT(H928,"0000000000"),'📞 Call Tracker'!A$2:A$2000,'📞 Call Tracker'!E$2:E$2000,""),"")</f>
        <v>General Education</v>
      </c>
      <c r="AA928" s="145">
        <f>IFERROR(_xlfn.XLOOKUP(TEXT(H928,"0000000000"),'📞 Call Tracker'!A$2:A$2000,'📞 Call Tracker'!F$2:F$2000,""),"")</f>
        <v>0</v>
      </c>
      <c r="AB928" s="132">
        <f t="shared" si="29"/>
        <v>99</v>
      </c>
      <c r="AC928" s="79"/>
    </row>
    <row r="929" spans="1:29" ht="20.100000000000001" customHeight="1">
      <c r="A929" s="91">
        <v>45974</v>
      </c>
      <c r="B929" s="92" t="str">
        <v>Ellison</v>
      </c>
      <c r="C929" s="92" t="str">
        <v>Sylvia</v>
      </c>
      <c r="D929" s="92" t="str">
        <v>Surprise</v>
      </c>
      <c r="E929" s="92">
        <v>85374</v>
      </c>
      <c r="F929" s="137" t="str">
        <v xml:space="preserve">Opposed: No options other than APS. Senior Citizens, AC is a life saving need. </v>
      </c>
      <c r="G929" s="93" t="str">
        <v>https://docket.images.azcc.gov/E000047554.pdf?i=1763105891311</v>
      </c>
      <c r="H929" s="150" t="s">
        <v>3263</v>
      </c>
      <c r="I929" s="114" t="str">
        <v>R-BASIC</v>
      </c>
      <c r="J929" s="94" t="str">
        <v>No</v>
      </c>
      <c r="K929" s="94" t="str">
        <v>No</v>
      </c>
      <c r="L929" s="137" t="str">
        <v>Yes</v>
      </c>
      <c r="M929" s="94" t="str">
        <v>No</v>
      </c>
      <c r="N929" s="134" t="str">
        <v>No</v>
      </c>
      <c r="O929" s="119" t="str">
        <v>Yes</v>
      </c>
      <c r="P929" s="92" t="str">
        <v>N</v>
      </c>
      <c r="Q929" s="91">
        <v>45978</v>
      </c>
      <c r="R929" s="140">
        <v>0</v>
      </c>
      <c r="S929" s="92">
        <v>0</v>
      </c>
      <c r="T929" s="92">
        <v>0</v>
      </c>
      <c r="U929" s="137">
        <v>0</v>
      </c>
      <c r="V929" s="126" t="str">
        <f t="shared" si="28"/>
        <v>✅ On Best Plan</v>
      </c>
      <c r="W929" s="130">
        <f>IFERROR(_xlfn.XLOOKUP(TEXT(H929,"0000000000"),'📞 Call Tracker'!A$2:A$2000,'📞 Call Tracker'!B$2:B$2000,""),"")</f>
        <v>0</v>
      </c>
      <c r="X929" s="96">
        <f>IFERROR(_xlfn.XLOOKUP(TEXT(H929,"0000000000"),'📞 Call Tracker'!A$2:A$2000,'📞 Call Tracker'!C$2:C$2000,""),"")</f>
        <v>0</v>
      </c>
      <c r="Y929" s="95">
        <f>IFERROR(_xlfn.XLOOKUP(TEXT(H929,"0000000000"),'📞 Call Tracker'!A$2:A$2000,'📞 Call Tracker'!D$2:D$2000,""),"")</f>
        <v>0</v>
      </c>
      <c r="Z929" s="95">
        <f>IFERROR(_xlfn.XLOOKUP(TEXT(H929,"0000000000"),'📞 Call Tracker'!A$2:A$2000,'📞 Call Tracker'!E$2:E$2000,""),"")</f>
        <v>0</v>
      </c>
      <c r="AA929" s="145">
        <f>IFERROR(_xlfn.XLOOKUP(TEXT(H929,"0000000000"),'📞 Call Tracker'!A$2:A$2000,'📞 Call Tracker'!F$2:F$2000,""),"")</f>
        <v>0</v>
      </c>
      <c r="AB929" s="132">
        <f t="shared" si="29"/>
        <v>99</v>
      </c>
      <c r="AC929" s="79"/>
    </row>
    <row r="930" spans="1:29" ht="20.100000000000001" customHeight="1">
      <c r="A930" s="91">
        <v>45980</v>
      </c>
      <c r="B930" s="92" t="str">
        <v>Krakora</v>
      </c>
      <c r="C930" s="92" t="str">
        <v>George</v>
      </c>
      <c r="D930" s="92" t="str">
        <v>Scottsdale</v>
      </c>
      <c r="E930" s="92">
        <v>85262</v>
      </c>
      <c r="F930" s="137" t="str">
        <v>Opposed, As a retiree with a limited income, and do not qualify for assistance</v>
      </c>
      <c r="G930" s="93" t="str">
        <v>https://docket.images.azcc.gov/E000047658.pdf</v>
      </c>
      <c r="H930" s="150" t="s">
        <v>3268</v>
      </c>
      <c r="I930" s="114" t="str">
        <v>R3-47</v>
      </c>
      <c r="J930" s="94" t="str">
        <v>No</v>
      </c>
      <c r="K930" s="94" t="str">
        <v>No</v>
      </c>
      <c r="L930" s="137" t="str">
        <v>Yes</v>
      </c>
      <c r="M930" s="94" t="str">
        <v>No</v>
      </c>
      <c r="N930" s="134" t="str">
        <v>No</v>
      </c>
      <c r="O930" s="119" t="str">
        <v>Yes</v>
      </c>
      <c r="P930" s="92" t="str">
        <v>N</v>
      </c>
      <c r="Q930" s="91">
        <v>45981</v>
      </c>
      <c r="R930" s="140">
        <v>0</v>
      </c>
      <c r="S930" s="92">
        <v>0</v>
      </c>
      <c r="T930" s="92">
        <v>0</v>
      </c>
      <c r="U930" s="137">
        <v>0</v>
      </c>
      <c r="V930" s="126" t="str">
        <f t="shared" si="28"/>
        <v>✅ On Best Plan</v>
      </c>
      <c r="W930" s="130" t="str">
        <f>IFERROR(_xlfn.XLOOKUP(TEXT(H930,"0000000000"),'📞 Call Tracker'!A$2:A$2000,'📞 Call Tracker'!B$2:B$2000,""),"")</f>
        <v>Joaquin</v>
      </c>
      <c r="X930" s="96">
        <f>IFERROR(_xlfn.XLOOKUP(TEXT(H930,"0000000000"),'📞 Call Tracker'!A$2:A$2000,'📞 Call Tracker'!C$2:C$2000,""),"")</f>
        <v>46032</v>
      </c>
      <c r="Y930" s="95" t="str">
        <f>IFERROR(_xlfn.XLOOKUP(TEXT(H930,"0000000000"),'📞 Call Tracker'!A$2:A$2000,'📞 Call Tracker'!D$2:D$2000,""),"")</f>
        <v>YES</v>
      </c>
      <c r="Z930" s="95">
        <f>IFERROR(_xlfn.XLOOKUP(TEXT(H930,"0000000000"),'📞 Call Tracker'!A$2:A$2000,'📞 Call Tracker'!E$2:E$2000,""),"")</f>
        <v>0</v>
      </c>
      <c r="AA930" s="145" t="str">
        <f>IFERROR(_xlfn.XLOOKUP(TEXT(H930,"0000000000"),'📞 Call Tracker'!A$2:A$2000,'📞 Call Tracker'!F$2:F$2000,""),"")</f>
        <v>BETTER PLAN TIME OF WITH DEMAND</v>
      </c>
      <c r="AB930" s="132">
        <f t="shared" si="29"/>
        <v>99</v>
      </c>
      <c r="AC930" s="79"/>
    </row>
    <row r="931" spans="1:29" ht="20.100000000000001" customHeight="1">
      <c r="A931" s="91">
        <v>45980</v>
      </c>
      <c r="B931" s="92" t="str">
        <v>Anand</v>
      </c>
      <c r="C931" s="92" t="str">
        <v>Anupama</v>
      </c>
      <c r="D931" s="92" t="str">
        <v>Scottsdale</v>
      </c>
      <c r="E931" s="92">
        <v>85255</v>
      </c>
      <c r="F931" s="137" t="str">
        <v>Do not approve the proposed rate increase</v>
      </c>
      <c r="G931" s="93" t="str">
        <v>https://docket.images.azcc.gov/E000047665.pdf</v>
      </c>
      <c r="H931" s="150" t="s">
        <v>3273</v>
      </c>
      <c r="I931" s="114" t="str">
        <v>R3-47</v>
      </c>
      <c r="J931" s="94" t="str">
        <v>No</v>
      </c>
      <c r="K931" s="94" t="str">
        <v>No</v>
      </c>
      <c r="L931" s="137" t="str">
        <v>No MEP RTOU47 ($53.39)</v>
      </c>
      <c r="M931" s="94" t="str">
        <v>No</v>
      </c>
      <c r="N931" s="134" t="str">
        <v>No</v>
      </c>
      <c r="O931" s="119" t="str">
        <v>Yes</v>
      </c>
      <c r="P931" s="92" t="str">
        <v>N</v>
      </c>
      <c r="Q931" s="91">
        <v>45985</v>
      </c>
      <c r="R931" s="140">
        <v>0</v>
      </c>
      <c r="S931" s="92">
        <v>0</v>
      </c>
      <c r="T931" s="92">
        <v>0</v>
      </c>
      <c r="U931" s="137">
        <v>0</v>
      </c>
      <c r="V931" s="126" t="str">
        <f t="shared" si="28"/>
        <v>❌ Not on Best Plan</v>
      </c>
      <c r="W931" s="130" t="str">
        <f>IFERROR(_xlfn.XLOOKUP(TEXT(H931,"0000000000"),'📞 Call Tracker'!A$2:A$2000,'📞 Call Tracker'!B$2:B$2000,""),"")</f>
        <v>Joaquin</v>
      </c>
      <c r="X931" s="96">
        <f>IFERROR(_xlfn.XLOOKUP(TEXT(H931,"0000000000"),'📞 Call Tracker'!A$2:A$2000,'📞 Call Tracker'!C$2:C$2000,""),"")</f>
        <v>46067</v>
      </c>
      <c r="Y931" s="95" t="str">
        <f>IFERROR(_xlfn.XLOOKUP(TEXT(H931,"0000000000"),'📞 Call Tracker'!A$2:A$2000,'📞 Call Tracker'!D$2:D$2000,""),"")</f>
        <v>YES</v>
      </c>
      <c r="Z931" s="95">
        <f>IFERROR(_xlfn.XLOOKUP(TEXT(H931,"0000000000"),'📞 Call Tracker'!A$2:A$2000,'📞 Call Tracker'!E$2:E$2000,""),"")</f>
        <v>0</v>
      </c>
      <c r="AA931" s="145" t="str">
        <f>IFERROR(_xlfn.XLOOKUP(TEXT(H931,"0000000000"),'📞 Call Tracker'!A$2:A$2000,'📞 Call Tracker'!F$2:F$2000,""),"")</f>
        <v>LEFT VOICE MESSAGE</v>
      </c>
      <c r="AB931" s="132">
        <f t="shared" si="29"/>
        <v>99</v>
      </c>
      <c r="AC931" s="79"/>
    </row>
    <row r="932" spans="1:29" ht="20.100000000000001" customHeight="1">
      <c r="A932" s="91">
        <v>45982</v>
      </c>
      <c r="B932" s="92" t="str">
        <v>Oswald</v>
      </c>
      <c r="C932" s="92" t="str">
        <v>Fred</v>
      </c>
      <c r="D932" s="92" t="str">
        <v>Prescott</v>
      </c>
      <c r="E932" s="92">
        <v>86301</v>
      </c>
      <c r="F932" s="137" t="str">
        <v>Rate hike is grossly excessive, oppose formula rates</v>
      </c>
      <c r="G932" s="93" t="str">
        <v>https://docket.images.azcc.gov/E000047735.pdf</v>
      </c>
      <c r="H932" s="150" t="s">
        <v>3276</v>
      </c>
      <c r="I932" s="114" t="str">
        <v>RCPw/RTOUE47</v>
      </c>
      <c r="J932" s="94" t="str">
        <v>No</v>
      </c>
      <c r="K932" s="94" t="str">
        <v>No</v>
      </c>
      <c r="L932" s="137" t="str">
        <v>Yes</v>
      </c>
      <c r="M932" s="94" t="str">
        <v>No</v>
      </c>
      <c r="N932" s="134" t="str">
        <v>No</v>
      </c>
      <c r="O932" s="119" t="str">
        <v>Yes</v>
      </c>
      <c r="P932" s="92" t="str">
        <v>N</v>
      </c>
      <c r="Q932" s="91">
        <v>45985</v>
      </c>
      <c r="R932" s="140">
        <v>0</v>
      </c>
      <c r="S932" s="92">
        <v>0</v>
      </c>
      <c r="T932" s="92">
        <v>0</v>
      </c>
      <c r="U932" s="137">
        <v>0</v>
      </c>
      <c r="V932" s="126" t="str">
        <f t="shared" si="28"/>
        <v>✅ On Best Plan</v>
      </c>
      <c r="W932" s="130">
        <f>IFERROR(_xlfn.XLOOKUP(TEXT(H932,"0000000000"),'📞 Call Tracker'!A$2:A$2000,'📞 Call Tracker'!B$2:B$2000,""),"")</f>
        <v>0</v>
      </c>
      <c r="X932" s="96">
        <f>IFERROR(_xlfn.XLOOKUP(TEXT(H932,"0000000000"),'📞 Call Tracker'!A$2:A$2000,'📞 Call Tracker'!C$2:C$2000,""),"")</f>
        <v>0</v>
      </c>
      <c r="Y932" s="95">
        <f>IFERROR(_xlfn.XLOOKUP(TEXT(H932,"0000000000"),'📞 Call Tracker'!A$2:A$2000,'📞 Call Tracker'!D$2:D$2000,""),"")</f>
        <v>0</v>
      </c>
      <c r="Z932" s="95">
        <f>IFERROR(_xlfn.XLOOKUP(TEXT(H932,"0000000000"),'📞 Call Tracker'!A$2:A$2000,'📞 Call Tracker'!E$2:E$2000,""),"")</f>
        <v>0</v>
      </c>
      <c r="AA932" s="145">
        <f>IFERROR(_xlfn.XLOOKUP(TEXT(H932,"0000000000"),'📞 Call Tracker'!A$2:A$2000,'📞 Call Tracker'!F$2:F$2000,""),"")</f>
        <v>0</v>
      </c>
      <c r="AB932" s="132">
        <f t="shared" si="29"/>
        <v>99</v>
      </c>
      <c r="AC932" s="79"/>
    </row>
    <row r="933" spans="1:29" ht="20.100000000000001" customHeight="1">
      <c r="A933" s="91">
        <v>45982</v>
      </c>
      <c r="B933" s="92" t="str">
        <v>Leeper</v>
      </c>
      <c r="C933" s="92" t="str">
        <v>Tom and Melissa</v>
      </c>
      <c r="D933" s="92" t="str">
        <v>Gilbert</v>
      </c>
      <c r="E933" s="92">
        <v>85233</v>
      </c>
      <c r="F933" s="137" t="str">
        <v>Stop the proposed rate hikes</v>
      </c>
      <c r="G933" s="93" t="str">
        <v>https://docket.images.azcc.gov/E000047729.pdf</v>
      </c>
      <c r="H933" s="150" t="s">
        <v>3281</v>
      </c>
      <c r="I933" s="114" t="str">
        <v>EPR6w/ET-1</v>
      </c>
      <c r="J933" s="94" t="str">
        <v>No</v>
      </c>
      <c r="K933" s="94" t="str">
        <v>No</v>
      </c>
      <c r="L933" s="137" t="str">
        <v>Frozen Rate</v>
      </c>
      <c r="M933" s="94" t="str">
        <v>No</v>
      </c>
      <c r="N933" s="134" t="str">
        <v>No</v>
      </c>
      <c r="O933" s="119" t="str">
        <v>Yes</v>
      </c>
      <c r="P933" s="92" t="str">
        <v>N</v>
      </c>
      <c r="Q933" s="91">
        <v>45985</v>
      </c>
      <c r="R933" s="140" t="str">
        <v>Filed 2x</v>
      </c>
      <c r="S933" s="92">
        <v>0</v>
      </c>
      <c r="T933" s="92">
        <v>0</v>
      </c>
      <c r="U933" s="137">
        <v>0</v>
      </c>
      <c r="V933" s="126" t="str">
        <f t="shared" si="28"/>
        <v>❄ Frozen Rate</v>
      </c>
      <c r="W933" s="130" t="str">
        <f>IFERROR(_xlfn.XLOOKUP(TEXT(H933,"0000000000"),'📞 Call Tracker'!A$2:A$2000,'📞 Call Tracker'!B$2:B$2000,""),"")</f>
        <v>Joaquin</v>
      </c>
      <c r="X933" s="96">
        <f>IFERROR(_xlfn.XLOOKUP(TEXT(H933,"0000000000"),'📞 Call Tracker'!A$2:A$2000,'📞 Call Tracker'!C$2:C$2000,""),"")</f>
        <v>46067</v>
      </c>
      <c r="Y933" s="95" t="str">
        <f>IFERROR(_xlfn.XLOOKUP(TEXT(H933,"0000000000"),'📞 Call Tracker'!A$2:A$2000,'📞 Call Tracker'!D$2:D$2000,""),"")</f>
        <v>NO</v>
      </c>
      <c r="Z933" s="95" t="str">
        <f>IFERROR(_xlfn.XLOOKUP(TEXT(H933,"0000000000"),'📞 Call Tracker'!A$2:A$2000,'📞 Call Tracker'!E$2:E$2000,""),"")</f>
        <v>Other (fill in)</v>
      </c>
      <c r="AA933" s="145" t="str">
        <f>IFERROR(_xlfn.XLOOKUP(TEXT(H933,"0000000000"),'📞 Call Tracker'!A$2:A$2000,'📞 Call Tracker'!F$2:F$2000,""),"")</f>
        <v>NEW BB  Total Budget Amount $237.00</v>
      </c>
      <c r="AB933" s="132">
        <f t="shared" si="29"/>
        <v>99</v>
      </c>
      <c r="AC933" s="79"/>
    </row>
    <row r="934" spans="1:29" ht="20.100000000000001" customHeight="1">
      <c r="A934" s="91">
        <v>45985</v>
      </c>
      <c r="B934" s="92" t="str">
        <v>Thomas</v>
      </c>
      <c r="C934" s="92" t="str">
        <v xml:space="preserve">Cheri </v>
      </c>
      <c r="D934" s="92" t="str">
        <v>El Mirage</v>
      </c>
      <c r="E934" s="92">
        <v>85335</v>
      </c>
      <c r="F934" s="137" t="str">
        <v>Opposed: Senior on a fixed income in a mobile home</v>
      </c>
      <c r="G934" s="93" t="str">
        <v>https://docket.images.azcc.gov/E000047757.pdf</v>
      </c>
      <c r="H934" s="150" t="s">
        <v>3282</v>
      </c>
      <c r="I934" s="114" t="str">
        <v>R-BASIC</v>
      </c>
      <c r="J934" s="94" t="str">
        <v>Yes</v>
      </c>
      <c r="K934" s="94" t="str">
        <v>No</v>
      </c>
      <c r="L934" s="137" t="str">
        <v>No MEP R-XS</v>
      </c>
      <c r="M934" s="94" t="str">
        <v>No</v>
      </c>
      <c r="N934" s="134" t="str">
        <v>No</v>
      </c>
      <c r="O934" s="119" t="str">
        <v>Yes</v>
      </c>
      <c r="P934" s="92" t="str">
        <v>N</v>
      </c>
      <c r="Q934" s="91">
        <v>45993</v>
      </c>
      <c r="R934" s="140" t="str">
        <v>Should be automatically reassigned to Tier 1 this month</v>
      </c>
      <c r="S934" s="92">
        <v>0</v>
      </c>
      <c r="T934" s="92">
        <v>0</v>
      </c>
      <c r="U934" s="137">
        <v>0</v>
      </c>
      <c r="V934" s="126" t="str">
        <f t="shared" si="28"/>
        <v>❌ Not on Best Plan</v>
      </c>
      <c r="W934" s="130" t="str">
        <f>IFERROR(_xlfn.XLOOKUP(TEXT(H934,"0000000000"),'📞 Call Tracker'!A$2:A$2000,'📞 Call Tracker'!B$2:B$2000,""),"")</f>
        <v>Joaquin</v>
      </c>
      <c r="X934" s="96">
        <f>IFERROR(_xlfn.XLOOKUP(TEXT(H934,"0000000000"),'📞 Call Tracker'!A$2:A$2000,'📞 Call Tracker'!C$2:C$2000,""),"")</f>
        <v>46032</v>
      </c>
      <c r="Y934" s="95" t="str">
        <f>IFERROR(_xlfn.XLOOKUP(TEXT(H934,"0000000000"),'📞 Call Tracker'!A$2:A$2000,'📞 Call Tracker'!D$2:D$2000,""),"")</f>
        <v>YES</v>
      </c>
      <c r="Z934" s="95">
        <f>IFERROR(_xlfn.XLOOKUP(TEXT(H934,"0000000000"),'📞 Call Tracker'!A$2:A$2000,'📞 Call Tracker'!E$2:E$2000,""),"")</f>
        <v>0</v>
      </c>
      <c r="AA934" s="145" t="str">
        <f>IFERROR(_xlfn.XLOOKUP(TEXT(H934,"0000000000"),'📞 Call Tracker'!A$2:A$2000,'📞 Call Tracker'!F$2:F$2000,""),"")</f>
        <v>ACT HAS 2 SERVICES ADDRESS</v>
      </c>
      <c r="AB934" s="132">
        <f t="shared" si="29"/>
        <v>99</v>
      </c>
      <c r="AC934" s="79"/>
    </row>
    <row r="935" spans="1:29" ht="20.100000000000001" customHeight="1">
      <c r="A935" s="91">
        <v>45986</v>
      </c>
      <c r="B935" s="92" t="str">
        <v>Buttler</v>
      </c>
      <c r="C935" s="92" t="str">
        <v>Carol and Alan</v>
      </c>
      <c r="D935" s="92" t="str">
        <v>Wickenburg</v>
      </c>
      <c r="E935" s="92">
        <v>85390</v>
      </c>
      <c r="F935" s="137" t="str">
        <v>ACC has obligation to protect APS customers from consistently high rate increases</v>
      </c>
      <c r="G935" s="93" t="str">
        <v>https://docket.images.azcc.gov/E000047808.pdf</v>
      </c>
      <c r="H935" s="150" t="s">
        <v>3288</v>
      </c>
      <c r="I935" s="114" t="str">
        <v>RTOUE47</v>
      </c>
      <c r="J935" s="94" t="str">
        <v>No</v>
      </c>
      <c r="K935" s="94" t="str">
        <v>No</v>
      </c>
      <c r="L935" s="137" t="str">
        <v>No MEP R-BASIC ($41.34)</v>
      </c>
      <c r="M935" s="94" t="str">
        <v>No</v>
      </c>
      <c r="N935" s="134" t="str">
        <v>No</v>
      </c>
      <c r="O935" s="119" t="str">
        <v>Yes</v>
      </c>
      <c r="P935" s="92" t="str">
        <v>N</v>
      </c>
      <c r="Q935" s="91">
        <v>45993</v>
      </c>
      <c r="R935" s="140">
        <v>0</v>
      </c>
      <c r="S935" s="92">
        <v>0</v>
      </c>
      <c r="T935" s="92">
        <v>0</v>
      </c>
      <c r="U935" s="137">
        <v>0</v>
      </c>
      <c r="V935" s="126" t="str">
        <f t="shared" si="28"/>
        <v>❌ Not on Best Plan</v>
      </c>
      <c r="W935" s="130" t="str">
        <f>IFERROR(_xlfn.XLOOKUP(TEXT(H935,"0000000000"),'📞 Call Tracker'!A$2:A$2000,'📞 Call Tracker'!B$2:B$2000,""),"")</f>
        <v>Joaquin</v>
      </c>
      <c r="X935" s="96">
        <f>IFERROR(_xlfn.XLOOKUP(TEXT(H935,"0000000000"),'📞 Call Tracker'!A$2:A$2000,'📞 Call Tracker'!C$2:C$2000,""),"")</f>
        <v>46032</v>
      </c>
      <c r="Y935" s="95" t="str">
        <f>IFERROR(_xlfn.XLOOKUP(TEXT(H935,"0000000000"),'📞 Call Tracker'!A$2:A$2000,'📞 Call Tracker'!D$2:D$2000,""),"")</f>
        <v>YES</v>
      </c>
      <c r="Z935" s="95">
        <f>IFERROR(_xlfn.XLOOKUP(TEXT(H935,"0000000000"),'📞 Call Tracker'!A$2:A$2000,'📞 Call Tracker'!E$2:E$2000,""),"")</f>
        <v>0</v>
      </c>
      <c r="AA935" s="145" t="str">
        <f>IFERROR(_xlfn.XLOOKUP(TEXT(H935,"0000000000"),'📞 Call Tracker'!A$2:A$2000,'📞 Call Tracker'!F$2:F$2000,""),"")</f>
        <v>BETTER PLAN TIME OF WITH DEMAND</v>
      </c>
      <c r="AB935" s="132">
        <f t="shared" si="29"/>
        <v>99</v>
      </c>
      <c r="AC935" s="79"/>
    </row>
    <row r="936" spans="1:29" ht="20.100000000000001" customHeight="1">
      <c r="A936" s="91">
        <v>45986</v>
      </c>
      <c r="B936" s="92" t="str">
        <v>Nathan</v>
      </c>
      <c r="C936" s="92" t="str">
        <v>Stephen</v>
      </c>
      <c r="D936" s="92" t="str">
        <v>Goodyear</v>
      </c>
      <c r="E936" s="92">
        <v>85395</v>
      </c>
      <c r="F936" s="137" t="str">
        <v>The proposed rate of increase on seniors is outrageous!</v>
      </c>
      <c r="G936" s="93" t="str">
        <v>https://docket.images.azcc.gov/E000047808.pdf</v>
      </c>
      <c r="H936" s="150" t="s">
        <v>3294</v>
      </c>
      <c r="I936" s="114" t="str">
        <v>R3-47</v>
      </c>
      <c r="J936" s="94" t="str">
        <v>No</v>
      </c>
      <c r="K936" s="94" t="str">
        <v>No</v>
      </c>
      <c r="L936" s="137" t="str">
        <v>Yes</v>
      </c>
      <c r="M936" s="94" t="str">
        <v>No</v>
      </c>
      <c r="N936" s="134" t="str">
        <v>No</v>
      </c>
      <c r="O936" s="119" t="str">
        <v>Yes</v>
      </c>
      <c r="P936" s="92" t="str">
        <v>N</v>
      </c>
      <c r="Q936" s="91">
        <v>45993</v>
      </c>
      <c r="R936" s="140">
        <v>0</v>
      </c>
      <c r="S936" s="92">
        <v>0</v>
      </c>
      <c r="T936" s="92">
        <v>0</v>
      </c>
      <c r="U936" s="137">
        <v>0</v>
      </c>
      <c r="V936" s="126" t="str">
        <f t="shared" si="28"/>
        <v>✅ On Best Plan</v>
      </c>
      <c r="W936" s="130" t="str">
        <f>IFERROR(_xlfn.XLOOKUP(TEXT(H936,"0000000000"),'📞 Call Tracker'!A$2:A$2000,'📞 Call Tracker'!B$2:B$2000,""),"")</f>
        <v>Joaquin</v>
      </c>
      <c r="X936" s="96">
        <f>IFERROR(_xlfn.XLOOKUP(TEXT(H936,"0000000000"),'📞 Call Tracker'!A$2:A$2000,'📞 Call Tracker'!C$2:C$2000,""),"")</f>
        <v>46032</v>
      </c>
      <c r="Y936" s="95">
        <f>IFERROR(_xlfn.XLOOKUP(TEXT(H936,"0000000000"),'📞 Call Tracker'!A$2:A$2000,'📞 Call Tracker'!D$2:D$2000,""),"")</f>
        <v>0</v>
      </c>
      <c r="Z936" s="95" t="str">
        <f>IFERROR(_xlfn.XLOOKUP(TEXT(H936,"0000000000"),'📞 Call Tracker'!A$2:A$2000,'📞 Call Tracker'!E$2:E$2000,""),"")</f>
        <v>Rate Change</v>
      </c>
      <c r="AA936" s="145" t="str">
        <f>IFERROR(_xlfn.XLOOKUP(TEXT(H936,"0000000000"),'📞 Call Tracker'!A$2:A$2000,'📞 Call Tracker'!F$2:F$2000,""),"")</f>
        <v>ED ON PLANS TO HELP SAVE &amp; REBATE INFO</v>
      </c>
      <c r="AB936" s="132">
        <f t="shared" si="29"/>
        <v>99</v>
      </c>
      <c r="AC936" s="79"/>
    </row>
    <row r="937" spans="1:29" ht="20.100000000000001" customHeight="1">
      <c r="A937" s="91">
        <v>45986</v>
      </c>
      <c r="B937" s="92" t="str">
        <v>Putnam</v>
      </c>
      <c r="C937" s="92" t="str">
        <v>Marla</v>
      </c>
      <c r="D937" s="92" t="str">
        <v>Peoria</v>
      </c>
      <c r="E937" s="92">
        <v>85382</v>
      </c>
      <c r="F937" s="137" t="str">
        <v>The rates have steadily increased</v>
      </c>
      <c r="G937" s="93" t="str">
        <v>https://docket.images.azcc.gov/E000047808.pdf</v>
      </c>
      <c r="H937" s="150" t="s">
        <v>3302</v>
      </c>
      <c r="I937" s="114" t="str">
        <v>RCPw/TOUE</v>
      </c>
      <c r="J937" s="94" t="str">
        <v>No</v>
      </c>
      <c r="K937" s="94" t="str">
        <v>No</v>
      </c>
      <c r="L937" s="137" t="str">
        <v>Yes</v>
      </c>
      <c r="M937" s="94" t="str">
        <v>No</v>
      </c>
      <c r="N937" s="134" t="str">
        <v>No</v>
      </c>
      <c r="O937" s="119" t="str">
        <v>Yes</v>
      </c>
      <c r="P937" s="92" t="str">
        <v>N</v>
      </c>
      <c r="Q937" s="91">
        <v>45993</v>
      </c>
      <c r="R937" s="140">
        <v>0</v>
      </c>
      <c r="S937" s="92">
        <v>0</v>
      </c>
      <c r="T937" s="92">
        <v>0</v>
      </c>
      <c r="U937" s="137">
        <v>0</v>
      </c>
      <c r="V937" s="126" t="str">
        <f t="shared" si="28"/>
        <v>✅ On Best Plan</v>
      </c>
      <c r="W937" s="130" t="str">
        <f>IFERROR(_xlfn.XLOOKUP(TEXT(H937,"0000000000"),'📞 Call Tracker'!A$2:A$2000,'📞 Call Tracker'!B$2:B$2000,""),"")</f>
        <v>Joaquin</v>
      </c>
      <c r="X937" s="96">
        <f>IFERROR(_xlfn.XLOOKUP(TEXT(H937,"0000000000"),'📞 Call Tracker'!A$2:A$2000,'📞 Call Tracker'!C$2:C$2000,""),"")</f>
        <v>46032</v>
      </c>
      <c r="Y937" s="95">
        <f>IFERROR(_xlfn.XLOOKUP(TEXT(H937,"0000000000"),'📞 Call Tracker'!A$2:A$2000,'📞 Call Tracker'!D$2:D$2000,""),"")</f>
        <v>0</v>
      </c>
      <c r="Z937" s="95" t="str">
        <f>IFERROR(_xlfn.XLOOKUP(TEXT(H937,"0000000000"),'📞 Call Tracker'!A$2:A$2000,'📞 Call Tracker'!E$2:E$2000,""),"")</f>
        <v>Utility Assistance</v>
      </c>
      <c r="AA937" s="145" t="str">
        <f>IFERROR(_xlfn.XLOOKUP(TEXT(H937,"0000000000"),'📞 Call Tracker'!A$2:A$2000,'📞 Call Tracker'!F$2:F$2000,""),"")</f>
        <v>CORE WAS PROVIDED WITH AGENCYS #</v>
      </c>
      <c r="AB937" s="132">
        <f t="shared" si="29"/>
        <v>99</v>
      </c>
      <c r="AC937" s="79"/>
    </row>
    <row r="938" spans="1:29" ht="20.100000000000001" customHeight="1">
      <c r="A938" s="91">
        <v>45987</v>
      </c>
      <c r="B938" s="92" t="str">
        <v>Dowling</v>
      </c>
      <c r="C938" s="92" t="str">
        <v>Melissa</v>
      </c>
      <c r="D938" s="92" t="str">
        <v>Sun City</v>
      </c>
      <c r="E938" s="92">
        <v>85351</v>
      </c>
      <c r="F938" s="137" t="str">
        <v>No more rate hikes</v>
      </c>
      <c r="G938" s="93" t="str">
        <v>https://docket.images.azcc.gov/E000047827.pdf</v>
      </c>
      <c r="H938" s="150" t="s">
        <v>3311</v>
      </c>
      <c r="I938" s="114" t="str">
        <v>R3-47</v>
      </c>
      <c r="J938" s="94" t="str">
        <v>No</v>
      </c>
      <c r="K938" s="94" t="str">
        <v>No</v>
      </c>
      <c r="L938" s="137" t="str">
        <v>Yes</v>
      </c>
      <c r="M938" s="94" t="str">
        <v>No</v>
      </c>
      <c r="N938" s="134" t="str">
        <v>No</v>
      </c>
      <c r="O938" s="119" t="str">
        <v>Yes</v>
      </c>
      <c r="P938" s="92" t="str">
        <v>N</v>
      </c>
      <c r="Q938" s="91">
        <v>45993</v>
      </c>
      <c r="R938" s="140">
        <v>0</v>
      </c>
      <c r="S938" s="92">
        <v>0</v>
      </c>
      <c r="T938" s="92">
        <v>0</v>
      </c>
      <c r="U938" s="137">
        <v>0</v>
      </c>
      <c r="V938" s="126" t="str">
        <f t="shared" si="28"/>
        <v>✅ On Best Plan</v>
      </c>
      <c r="W938" s="130" t="str">
        <f>IFERROR(_xlfn.XLOOKUP(TEXT(H938,"0000000000"),'📞 Call Tracker'!A$2:A$2000,'📞 Call Tracker'!B$2:B$2000,""),"")</f>
        <v>Joaquin</v>
      </c>
      <c r="X938" s="96">
        <f>IFERROR(_xlfn.XLOOKUP(TEXT(H938,"0000000000"),'📞 Call Tracker'!A$2:A$2000,'📞 Call Tracker'!C$2:C$2000,""),"")</f>
        <v>45997</v>
      </c>
      <c r="Y938" s="95" t="str">
        <f>IFERROR(_xlfn.XLOOKUP(TEXT(H938,"0000000000"),'📞 Call Tracker'!A$2:A$2000,'📞 Call Tracker'!D$2:D$2000,""),"")</f>
        <v>YES</v>
      </c>
      <c r="Z938" s="95">
        <f>IFERROR(_xlfn.XLOOKUP(TEXT(H938,"0000000000"),'📞 Call Tracker'!A$2:A$2000,'📞 Call Tracker'!E$2:E$2000,""),"")</f>
        <v>0</v>
      </c>
      <c r="AA938" s="145">
        <f>IFERROR(_xlfn.XLOOKUP(TEXT(H938,"0000000000"),'📞 Call Tracker'!A$2:A$2000,'📞 Call Tracker'!F$2:F$2000,""),"")</f>
        <v>0</v>
      </c>
      <c r="AB938" s="132">
        <f t="shared" si="29"/>
        <v>99</v>
      </c>
      <c r="AC938" s="79"/>
    </row>
    <row r="939" spans="1:29" ht="20.100000000000001" customHeight="1">
      <c r="A939" s="91">
        <v>45987</v>
      </c>
      <c r="B939" s="92" t="str">
        <v>Means</v>
      </c>
      <c r="C939" s="92" t="str">
        <v>Carol</v>
      </c>
      <c r="D939" s="92" t="str">
        <v>Goodyear</v>
      </c>
      <c r="E939" s="92">
        <v>85338</v>
      </c>
      <c r="F939" s="137" t="str">
        <v>Vote no</v>
      </c>
      <c r="G939" s="93" t="str">
        <v>https://docket.images.azcc.gov/E000047828.pdf?i=1764228532333</v>
      </c>
      <c r="H939" s="150" t="s">
        <v>3318</v>
      </c>
      <c r="I939" s="114" t="str">
        <v>R3-47</v>
      </c>
      <c r="J939" s="94" t="str">
        <v>No</v>
      </c>
      <c r="K939" s="94" t="str">
        <v>No</v>
      </c>
      <c r="L939" s="137" t="str">
        <v>Yes</v>
      </c>
      <c r="M939" s="94" t="str">
        <v>No</v>
      </c>
      <c r="N939" s="134" t="str">
        <v>No</v>
      </c>
      <c r="O939" s="119" t="str">
        <v>Yes</v>
      </c>
      <c r="P939" s="92" t="str">
        <v>N</v>
      </c>
      <c r="Q939" s="91">
        <v>45993</v>
      </c>
      <c r="R939" s="140">
        <v>0</v>
      </c>
      <c r="S939" s="92">
        <v>0</v>
      </c>
      <c r="T939" s="92">
        <v>0</v>
      </c>
      <c r="U939" s="137">
        <v>0</v>
      </c>
      <c r="V939" s="126" t="str">
        <f t="shared" si="28"/>
        <v>✅ On Best Plan</v>
      </c>
      <c r="W939" s="130">
        <f>IFERROR(_xlfn.XLOOKUP(TEXT(H939,"0000000000"),'📞 Call Tracker'!A$2:A$2000,'📞 Call Tracker'!B$2:B$2000,""),"")</f>
        <v>0</v>
      </c>
      <c r="X939" s="96">
        <f>IFERROR(_xlfn.XLOOKUP(TEXT(H939,"0000000000"),'📞 Call Tracker'!A$2:A$2000,'📞 Call Tracker'!C$2:C$2000,""),"")</f>
        <v>0</v>
      </c>
      <c r="Y939" s="95">
        <f>IFERROR(_xlfn.XLOOKUP(TEXT(H939,"0000000000"),'📞 Call Tracker'!A$2:A$2000,'📞 Call Tracker'!D$2:D$2000,""),"")</f>
        <v>0</v>
      </c>
      <c r="Z939" s="95">
        <f>IFERROR(_xlfn.XLOOKUP(TEXT(H939,"0000000000"),'📞 Call Tracker'!A$2:A$2000,'📞 Call Tracker'!E$2:E$2000,""),"")</f>
        <v>0</v>
      </c>
      <c r="AA939" s="145">
        <f>IFERROR(_xlfn.XLOOKUP(TEXT(H939,"0000000000"),'📞 Call Tracker'!A$2:A$2000,'📞 Call Tracker'!F$2:F$2000,""),"")</f>
        <v>0</v>
      </c>
      <c r="AB939" s="132">
        <f t="shared" si="29"/>
        <v>99</v>
      </c>
      <c r="AC939" s="79"/>
    </row>
    <row r="940" spans="1:29" ht="20.100000000000001" customHeight="1">
      <c r="A940" s="91">
        <v>45987</v>
      </c>
      <c r="B940" s="92" t="str">
        <v>Boontjer</v>
      </c>
      <c r="C940" s="92" t="str">
        <v>Ken and JoAnn</v>
      </c>
      <c r="D940" s="92" t="str">
        <v>Peoria</v>
      </c>
      <c r="E940" s="92">
        <v>85382</v>
      </c>
      <c r="F940" s="137" t="str">
        <v>Research APS net zero plan, open Cholla</v>
      </c>
      <c r="G940" s="93" t="str">
        <v>https://docket.images.azcc.gov/E000047828.pdf?i=1764228532333</v>
      </c>
      <c r="H940" s="150" t="s">
        <v>3326</v>
      </c>
      <c r="I940" s="114" t="str">
        <v>EPR6w/E-12</v>
      </c>
      <c r="J940" s="94" t="str">
        <v>No</v>
      </c>
      <c r="K940" s="94" t="str">
        <v>No</v>
      </c>
      <c r="L940" s="137" t="str">
        <v>Frozen Rate</v>
      </c>
      <c r="M940" s="94" t="str">
        <v>No</v>
      </c>
      <c r="N940" s="134" t="str">
        <v>No</v>
      </c>
      <c r="O940" s="119" t="str">
        <v>Yes</v>
      </c>
      <c r="P940" s="92" t="str">
        <v>N</v>
      </c>
      <c r="Q940" s="91">
        <v>45993</v>
      </c>
      <c r="R940" s="140">
        <v>0</v>
      </c>
      <c r="S940" s="92">
        <v>0</v>
      </c>
      <c r="T940" s="92">
        <v>0</v>
      </c>
      <c r="U940" s="137">
        <v>0</v>
      </c>
      <c r="V940" s="126" t="str">
        <f t="shared" si="28"/>
        <v>❄ Frozen Rate</v>
      </c>
      <c r="W940" s="130" t="str">
        <f>IFERROR(_xlfn.XLOOKUP(TEXT(H940,"0000000000"),'📞 Call Tracker'!A$2:A$2000,'📞 Call Tracker'!B$2:B$2000,""),"")</f>
        <v>Joaquin</v>
      </c>
      <c r="X940" s="96">
        <f>IFERROR(_xlfn.XLOOKUP(TEXT(H940,"0000000000"),'📞 Call Tracker'!A$2:A$2000,'📞 Call Tracker'!C$2:C$2000,""),"")</f>
        <v>46032</v>
      </c>
      <c r="Y940" s="95" t="str">
        <f>IFERROR(_xlfn.XLOOKUP(TEXT(H940,"0000000000"),'📞 Call Tracker'!A$2:A$2000,'📞 Call Tracker'!D$2:D$2000,""),"")</f>
        <v>YES</v>
      </c>
      <c r="Z940" s="95">
        <f>IFERROR(_xlfn.XLOOKUP(TEXT(H940,"0000000000"),'📞 Call Tracker'!A$2:A$2000,'📞 Call Tracker'!E$2:E$2000,""),"")</f>
        <v>0</v>
      </c>
      <c r="AA940" s="145" t="str">
        <f>IFERROR(_xlfn.XLOOKUP(TEXT(H940,"0000000000"),'📞 Call Tracker'!A$2:A$2000,'📞 Call Tracker'!F$2:F$2000,""),"")</f>
        <v>E3</v>
      </c>
      <c r="AB940" s="132">
        <f t="shared" si="29"/>
        <v>99</v>
      </c>
      <c r="AC940" s="79"/>
    </row>
    <row r="941" spans="1:29" ht="20.100000000000001" customHeight="1">
      <c r="A941" s="91">
        <v>45989</v>
      </c>
      <c r="B941" s="92" t="str">
        <v>Kissling</v>
      </c>
      <c r="C941" s="92" t="str">
        <v xml:space="preserve">Shari </v>
      </c>
      <c r="D941" s="92" t="str">
        <v>Surprise</v>
      </c>
      <c r="E941" s="92">
        <v>85387</v>
      </c>
      <c r="F941" s="137" t="str">
        <v>stop approving rate increases</v>
      </c>
      <c r="G941" s="93" t="str">
        <v>https://docket.images.azcc.gov/E000047852.pdf</v>
      </c>
      <c r="H941" s="150" t="s">
        <v>3336</v>
      </c>
      <c r="I941" s="114" t="str">
        <v>R3-47</v>
      </c>
      <c r="J941" s="94" t="str">
        <v>No</v>
      </c>
      <c r="K941" s="94" t="str">
        <v>No</v>
      </c>
      <c r="L941" s="137" t="str">
        <v>Yes</v>
      </c>
      <c r="M941" s="94" t="str">
        <v>No</v>
      </c>
      <c r="N941" s="134" t="str">
        <v>No</v>
      </c>
      <c r="O941" s="119" t="str">
        <v>Yes</v>
      </c>
      <c r="P941" s="92" t="str">
        <v>N</v>
      </c>
      <c r="Q941" s="91">
        <v>45993</v>
      </c>
      <c r="R941" s="140">
        <v>0</v>
      </c>
      <c r="S941" s="92">
        <v>0</v>
      </c>
      <c r="T941" s="92">
        <v>0</v>
      </c>
      <c r="U941" s="137">
        <v>0</v>
      </c>
      <c r="V941" s="126" t="str">
        <f t="shared" si="28"/>
        <v>✅ On Best Plan</v>
      </c>
      <c r="W941" s="130">
        <f>IFERROR(_xlfn.XLOOKUP(TEXT(H941,"0000000000"),'📞 Call Tracker'!A$2:A$2000,'📞 Call Tracker'!B$2:B$2000,""),"")</f>
        <v>0</v>
      </c>
      <c r="X941" s="96">
        <f>IFERROR(_xlfn.XLOOKUP(TEXT(H941,"0000000000"),'📞 Call Tracker'!A$2:A$2000,'📞 Call Tracker'!C$2:C$2000,""),"")</f>
        <v>0</v>
      </c>
      <c r="Y941" s="95">
        <f>IFERROR(_xlfn.XLOOKUP(TEXT(H941,"0000000000"),'📞 Call Tracker'!A$2:A$2000,'📞 Call Tracker'!D$2:D$2000,""),"")</f>
        <v>0</v>
      </c>
      <c r="Z941" s="95">
        <f>IFERROR(_xlfn.XLOOKUP(TEXT(H941,"0000000000"),'📞 Call Tracker'!A$2:A$2000,'📞 Call Tracker'!E$2:E$2000,""),"")</f>
        <v>0</v>
      </c>
      <c r="AA941" s="145">
        <f>IFERROR(_xlfn.XLOOKUP(TEXT(H941,"0000000000"),'📞 Call Tracker'!A$2:A$2000,'📞 Call Tracker'!F$2:F$2000,""),"")</f>
        <v>0</v>
      </c>
      <c r="AB941" s="132">
        <f t="shared" si="29"/>
        <v>99</v>
      </c>
      <c r="AC941" s="79"/>
    </row>
    <row r="942" spans="1:29" ht="20.100000000000001" customHeight="1">
      <c r="A942" s="91">
        <v>45993</v>
      </c>
      <c r="B942" s="92" t="str">
        <v>Logan</v>
      </c>
      <c r="C942" s="92" t="str">
        <v>Justin</v>
      </c>
      <c r="D942" s="92" t="str">
        <v>Surprise</v>
      </c>
      <c r="E942" s="92">
        <v>85379</v>
      </c>
      <c r="F942" s="137" t="str">
        <v>Form Letter: For families like mine this is simply too much</v>
      </c>
      <c r="G942" s="93" t="str">
        <v>https://docket.images.azcc.gov/E000047963.pdf</v>
      </c>
      <c r="H942" s="150" t="s">
        <v>6404</v>
      </c>
      <c r="I942" s="114" t="str">
        <v>R-2</v>
      </c>
      <c r="J942" s="94" t="str">
        <v>No</v>
      </c>
      <c r="K942" s="94" t="str">
        <v>No</v>
      </c>
      <c r="L942" s="137" t="str">
        <v>Frozen Rate</v>
      </c>
      <c r="M942" s="94" t="str">
        <v>No</v>
      </c>
      <c r="N942" s="134" t="str">
        <v>No</v>
      </c>
      <c r="O942" s="119" t="str">
        <v>Yes</v>
      </c>
      <c r="P942" s="92" t="str">
        <v>N</v>
      </c>
      <c r="Q942" s="91">
        <v>45994</v>
      </c>
      <c r="R942" s="140">
        <v>0</v>
      </c>
      <c r="S942" s="92">
        <v>0</v>
      </c>
      <c r="T942" s="92">
        <v>0</v>
      </c>
      <c r="U942" s="137">
        <v>0</v>
      </c>
      <c r="V942" s="126" t="str">
        <f t="shared" si="28"/>
        <v>❄ Frozen Rate</v>
      </c>
      <c r="W942" s="130">
        <f>IFERROR(_xlfn.XLOOKUP(TEXT(H942,"0000000000"),'📞 Call Tracker'!A$2:A$2000,'📞 Call Tracker'!B$2:B$2000,""),"")</f>
        <v>0</v>
      </c>
      <c r="X942" s="96">
        <f>IFERROR(_xlfn.XLOOKUP(TEXT(H942,"0000000000"),'📞 Call Tracker'!A$2:A$2000,'📞 Call Tracker'!C$2:C$2000,""),"")</f>
        <v>0</v>
      </c>
      <c r="Y942" s="95">
        <f>IFERROR(_xlfn.XLOOKUP(TEXT(H942,"0000000000"),'📞 Call Tracker'!A$2:A$2000,'📞 Call Tracker'!D$2:D$2000,""),"")</f>
        <v>0</v>
      </c>
      <c r="Z942" s="95">
        <f>IFERROR(_xlfn.XLOOKUP(TEXT(H942,"0000000000"),'📞 Call Tracker'!A$2:A$2000,'📞 Call Tracker'!E$2:E$2000,""),"")</f>
        <v>0</v>
      </c>
      <c r="AA942" s="145">
        <f>IFERROR(_xlfn.XLOOKUP(TEXT(H942,"0000000000"),'📞 Call Tracker'!A$2:A$2000,'📞 Call Tracker'!F$2:F$2000,""),"")</f>
        <v>0</v>
      </c>
      <c r="AB942" s="132">
        <f t="shared" si="29"/>
        <v>99</v>
      </c>
      <c r="AC942" s="79"/>
    </row>
    <row r="943" spans="1:29" ht="20.100000000000001" customHeight="1">
      <c r="A943" s="91">
        <v>45993</v>
      </c>
      <c r="B943" s="92" t="str">
        <v>Spence</v>
      </c>
      <c r="C943" s="92" t="str">
        <v>Sheri</v>
      </c>
      <c r="D943" s="92" t="str">
        <v>Surprise</v>
      </c>
      <c r="E943" s="92">
        <v>85387</v>
      </c>
      <c r="F943" s="137" t="str">
        <v>Stop the price hike that APS is planning to impose.</v>
      </c>
      <c r="G943" s="93" t="str">
        <v>https://docket.images.azcc.gov/E000047971.pdf</v>
      </c>
      <c r="H943" s="150" t="s">
        <v>6405</v>
      </c>
      <c r="I943" s="114" t="str">
        <v>R3-47</v>
      </c>
      <c r="J943" s="94" t="str">
        <v>No</v>
      </c>
      <c r="K943" s="94" t="str">
        <v>No</v>
      </c>
      <c r="L943" s="137" t="str">
        <v>Yes</v>
      </c>
      <c r="M943" s="94" t="str">
        <v>No</v>
      </c>
      <c r="N943" s="134" t="str">
        <v>No</v>
      </c>
      <c r="O943" s="119" t="str">
        <v>Yes</v>
      </c>
      <c r="P943" s="92" t="str">
        <v>N</v>
      </c>
      <c r="Q943" s="91">
        <v>45994</v>
      </c>
      <c r="R943" s="140">
        <v>0</v>
      </c>
      <c r="S943" s="92">
        <v>0</v>
      </c>
      <c r="T943" s="92">
        <v>0</v>
      </c>
      <c r="U943" s="137">
        <v>0</v>
      </c>
      <c r="V943" s="126" t="str">
        <f t="shared" si="28"/>
        <v>✅ On Best Plan</v>
      </c>
      <c r="W943" s="130">
        <f>IFERROR(_xlfn.XLOOKUP(TEXT(H943,"0000000000"),'📞 Call Tracker'!A$2:A$2000,'📞 Call Tracker'!B$2:B$2000,""),"")</f>
        <v>0</v>
      </c>
      <c r="X943" s="96">
        <f>IFERROR(_xlfn.XLOOKUP(TEXT(H943,"0000000000"),'📞 Call Tracker'!A$2:A$2000,'📞 Call Tracker'!C$2:C$2000,""),"")</f>
        <v>0</v>
      </c>
      <c r="Y943" s="95">
        <f>IFERROR(_xlfn.XLOOKUP(TEXT(H943,"0000000000"),'📞 Call Tracker'!A$2:A$2000,'📞 Call Tracker'!D$2:D$2000,""),"")</f>
        <v>0</v>
      </c>
      <c r="Z943" s="95">
        <f>IFERROR(_xlfn.XLOOKUP(TEXT(H943,"0000000000"),'📞 Call Tracker'!A$2:A$2000,'📞 Call Tracker'!E$2:E$2000,""),"")</f>
        <v>0</v>
      </c>
      <c r="AA943" s="145">
        <f>IFERROR(_xlfn.XLOOKUP(TEXT(H943,"0000000000"),'📞 Call Tracker'!A$2:A$2000,'📞 Call Tracker'!F$2:F$2000,""),"")</f>
        <v>0</v>
      </c>
      <c r="AB943" s="132">
        <f t="shared" si="29"/>
        <v>99</v>
      </c>
      <c r="AC943" s="79"/>
    </row>
    <row r="944" spans="1:29" ht="20.100000000000001" customHeight="1">
      <c r="A944" s="91">
        <v>45993</v>
      </c>
      <c r="B944" s="92" t="str">
        <v>Palomera</v>
      </c>
      <c r="C944" s="92" t="str">
        <v>Stephanie</v>
      </c>
      <c r="D944" s="92" t="str">
        <v>Surprise</v>
      </c>
      <c r="E944" s="92">
        <v>85374</v>
      </c>
      <c r="F944" s="137" t="str">
        <v>Form Letter: For families like mine this is simply too much</v>
      </c>
      <c r="G944" s="93" t="str">
        <v>https://docket.images.azcc.gov/E000047935.pdf</v>
      </c>
      <c r="H944" s="150" t="s">
        <v>6103</v>
      </c>
      <c r="I944" s="114" t="str">
        <v>R-BASICL</v>
      </c>
      <c r="J944" s="94" t="str">
        <v>No</v>
      </c>
      <c r="K944" s="94" t="str">
        <v>No</v>
      </c>
      <c r="L944" s="137" t="str">
        <v>No MEP R-BASIC ($167.08)</v>
      </c>
      <c r="M944" s="94" t="str">
        <v>No</v>
      </c>
      <c r="N944" s="134" t="str">
        <v>No</v>
      </c>
      <c r="O944" s="119" t="str">
        <v>Yes</v>
      </c>
      <c r="P944" s="92" t="str">
        <v>N</v>
      </c>
      <c r="Q944" s="91">
        <v>45995</v>
      </c>
      <c r="R944" s="140">
        <v>0</v>
      </c>
      <c r="S944" s="92">
        <v>0</v>
      </c>
      <c r="T944" s="92">
        <v>0</v>
      </c>
      <c r="U944" s="137">
        <v>0</v>
      </c>
      <c r="V944" s="126" t="str">
        <f t="shared" si="28"/>
        <v>❌ Not on Best Plan</v>
      </c>
      <c r="W944" s="130" t="str">
        <f>IFERROR(_xlfn.XLOOKUP(TEXT(H944,"0000000000"),'📞 Call Tracker'!A$2:A$2000,'📞 Call Tracker'!B$2:B$2000,""),"")</f>
        <v>Joaquin</v>
      </c>
      <c r="X944" s="96">
        <f>IFERROR(_xlfn.XLOOKUP(TEXT(H944,"0000000000"),'📞 Call Tracker'!A$2:A$2000,'📞 Call Tracker'!C$2:C$2000,""),"")</f>
        <v>46039</v>
      </c>
      <c r="Y944" s="95" t="str">
        <f>IFERROR(_xlfn.XLOOKUP(TEXT(H944,"0000000000"),'📞 Call Tracker'!A$2:A$2000,'📞 Call Tracker'!D$2:D$2000,""),"")</f>
        <v>YES</v>
      </c>
      <c r="Z944" s="95">
        <f>IFERROR(_xlfn.XLOOKUP(TEXT(H944,"0000000000"),'📞 Call Tracker'!A$2:A$2000,'📞 Call Tracker'!E$2:E$2000,""),"")</f>
        <v>0</v>
      </c>
      <c r="AA944" s="145">
        <f>IFERROR(_xlfn.XLOOKUP(TEXT(H944,"0000000000"),'📞 Call Tracker'!A$2:A$2000,'📞 Call Tracker'!F$2:F$2000,""),"")</f>
        <v>0</v>
      </c>
      <c r="AB944" s="132">
        <f t="shared" si="29"/>
        <v>99</v>
      </c>
      <c r="AC944" s="79"/>
    </row>
    <row r="945" spans="1:29" ht="20.100000000000001" customHeight="1">
      <c r="A945" s="91">
        <v>45993</v>
      </c>
      <c r="B945" s="92" t="str">
        <v>Walberg</v>
      </c>
      <c r="C945" s="92" t="str">
        <v>Paige</v>
      </c>
      <c r="D945" s="92" t="str">
        <v>El Mirage</v>
      </c>
      <c r="E945" s="92">
        <v>85335</v>
      </c>
      <c r="F945" s="137" t="str">
        <v xml:space="preserve">I am a middle class single mom on a teacher income. I don't qualilfy for assistance. </v>
      </c>
      <c r="G945" s="93" t="str">
        <v>https://docket.images.azcc.gov/E000047935.pdf</v>
      </c>
      <c r="H945" s="150" t="s">
        <v>6406</v>
      </c>
      <c r="I945" s="114" t="str">
        <v>EPR6-ET-1</v>
      </c>
      <c r="J945" s="94" t="str">
        <v>Yes</v>
      </c>
      <c r="K945" s="94" t="str">
        <v>No</v>
      </c>
      <c r="L945" s="137" t="str">
        <v>Frozen Rate</v>
      </c>
      <c r="M945" s="94" t="str">
        <v>Yes</v>
      </c>
      <c r="N945" s="134">
        <v>425.23</v>
      </c>
      <c r="O945" s="119" t="str">
        <v>Yes</v>
      </c>
      <c r="P945" s="92" t="str">
        <v>N</v>
      </c>
      <c r="Q945" s="91">
        <v>45995</v>
      </c>
      <c r="R945" s="140">
        <v>0</v>
      </c>
      <c r="S945" s="92">
        <v>0</v>
      </c>
      <c r="T945" s="92">
        <v>0</v>
      </c>
      <c r="U945" s="137">
        <v>0</v>
      </c>
      <c r="V945" s="126" t="str">
        <f t="shared" si="28"/>
        <v>❄ Frozen Rate</v>
      </c>
      <c r="W945" s="130">
        <f>IFERROR(_xlfn.XLOOKUP(TEXT(H945,"0000000000"),'📞 Call Tracker'!A$2:A$2000,'📞 Call Tracker'!B$2:B$2000,""),"")</f>
        <v>0</v>
      </c>
      <c r="X945" s="96">
        <f>IFERROR(_xlfn.XLOOKUP(TEXT(H945,"0000000000"),'📞 Call Tracker'!A$2:A$2000,'📞 Call Tracker'!C$2:C$2000,""),"")</f>
        <v>0</v>
      </c>
      <c r="Y945" s="95">
        <f>IFERROR(_xlfn.XLOOKUP(TEXT(H945,"0000000000"),'📞 Call Tracker'!A$2:A$2000,'📞 Call Tracker'!D$2:D$2000,""),"")</f>
        <v>0</v>
      </c>
      <c r="Z945" s="95">
        <f>IFERROR(_xlfn.XLOOKUP(TEXT(H945,"0000000000"),'📞 Call Tracker'!A$2:A$2000,'📞 Call Tracker'!E$2:E$2000,""),"")</f>
        <v>0</v>
      </c>
      <c r="AA945" s="145">
        <f>IFERROR(_xlfn.XLOOKUP(TEXT(H945,"0000000000"),'📞 Call Tracker'!A$2:A$2000,'📞 Call Tracker'!F$2:F$2000,""),"")</f>
        <v>0</v>
      </c>
      <c r="AB945" s="132">
        <f t="shared" si="29"/>
        <v>99</v>
      </c>
      <c r="AC945" s="79"/>
    </row>
    <row r="946" spans="1:29" ht="20.100000000000001" customHeight="1">
      <c r="A946" s="91">
        <v>45993</v>
      </c>
      <c r="B946" s="92" t="str">
        <v>Jones</v>
      </c>
      <c r="C946" s="92" t="str">
        <v>Charlene</v>
      </c>
      <c r="D946" s="92" t="str">
        <v>El Mirage</v>
      </c>
      <c r="E946" s="92">
        <v>85335</v>
      </c>
      <c r="F946" s="137" t="str">
        <v>No more rate increases. We are struggling to pay already!</v>
      </c>
      <c r="G946" s="93" t="str">
        <v>https://docket.images.azcc.gov/E000047935.pdf</v>
      </c>
      <c r="H946" s="150" t="s">
        <v>6407</v>
      </c>
      <c r="I946" s="114" t="str">
        <v>RTOUE47</v>
      </c>
      <c r="J946" s="94" t="str">
        <v>No</v>
      </c>
      <c r="K946" s="94" t="str">
        <v>No</v>
      </c>
      <c r="L946" s="137" t="str">
        <v>No MEP R3-47 ($295.17)</v>
      </c>
      <c r="M946" s="94" t="str">
        <v>No</v>
      </c>
      <c r="N946" s="134" t="str">
        <v>No</v>
      </c>
      <c r="O946" s="119" t="str">
        <v>Yes</v>
      </c>
      <c r="P946" s="92">
        <v>0</v>
      </c>
      <c r="Q946" s="91">
        <v>45995</v>
      </c>
      <c r="R946" s="140">
        <v>0</v>
      </c>
      <c r="S946" s="92">
        <v>0</v>
      </c>
      <c r="T946" s="92">
        <v>0</v>
      </c>
      <c r="U946" s="137">
        <v>0</v>
      </c>
      <c r="V946" s="126" t="str">
        <f t="shared" si="28"/>
        <v>❌ Not on Best Plan</v>
      </c>
      <c r="W946" s="130" t="str">
        <f>IFERROR(_xlfn.XLOOKUP(TEXT(H946,"0000000000"),'📞 Call Tracker'!A$2:A$2000,'📞 Call Tracker'!B$2:B$2000,""),"")</f>
        <v>Joaquin</v>
      </c>
      <c r="X946" s="96">
        <f>IFERROR(_xlfn.XLOOKUP(TEXT(H946,"0000000000"),'📞 Call Tracker'!A$2:A$2000,'📞 Call Tracker'!C$2:C$2000,""),"")</f>
        <v>46067</v>
      </c>
      <c r="Y946" s="95" t="str">
        <f>IFERROR(_xlfn.XLOOKUP(TEXT(H946,"0000000000"),'📞 Call Tracker'!A$2:A$2000,'📞 Call Tracker'!D$2:D$2000,""),"")</f>
        <v>YES</v>
      </c>
      <c r="Z946" s="95">
        <f>IFERROR(_xlfn.XLOOKUP(TEXT(H946,"0000000000"),'📞 Call Tracker'!A$2:A$2000,'📞 Call Tracker'!E$2:E$2000,""),"")</f>
        <v>0</v>
      </c>
      <c r="AA946" s="145" t="str">
        <f>IFERROR(_xlfn.XLOOKUP(TEXT(H946,"0000000000"),'📞 Call Tracker'!A$2:A$2000,'📞 Call Tracker'!F$2:F$2000,""),"")</f>
        <v>LEFT VOICE MESSAGE</v>
      </c>
      <c r="AB946" s="132">
        <f t="shared" si="29"/>
        <v>99</v>
      </c>
      <c r="AC946" s="79"/>
    </row>
    <row r="947" spans="1:29" ht="20.100000000000001" customHeight="1">
      <c r="A947" s="91">
        <v>45993</v>
      </c>
      <c r="B947" s="92" t="str">
        <v>Wallach</v>
      </c>
      <c r="C947" s="92" t="str">
        <v>Kurt</v>
      </c>
      <c r="D947" s="92" t="str">
        <v>Glendale</v>
      </c>
      <c r="E947" s="92">
        <v>85304</v>
      </c>
      <c r="F947" s="137" t="str">
        <v xml:space="preserve">I am voicing concern over repeated rate requests from APS. </v>
      </c>
      <c r="G947" s="93" t="str">
        <v>https://docket.images.azcc.gov/E000047935.pdf</v>
      </c>
      <c r="H947" s="150" t="s">
        <v>6104</v>
      </c>
      <c r="I947" s="114" t="str">
        <v>RCPw/R3-47</v>
      </c>
      <c r="J947" s="94" t="str">
        <v>No</v>
      </c>
      <c r="K947" s="94" t="str">
        <v>No</v>
      </c>
      <c r="L947" s="137" t="str">
        <v>Yes</v>
      </c>
      <c r="M947" s="94" t="str">
        <v>No</v>
      </c>
      <c r="N947" s="134" t="str">
        <v>No</v>
      </c>
      <c r="O947" s="119" t="str">
        <v>Yes</v>
      </c>
      <c r="P947" s="92" t="str">
        <v>N</v>
      </c>
      <c r="Q947" s="91">
        <v>45995</v>
      </c>
      <c r="R947" s="140">
        <v>0</v>
      </c>
      <c r="S947" s="92">
        <v>0</v>
      </c>
      <c r="T947" s="92">
        <v>0</v>
      </c>
      <c r="U947" s="137">
        <v>0</v>
      </c>
      <c r="V947" s="126" t="str">
        <f t="shared" si="28"/>
        <v>✅ On Best Plan</v>
      </c>
      <c r="W947" s="130" t="str">
        <f>IFERROR(_xlfn.XLOOKUP(TEXT(H947,"0000000000"),'📞 Call Tracker'!A$2:A$2000,'📞 Call Tracker'!B$2:B$2000,""),"")</f>
        <v>Joaquin</v>
      </c>
      <c r="X947" s="96">
        <f>IFERROR(_xlfn.XLOOKUP(TEXT(H947,"0000000000"),'📞 Call Tracker'!A$2:A$2000,'📞 Call Tracker'!C$2:C$2000,""),"")</f>
        <v>46053</v>
      </c>
      <c r="Y947" s="95" t="str">
        <f>IFERROR(_xlfn.XLOOKUP(TEXT(H947,"0000000000"),'📞 Call Tracker'!A$2:A$2000,'📞 Call Tracker'!D$2:D$2000,""),"")</f>
        <v>YES</v>
      </c>
      <c r="Z947" s="95">
        <f>IFERROR(_xlfn.XLOOKUP(TEXT(H947,"0000000000"),'📞 Call Tracker'!A$2:A$2000,'📞 Call Tracker'!E$2:E$2000,""),"")</f>
        <v>0</v>
      </c>
      <c r="AA947" s="145" t="str">
        <f>IFERROR(_xlfn.XLOOKUP(TEXT(H947,"0000000000"),'📞 Call Tracker'!A$2:A$2000,'📞 Call Tracker'!F$2:F$2000,""),"")</f>
        <v>LEFT V-M</v>
      </c>
      <c r="AB947" s="132">
        <f t="shared" si="29"/>
        <v>99</v>
      </c>
      <c r="AC947" s="79"/>
    </row>
    <row r="948" spans="1:29" ht="20.100000000000001" customHeight="1">
      <c r="A948" s="91">
        <v>45993</v>
      </c>
      <c r="B948" s="92" t="str">
        <v>Hayes</v>
      </c>
      <c r="C948" s="92" t="str">
        <v>Dawn</v>
      </c>
      <c r="D948" s="92" t="str">
        <v>Surprise</v>
      </c>
      <c r="E948" s="92">
        <v>85387</v>
      </c>
      <c r="F948" s="137" t="str">
        <v>There is no need to increase residential rates. we are already paying an all-time high</v>
      </c>
      <c r="G948" s="93" t="str">
        <v>https://docket.images.azcc.gov/E000047935.pdf</v>
      </c>
      <c r="H948" s="150" t="s">
        <v>6105</v>
      </c>
      <c r="I948" s="114" t="str">
        <v>R3-47</v>
      </c>
      <c r="J948" s="94" t="str">
        <v>No</v>
      </c>
      <c r="K948" s="94" t="str">
        <v>No</v>
      </c>
      <c r="L948" s="137" t="str">
        <v>Yes</v>
      </c>
      <c r="M948" s="94" t="str">
        <v>No</v>
      </c>
      <c r="N948" s="134" t="str">
        <v>No</v>
      </c>
      <c r="O948" s="119" t="str">
        <v>Yes</v>
      </c>
      <c r="P948" s="92" t="str">
        <v>N</v>
      </c>
      <c r="Q948" s="91">
        <v>45995</v>
      </c>
      <c r="R948" s="140">
        <v>0</v>
      </c>
      <c r="S948" s="92">
        <v>0</v>
      </c>
      <c r="T948" s="92">
        <v>0</v>
      </c>
      <c r="U948" s="137">
        <v>0</v>
      </c>
      <c r="V948" s="126" t="str">
        <f t="shared" si="28"/>
        <v>✅ On Best Plan</v>
      </c>
      <c r="W948" s="130" t="str">
        <f>IFERROR(_xlfn.XLOOKUP(TEXT(H948,"0000000000"),'📞 Call Tracker'!A$2:A$2000,'📞 Call Tracker'!B$2:B$2000,""),"")</f>
        <v>Joaquin</v>
      </c>
      <c r="X948" s="96">
        <f>IFERROR(_xlfn.XLOOKUP(TEXT(H948,"0000000000"),'📞 Call Tracker'!A$2:A$2000,'📞 Call Tracker'!C$2:C$2000,""),"")</f>
        <v>45997</v>
      </c>
      <c r="Y948" s="95" t="str">
        <f>IFERROR(_xlfn.XLOOKUP(TEXT(H948,"0000000000"),'📞 Call Tracker'!A$2:A$2000,'📞 Call Tracker'!D$2:D$2000,""),"")</f>
        <v>NO</v>
      </c>
      <c r="Z948" s="95" t="str">
        <f>IFERROR(_xlfn.XLOOKUP(TEXT(H948,"0000000000"),'📞 Call Tracker'!A$2:A$2000,'📞 Call Tracker'!E$2:E$2000,""),"")</f>
        <v>General Education</v>
      </c>
      <c r="AA948" s="145" t="str">
        <f>IFERROR(_xlfn.XLOOKUP(TEXT(H948,"0000000000"),'📞 Call Tracker'!A$2:A$2000,'📞 Call Tracker'!F$2:F$2000,""),"")</f>
        <v>WILL CB NEXT  WEEK</v>
      </c>
      <c r="AB948" s="132">
        <f t="shared" si="29"/>
        <v>99</v>
      </c>
      <c r="AC948" s="79"/>
    </row>
    <row r="949" spans="1:29" ht="20.100000000000001" customHeight="1">
      <c r="A949" s="91">
        <v>45993</v>
      </c>
      <c r="B949" s="92" t="str">
        <v>Barbosa</v>
      </c>
      <c r="C949" s="92" t="str">
        <v>Beatriz</v>
      </c>
      <c r="D949" s="92" t="str">
        <v>Whittmann</v>
      </c>
      <c r="E949" s="92">
        <v>85378</v>
      </c>
      <c r="F949" s="137" t="str">
        <v>Form Letter: For families like mine this is simply too much</v>
      </c>
      <c r="G949" s="93" t="str">
        <v>https://docket.images.azcc.gov/E000047935.pdf</v>
      </c>
      <c r="H949" s="150" t="s">
        <v>6408</v>
      </c>
      <c r="I949" s="114" t="str">
        <v>R3-47</v>
      </c>
      <c r="J949" s="94" t="str">
        <v>Yes</v>
      </c>
      <c r="K949" s="94" t="str">
        <v>No</v>
      </c>
      <c r="L949" s="137" t="str">
        <v>Not eligible yet (needs 3 months)</v>
      </c>
      <c r="M949" s="94" t="str">
        <v>No</v>
      </c>
      <c r="N949" s="134" t="str">
        <v>No</v>
      </c>
      <c r="O949" s="119" t="str">
        <v>Yes</v>
      </c>
      <c r="P949" s="92" t="str">
        <v>N</v>
      </c>
      <c r="Q949" s="91">
        <v>45995</v>
      </c>
      <c r="R949" s="140">
        <v>0</v>
      </c>
      <c r="S949" s="92">
        <v>0</v>
      </c>
      <c r="T949" s="92">
        <v>0</v>
      </c>
      <c r="U949" s="137">
        <v>0</v>
      </c>
      <c r="V949" s="126" t="str">
        <f t="shared" si="28"/>
        <v>❌ Not on Best Plan</v>
      </c>
      <c r="W949" s="130">
        <f>IFERROR(_xlfn.XLOOKUP(TEXT(H949,"0000000000"),'📞 Call Tracker'!A$2:A$2000,'📞 Call Tracker'!B$2:B$2000,""),"")</f>
        <v>0</v>
      </c>
      <c r="X949" s="96">
        <f>IFERROR(_xlfn.XLOOKUP(TEXT(H949,"0000000000"),'📞 Call Tracker'!A$2:A$2000,'📞 Call Tracker'!C$2:C$2000,""),"")</f>
        <v>0</v>
      </c>
      <c r="Y949" s="95">
        <f>IFERROR(_xlfn.XLOOKUP(TEXT(H949,"0000000000"),'📞 Call Tracker'!A$2:A$2000,'📞 Call Tracker'!D$2:D$2000,""),"")</f>
        <v>0</v>
      </c>
      <c r="Z949" s="95">
        <f>IFERROR(_xlfn.XLOOKUP(TEXT(H949,"0000000000"),'📞 Call Tracker'!A$2:A$2000,'📞 Call Tracker'!E$2:E$2000,""),"")</f>
        <v>0</v>
      </c>
      <c r="AA949" s="145">
        <f>IFERROR(_xlfn.XLOOKUP(TEXT(H949,"0000000000"),'📞 Call Tracker'!A$2:A$2000,'📞 Call Tracker'!F$2:F$2000,""),"")</f>
        <v>0</v>
      </c>
      <c r="AB949" s="132">
        <f t="shared" si="29"/>
        <v>99</v>
      </c>
      <c r="AC949" s="79"/>
    </row>
    <row r="950" spans="1:29" ht="20.100000000000001" customHeight="1">
      <c r="A950" s="91">
        <v>45993</v>
      </c>
      <c r="B950" s="92" t="str">
        <v>Jenkins</v>
      </c>
      <c r="C950" s="92" t="str">
        <v>Cassandra</v>
      </c>
      <c r="D950" s="92" t="str">
        <v>Buckeye</v>
      </c>
      <c r="E950" s="92">
        <v>85396</v>
      </c>
      <c r="F950" s="137" t="str">
        <v>Opposed rate hike, increase solar buy back.</v>
      </c>
      <c r="G950" s="93" t="str">
        <v>https://docket.images.azcc.gov/E000047935.pdf</v>
      </c>
      <c r="H950" s="150" t="s">
        <v>6409</v>
      </c>
      <c r="I950" s="114" t="str">
        <v>RCPw/RTOUE47</v>
      </c>
      <c r="J950" s="94" t="str">
        <v>No</v>
      </c>
      <c r="K950" s="94" t="str">
        <v>No</v>
      </c>
      <c r="L950" s="137" t="str">
        <v>Yes</v>
      </c>
      <c r="M950" s="94" t="str">
        <v>No</v>
      </c>
      <c r="N950" s="134" t="str">
        <v>No</v>
      </c>
      <c r="O950" s="119" t="str">
        <v>Yes</v>
      </c>
      <c r="P950" s="92" t="str">
        <v>N</v>
      </c>
      <c r="Q950" s="91">
        <v>45995</v>
      </c>
      <c r="R950" s="140">
        <v>0</v>
      </c>
      <c r="S950" s="92">
        <v>0</v>
      </c>
      <c r="T950" s="92">
        <v>0</v>
      </c>
      <c r="U950" s="137">
        <v>0</v>
      </c>
      <c r="V950" s="126" t="str">
        <f t="shared" si="28"/>
        <v>✅ On Best Plan</v>
      </c>
      <c r="W950" s="130" t="str">
        <f>IFERROR(_xlfn.XLOOKUP(TEXT(H950,"0000000000"),'📞 Call Tracker'!A$2:A$2000,'📞 Call Tracker'!B$2:B$2000,""),"")</f>
        <v>Joaquin</v>
      </c>
      <c r="X950" s="96">
        <f>IFERROR(_xlfn.XLOOKUP(TEXT(H950,"0000000000"),'📞 Call Tracker'!A$2:A$2000,'📞 Call Tracker'!C$2:C$2000,""),"")</f>
        <v>46067</v>
      </c>
      <c r="Y950" s="95" t="str">
        <f>IFERROR(_xlfn.XLOOKUP(TEXT(H950,"0000000000"),'📞 Call Tracker'!A$2:A$2000,'📞 Call Tracker'!D$2:D$2000,""),"")</f>
        <v>YES</v>
      </c>
      <c r="Z950" s="95">
        <f>IFERROR(_xlfn.XLOOKUP(TEXT(H950,"0000000000"),'📞 Call Tracker'!A$2:A$2000,'📞 Call Tracker'!E$2:E$2000,""),"")</f>
        <v>0</v>
      </c>
      <c r="AA950" s="145" t="str">
        <f>IFERROR(_xlfn.XLOOKUP(TEXT(H950,"0000000000"),'📞 Call Tracker'!A$2:A$2000,'📞 Call Tracker'!F$2:F$2000,""),"")</f>
        <v>LEFT VOICE MESSAGE</v>
      </c>
      <c r="AB950" s="132">
        <f t="shared" si="29"/>
        <v>99</v>
      </c>
      <c r="AC950" s="79"/>
    </row>
    <row r="951" spans="1:29" ht="20.100000000000001" customHeight="1">
      <c r="A951" s="91">
        <v>45993</v>
      </c>
      <c r="B951" s="92" t="str">
        <v>Ghiardi</v>
      </c>
      <c r="C951" s="92" t="str">
        <v>Roger</v>
      </c>
      <c r="D951" s="92" t="str">
        <v>El Mirage</v>
      </c>
      <c r="E951" s="92">
        <v>85355</v>
      </c>
      <c r="F951" s="137" t="str">
        <v>Opposed to rate hike and solar fee. Main lines going to data centers</v>
      </c>
      <c r="G951" s="93" t="str">
        <v>https://docket.images.azcc.gov/E000047935.pdf</v>
      </c>
      <c r="H951" s="150" t="s">
        <v>6410</v>
      </c>
      <c r="I951" s="114" t="str">
        <v>RCPw/RTOUE47</v>
      </c>
      <c r="J951" s="94" t="str">
        <v>No</v>
      </c>
      <c r="K951" s="94" t="str">
        <v>No</v>
      </c>
      <c r="L951" s="137" t="str">
        <v>Yes</v>
      </c>
      <c r="M951" s="94" t="str">
        <v>No</v>
      </c>
      <c r="N951" s="134" t="str">
        <v>No</v>
      </c>
      <c r="O951" s="119" t="str">
        <v>Yes</v>
      </c>
      <c r="P951" s="92" t="str">
        <v>N</v>
      </c>
      <c r="Q951" s="91">
        <v>45995</v>
      </c>
      <c r="R951" s="140">
        <v>0</v>
      </c>
      <c r="S951" s="92">
        <v>0</v>
      </c>
      <c r="T951" s="92">
        <v>0</v>
      </c>
      <c r="U951" s="137">
        <v>0</v>
      </c>
      <c r="V951" s="126" t="str">
        <f t="shared" si="28"/>
        <v>✅ On Best Plan</v>
      </c>
      <c r="W951" s="130">
        <f>IFERROR(_xlfn.XLOOKUP(TEXT(H951,"0000000000"),'📞 Call Tracker'!A$2:A$2000,'📞 Call Tracker'!B$2:B$2000,""),"")</f>
        <v>0</v>
      </c>
      <c r="X951" s="96">
        <f>IFERROR(_xlfn.XLOOKUP(TEXT(H951,"0000000000"),'📞 Call Tracker'!A$2:A$2000,'📞 Call Tracker'!C$2:C$2000,""),"")</f>
        <v>0</v>
      </c>
      <c r="Y951" s="95">
        <f>IFERROR(_xlfn.XLOOKUP(TEXT(H951,"0000000000"),'📞 Call Tracker'!A$2:A$2000,'📞 Call Tracker'!D$2:D$2000,""),"")</f>
        <v>0</v>
      </c>
      <c r="Z951" s="95">
        <f>IFERROR(_xlfn.XLOOKUP(TEXT(H951,"0000000000"),'📞 Call Tracker'!A$2:A$2000,'📞 Call Tracker'!E$2:E$2000,""),"")</f>
        <v>0</v>
      </c>
      <c r="AA951" s="145">
        <f>IFERROR(_xlfn.XLOOKUP(TEXT(H951,"0000000000"),'📞 Call Tracker'!A$2:A$2000,'📞 Call Tracker'!F$2:F$2000,""),"")</f>
        <v>0</v>
      </c>
      <c r="AB951" s="132">
        <f t="shared" si="29"/>
        <v>99</v>
      </c>
      <c r="AC951" s="79"/>
    </row>
    <row r="952" spans="1:29" ht="20.100000000000001" customHeight="1">
      <c r="A952" s="91">
        <v>45994</v>
      </c>
      <c r="B952" s="92" t="str">
        <v>Elleray</v>
      </c>
      <c r="C952" s="92" t="str">
        <v>Philip and Vicky</v>
      </c>
      <c r="D952" s="92" t="str">
        <v>Peoria</v>
      </c>
      <c r="E952" s="92">
        <v>85383</v>
      </c>
      <c r="F952" s="137" t="str">
        <v xml:space="preserve"> For a retired person and disabled veteran, that is an excessive rate increase</v>
      </c>
      <c r="G952" s="93" t="str">
        <v>https://docket.images.azcc.gov/E000047995.pdf</v>
      </c>
      <c r="H952" s="150" t="s">
        <v>6411</v>
      </c>
      <c r="I952" s="114" t="str">
        <v>R-BASIC</v>
      </c>
      <c r="J952" s="94" t="str">
        <v>No</v>
      </c>
      <c r="K952" s="94" t="str">
        <v>No</v>
      </c>
      <c r="L952" s="137" t="str">
        <v>Yes</v>
      </c>
      <c r="M952" s="94" t="str">
        <v>No</v>
      </c>
      <c r="N952" s="134" t="str">
        <v>No</v>
      </c>
      <c r="O952" s="119" t="str">
        <v>Yes</v>
      </c>
      <c r="P952" s="92" t="str">
        <v>N</v>
      </c>
      <c r="Q952" s="91">
        <v>45995</v>
      </c>
      <c r="R952" s="140">
        <v>0</v>
      </c>
      <c r="S952" s="92">
        <v>0</v>
      </c>
      <c r="T952" s="92">
        <v>0</v>
      </c>
      <c r="U952" s="137">
        <v>0</v>
      </c>
      <c r="V952" s="126" t="str">
        <f t="shared" si="28"/>
        <v>✅ On Best Plan</v>
      </c>
      <c r="W952" s="130" t="str">
        <f>IFERROR(_xlfn.XLOOKUP(TEXT(H952,"0000000000"),'📞 Call Tracker'!A$2:A$2000,'📞 Call Tracker'!B$2:B$2000,""),"")</f>
        <v>Joaquin</v>
      </c>
      <c r="X952" s="96">
        <f>IFERROR(_xlfn.XLOOKUP(TEXT(H952,"0000000000"),'📞 Call Tracker'!A$2:A$2000,'📞 Call Tracker'!C$2:C$2000,""),"")</f>
        <v>46060</v>
      </c>
      <c r="Y952" s="95" t="str">
        <f>IFERROR(_xlfn.XLOOKUP(TEXT(H952,"0000000000"),'📞 Call Tracker'!A$2:A$2000,'📞 Call Tracker'!D$2:D$2000,""),"")</f>
        <v>NO</v>
      </c>
      <c r="Z952" s="95">
        <f>IFERROR(_xlfn.XLOOKUP(TEXT(H952,"0000000000"),'📞 Call Tracker'!A$2:A$2000,'📞 Call Tracker'!E$2:E$2000,""),"")</f>
        <v>0</v>
      </c>
      <c r="AA952" s="145" t="str">
        <f>IFERROR(_xlfn.XLOOKUP(TEXT(H952,"0000000000"),'📞 Call Tracker'!A$2:A$2000,'📞 Call Tracker'!F$2:F$2000,""),"")</f>
        <v>CALLER HUNG UP</v>
      </c>
      <c r="AB952" s="132">
        <f t="shared" si="29"/>
        <v>99</v>
      </c>
      <c r="AC952" s="79"/>
    </row>
    <row r="953" spans="1:29" ht="20.100000000000001" customHeight="1">
      <c r="A953" s="91">
        <v>45994</v>
      </c>
      <c r="B953" s="92" t="str">
        <v>Eriksen</v>
      </c>
      <c r="C953" s="92" t="str">
        <v xml:space="preserve">Maria </v>
      </c>
      <c r="D953" s="92" t="str">
        <v>Phoenix</v>
      </c>
      <c r="E953" s="92">
        <v>85008</v>
      </c>
      <c r="F953" s="137" t="str">
        <v>I would tell APS to stop increasing rates because this will affect our low-income population</v>
      </c>
      <c r="G953" s="93" t="str">
        <v>https://docket.images.azcc.gov/0000215712.pdf</v>
      </c>
      <c r="H953" s="150" t="s">
        <v>6412</v>
      </c>
      <c r="I953" s="114" t="str">
        <v>R-BASIC</v>
      </c>
      <c r="J953" s="94" t="str">
        <v>Yes</v>
      </c>
      <c r="K953" s="94" t="str">
        <v>No</v>
      </c>
      <c r="L953" s="137" t="str">
        <v>No MEP R-XS ($51.48)</v>
      </c>
      <c r="M953" s="94" t="str">
        <v>No</v>
      </c>
      <c r="N953" s="134" t="str">
        <v>No</v>
      </c>
      <c r="O953" s="119" t="str">
        <v>Yes</v>
      </c>
      <c r="P953" s="92" t="str">
        <v>N</v>
      </c>
      <c r="Q953" s="91">
        <v>46000</v>
      </c>
      <c r="R953" s="140" t="str">
        <v>Spanish letter docketed, Customer should automatically be reassigned to R-XS tier 1</v>
      </c>
      <c r="S953" s="92">
        <v>0</v>
      </c>
      <c r="T953" s="92">
        <v>0</v>
      </c>
      <c r="U953" s="137">
        <v>0</v>
      </c>
      <c r="V953" s="126" t="str">
        <f t="shared" si="28"/>
        <v>❌ Not on Best Plan</v>
      </c>
      <c r="W953" s="130">
        <f>IFERROR(_xlfn.XLOOKUP(TEXT(H953,"0000000000"),'📞 Call Tracker'!A$2:A$2000,'📞 Call Tracker'!B$2:B$2000,""),"")</f>
        <v>0</v>
      </c>
      <c r="X953" s="96">
        <f>IFERROR(_xlfn.XLOOKUP(TEXT(H953,"0000000000"),'📞 Call Tracker'!A$2:A$2000,'📞 Call Tracker'!C$2:C$2000,""),"")</f>
        <v>0</v>
      </c>
      <c r="Y953" s="95">
        <f>IFERROR(_xlfn.XLOOKUP(TEXT(H953,"0000000000"),'📞 Call Tracker'!A$2:A$2000,'📞 Call Tracker'!D$2:D$2000,""),"")</f>
        <v>0</v>
      </c>
      <c r="Z953" s="95">
        <f>IFERROR(_xlfn.XLOOKUP(TEXT(H953,"0000000000"),'📞 Call Tracker'!A$2:A$2000,'📞 Call Tracker'!E$2:E$2000,""),"")</f>
        <v>0</v>
      </c>
      <c r="AA953" s="145">
        <f>IFERROR(_xlfn.XLOOKUP(TEXT(H953,"0000000000"),'📞 Call Tracker'!A$2:A$2000,'📞 Call Tracker'!F$2:F$2000,""),"")</f>
        <v>0</v>
      </c>
      <c r="AB953" s="132">
        <f t="shared" si="29"/>
        <v>99</v>
      </c>
      <c r="AC953" s="79"/>
    </row>
    <row r="954" spans="1:29" ht="20.100000000000001" customHeight="1">
      <c r="A954" s="91">
        <v>45994</v>
      </c>
      <c r="B954" s="92" t="str">
        <v>Minnesota</v>
      </c>
      <c r="C954" s="92" t="str">
        <v>Dorothy</v>
      </c>
      <c r="D954" s="92" t="str">
        <v>Surprise</v>
      </c>
      <c r="E954" s="92">
        <v>85387</v>
      </c>
      <c r="F954" s="137" t="str">
        <v>Fixed income, my pay doesn't go up at this rate</v>
      </c>
      <c r="G954" s="93" t="str">
        <v>https://docket.images.azcc.gov/0000215712.pdf</v>
      </c>
      <c r="H954" s="150" t="s">
        <v>6413</v>
      </c>
      <c r="I954" s="114" t="str">
        <v>R3-47</v>
      </c>
      <c r="J954" s="94" t="str">
        <v>No</v>
      </c>
      <c r="K954" s="94" t="str">
        <v>No</v>
      </c>
      <c r="L954" s="137" t="str">
        <v>Yes</v>
      </c>
      <c r="M954" s="94" t="str">
        <v>No</v>
      </c>
      <c r="N954" s="134" t="str">
        <v>No</v>
      </c>
      <c r="O954" s="119" t="str">
        <v>Yes</v>
      </c>
      <c r="P954" s="92" t="str">
        <v>N</v>
      </c>
      <c r="Q954" s="91">
        <v>46000</v>
      </c>
      <c r="R954" s="140">
        <v>0</v>
      </c>
      <c r="S954" s="92">
        <v>0</v>
      </c>
      <c r="T954" s="92">
        <v>0</v>
      </c>
      <c r="U954" s="137">
        <v>0</v>
      </c>
      <c r="V954" s="126" t="str">
        <f t="shared" si="28"/>
        <v>✅ On Best Plan</v>
      </c>
      <c r="W954" s="130" t="str">
        <f>IFERROR(_xlfn.XLOOKUP(TEXT(H954,"0000000000"),'📞 Call Tracker'!A$2:A$2000,'📞 Call Tracker'!B$2:B$2000,""),"")</f>
        <v>Joaquin</v>
      </c>
      <c r="X954" s="96">
        <f>IFERROR(_xlfn.XLOOKUP(TEXT(H954,"0000000000"),'📞 Call Tracker'!A$2:A$2000,'📞 Call Tracker'!C$2:C$2000,""),"")</f>
        <v>46060</v>
      </c>
      <c r="Y954" s="95" t="str">
        <f>IFERROR(_xlfn.XLOOKUP(TEXT(H954,"0000000000"),'📞 Call Tracker'!A$2:A$2000,'📞 Call Tracker'!D$2:D$2000,""),"")</f>
        <v>YES</v>
      </c>
      <c r="Z954" s="95">
        <f>IFERROR(_xlfn.XLOOKUP(TEXT(H954,"0000000000"),'📞 Call Tracker'!A$2:A$2000,'📞 Call Tracker'!E$2:E$2000,""),"")</f>
        <v>0</v>
      </c>
      <c r="AA954" s="145" t="str">
        <f>IFERROR(_xlfn.XLOOKUP(TEXT(H954,"0000000000"),'📞 Call Tracker'!A$2:A$2000,'📞 Call Tracker'!F$2:F$2000,""),"")</f>
        <v>LEFT VOICE MESSAGE</v>
      </c>
      <c r="AB954" s="132">
        <f t="shared" si="29"/>
        <v>99</v>
      </c>
      <c r="AC954" s="79"/>
    </row>
    <row r="955" spans="1:29" ht="20.100000000000001" customHeight="1">
      <c r="A955" s="91">
        <v>45994</v>
      </c>
      <c r="B955" s="92" t="str">
        <v>Gomez</v>
      </c>
      <c r="C955" s="92" t="str">
        <v>Marisela</v>
      </c>
      <c r="D955" s="92" t="str">
        <v>Phoenix</v>
      </c>
      <c r="E955" s="92">
        <v>85013</v>
      </c>
      <c r="F955" s="137" t="str">
        <v>Make decisions between buying groceries and cooling down my house</v>
      </c>
      <c r="G955" s="93" t="str">
        <v>https://docket.images.azcc.gov/0000215712.pdf</v>
      </c>
      <c r="H955" s="150" t="s">
        <v>6414</v>
      </c>
      <c r="I955" s="114" t="str">
        <v>RTOU47</v>
      </c>
      <c r="J955" s="94" t="str">
        <v>No</v>
      </c>
      <c r="K955" s="94" t="str">
        <v>No</v>
      </c>
      <c r="L955" s="137" t="str">
        <v>No MEP R3-47 ($116.16)</v>
      </c>
      <c r="M955" s="94" t="str">
        <v>No</v>
      </c>
      <c r="N955" s="134" t="str">
        <v>No</v>
      </c>
      <c r="O955" s="119" t="str">
        <v>Yes</v>
      </c>
      <c r="P955" s="92">
        <v>0</v>
      </c>
      <c r="Q955" s="91">
        <v>46000</v>
      </c>
      <c r="R955" s="140" t="str">
        <v>Please contact customer regarding plan options</v>
      </c>
      <c r="S955" s="92">
        <v>0</v>
      </c>
      <c r="T955" s="92">
        <v>0</v>
      </c>
      <c r="U955" s="137">
        <v>0</v>
      </c>
      <c r="V955" s="126" t="str">
        <f t="shared" si="28"/>
        <v>❌ Not on Best Plan</v>
      </c>
      <c r="W955" s="130">
        <f>IFERROR(_xlfn.XLOOKUP(TEXT(H955,"0000000000"),'📞 Call Tracker'!A$2:A$2000,'📞 Call Tracker'!B$2:B$2000,""),"")</f>
        <v>0</v>
      </c>
      <c r="X955" s="96">
        <f>IFERROR(_xlfn.XLOOKUP(TEXT(H955,"0000000000"),'📞 Call Tracker'!A$2:A$2000,'📞 Call Tracker'!C$2:C$2000,""),"")</f>
        <v>0</v>
      </c>
      <c r="Y955" s="95">
        <f>IFERROR(_xlfn.XLOOKUP(TEXT(H955,"0000000000"),'📞 Call Tracker'!A$2:A$2000,'📞 Call Tracker'!D$2:D$2000,""),"")</f>
        <v>0</v>
      </c>
      <c r="Z955" s="95">
        <f>IFERROR(_xlfn.XLOOKUP(TEXT(H955,"0000000000"),'📞 Call Tracker'!A$2:A$2000,'📞 Call Tracker'!E$2:E$2000,""),"")</f>
        <v>0</v>
      </c>
      <c r="AA955" s="145">
        <f>IFERROR(_xlfn.XLOOKUP(TEXT(H955,"0000000000"),'📞 Call Tracker'!A$2:A$2000,'📞 Call Tracker'!F$2:F$2000,""),"")</f>
        <v>0</v>
      </c>
      <c r="AB955" s="132">
        <f t="shared" si="29"/>
        <v>99</v>
      </c>
      <c r="AC955" s="79"/>
    </row>
    <row r="956" spans="1:29" ht="20.100000000000001" customHeight="1">
      <c r="A956" s="91">
        <v>45994</v>
      </c>
      <c r="B956" s="92" t="str">
        <v>Ulin</v>
      </c>
      <c r="C956" s="92" t="str">
        <v>Maxwell</v>
      </c>
      <c r="D956" s="92" t="str">
        <v>Phoenix</v>
      </c>
      <c r="E956" s="92">
        <v>85022</v>
      </c>
      <c r="F956" s="137" t="str">
        <v>Unacceptable to me that the ACC would approve such an enormous rate hike</v>
      </c>
      <c r="G956" s="93" t="str">
        <v>https://docket.images.azcc.gov/0000215712.pdf</v>
      </c>
      <c r="H956" s="150" t="s">
        <v>6415</v>
      </c>
      <c r="I956" s="114" t="str">
        <v>R-XS</v>
      </c>
      <c r="J956" s="94" t="str">
        <v>No</v>
      </c>
      <c r="K956" s="94" t="str">
        <v>No</v>
      </c>
      <c r="L956" s="137" t="str">
        <v>No MEP R3-47 ($8.47)</v>
      </c>
      <c r="M956" s="94" t="str">
        <v>No</v>
      </c>
      <c r="N956" s="134" t="str">
        <v>No</v>
      </c>
      <c r="O956" s="119" t="str">
        <v>Yes</v>
      </c>
      <c r="P956" s="92" t="str">
        <v>N</v>
      </c>
      <c r="Q956" s="91">
        <v>46000</v>
      </c>
      <c r="R956" s="140">
        <v>0</v>
      </c>
      <c r="S956" s="92">
        <v>0</v>
      </c>
      <c r="T956" s="92">
        <v>0</v>
      </c>
      <c r="U956" s="137">
        <v>0</v>
      </c>
      <c r="V956" s="126" t="str">
        <f t="shared" si="28"/>
        <v>❌ Not on Best Plan</v>
      </c>
      <c r="W956" s="130" t="str">
        <f>IFERROR(_xlfn.XLOOKUP(TEXT(H956,"0000000000"),'📞 Call Tracker'!A$2:A$2000,'📞 Call Tracker'!B$2:B$2000,""),"")</f>
        <v>Joaquin</v>
      </c>
      <c r="X956" s="96">
        <f>IFERROR(_xlfn.XLOOKUP(TEXT(H956,"0000000000"),'📞 Call Tracker'!A$2:A$2000,'📞 Call Tracker'!C$2:C$2000,""),"")</f>
        <v>46060</v>
      </c>
      <c r="Y956" s="95" t="str">
        <f>IFERROR(_xlfn.XLOOKUP(TEXT(H956,"0000000000"),'📞 Call Tracker'!A$2:A$2000,'📞 Call Tracker'!D$2:D$2000,""),"")</f>
        <v>NO</v>
      </c>
      <c r="Z956" s="95" t="str">
        <f>IFERROR(_xlfn.XLOOKUP(TEXT(H956,"0000000000"),'📞 Call Tracker'!A$2:A$2000,'📞 Call Tracker'!E$2:E$2000,""),"")</f>
        <v>General Education</v>
      </c>
      <c r="AA956" s="145">
        <f>IFERROR(_xlfn.XLOOKUP(TEXT(H956,"0000000000"),'📞 Call Tracker'!A$2:A$2000,'📞 Call Tracker'!F$2:F$2000,""),"")</f>
        <v>0</v>
      </c>
      <c r="AB956" s="132">
        <f t="shared" si="29"/>
        <v>99</v>
      </c>
      <c r="AC956" s="79"/>
    </row>
    <row r="957" spans="1:29" ht="20.100000000000001" customHeight="1">
      <c r="A957" s="91">
        <v>45994</v>
      </c>
      <c r="B957" s="92" t="str">
        <v>Ballmann</v>
      </c>
      <c r="C957" s="92" t="str">
        <v>Beth</v>
      </c>
      <c r="D957" s="92" t="str">
        <v>Cave Creek</v>
      </c>
      <c r="E957" s="92">
        <v>0</v>
      </c>
      <c r="F957" s="137" t="str">
        <v>Seek solutions that will lower rates for all of Arizona</v>
      </c>
      <c r="G957" s="93" t="str">
        <v>https://docket.images.azcc.gov/0000215712.pdf</v>
      </c>
      <c r="H957" s="150" t="s">
        <v>6106</v>
      </c>
      <c r="I957" s="114" t="str">
        <v>R3-47</v>
      </c>
      <c r="J957" s="94" t="str">
        <v>No</v>
      </c>
      <c r="K957" s="94" t="str">
        <v>No</v>
      </c>
      <c r="L957" s="137" t="str">
        <v>Yes</v>
      </c>
      <c r="M957" s="94" t="str">
        <v>No</v>
      </c>
      <c r="N957" s="134" t="str">
        <v>No</v>
      </c>
      <c r="O957" s="119" t="str">
        <v>Yes</v>
      </c>
      <c r="P957" s="92" t="str">
        <v>N</v>
      </c>
      <c r="Q957" s="91">
        <v>46000</v>
      </c>
      <c r="R957" s="140">
        <v>0</v>
      </c>
      <c r="S957" s="92">
        <v>0</v>
      </c>
      <c r="T957" s="92">
        <v>0</v>
      </c>
      <c r="U957" s="137">
        <v>0</v>
      </c>
      <c r="V957" s="126" t="str">
        <f t="shared" si="28"/>
        <v>✅ On Best Plan</v>
      </c>
      <c r="W957" s="130" t="str">
        <f>IFERROR(_xlfn.XLOOKUP(TEXT(H957,"0000000000"),'📞 Call Tracker'!A$2:A$2000,'📞 Call Tracker'!B$2:B$2000,""),"")</f>
        <v>Joaquin</v>
      </c>
      <c r="X957" s="96">
        <f>IFERROR(_xlfn.XLOOKUP(TEXT(H957,"0000000000"),'📞 Call Tracker'!A$2:A$2000,'📞 Call Tracker'!C$2:C$2000,""),"")</f>
        <v>45997</v>
      </c>
      <c r="Y957" s="95" t="str">
        <f>IFERROR(_xlfn.XLOOKUP(TEXT(H957,"0000000000"),'📞 Call Tracker'!A$2:A$2000,'📞 Call Tracker'!D$2:D$2000,""),"")</f>
        <v>NO</v>
      </c>
      <c r="Z957" s="95" t="str">
        <f>IFERROR(_xlfn.XLOOKUP(TEXT(H957,"0000000000"),'📞 Call Tracker'!A$2:A$2000,'📞 Call Tracker'!E$2:E$2000,""),"")</f>
        <v>Rate Change</v>
      </c>
      <c r="AA957" s="145" t="str">
        <f>IFERROR(_xlfn.XLOOKUP(TEXT(H957,"0000000000"),'📞 Call Tracker'!A$2:A$2000,'📞 Call Tracker'!F$2:F$2000,""),"")</f>
        <v>RATE CHANGE</v>
      </c>
      <c r="AB957" s="132">
        <f t="shared" si="29"/>
        <v>99</v>
      </c>
      <c r="AC957" s="79"/>
    </row>
    <row r="958" spans="1:29" ht="20.100000000000001" customHeight="1">
      <c r="A958" s="91">
        <v>45995</v>
      </c>
      <c r="B958" s="92" t="str">
        <v>Twitchell</v>
      </c>
      <c r="C958" s="92" t="str">
        <v xml:space="preserve">Melissa </v>
      </c>
      <c r="D958" s="92" t="str">
        <v>Surprise</v>
      </c>
      <c r="E958" s="92">
        <v>85379</v>
      </c>
      <c r="F958" s="137" t="str">
        <v>Seems like it would be absolutely crippling if it goes any higher.</v>
      </c>
      <c r="G958" s="93" t="str">
        <v>https://docket.images.azcc.gov/E000048049.pdf</v>
      </c>
      <c r="H958" s="150" t="s">
        <v>6162</v>
      </c>
      <c r="I958" s="114" t="str">
        <v>R-XS and EPR6w/ET-2</v>
      </c>
      <c r="J958" s="94" t="str">
        <v>No</v>
      </c>
      <c r="K958" s="94" t="str">
        <v>No</v>
      </c>
      <c r="L958" s="137" t="str">
        <v>Frozen Rate</v>
      </c>
      <c r="M958" s="94" t="str">
        <v>No</v>
      </c>
      <c r="N958" s="134" t="str">
        <v>No</v>
      </c>
      <c r="O958" s="119" t="str">
        <v>Yes</v>
      </c>
      <c r="P958" s="92" t="str">
        <v>N</v>
      </c>
      <c r="Q958" s="91">
        <v>46000</v>
      </c>
      <c r="R958" s="140">
        <v>0</v>
      </c>
      <c r="S958" s="92">
        <v>0</v>
      </c>
      <c r="T958" s="92">
        <v>0</v>
      </c>
      <c r="U958" s="137">
        <v>0</v>
      </c>
      <c r="V958" s="126" t="str">
        <f t="shared" si="28"/>
        <v>❄ Frozen Rate</v>
      </c>
      <c r="W958" s="130" t="str">
        <f>IFERROR(_xlfn.XLOOKUP(TEXT(H958,"0000000000"),'📞 Call Tracker'!A$2:A$2000,'📞 Call Tracker'!B$2:B$2000,""),"")</f>
        <v>Joaquin</v>
      </c>
      <c r="X958" s="96">
        <f>IFERROR(_xlfn.XLOOKUP(TEXT(H958,"0000000000"),'📞 Call Tracker'!A$2:A$2000,'📞 Call Tracker'!C$2:C$2000,""),"")</f>
        <v>46060</v>
      </c>
      <c r="Y958" s="95" t="str">
        <f>IFERROR(_xlfn.XLOOKUP(TEXT(H958,"0000000000"),'📞 Call Tracker'!A$2:A$2000,'📞 Call Tracker'!D$2:D$2000,""),"")</f>
        <v>NO</v>
      </c>
      <c r="Z958" s="95" t="str">
        <f>IFERROR(_xlfn.XLOOKUP(TEXT(H958,"0000000000"),'📞 Call Tracker'!A$2:A$2000,'📞 Call Tracker'!E$2:E$2000,""),"")</f>
        <v>General Education</v>
      </c>
      <c r="AA958" s="145" t="str">
        <f>IFERROR(_xlfn.XLOOKUP(TEXT(H958,"0000000000"),'📞 Call Tracker'!A$2:A$2000,'📞 Call Tracker'!F$2:F$2000,""),"")</f>
        <v>SOLAR ACCT GRANDFATHER  PLAN 9-9</v>
      </c>
      <c r="AB958" s="132">
        <f t="shared" si="29"/>
        <v>99</v>
      </c>
      <c r="AC958" s="79"/>
    </row>
    <row r="959" spans="1:29" ht="20.100000000000001" customHeight="1">
      <c r="A959" s="91">
        <v>45996</v>
      </c>
      <c r="B959" s="92" t="str">
        <v>Marrapodi</v>
      </c>
      <c r="C959" s="92" t="str">
        <v>Anthony</v>
      </c>
      <c r="D959" s="92" t="str">
        <v>Phoenix</v>
      </c>
      <c r="E959" s="92">
        <v>85032</v>
      </c>
      <c r="F959" s="137" t="str">
        <v>I believe this request is unjustified and harmful to ordinary ratepayers</v>
      </c>
      <c r="G959" s="93" t="str">
        <v>https://docket.images.azcc.gov/E000048069.pdf</v>
      </c>
      <c r="H959" s="150" t="s">
        <v>6107</v>
      </c>
      <c r="I959" s="114" t="str">
        <v>R-BASICL</v>
      </c>
      <c r="J959" s="94" t="str">
        <v>No</v>
      </c>
      <c r="K959" s="94" t="str">
        <v>No</v>
      </c>
      <c r="L959" s="137" t="str">
        <v>No MEP R3-47 ($139.25)</v>
      </c>
      <c r="M959" s="94" t="str">
        <v>No</v>
      </c>
      <c r="N959" s="134" t="str">
        <v>No</v>
      </c>
      <c r="O959" s="119" t="str">
        <v>Yes</v>
      </c>
      <c r="P959" s="92">
        <v>0</v>
      </c>
      <c r="Q959" s="91">
        <v>46000</v>
      </c>
      <c r="R959" s="140" t="str">
        <v>Please contact customer regarding plan options</v>
      </c>
      <c r="S959" s="92">
        <v>0</v>
      </c>
      <c r="T959" s="92">
        <v>0</v>
      </c>
      <c r="U959" s="137">
        <v>0</v>
      </c>
      <c r="V959" s="126" t="str">
        <f t="shared" si="28"/>
        <v>❌ Not on Best Plan</v>
      </c>
      <c r="W959" s="130" t="str">
        <f>IFERROR(_xlfn.XLOOKUP(TEXT(H959,"0000000000"),'📞 Call Tracker'!A$2:A$2000,'📞 Call Tracker'!B$2:B$2000,""),"")</f>
        <v>Joaquin</v>
      </c>
      <c r="X959" s="96">
        <f>IFERROR(_xlfn.XLOOKUP(TEXT(H959,"0000000000"),'📞 Call Tracker'!A$2:A$2000,'📞 Call Tracker'!C$2:C$2000,""),"")</f>
        <v>46018</v>
      </c>
      <c r="Y959" s="95" t="str">
        <f>IFERROR(_xlfn.XLOOKUP(TEXT(H959,"0000000000"),'📞 Call Tracker'!A$2:A$2000,'📞 Call Tracker'!D$2:D$2000,""),"")</f>
        <v>NO</v>
      </c>
      <c r="Z959" s="95" t="str">
        <f>IFERROR(_xlfn.XLOOKUP(TEXT(H959,"0000000000"),'📞 Call Tracker'!A$2:A$2000,'📞 Call Tracker'!E$2:E$2000,""),"")</f>
        <v>Other (fill in)</v>
      </c>
      <c r="AA959" s="145" t="str">
        <f>IFERROR(_xlfn.XLOOKUP(TEXT(H959,"0000000000"),'📞 Call Tracker'!A$2:A$2000,'📞 Call Tracker'!F$2:F$2000,""),"")</f>
        <v>HUNG UP</v>
      </c>
      <c r="AB959" s="132">
        <f t="shared" si="29"/>
        <v>99</v>
      </c>
      <c r="AC959" s="79"/>
    </row>
    <row r="960" spans="1:29" ht="20.100000000000001" customHeight="1">
      <c r="A960" s="91">
        <v>46003</v>
      </c>
      <c r="B960" s="92" t="str">
        <v>Ranchhod</v>
      </c>
      <c r="C960" s="92" t="str">
        <v>Kamal</v>
      </c>
      <c r="D960" s="92" t="str">
        <v>Buckeye</v>
      </c>
      <c r="E960" s="92">
        <v>85396</v>
      </c>
      <c r="F960" s="137" t="str">
        <v>Opposed: Retired on fixed income</v>
      </c>
      <c r="G960" s="93" t="str">
        <v>https://docket.images.azcc.gov/E000048180.pdf</v>
      </c>
      <c r="H960" s="150" t="s">
        <v>6416</v>
      </c>
      <c r="I960" s="114" t="str">
        <v>RCPw/R3-47</v>
      </c>
      <c r="J960" s="94" t="str">
        <v>No</v>
      </c>
      <c r="K960" s="94" t="str">
        <v>No</v>
      </c>
      <c r="L960" s="137" t="str">
        <v>Yes</v>
      </c>
      <c r="M960" s="94" t="str">
        <v>No</v>
      </c>
      <c r="N960" s="134" t="str">
        <v>No</v>
      </c>
      <c r="O960" s="119" t="str">
        <v>Yes</v>
      </c>
      <c r="P960" s="92" t="str">
        <v>N</v>
      </c>
      <c r="Q960" s="91">
        <v>46008</v>
      </c>
      <c r="R960" s="140">
        <v>0</v>
      </c>
      <c r="S960" s="92">
        <v>0</v>
      </c>
      <c r="T960" s="92">
        <v>0</v>
      </c>
      <c r="U960" s="137">
        <v>0</v>
      </c>
      <c r="V960" s="126" t="str">
        <f t="shared" si="28"/>
        <v>✅ On Best Plan</v>
      </c>
      <c r="W960" s="130" t="str">
        <f>IFERROR(_xlfn.XLOOKUP(TEXT(H960,"0000000000"),'📞 Call Tracker'!A$2:A$2000,'📞 Call Tracker'!B$2:B$2000,""),"")</f>
        <v>Joaquin</v>
      </c>
      <c r="X960" s="96">
        <f>IFERROR(_xlfn.XLOOKUP(TEXT(H960,"0000000000"),'📞 Call Tracker'!A$2:A$2000,'📞 Call Tracker'!C$2:C$2000,""),"")</f>
        <v>46067</v>
      </c>
      <c r="Y960" s="95" t="str">
        <f>IFERROR(_xlfn.XLOOKUP(TEXT(H960,"0000000000"),'📞 Call Tracker'!A$2:A$2000,'📞 Call Tracker'!D$2:D$2000,""),"")</f>
        <v>NO</v>
      </c>
      <c r="Z960" s="95" t="str">
        <f>IFERROR(_xlfn.XLOOKUP(TEXT(H960,"0000000000"),'📞 Call Tracker'!A$2:A$2000,'📞 Call Tracker'!E$2:E$2000,""),"")</f>
        <v>General Education</v>
      </c>
      <c r="AA960" s="145">
        <f>IFERROR(_xlfn.XLOOKUP(TEXT(H960,"0000000000"),'📞 Call Tracker'!A$2:A$2000,'📞 Call Tracker'!F$2:F$2000,""),"")</f>
        <v>0</v>
      </c>
      <c r="AB960" s="132">
        <f t="shared" si="29"/>
        <v>99</v>
      </c>
      <c r="AC960" s="79"/>
    </row>
    <row r="961" spans="1:29" ht="20.100000000000001" customHeight="1">
      <c r="A961" s="91">
        <v>46003</v>
      </c>
      <c r="B961" s="92" t="str">
        <v>Saez</v>
      </c>
      <c r="C961" s="92" t="str">
        <v>Elia</v>
      </c>
      <c r="D961" s="92" t="str">
        <v>Buckeye</v>
      </c>
      <c r="E961" s="92">
        <v>85396</v>
      </c>
      <c r="F961" s="137" t="str">
        <v>We need the ACC to stand up for Arizona households</v>
      </c>
      <c r="G961" s="93" t="str">
        <v>https://docket.images.azcc.gov/E000048180.pdf</v>
      </c>
      <c r="H961" s="150" t="s">
        <v>6417</v>
      </c>
      <c r="I961" s="114" t="str">
        <v>RCPw/TOUE-47</v>
      </c>
      <c r="J961" s="94" t="str">
        <v>No</v>
      </c>
      <c r="K961" s="94" t="str">
        <v>No</v>
      </c>
      <c r="L961" s="137" t="str">
        <v>Yes</v>
      </c>
      <c r="M961" s="94" t="str">
        <v>No</v>
      </c>
      <c r="N961" s="134" t="str">
        <v>No</v>
      </c>
      <c r="O961" s="119" t="str">
        <v>Yes</v>
      </c>
      <c r="P961" s="92" t="str">
        <v>N</v>
      </c>
      <c r="Q961" s="91">
        <v>46008</v>
      </c>
      <c r="R961" s="140">
        <v>0</v>
      </c>
      <c r="S961" s="92">
        <v>0</v>
      </c>
      <c r="T961" s="92">
        <v>0</v>
      </c>
      <c r="U961" s="137">
        <v>0</v>
      </c>
      <c r="V961" s="126" t="str">
        <f t="shared" si="28"/>
        <v>✅ On Best Plan</v>
      </c>
      <c r="W961" s="130">
        <f>IFERROR(_xlfn.XLOOKUP(TEXT(H961,"0000000000"),'📞 Call Tracker'!A$2:A$2000,'📞 Call Tracker'!B$2:B$2000,""),"")</f>
        <v>0</v>
      </c>
      <c r="X961" s="96">
        <f>IFERROR(_xlfn.XLOOKUP(TEXT(H961,"0000000000"),'📞 Call Tracker'!A$2:A$2000,'📞 Call Tracker'!C$2:C$2000,""),"")</f>
        <v>0</v>
      </c>
      <c r="Y961" s="95">
        <f>IFERROR(_xlfn.XLOOKUP(TEXT(H961,"0000000000"),'📞 Call Tracker'!A$2:A$2000,'📞 Call Tracker'!D$2:D$2000,""),"")</f>
        <v>0</v>
      </c>
      <c r="Z961" s="95">
        <f>IFERROR(_xlfn.XLOOKUP(TEXT(H961,"0000000000"),'📞 Call Tracker'!A$2:A$2000,'📞 Call Tracker'!E$2:E$2000,""),"")</f>
        <v>0</v>
      </c>
      <c r="AA961" s="145">
        <f>IFERROR(_xlfn.XLOOKUP(TEXT(H961,"0000000000"),'📞 Call Tracker'!A$2:A$2000,'📞 Call Tracker'!F$2:F$2000,""),"")</f>
        <v>0</v>
      </c>
      <c r="AB961" s="132">
        <f t="shared" si="29"/>
        <v>99</v>
      </c>
      <c r="AC961" s="79"/>
    </row>
    <row r="962" spans="1:29" ht="20.100000000000001" customHeight="1">
      <c r="A962" s="91">
        <v>46003</v>
      </c>
      <c r="B962" s="92" t="str">
        <v>Barrett</v>
      </c>
      <c r="C962" s="92" t="str">
        <v>Thomas</v>
      </c>
      <c r="D962" s="92" t="str">
        <v>Buckeye</v>
      </c>
      <c r="E962" s="92">
        <v>85396</v>
      </c>
      <c r="F962" s="137" t="str">
        <v>On a fixed income- this rate increase is unjustified</v>
      </c>
      <c r="G962" s="93" t="str">
        <v>https://docket.images.azcc.gov/E000048180.pdf</v>
      </c>
      <c r="H962" s="150" t="s">
        <v>6108</v>
      </c>
      <c r="I962" s="114" t="str">
        <v>RCPw/R2</v>
      </c>
      <c r="J962" s="94" t="str">
        <v>No</v>
      </c>
      <c r="K962" s="94" t="str">
        <v>No</v>
      </c>
      <c r="L962" s="137" t="str">
        <v>Frozen Plan</v>
      </c>
      <c r="M962" s="94" t="str">
        <v>No</v>
      </c>
      <c r="N962" s="134" t="str">
        <v>No</v>
      </c>
      <c r="O962" s="119" t="str">
        <v>Yes</v>
      </c>
      <c r="P962" s="92" t="str">
        <v>N</v>
      </c>
      <c r="Q962" s="91">
        <v>46008</v>
      </c>
      <c r="R962" s="140">
        <v>0</v>
      </c>
      <c r="S962" s="92">
        <v>0</v>
      </c>
      <c r="T962" s="92">
        <v>0</v>
      </c>
      <c r="U962" s="137">
        <v>0</v>
      </c>
      <c r="V962" s="126" t="str">
        <f t="shared" si="28"/>
        <v>❄ Frozen Rate</v>
      </c>
      <c r="W962" s="130" t="str">
        <f>IFERROR(_xlfn.XLOOKUP(TEXT(H962,"0000000000"),'📞 Call Tracker'!A$2:A$2000,'📞 Call Tracker'!B$2:B$2000,""),"")</f>
        <v>Joaquin</v>
      </c>
      <c r="X962" s="96">
        <f>IFERROR(_xlfn.XLOOKUP(TEXT(H962,"0000000000"),'📞 Call Tracker'!A$2:A$2000,'📞 Call Tracker'!C$2:C$2000,""),"")</f>
        <v>46053</v>
      </c>
      <c r="Y962" s="95" t="str">
        <f>IFERROR(_xlfn.XLOOKUP(TEXT(H962,"0000000000"),'📞 Call Tracker'!A$2:A$2000,'📞 Call Tracker'!D$2:D$2000,""),"")</f>
        <v>NO</v>
      </c>
      <c r="Z962" s="95" t="str">
        <f>IFERROR(_xlfn.XLOOKUP(TEXT(H962,"0000000000"),'📞 Call Tracker'!A$2:A$2000,'📞 Call Tracker'!E$2:E$2000,""),"")</f>
        <v>General Education</v>
      </c>
      <c r="AA962" s="145" t="str">
        <f>IFERROR(_xlfn.XLOOKUP(TEXT(H962,"0000000000"),'📞 Call Tracker'!A$2:A$2000,'📞 Call Tracker'!F$2:F$2000,""),"")</f>
        <v>STREETLIGHT ISSUE REPORTED</v>
      </c>
      <c r="AB962" s="132">
        <f t="shared" si="29"/>
        <v>99</v>
      </c>
      <c r="AC962" s="79"/>
    </row>
    <row r="963" spans="1:29" ht="20.100000000000001" customHeight="1">
      <c r="A963" s="91">
        <v>46006</v>
      </c>
      <c r="B963" s="92" t="str">
        <v>Jones</v>
      </c>
      <c r="C963" s="92" t="str">
        <v>Michael</v>
      </c>
      <c r="D963" s="92" t="str">
        <v>Chino Valley</v>
      </c>
      <c r="E963" s="92">
        <v>86323</v>
      </c>
      <c r="F963" s="137" t="str">
        <v>Opposed - against solar and wind, only reliable sources are nuclear, hydro-electric, natural gas and coal.</v>
      </c>
      <c r="G963" s="93" t="str">
        <v>https://docket.images.azcc.gov/E000048206.pdf</v>
      </c>
      <c r="H963" s="150" t="s">
        <v>6418</v>
      </c>
      <c r="I963" s="114" t="str">
        <v>R-BASIC</v>
      </c>
      <c r="J963" s="94" t="str">
        <v>No</v>
      </c>
      <c r="K963" s="94" t="str">
        <v>No</v>
      </c>
      <c r="L963" s="137" t="str">
        <v>Yes</v>
      </c>
      <c r="M963" s="94" t="str">
        <v>No</v>
      </c>
      <c r="N963" s="134" t="str">
        <v>No</v>
      </c>
      <c r="O963" s="119" t="str">
        <v>Yes</v>
      </c>
      <c r="P963" s="92" t="str">
        <v>N</v>
      </c>
      <c r="Q963" s="91">
        <v>46008</v>
      </c>
      <c r="R963" s="140">
        <v>0</v>
      </c>
      <c r="S963" s="92">
        <v>0</v>
      </c>
      <c r="T963" s="92">
        <v>0</v>
      </c>
      <c r="U963" s="137">
        <v>0</v>
      </c>
      <c r="V963" s="126" t="str">
        <f t="shared" ref="V963:V1026" si="30">IF(OR(LEFT(TRIM(L963),3)="Yes",TRIM(L963)="Y"),"✅ On Best Plan",IF(OR(L963="Frozen Rate",L963="Frozen Plan"),"❄ Frozen Rate",IF(OR(L963="Not able to Compare",L963="Info Not Avail",L963="NA",L963=""),"⚠ Unknown","❌ Not on Best Plan")))</f>
        <v>✅ On Best Plan</v>
      </c>
      <c r="W963" s="130">
        <f>IFERROR(_xlfn.XLOOKUP(TEXT(H963,"0000000000"),'📞 Call Tracker'!A$2:A$2000,'📞 Call Tracker'!B$2:B$2000,""),"")</f>
        <v>0</v>
      </c>
      <c r="X963" s="96">
        <f>IFERROR(_xlfn.XLOOKUP(TEXT(H963,"0000000000"),'📞 Call Tracker'!A$2:A$2000,'📞 Call Tracker'!C$2:C$2000,""),"")</f>
        <v>0</v>
      </c>
      <c r="Y963" s="95">
        <f>IFERROR(_xlfn.XLOOKUP(TEXT(H963,"0000000000"),'📞 Call Tracker'!A$2:A$2000,'📞 Call Tracker'!D$2:D$2000,""),"")</f>
        <v>0</v>
      </c>
      <c r="Z963" s="95">
        <f>IFERROR(_xlfn.XLOOKUP(TEXT(H963,"0000000000"),'📞 Call Tracker'!A$2:A$2000,'📞 Call Tracker'!E$2:E$2000,""),"")</f>
        <v>0</v>
      </c>
      <c r="AA963" s="145">
        <f>IFERROR(_xlfn.XLOOKUP(TEXT(H963,"0000000000"),'📞 Call Tracker'!A$2:A$2000,'📞 Call Tracker'!F$2:F$2000,""),"")</f>
        <v>0</v>
      </c>
      <c r="AB963" s="132">
        <f t="shared" ref="AB963:AB1026" si="31">IF(OR(H963="",X963&lt;&gt;""),99,IF(AND(NOT(OR(LEFT(TRIM(L963),3)="Yes",TRIM(L963)="Y",L963="Frozen Rate",L963="Frozen Plan",L963="Not able to Compare",L963="Info Not Avail",L963="NA",L963="")),AND(N963&lt;&gt;"No",N963&lt;&gt;"")),1,IF(NOT(OR(LEFT(TRIM(L963),3)="Yes",TRIM(L963)="Y",L963="Frozen Rate",L963="Frozen Plan",L963="Not able to Compare",L963="Info Not Avail",L963="NA",L963="")),2,IF(AND(N963&lt;&gt;"No",N963&lt;&gt;""),3,4))))</f>
        <v>99</v>
      </c>
      <c r="AC963" s="79"/>
    </row>
    <row r="964" spans="1:29" ht="20.100000000000001" customHeight="1">
      <c r="A964" s="91">
        <v>46009</v>
      </c>
      <c r="B964" s="92" t="str">
        <v>Hotham</v>
      </c>
      <c r="C964" s="92" t="str">
        <v xml:space="preserve">Sharon </v>
      </c>
      <c r="D964" s="92" t="str">
        <v>Phoenix</v>
      </c>
      <c r="E964" s="92">
        <v>85022</v>
      </c>
      <c r="F964" s="137" t="str">
        <v>Form Letter: Enough is enough! You must reject the latest 14% rate hikes by APS e TEP</v>
      </c>
      <c r="G964" s="93" t="str">
        <v>https://docket.images.azcc.gov/E000048302.pdf</v>
      </c>
      <c r="H964" s="150" t="s">
        <v>6419</v>
      </c>
      <c r="I964" s="114" t="str">
        <v>RTOUE47</v>
      </c>
      <c r="J964" s="94" t="str">
        <v>No</v>
      </c>
      <c r="K964" s="94" t="str">
        <v>No</v>
      </c>
      <c r="L964" s="137" t="str">
        <v>No MEP R3-47 ($232.55)</v>
      </c>
      <c r="M964" s="94" t="str">
        <v>No</v>
      </c>
      <c r="N964" s="134" t="str">
        <v>No</v>
      </c>
      <c r="O964" s="119" t="str">
        <v>Yes</v>
      </c>
      <c r="P964" s="92">
        <v>0</v>
      </c>
      <c r="Q964" s="91">
        <v>46015</v>
      </c>
      <c r="R964" s="140" t="str">
        <v>Please contact customer regarding plan options</v>
      </c>
      <c r="S964" s="92">
        <v>0</v>
      </c>
      <c r="T964" s="92">
        <v>0</v>
      </c>
      <c r="U964" s="137">
        <v>0</v>
      </c>
      <c r="V964" s="126" t="str">
        <f t="shared" si="30"/>
        <v>❌ Not on Best Plan</v>
      </c>
      <c r="W964" s="130" t="str">
        <f>IFERROR(_xlfn.XLOOKUP(TEXT(H964,"0000000000"),'📞 Call Tracker'!A$2:A$2000,'📞 Call Tracker'!B$2:B$2000,""),"")</f>
        <v>Joaquin</v>
      </c>
      <c r="X964" s="96">
        <f>IFERROR(_xlfn.XLOOKUP(TEXT(H964,"0000000000"),'📞 Call Tracker'!A$2:A$2000,'📞 Call Tracker'!C$2:C$2000,""),"")</f>
        <v>46067</v>
      </c>
      <c r="Y964" s="95" t="str">
        <f>IFERROR(_xlfn.XLOOKUP(TEXT(H964,"0000000000"),'📞 Call Tracker'!A$2:A$2000,'📞 Call Tracker'!D$2:D$2000,""),"")</f>
        <v>NO</v>
      </c>
      <c r="Z964" s="95" t="str">
        <f>IFERROR(_xlfn.XLOOKUP(TEXT(H964,"0000000000"),'📞 Call Tracker'!A$2:A$2000,'📞 Call Tracker'!E$2:E$2000,""),"")</f>
        <v>General Education</v>
      </c>
      <c r="AA964" s="145">
        <f>IFERROR(_xlfn.XLOOKUP(TEXT(H964,"0000000000"),'📞 Call Tracker'!A$2:A$2000,'📞 Call Tracker'!F$2:F$2000,""),"")</f>
        <v>0</v>
      </c>
      <c r="AB964" s="132">
        <f t="shared" si="31"/>
        <v>99</v>
      </c>
      <c r="AC964" s="79"/>
    </row>
    <row r="965" spans="1:29" ht="20.100000000000001" customHeight="1">
      <c r="A965" s="91">
        <v>46010</v>
      </c>
      <c r="B965" s="92" t="str">
        <v>Posey</v>
      </c>
      <c r="C965" s="92" t="str">
        <v>Michael</v>
      </c>
      <c r="D965" s="92" t="str">
        <v>Buckeye</v>
      </c>
      <c r="E965" s="92">
        <v>85326</v>
      </c>
      <c r="F965" s="137" t="str">
        <v>Form Letter: Enough is enough! You must reject the latest 14% rate hikes by APS e TEP</v>
      </c>
      <c r="G965" s="93" t="str">
        <v>https://docket.images.azcc.gov/E000048311.pdf</v>
      </c>
      <c r="H965" s="150" t="s">
        <v>3430</v>
      </c>
      <c r="I965" s="114" t="str">
        <v>RTOUE47</v>
      </c>
      <c r="J965" s="94" t="str">
        <v>No</v>
      </c>
      <c r="K965" s="94" t="str">
        <v>No</v>
      </c>
      <c r="L965" s="137" t="str">
        <v>No MEP R3-47 ($326.27)</v>
      </c>
      <c r="M965" s="94" t="str">
        <v>Yes</v>
      </c>
      <c r="N965" s="134">
        <v>1309.77</v>
      </c>
      <c r="O965" s="119" t="str">
        <v>Yes</v>
      </c>
      <c r="P965" s="92">
        <v>0</v>
      </c>
      <c r="Q965" s="91">
        <v>46015</v>
      </c>
      <c r="R965" s="140" t="str">
        <v>Please contact customer regarding plan options and assistance programs</v>
      </c>
      <c r="S965" s="92">
        <v>0</v>
      </c>
      <c r="T965" s="92">
        <v>0</v>
      </c>
      <c r="U965" s="137">
        <v>0</v>
      </c>
      <c r="V965" s="126" t="str">
        <f t="shared" si="30"/>
        <v>❌ Not on Best Plan</v>
      </c>
      <c r="W965" s="130">
        <f>IFERROR(_xlfn.XLOOKUP(TEXT(H965,"0000000000"),'📞 Call Tracker'!A$2:A$2000,'📞 Call Tracker'!B$2:B$2000,""),"")</f>
        <v>0</v>
      </c>
      <c r="X965" s="96">
        <f>IFERROR(_xlfn.XLOOKUP(TEXT(H965,"0000000000"),'📞 Call Tracker'!A$2:A$2000,'📞 Call Tracker'!C$2:C$2000,""),"")</f>
        <v>0</v>
      </c>
      <c r="Y965" s="95">
        <f>IFERROR(_xlfn.XLOOKUP(TEXT(H965,"0000000000"),'📞 Call Tracker'!A$2:A$2000,'📞 Call Tracker'!D$2:D$2000,""),"")</f>
        <v>0</v>
      </c>
      <c r="Z965" s="95">
        <f>IFERROR(_xlfn.XLOOKUP(TEXT(H965,"0000000000"),'📞 Call Tracker'!A$2:A$2000,'📞 Call Tracker'!E$2:E$2000,""),"")</f>
        <v>0</v>
      </c>
      <c r="AA965" s="145">
        <f>IFERROR(_xlfn.XLOOKUP(TEXT(H965,"0000000000"),'📞 Call Tracker'!A$2:A$2000,'📞 Call Tracker'!F$2:F$2000,""),"")</f>
        <v>0</v>
      </c>
      <c r="AB965" s="132">
        <f t="shared" si="31"/>
        <v>99</v>
      </c>
      <c r="AC965" s="79"/>
    </row>
    <row r="966" spans="1:29" ht="20.100000000000001" customHeight="1">
      <c r="A966" s="91">
        <v>46010</v>
      </c>
      <c r="B966" s="92" t="str">
        <v>Arvizu</v>
      </c>
      <c r="C966" s="92" t="str">
        <v>Marc</v>
      </c>
      <c r="D966" s="92" t="str">
        <v>Phoenix</v>
      </c>
      <c r="E966" s="92">
        <v>85015</v>
      </c>
      <c r="F966" s="137" t="str">
        <v>Form Letter: Enough is enough! You must reject the latest 14% rate hikes by APS e TEP</v>
      </c>
      <c r="G966" s="93" t="str">
        <v>https://docket.images.azcc.gov/E000048311.pdf</v>
      </c>
      <c r="H966" s="150" t="s">
        <v>3448</v>
      </c>
      <c r="I966" s="114" t="str">
        <v>R-BASIC</v>
      </c>
      <c r="J966" s="94" t="str">
        <v>No</v>
      </c>
      <c r="K966" s="94" t="str">
        <v>No</v>
      </c>
      <c r="L966" s="137" t="str">
        <v>Yes</v>
      </c>
      <c r="M966" s="94" t="str">
        <v>No</v>
      </c>
      <c r="N966" s="134" t="str">
        <v>No</v>
      </c>
      <c r="O966" s="119" t="str">
        <v>Yes</v>
      </c>
      <c r="P966" s="92" t="str">
        <v>N</v>
      </c>
      <c r="Q966" s="91">
        <v>46015</v>
      </c>
      <c r="R966" s="140">
        <v>0</v>
      </c>
      <c r="S966" s="92">
        <v>0</v>
      </c>
      <c r="T966" s="92">
        <v>0</v>
      </c>
      <c r="U966" s="137">
        <v>0</v>
      </c>
      <c r="V966" s="126" t="str">
        <f t="shared" si="30"/>
        <v>✅ On Best Plan</v>
      </c>
      <c r="W966" s="130" t="str">
        <f>IFERROR(_xlfn.XLOOKUP(TEXT(H966,"0000000000"),'📞 Call Tracker'!A$2:A$2000,'📞 Call Tracker'!B$2:B$2000,""),"")</f>
        <v>Joaquin</v>
      </c>
      <c r="X966" s="96">
        <f>IFERROR(_xlfn.XLOOKUP(TEXT(H966,"0000000000"),'📞 Call Tracker'!A$2:A$2000,'📞 Call Tracker'!C$2:C$2000,""),"")</f>
        <v>46018</v>
      </c>
      <c r="Y966" s="95" t="str">
        <f>IFERROR(_xlfn.XLOOKUP(TEXT(H966,"0000000000"),'📞 Call Tracker'!A$2:A$2000,'📞 Call Tracker'!D$2:D$2000,""),"")</f>
        <v>NO</v>
      </c>
      <c r="Z966" s="95" t="str">
        <f>IFERROR(_xlfn.XLOOKUP(TEXT(H966,"0000000000"),'📞 Call Tracker'!A$2:A$2000,'📞 Call Tracker'!E$2:E$2000,""),"")</f>
        <v>Rate Change</v>
      </c>
      <c r="AA966" s="145" t="str">
        <f>IFERROR(_xlfn.XLOOKUP(TEXT(H966,"0000000000"),'📞 Call Tracker'!A$2:A$2000,'📞 Call Tracker'!F$2:F$2000,""),"")</f>
        <v>INFO ON E3</v>
      </c>
      <c r="AB966" s="132">
        <f t="shared" si="31"/>
        <v>99</v>
      </c>
      <c r="AC966" s="79"/>
    </row>
    <row r="967" spans="1:29" ht="20.100000000000001" customHeight="1">
      <c r="A967" s="91">
        <v>46010</v>
      </c>
      <c r="B967" s="92" t="str">
        <v>Jones</v>
      </c>
      <c r="C967" s="92" t="str">
        <v>Audrey</v>
      </c>
      <c r="D967" s="92" t="str">
        <v>New River</v>
      </c>
      <c r="E967" s="92">
        <v>85087</v>
      </c>
      <c r="F967" s="137" t="str">
        <v>Form Letter: Enough is enough! You must reject the latest 14% rate hikes by APS e TEP</v>
      </c>
      <c r="G967" s="93" t="str">
        <v>https://docket.images.azcc.gov/E000048311.pdf</v>
      </c>
      <c r="H967" s="150" t="s">
        <v>3468</v>
      </c>
      <c r="I967" s="114" t="str">
        <v>RCPw/TOUE-47</v>
      </c>
      <c r="J967" s="94" t="str">
        <v>No</v>
      </c>
      <c r="K967" s="94" t="str">
        <v>No</v>
      </c>
      <c r="L967" s="137" t="str">
        <v>Yes</v>
      </c>
      <c r="M967" s="94" t="str">
        <v>No</v>
      </c>
      <c r="N967" s="134" t="str">
        <v>No</v>
      </c>
      <c r="O967" s="119" t="str">
        <v>Yes</v>
      </c>
      <c r="P967" s="92" t="str">
        <v>N</v>
      </c>
      <c r="Q967" s="91">
        <v>46015</v>
      </c>
      <c r="R967" s="140">
        <v>0</v>
      </c>
      <c r="S967" s="92">
        <v>0</v>
      </c>
      <c r="T967" s="92">
        <v>0</v>
      </c>
      <c r="U967" s="137">
        <v>0</v>
      </c>
      <c r="V967" s="126" t="str">
        <f t="shared" si="30"/>
        <v>✅ On Best Plan</v>
      </c>
      <c r="W967" s="130">
        <f>IFERROR(_xlfn.XLOOKUP(TEXT(H967,"0000000000"),'📞 Call Tracker'!A$2:A$2000,'📞 Call Tracker'!B$2:B$2000,""),"")</f>
        <v>0</v>
      </c>
      <c r="X967" s="96">
        <f>IFERROR(_xlfn.XLOOKUP(TEXT(H967,"0000000000"),'📞 Call Tracker'!A$2:A$2000,'📞 Call Tracker'!C$2:C$2000,""),"")</f>
        <v>0</v>
      </c>
      <c r="Y967" s="95">
        <f>IFERROR(_xlfn.XLOOKUP(TEXT(H967,"0000000000"),'📞 Call Tracker'!A$2:A$2000,'📞 Call Tracker'!D$2:D$2000,""),"")</f>
        <v>0</v>
      </c>
      <c r="Z967" s="95">
        <f>IFERROR(_xlfn.XLOOKUP(TEXT(H967,"0000000000"),'📞 Call Tracker'!A$2:A$2000,'📞 Call Tracker'!E$2:E$2000,""),"")</f>
        <v>0</v>
      </c>
      <c r="AA967" s="145">
        <f>IFERROR(_xlfn.XLOOKUP(TEXT(H967,"0000000000"),'📞 Call Tracker'!A$2:A$2000,'📞 Call Tracker'!F$2:F$2000,""),"")</f>
        <v>0</v>
      </c>
      <c r="AB967" s="132">
        <f t="shared" si="31"/>
        <v>99</v>
      </c>
      <c r="AC967" s="79"/>
    </row>
    <row r="968" spans="1:29" ht="20.100000000000001" customHeight="1">
      <c r="A968" s="91">
        <v>46010</v>
      </c>
      <c r="B968" s="92" t="str">
        <v>Sanders</v>
      </c>
      <c r="C968" s="92" t="str">
        <v>Marissa</v>
      </c>
      <c r="D968" s="92" t="str">
        <v>Buckeye</v>
      </c>
      <c r="E968" s="92">
        <v>85326</v>
      </c>
      <c r="F968" s="137" t="str">
        <v>Form Letter: Enough is enough! You must reject the latest 14% rate hikes by APS e TEP</v>
      </c>
      <c r="G968" s="93" t="str">
        <v>https://docket.images.azcc.gov/E000048311.pdf</v>
      </c>
      <c r="H968" s="150" t="s">
        <v>6109</v>
      </c>
      <c r="I968" s="114" t="str">
        <v>RTOUE47</v>
      </c>
      <c r="J968" s="94" t="str">
        <v>No</v>
      </c>
      <c r="K968" s="94" t="str">
        <v>No</v>
      </c>
      <c r="L968" s="137" t="str">
        <v>No MEP R3-47 ($306.58)</v>
      </c>
      <c r="M968" s="94" t="str">
        <v>No</v>
      </c>
      <c r="N968" s="134" t="str">
        <v>No</v>
      </c>
      <c r="O968" s="119" t="str">
        <v>Yes</v>
      </c>
      <c r="P968" s="92">
        <v>0</v>
      </c>
      <c r="Q968" s="91">
        <v>46015</v>
      </c>
      <c r="R968" s="140" t="str">
        <v>Please contact customer regarding plan options</v>
      </c>
      <c r="S968" s="92">
        <v>0</v>
      </c>
      <c r="T968" s="92">
        <v>0</v>
      </c>
      <c r="U968" s="137">
        <v>0</v>
      </c>
      <c r="V968" s="126" t="str">
        <f t="shared" si="30"/>
        <v>❌ Not on Best Plan</v>
      </c>
      <c r="W968" s="130" t="str">
        <f>IFERROR(_xlfn.XLOOKUP(TEXT(H968,"0000000000"),'📞 Call Tracker'!A$2:A$2000,'📞 Call Tracker'!B$2:B$2000,""),"")</f>
        <v>Joaquin</v>
      </c>
      <c r="X968" s="96">
        <f>IFERROR(_xlfn.XLOOKUP(TEXT(H968,"0000000000"),'📞 Call Tracker'!A$2:A$2000,'📞 Call Tracker'!C$2:C$2000,""),"")</f>
        <v>46039</v>
      </c>
      <c r="Y968" s="95" t="str">
        <f>IFERROR(_xlfn.XLOOKUP(TEXT(H968,"0000000000"),'📞 Call Tracker'!A$2:A$2000,'📞 Call Tracker'!D$2:D$2000,""),"")</f>
        <v>YES</v>
      </c>
      <c r="Z968" s="95">
        <f>IFERROR(_xlfn.XLOOKUP(TEXT(H968,"0000000000"),'📞 Call Tracker'!A$2:A$2000,'📞 Call Tracker'!E$2:E$2000,""),"")</f>
        <v>0</v>
      </c>
      <c r="AA968" s="145" t="str">
        <f>IFERROR(_xlfn.XLOOKUP(TEXT(H968,"0000000000"),'📞 Call Tracker'!A$2:A$2000,'📞 Call Tracker'!F$2:F$2000,""),"")</f>
        <v>BETTER RATE TIME OF USE WITH DEMAND</v>
      </c>
      <c r="AB968" s="132">
        <f t="shared" si="31"/>
        <v>99</v>
      </c>
      <c r="AC968" s="79"/>
    </row>
    <row r="969" spans="1:29" ht="20.100000000000001" customHeight="1">
      <c r="A969" s="91">
        <v>46015</v>
      </c>
      <c r="B969" s="92" t="str">
        <v>Lengele</v>
      </c>
      <c r="C969" s="92" t="str">
        <v>Wade</v>
      </c>
      <c r="D969" s="92" t="str">
        <v>Phoenix</v>
      </c>
      <c r="E969" s="92">
        <v>85029</v>
      </c>
      <c r="F969" s="137" t="str">
        <v>Opposed to any rate increase request that subsidize costs associated with infrastructure for industrial custoemrs/data centers</v>
      </c>
      <c r="G969" s="93" t="str">
        <v>https://docket.images.azcc.gov/E000048402.pdf</v>
      </c>
      <c r="H969" s="150" t="s">
        <v>3487</v>
      </c>
      <c r="I969" s="114" t="str">
        <v>R3-47</v>
      </c>
      <c r="J969" s="94" t="str">
        <v>No</v>
      </c>
      <c r="K969" s="94" t="str">
        <v>No</v>
      </c>
      <c r="L969" s="137" t="str">
        <v>Yes</v>
      </c>
      <c r="M969" s="94" t="str">
        <v>No</v>
      </c>
      <c r="N969" s="134" t="str">
        <v>No</v>
      </c>
      <c r="O969" s="119" t="str">
        <v>Yes</v>
      </c>
      <c r="P969" s="92" t="str">
        <v>N</v>
      </c>
      <c r="Q969" s="91">
        <v>46017</v>
      </c>
      <c r="R969" s="140">
        <v>0</v>
      </c>
      <c r="S969" s="92">
        <v>0</v>
      </c>
      <c r="T969" s="92">
        <v>0</v>
      </c>
      <c r="U969" s="137">
        <v>0</v>
      </c>
      <c r="V969" s="126" t="str">
        <f t="shared" si="30"/>
        <v>✅ On Best Plan</v>
      </c>
      <c r="W969" s="130" t="str">
        <f>IFERROR(_xlfn.XLOOKUP(TEXT(H969,"0000000000"),'📞 Call Tracker'!A$2:A$2000,'📞 Call Tracker'!B$2:B$2000,""),"")</f>
        <v>Joaquin</v>
      </c>
      <c r="X969" s="96">
        <f>IFERROR(_xlfn.XLOOKUP(TEXT(H969,"0000000000"),'📞 Call Tracker'!A$2:A$2000,'📞 Call Tracker'!C$2:C$2000,""),"")</f>
        <v>46018</v>
      </c>
      <c r="Y969" s="95" t="str">
        <f>IFERROR(_xlfn.XLOOKUP(TEXT(H969,"0000000000"),'📞 Call Tracker'!A$2:A$2000,'📞 Call Tracker'!D$2:D$2000,""),"")</f>
        <v>NO</v>
      </c>
      <c r="Z969" s="95" t="str">
        <f>IFERROR(_xlfn.XLOOKUP(TEXT(H969,"0000000000"),'📞 Call Tracker'!A$2:A$2000,'📞 Call Tracker'!E$2:E$2000,""),"")</f>
        <v>General Education</v>
      </c>
      <c r="AA969" s="145" t="str">
        <f>IFERROR(_xlfn.XLOOKUP(TEXT(H969,"0000000000"),'📞 Call Tracker'!A$2:A$2000,'📞 Call Tracker'!F$2:F$2000,""),"")</f>
        <v>BB PROGRAM 114.00</v>
      </c>
      <c r="AB969" s="132">
        <f t="shared" si="31"/>
        <v>99</v>
      </c>
      <c r="AC969" s="79"/>
    </row>
    <row r="970" spans="1:29" ht="20.100000000000001" customHeight="1">
      <c r="A970" s="91">
        <v>46017</v>
      </c>
      <c r="B970" s="92" t="str">
        <v>Krause</v>
      </c>
      <c r="C970" s="92" t="str">
        <v>Glenda</v>
      </c>
      <c r="D970" s="92" t="str">
        <v>Phoenix</v>
      </c>
      <c r="E970" s="92">
        <v>85006</v>
      </c>
      <c r="F970" s="137" t="str">
        <v>Form Letter: Enough is enough! You must reject the latest 14% rate hikes by APS e TEP</v>
      </c>
      <c r="G970" s="93" t="str">
        <v>https://docket.images.azcc.gov/E000048419.pdf</v>
      </c>
      <c r="H970" s="150" t="s">
        <v>3506</v>
      </c>
      <c r="I970" s="114" t="str">
        <v>R-BASIC</v>
      </c>
      <c r="J970" s="94" t="str">
        <v>No</v>
      </c>
      <c r="K970" s="94" t="str">
        <v>No</v>
      </c>
      <c r="L970" s="137" t="str">
        <v>Yes</v>
      </c>
      <c r="M970" s="94" t="str">
        <v>No</v>
      </c>
      <c r="N970" s="134" t="str">
        <v>No</v>
      </c>
      <c r="O970" s="119" t="str">
        <v>Yes</v>
      </c>
      <c r="P970" s="92" t="str">
        <v>N</v>
      </c>
      <c r="Q970" s="91">
        <v>46020</v>
      </c>
      <c r="R970" s="140">
        <v>0</v>
      </c>
      <c r="S970" s="92">
        <v>0</v>
      </c>
      <c r="T970" s="92">
        <v>0</v>
      </c>
      <c r="U970" s="137">
        <v>0</v>
      </c>
      <c r="V970" s="126" t="str">
        <f t="shared" si="30"/>
        <v>✅ On Best Plan</v>
      </c>
      <c r="W970" s="130">
        <f>IFERROR(_xlfn.XLOOKUP(TEXT(H970,"0000000000"),'📞 Call Tracker'!A$2:A$2000,'📞 Call Tracker'!B$2:B$2000,""),"")</f>
        <v>0</v>
      </c>
      <c r="X970" s="96">
        <f>IFERROR(_xlfn.XLOOKUP(TEXT(H970,"0000000000"),'📞 Call Tracker'!A$2:A$2000,'📞 Call Tracker'!C$2:C$2000,""),"")</f>
        <v>0</v>
      </c>
      <c r="Y970" s="95">
        <f>IFERROR(_xlfn.XLOOKUP(TEXT(H970,"0000000000"),'📞 Call Tracker'!A$2:A$2000,'📞 Call Tracker'!D$2:D$2000,""),"")</f>
        <v>0</v>
      </c>
      <c r="Z970" s="95">
        <f>IFERROR(_xlfn.XLOOKUP(TEXT(H970,"0000000000"),'📞 Call Tracker'!A$2:A$2000,'📞 Call Tracker'!E$2:E$2000,""),"")</f>
        <v>0</v>
      </c>
      <c r="AA970" s="145">
        <f>IFERROR(_xlfn.XLOOKUP(TEXT(H970,"0000000000"),'📞 Call Tracker'!A$2:A$2000,'📞 Call Tracker'!F$2:F$2000,""),"")</f>
        <v>0</v>
      </c>
      <c r="AB970" s="132">
        <f t="shared" si="31"/>
        <v>99</v>
      </c>
      <c r="AC970" s="79"/>
    </row>
    <row r="971" spans="1:29" ht="20.100000000000001" customHeight="1">
      <c r="A971" s="91">
        <v>46017</v>
      </c>
      <c r="B971" s="92" t="str">
        <v>Kendrick</v>
      </c>
      <c r="C971" s="92" t="str">
        <v>William</v>
      </c>
      <c r="D971" s="92" t="str">
        <v>Peoria</v>
      </c>
      <c r="E971" s="92">
        <v>85345</v>
      </c>
      <c r="F971" s="137" t="str">
        <v>Form Letter: Enough is enough! You must reject the latest 14% rate hikes by APS e TEP</v>
      </c>
      <c r="G971" s="93" t="str">
        <v>https://docket.images.azcc.gov/E000048419.pdf</v>
      </c>
      <c r="H971" s="150" t="s">
        <v>3526</v>
      </c>
      <c r="I971" s="114" t="str">
        <v>R3-47</v>
      </c>
      <c r="J971" s="94" t="str">
        <v>No</v>
      </c>
      <c r="K971" s="94" t="str">
        <v>No</v>
      </c>
      <c r="L971" s="137" t="str">
        <v>Yes</v>
      </c>
      <c r="M971" s="94" t="str">
        <v>No</v>
      </c>
      <c r="N971" s="134" t="str">
        <v>No</v>
      </c>
      <c r="O971" s="119" t="str">
        <v>Yes</v>
      </c>
      <c r="P971" s="92" t="str">
        <v>N</v>
      </c>
      <c r="Q971" s="91">
        <v>46020</v>
      </c>
      <c r="R971" s="140">
        <v>0</v>
      </c>
      <c r="S971" s="92">
        <v>0</v>
      </c>
      <c r="T971" s="92">
        <v>0</v>
      </c>
      <c r="U971" s="137">
        <v>0</v>
      </c>
      <c r="V971" s="126" t="str">
        <f t="shared" si="30"/>
        <v>✅ On Best Plan</v>
      </c>
      <c r="W971" s="130" t="str">
        <f>IFERROR(_xlfn.XLOOKUP(TEXT(H971,"0000000000"),'📞 Call Tracker'!A$2:A$2000,'📞 Call Tracker'!B$2:B$2000,""),"")</f>
        <v/>
      </c>
      <c r="X971" s="96" t="str">
        <f>IFERROR(_xlfn.XLOOKUP(TEXT(H971,"0000000000"),'📞 Call Tracker'!A$2:A$2000,'📞 Call Tracker'!C$2:C$2000,""),"")</f>
        <v/>
      </c>
      <c r="Y971" s="95" t="str">
        <f>IFERROR(_xlfn.XLOOKUP(TEXT(H971,"0000000000"),'📞 Call Tracker'!A$2:A$2000,'📞 Call Tracker'!D$2:D$2000,""),"")</f>
        <v/>
      </c>
      <c r="Z971" s="95" t="str">
        <f>IFERROR(_xlfn.XLOOKUP(TEXT(H971,"0000000000"),'📞 Call Tracker'!A$2:A$2000,'📞 Call Tracker'!E$2:E$2000,""),"")</f>
        <v/>
      </c>
      <c r="AA971" s="145" t="str">
        <f>IFERROR(_xlfn.XLOOKUP(TEXT(H971,"0000000000"),'📞 Call Tracker'!A$2:A$2000,'📞 Call Tracker'!F$2:F$2000,""),"")</f>
        <v/>
      </c>
      <c r="AB971" s="132">
        <f t="shared" si="31"/>
        <v>4</v>
      </c>
      <c r="AC971" s="79"/>
    </row>
    <row r="972" spans="1:29" ht="20.100000000000001" customHeight="1">
      <c r="A972" s="91">
        <v>46017</v>
      </c>
      <c r="B972" s="92" t="str">
        <v>Vastbinder</v>
      </c>
      <c r="C972" s="92" t="str">
        <v>James</v>
      </c>
      <c r="D972" s="92" t="str">
        <v>Phoenix</v>
      </c>
      <c r="E972" s="92">
        <v>85022</v>
      </c>
      <c r="F972" s="137" t="str">
        <v>Form Letter: Enough is enough! You must reject the latest 14% rate hikes by APS e TEP</v>
      </c>
      <c r="G972" s="93" t="str">
        <v>https://docket.images.azcc.gov/E000048419.pdf</v>
      </c>
      <c r="H972" s="150" t="s">
        <v>3531</v>
      </c>
      <c r="I972" s="114" t="str">
        <v>RCPw/TOUE-47</v>
      </c>
      <c r="J972" s="94" t="str">
        <v>No</v>
      </c>
      <c r="K972" s="94" t="str">
        <v>No</v>
      </c>
      <c r="L972" s="137" t="str">
        <v>Yes</v>
      </c>
      <c r="M972" s="94" t="str">
        <v>No</v>
      </c>
      <c r="N972" s="134" t="str">
        <v>No</v>
      </c>
      <c r="O972" s="119" t="str">
        <v>Yes</v>
      </c>
      <c r="P972" s="92" t="str">
        <v>N</v>
      </c>
      <c r="Q972" s="91">
        <v>46020</v>
      </c>
      <c r="R972" s="140">
        <v>0</v>
      </c>
      <c r="S972" s="92">
        <v>0</v>
      </c>
      <c r="T972" s="92">
        <v>0</v>
      </c>
      <c r="U972" s="137">
        <v>0</v>
      </c>
      <c r="V972" s="126" t="str">
        <f t="shared" si="30"/>
        <v>✅ On Best Plan</v>
      </c>
      <c r="W972" s="130" t="str">
        <f>IFERROR(_xlfn.XLOOKUP(TEXT(H972,"0000000000"),'📞 Call Tracker'!A$2:A$2000,'📞 Call Tracker'!B$2:B$2000,""),"")</f>
        <v>Joaquin</v>
      </c>
      <c r="X972" s="96">
        <f>IFERROR(_xlfn.XLOOKUP(TEXT(H972,"0000000000"),'📞 Call Tracker'!A$2:A$2000,'📞 Call Tracker'!C$2:C$2000,""),"")</f>
        <v>46018</v>
      </c>
      <c r="Y972" s="95" t="str">
        <f>IFERROR(_xlfn.XLOOKUP(TEXT(H972,"0000000000"),'📞 Call Tracker'!A$2:A$2000,'📞 Call Tracker'!D$2:D$2000,""),"")</f>
        <v>YES</v>
      </c>
      <c r="Z972" s="95" t="str">
        <f>IFERROR(_xlfn.XLOOKUP(TEXT(H972,"0000000000"),'📞 Call Tracker'!A$2:A$2000,'📞 Call Tracker'!E$2:E$2000,""),"")</f>
        <v>General Education</v>
      </c>
      <c r="AA972" s="145" t="str">
        <f>IFERROR(_xlfn.XLOOKUP(TEXT(H972,"0000000000"),'📞 Call Tracker'!A$2:A$2000,'📞 Call Tracker'!F$2:F$2000,""),"")</f>
        <v>DID CB TO GET ON BETER RATE ON 1/5/26</v>
      </c>
      <c r="AB972" s="132">
        <f t="shared" si="31"/>
        <v>99</v>
      </c>
      <c r="AC972" s="79"/>
    </row>
    <row r="973" spans="1:29" ht="20.100000000000001" customHeight="1">
      <c r="A973" s="91">
        <v>46021</v>
      </c>
      <c r="B973" s="92" t="str">
        <v>White</v>
      </c>
      <c r="C973" s="92" t="str">
        <v>Davina</v>
      </c>
      <c r="D973" s="92" t="str">
        <v>Peoria</v>
      </c>
      <c r="E973" s="92">
        <v>85345</v>
      </c>
      <c r="F973" s="137" t="str">
        <v>Opposed: I don't belileve residents should have to foot the bill for data centers</v>
      </c>
      <c r="G973" s="93" t="str">
        <v>https://docket.images.azcc.gov/E000048452.pdf</v>
      </c>
      <c r="H973" s="150" t="s">
        <v>3539</v>
      </c>
      <c r="I973" s="114" t="str">
        <v>R3-47</v>
      </c>
      <c r="J973" s="94" t="str">
        <v>No</v>
      </c>
      <c r="K973" s="94" t="str">
        <v>No</v>
      </c>
      <c r="L973" s="137" t="str">
        <v>Yes</v>
      </c>
      <c r="M973" s="94" t="str">
        <v>No</v>
      </c>
      <c r="N973" s="134" t="str">
        <v>No</v>
      </c>
      <c r="O973" s="119" t="str">
        <v>Yes</v>
      </c>
      <c r="P973" s="92" t="str">
        <v>N</v>
      </c>
      <c r="Q973" s="91">
        <v>46022</v>
      </c>
      <c r="R973" s="140">
        <v>0</v>
      </c>
      <c r="S973" s="92">
        <v>0</v>
      </c>
      <c r="T973" s="92">
        <v>0</v>
      </c>
      <c r="U973" s="137">
        <v>0</v>
      </c>
      <c r="V973" s="126" t="str">
        <f t="shared" si="30"/>
        <v>✅ On Best Plan</v>
      </c>
      <c r="W973" s="130">
        <f>IFERROR(_xlfn.XLOOKUP(TEXT(H973,"0000000000"),'📞 Call Tracker'!A$2:A$2000,'📞 Call Tracker'!B$2:B$2000,""),"")</f>
        <v>0</v>
      </c>
      <c r="X973" s="96">
        <f>IFERROR(_xlfn.XLOOKUP(TEXT(H973,"0000000000"),'📞 Call Tracker'!A$2:A$2000,'📞 Call Tracker'!C$2:C$2000,""),"")</f>
        <v>0</v>
      </c>
      <c r="Y973" s="95">
        <f>IFERROR(_xlfn.XLOOKUP(TEXT(H973,"0000000000"),'📞 Call Tracker'!A$2:A$2000,'📞 Call Tracker'!D$2:D$2000,""),"")</f>
        <v>0</v>
      </c>
      <c r="Z973" s="95">
        <f>IFERROR(_xlfn.XLOOKUP(TEXT(H973,"0000000000"),'📞 Call Tracker'!A$2:A$2000,'📞 Call Tracker'!E$2:E$2000,""),"")</f>
        <v>0</v>
      </c>
      <c r="AA973" s="145">
        <f>IFERROR(_xlfn.XLOOKUP(TEXT(H973,"0000000000"),'📞 Call Tracker'!A$2:A$2000,'📞 Call Tracker'!F$2:F$2000,""),"")</f>
        <v>0</v>
      </c>
      <c r="AB973" s="132">
        <f t="shared" si="31"/>
        <v>99</v>
      </c>
      <c r="AC973" s="79"/>
    </row>
    <row r="974" spans="1:29" ht="20.100000000000001" customHeight="1">
      <c r="A974" s="91">
        <v>46021</v>
      </c>
      <c r="B974" s="92" t="str">
        <v>Rieger</v>
      </c>
      <c r="C974" s="92" t="str">
        <v>Robyn</v>
      </c>
      <c r="D974" s="92" t="str">
        <v>Scottsdale</v>
      </c>
      <c r="E974" s="92">
        <v>85254</v>
      </c>
      <c r="F974" s="137" t="str">
        <v>Form Letter: Enough is enough! You must reject the latest 14% rate hikes by APS e TEP</v>
      </c>
      <c r="G974" s="93" t="str">
        <v>https://docket.images.azcc.gov/E000048452.pdf</v>
      </c>
      <c r="H974" s="150" t="s">
        <v>3543</v>
      </c>
      <c r="I974" s="114" t="str">
        <v>R-XS</v>
      </c>
      <c r="J974" s="94" t="str">
        <v>No</v>
      </c>
      <c r="K974" s="94" t="str">
        <v>No</v>
      </c>
      <c r="L974" s="137" t="str">
        <v>Yes</v>
      </c>
      <c r="M974" s="94" t="str">
        <v>No</v>
      </c>
      <c r="N974" s="134" t="str">
        <v>No</v>
      </c>
      <c r="O974" s="119" t="str">
        <v>Yes</v>
      </c>
      <c r="P974" s="92" t="str">
        <v>N</v>
      </c>
      <c r="Q974" s="91">
        <v>46022</v>
      </c>
      <c r="R974" s="140">
        <v>0</v>
      </c>
      <c r="S974" s="92">
        <v>0</v>
      </c>
      <c r="T974" s="92">
        <v>0</v>
      </c>
      <c r="U974" s="137">
        <v>0</v>
      </c>
      <c r="V974" s="126" t="str">
        <f t="shared" si="30"/>
        <v>✅ On Best Plan</v>
      </c>
      <c r="W974" s="130" t="str">
        <f>IFERROR(_xlfn.XLOOKUP(TEXT(H974,"0000000000"),'📞 Call Tracker'!A$2:A$2000,'📞 Call Tracker'!B$2:B$2000,""),"")</f>
        <v>Joaquin</v>
      </c>
      <c r="X974" s="96">
        <f>IFERROR(_xlfn.XLOOKUP(TEXT(H974,"0000000000"),'📞 Call Tracker'!A$2:A$2000,'📞 Call Tracker'!C$2:C$2000,""),"")</f>
        <v>46060</v>
      </c>
      <c r="Y974" s="95" t="str">
        <f>IFERROR(_xlfn.XLOOKUP(TEXT(H974,"0000000000"),'📞 Call Tracker'!A$2:A$2000,'📞 Call Tracker'!D$2:D$2000,""),"")</f>
        <v>YES</v>
      </c>
      <c r="Z974" s="95">
        <f>IFERROR(_xlfn.XLOOKUP(TEXT(H974,"0000000000"),'📞 Call Tracker'!A$2:A$2000,'📞 Call Tracker'!E$2:E$2000,""),"")</f>
        <v>0</v>
      </c>
      <c r="AA974" s="145" t="str">
        <f>IFERROR(_xlfn.XLOOKUP(TEXT(H974,"0000000000"),'📞 Call Tracker'!A$2:A$2000,'📞 Call Tracker'!F$2:F$2000,""),"")</f>
        <v>LEFT VOICE MESSAGE</v>
      </c>
      <c r="AB974" s="132">
        <f t="shared" si="31"/>
        <v>99</v>
      </c>
      <c r="AC974" s="79"/>
    </row>
    <row r="975" spans="1:29" ht="20.100000000000001" customHeight="1">
      <c r="A975" s="91">
        <v>46021</v>
      </c>
      <c r="B975" s="92" t="str">
        <v>Loveland</v>
      </c>
      <c r="C975" s="92" t="str">
        <v>Taunia</v>
      </c>
      <c r="D975" s="92" t="str">
        <v>Phoenix</v>
      </c>
      <c r="E975" s="92">
        <v>85029</v>
      </c>
      <c r="F975" s="137" t="str">
        <v>Form Letter: Enough is enough! You must reject the latest 14% rate hikes by APS e TEP</v>
      </c>
      <c r="G975" s="93" t="str">
        <v>https://docket.images.azcc.gov/E000048452.pdf</v>
      </c>
      <c r="H975" s="150" t="s">
        <v>3547</v>
      </c>
      <c r="I975" s="114" t="str">
        <v>R3-47</v>
      </c>
      <c r="J975" s="94" t="str">
        <v>No</v>
      </c>
      <c r="K975" s="94" t="str">
        <v>No</v>
      </c>
      <c r="L975" s="137" t="str">
        <v>Yes</v>
      </c>
      <c r="M975" s="94" t="str">
        <v>No</v>
      </c>
      <c r="N975" s="134" t="str">
        <v>No</v>
      </c>
      <c r="O975" s="119" t="str">
        <v>Yes</v>
      </c>
      <c r="P975" s="92" t="str">
        <v>N</v>
      </c>
      <c r="Q975" s="91">
        <v>46022</v>
      </c>
      <c r="R975" s="140">
        <v>0</v>
      </c>
      <c r="S975" s="92">
        <v>0</v>
      </c>
      <c r="T975" s="92">
        <v>0</v>
      </c>
      <c r="U975" s="137">
        <v>0</v>
      </c>
      <c r="V975" s="126" t="str">
        <f t="shared" si="30"/>
        <v>✅ On Best Plan</v>
      </c>
      <c r="W975" s="130">
        <f>IFERROR(_xlfn.XLOOKUP(TEXT(H975,"0000000000"),'📞 Call Tracker'!A$2:A$2000,'📞 Call Tracker'!B$2:B$2000,""),"")</f>
        <v>0</v>
      </c>
      <c r="X975" s="96">
        <f>IFERROR(_xlfn.XLOOKUP(TEXT(H975,"0000000000"),'📞 Call Tracker'!A$2:A$2000,'📞 Call Tracker'!C$2:C$2000,""),"")</f>
        <v>0</v>
      </c>
      <c r="Y975" s="95">
        <f>IFERROR(_xlfn.XLOOKUP(TEXT(H975,"0000000000"),'📞 Call Tracker'!A$2:A$2000,'📞 Call Tracker'!D$2:D$2000,""),"")</f>
        <v>0</v>
      </c>
      <c r="Z975" s="95">
        <f>IFERROR(_xlfn.XLOOKUP(TEXT(H975,"0000000000"),'📞 Call Tracker'!A$2:A$2000,'📞 Call Tracker'!E$2:E$2000,""),"")</f>
        <v>0</v>
      </c>
      <c r="AA975" s="145">
        <f>IFERROR(_xlfn.XLOOKUP(TEXT(H975,"0000000000"),'📞 Call Tracker'!A$2:A$2000,'📞 Call Tracker'!F$2:F$2000,""),"")</f>
        <v>0</v>
      </c>
      <c r="AB975" s="132">
        <f t="shared" si="31"/>
        <v>99</v>
      </c>
      <c r="AC975" s="79"/>
    </row>
    <row r="976" spans="1:29" ht="20.100000000000001" customHeight="1">
      <c r="A976" s="91">
        <v>46024</v>
      </c>
      <c r="B976" s="92" t="str">
        <v>Shaw</v>
      </c>
      <c r="C976" s="92" t="str">
        <v>Tom</v>
      </c>
      <c r="D976" s="92" t="str">
        <v>Phoenix</v>
      </c>
      <c r="E976" s="92">
        <v>85027</v>
      </c>
      <c r="F976" s="137" t="str">
        <v>Form Letter: Enough is enough! You must reject the latest 14% rate hikes by APS e TEP</v>
      </c>
      <c r="G976" s="93" t="str">
        <v>https://docket.images.azcc.gov/E000048497.pdf</v>
      </c>
      <c r="H976" s="150" t="s">
        <v>3553</v>
      </c>
      <c r="I976" s="114" t="str">
        <v>EPR-6w/ET-1</v>
      </c>
      <c r="J976" s="94" t="str">
        <v>No</v>
      </c>
      <c r="K976" s="94" t="str">
        <v>No</v>
      </c>
      <c r="L976" s="137" t="str">
        <v>Frozen Plan</v>
      </c>
      <c r="M976" s="94" t="str">
        <v>No</v>
      </c>
      <c r="N976" s="134" t="str">
        <v>No</v>
      </c>
      <c r="O976" s="119" t="str">
        <v>Yes</v>
      </c>
      <c r="P976" s="92" t="str">
        <v>N</v>
      </c>
      <c r="Q976" s="91">
        <v>46027</v>
      </c>
      <c r="R976" s="140">
        <v>0</v>
      </c>
      <c r="S976" s="92">
        <v>0</v>
      </c>
      <c r="T976" s="92">
        <v>0</v>
      </c>
      <c r="U976" s="137">
        <v>0</v>
      </c>
      <c r="V976" s="126" t="str">
        <f t="shared" si="30"/>
        <v>❄ Frozen Rate</v>
      </c>
      <c r="W976" s="130" t="str">
        <f>IFERROR(_xlfn.XLOOKUP(TEXT(H976,"0000000000"),'📞 Call Tracker'!A$2:A$2000,'📞 Call Tracker'!B$2:B$2000,""),"")</f>
        <v>Joaquin</v>
      </c>
      <c r="X976" s="96">
        <f>IFERROR(_xlfn.XLOOKUP(TEXT(H976,"0000000000"),'📞 Call Tracker'!A$2:A$2000,'📞 Call Tracker'!C$2:C$2000,""),"")</f>
        <v>46060</v>
      </c>
      <c r="Y976" s="95" t="str">
        <f>IFERROR(_xlfn.XLOOKUP(TEXT(H976,"0000000000"),'📞 Call Tracker'!A$2:A$2000,'📞 Call Tracker'!D$2:D$2000,""),"")</f>
        <v>YES</v>
      </c>
      <c r="Z976" s="95">
        <f>IFERROR(_xlfn.XLOOKUP(TEXT(H976,"0000000000"),'📞 Call Tracker'!A$2:A$2000,'📞 Call Tracker'!E$2:E$2000,""),"")</f>
        <v>0</v>
      </c>
      <c r="AA976" s="145" t="str">
        <f>IFERROR(_xlfn.XLOOKUP(TEXT(H976,"0000000000"),'📞 Call Tracker'!A$2:A$2000,'📞 Call Tracker'!F$2:F$2000,""),"")</f>
        <v>LEFT VOICE MESSAGE</v>
      </c>
      <c r="AB976" s="132">
        <f t="shared" si="31"/>
        <v>99</v>
      </c>
      <c r="AC976" s="79"/>
    </row>
    <row r="977" spans="1:29" ht="20.100000000000001" customHeight="1">
      <c r="A977" s="91">
        <v>46024</v>
      </c>
      <c r="B977" s="92" t="str">
        <v>Mayberry</v>
      </c>
      <c r="C977" s="92" t="str">
        <v>Susan</v>
      </c>
      <c r="D977" s="92" t="str">
        <v>Prescott Valley</v>
      </c>
      <c r="E977" s="92">
        <v>86315</v>
      </c>
      <c r="F977" s="137" t="str">
        <v>Form Letter: Enough is enough! You must reject the latest 14% rate hikes by APS e TEP</v>
      </c>
      <c r="G977" s="93" t="str">
        <v>https://docket.images.azcc.gov/E000048497.pdf</v>
      </c>
      <c r="H977" s="150" t="s">
        <v>3567</v>
      </c>
      <c r="I977" s="114" t="str">
        <v>RTOUE47</v>
      </c>
      <c r="J977" s="94" t="str">
        <v>No</v>
      </c>
      <c r="K977" s="94" t="str">
        <v>No</v>
      </c>
      <c r="L977" s="137" t="str">
        <v>Yes</v>
      </c>
      <c r="M977" s="94" t="str">
        <v>No</v>
      </c>
      <c r="N977" s="134" t="str">
        <v>No</v>
      </c>
      <c r="O977" s="119" t="str">
        <v>Yes</v>
      </c>
      <c r="P977" s="92" t="str">
        <v>N</v>
      </c>
      <c r="Q977" s="91">
        <v>46027</v>
      </c>
      <c r="R977" s="140">
        <v>0</v>
      </c>
      <c r="S977" s="92">
        <v>0</v>
      </c>
      <c r="T977" s="92">
        <v>0</v>
      </c>
      <c r="U977" s="137">
        <v>0</v>
      </c>
      <c r="V977" s="126" t="str">
        <f t="shared" si="30"/>
        <v>✅ On Best Plan</v>
      </c>
      <c r="W977" s="130" t="str">
        <f>IFERROR(_xlfn.XLOOKUP(TEXT(H977,"0000000000"),'📞 Call Tracker'!A$2:A$2000,'📞 Call Tracker'!B$2:B$2000,""),"")</f>
        <v>Joaquin</v>
      </c>
      <c r="X977" s="96">
        <f>IFERROR(_xlfn.XLOOKUP(TEXT(H977,"0000000000"),'📞 Call Tracker'!A$2:A$2000,'📞 Call Tracker'!C$2:C$2000,""),"")</f>
        <v>46018</v>
      </c>
      <c r="Y977" s="95" t="str">
        <f>IFERROR(_xlfn.XLOOKUP(TEXT(H977,"0000000000"),'📞 Call Tracker'!A$2:A$2000,'📞 Call Tracker'!D$2:D$2000,""),"")</f>
        <v>NO</v>
      </c>
      <c r="Z977" s="95" t="str">
        <f>IFERROR(_xlfn.XLOOKUP(TEXT(H977,"0000000000"),'📞 Call Tracker'!A$2:A$2000,'📞 Call Tracker'!E$2:E$2000,""),"")</f>
        <v>General Education</v>
      </c>
      <c r="AA977" s="145" t="str">
        <f>IFERROR(_xlfn.XLOOKUP(TEXT(H977,"0000000000"),'📞 Call Tracker'!A$2:A$2000,'📞 Call Tracker'!F$2:F$2000,""),"")</f>
        <v>WILL REVIEW BILL THEN CB</v>
      </c>
      <c r="AB977" s="132">
        <f t="shared" si="31"/>
        <v>99</v>
      </c>
      <c r="AC977" s="79"/>
    </row>
    <row r="978" spans="1:29" ht="20.100000000000001" customHeight="1">
      <c r="A978" s="91">
        <v>46024</v>
      </c>
      <c r="B978" s="92" t="str">
        <v>Clark</v>
      </c>
      <c r="C978" s="92" t="str">
        <v>Marsha</v>
      </c>
      <c r="D978" s="92" t="str">
        <v>Casa Grande</v>
      </c>
      <c r="E978" s="92">
        <v>85122</v>
      </c>
      <c r="F978" s="137" t="str">
        <v>Form Letter: Enough is enough! You must reject the latest 14% rate hikes by APS e TEP</v>
      </c>
      <c r="G978" s="93" t="str">
        <v>https://docket.images.azcc.gov/E000048497.pdf</v>
      </c>
      <c r="H978" s="150" t="s">
        <v>6004</v>
      </c>
      <c r="I978" s="114" t="str">
        <v>R3-47</v>
      </c>
      <c r="J978" s="94" t="str">
        <v>No</v>
      </c>
      <c r="K978" s="94" t="str">
        <v>No</v>
      </c>
      <c r="L978" s="137" t="str">
        <v>Yes</v>
      </c>
      <c r="M978" s="94" t="str">
        <v>Yes</v>
      </c>
      <c r="N978" s="134">
        <v>832.08</v>
      </c>
      <c r="O978" s="119" t="str">
        <v>Yes</v>
      </c>
      <c r="P978" s="92">
        <v>0</v>
      </c>
      <c r="Q978" s="91">
        <v>46027</v>
      </c>
      <c r="R978" s="140" t="str">
        <v>Offer Assistance Programs?</v>
      </c>
      <c r="S978" s="92">
        <v>0</v>
      </c>
      <c r="T978" s="92">
        <v>0</v>
      </c>
      <c r="U978" s="137">
        <v>0</v>
      </c>
      <c r="V978" s="126" t="str">
        <f t="shared" si="30"/>
        <v>✅ On Best Plan</v>
      </c>
      <c r="W978" s="130" t="str">
        <f>IFERROR(_xlfn.XLOOKUP(TEXT(H978,"0000000000"),'📞 Call Tracker'!A$2:A$2000,'📞 Call Tracker'!B$2:B$2000,""),"")</f>
        <v>Joaquin</v>
      </c>
      <c r="X978" s="96">
        <f>IFERROR(_xlfn.XLOOKUP(TEXT(H978,"0000000000"),'📞 Call Tracker'!A$2:A$2000,'📞 Call Tracker'!C$2:C$2000,""),"")</f>
        <v>46018</v>
      </c>
      <c r="Y978" s="95" t="str">
        <f>IFERROR(_xlfn.XLOOKUP(TEXT(H978,"0000000000"),'📞 Call Tracker'!A$2:A$2000,'📞 Call Tracker'!D$2:D$2000,""),"")</f>
        <v>NO</v>
      </c>
      <c r="Z978" s="95" t="str">
        <f>IFERROR(_xlfn.XLOOKUP(TEXT(H978,"0000000000"),'📞 Call Tracker'!A$2:A$2000,'📞 Call Tracker'!E$2:E$2000,""),"")</f>
        <v>General Education</v>
      </c>
      <c r="AA978" s="145">
        <f>IFERROR(_xlfn.XLOOKUP(TEXT(H978,"0000000000"),'📞 Call Tracker'!A$2:A$2000,'📞 Call Tracker'!F$2:F$2000,""),"")</f>
        <v>0</v>
      </c>
      <c r="AB978" s="132">
        <f t="shared" si="31"/>
        <v>99</v>
      </c>
      <c r="AC978" s="79"/>
    </row>
    <row r="979" spans="1:29" ht="20.100000000000001" customHeight="1">
      <c r="A979" s="91">
        <v>46024</v>
      </c>
      <c r="B979" s="92" t="str">
        <v>Brady</v>
      </c>
      <c r="C979" s="92" t="str">
        <v>Brandon</v>
      </c>
      <c r="D979" s="92" t="str">
        <v>Phoenix</v>
      </c>
      <c r="E979" s="92">
        <v>85023</v>
      </c>
      <c r="F979" s="137" t="str">
        <v>Form Letter: Enough is enough! You must reject the latest 14% rate hikes by APS e TEP</v>
      </c>
      <c r="G979" s="93" t="str">
        <v>https://docket.images.azcc.gov/E000048497.pdf</v>
      </c>
      <c r="H979" s="150" t="s">
        <v>6420</v>
      </c>
      <c r="I979" s="114" t="str">
        <v>R3-47</v>
      </c>
      <c r="J979" s="94" t="str">
        <v>Yes</v>
      </c>
      <c r="K979" s="94" t="str">
        <v>No</v>
      </c>
      <c r="L979" s="137" t="str">
        <v>Yes</v>
      </c>
      <c r="M979" s="94" t="str">
        <v>No</v>
      </c>
      <c r="N979" s="134" t="str">
        <v>No</v>
      </c>
      <c r="O979" s="119" t="str">
        <v>Yes</v>
      </c>
      <c r="P979" s="92" t="str">
        <v>N</v>
      </c>
      <c r="Q979" s="91">
        <v>46027</v>
      </c>
      <c r="R979" s="140">
        <v>0</v>
      </c>
      <c r="S979" s="92">
        <v>0</v>
      </c>
      <c r="T979" s="92">
        <v>0</v>
      </c>
      <c r="U979" s="137">
        <v>0</v>
      </c>
      <c r="V979" s="126" t="str">
        <f t="shared" si="30"/>
        <v>✅ On Best Plan</v>
      </c>
      <c r="W979" s="130">
        <f>IFERROR(_xlfn.XLOOKUP(TEXT(H979,"0000000000"),'📞 Call Tracker'!A$2:A$2000,'📞 Call Tracker'!B$2:B$2000,""),"")</f>
        <v>0</v>
      </c>
      <c r="X979" s="96">
        <f>IFERROR(_xlfn.XLOOKUP(TEXT(H979,"0000000000"),'📞 Call Tracker'!A$2:A$2000,'📞 Call Tracker'!C$2:C$2000,""),"")</f>
        <v>0</v>
      </c>
      <c r="Y979" s="95">
        <f>IFERROR(_xlfn.XLOOKUP(TEXT(H979,"0000000000"),'📞 Call Tracker'!A$2:A$2000,'📞 Call Tracker'!D$2:D$2000,""),"")</f>
        <v>0</v>
      </c>
      <c r="Z979" s="95">
        <f>IFERROR(_xlfn.XLOOKUP(TEXT(H979,"0000000000"),'📞 Call Tracker'!A$2:A$2000,'📞 Call Tracker'!E$2:E$2000,""),"")</f>
        <v>0</v>
      </c>
      <c r="AA979" s="145">
        <f>IFERROR(_xlfn.XLOOKUP(TEXT(H979,"0000000000"),'📞 Call Tracker'!A$2:A$2000,'📞 Call Tracker'!F$2:F$2000,""),"")</f>
        <v>0</v>
      </c>
      <c r="AB979" s="132">
        <f t="shared" si="31"/>
        <v>99</v>
      </c>
      <c r="AC979" s="79"/>
    </row>
    <row r="980" spans="1:29" ht="20.100000000000001" customHeight="1">
      <c r="A980" s="91">
        <v>46024</v>
      </c>
      <c r="B980" s="92" t="str">
        <v>LaBarbera</v>
      </c>
      <c r="C980" s="92" t="str">
        <v>Brian</v>
      </c>
      <c r="D980" s="92" t="str">
        <v>Phoenix</v>
      </c>
      <c r="E980" s="92">
        <v>85053</v>
      </c>
      <c r="F980" s="137" t="str">
        <v>Form Letter: Enough is enough! You must reject the latest 14% rate hikes by APS e TEP</v>
      </c>
      <c r="G980" s="93" t="str">
        <v>https://docket.images.azcc.gov/E000048497.pdf</v>
      </c>
      <c r="H980" s="150" t="s">
        <v>3581</v>
      </c>
      <c r="I980" s="114" t="str">
        <v>R-2</v>
      </c>
      <c r="J980" s="94" t="str">
        <v>No</v>
      </c>
      <c r="K980" s="94" t="str">
        <v>No</v>
      </c>
      <c r="L980" s="137" t="str">
        <v>Frozen Plan</v>
      </c>
      <c r="M980" s="94" t="str">
        <v>No</v>
      </c>
      <c r="N980" s="134" t="str">
        <v>No</v>
      </c>
      <c r="O980" s="119" t="str">
        <v>Yes</v>
      </c>
      <c r="P980" s="92" t="str">
        <v>N</v>
      </c>
      <c r="Q980" s="91">
        <v>46027</v>
      </c>
      <c r="R980" s="140">
        <v>0</v>
      </c>
      <c r="S980" s="92">
        <v>0</v>
      </c>
      <c r="T980" s="92">
        <v>0</v>
      </c>
      <c r="U980" s="137">
        <v>0</v>
      </c>
      <c r="V980" s="126" t="str">
        <f t="shared" si="30"/>
        <v>❄ Frozen Rate</v>
      </c>
      <c r="W980" s="130" t="str">
        <f>IFERROR(_xlfn.XLOOKUP(TEXT(H980,"0000000000"),'📞 Call Tracker'!A$2:A$2000,'📞 Call Tracker'!B$2:B$2000,""),"")</f>
        <v>Joaquin</v>
      </c>
      <c r="X980" s="96">
        <f>IFERROR(_xlfn.XLOOKUP(TEXT(H980,"0000000000"),'📞 Call Tracker'!A$2:A$2000,'📞 Call Tracker'!C$2:C$2000,""),"")</f>
        <v>46060</v>
      </c>
      <c r="Y980" s="95" t="str">
        <f>IFERROR(_xlfn.XLOOKUP(TEXT(H980,"0000000000"),'📞 Call Tracker'!A$2:A$2000,'📞 Call Tracker'!D$2:D$2000,""),"")</f>
        <v>YES</v>
      </c>
      <c r="Z980" s="95">
        <f>IFERROR(_xlfn.XLOOKUP(TEXT(H980,"0000000000"),'📞 Call Tracker'!A$2:A$2000,'📞 Call Tracker'!E$2:E$2000,""),"")</f>
        <v>0</v>
      </c>
      <c r="AA980" s="145" t="str">
        <f>IFERROR(_xlfn.XLOOKUP(TEXT(H980,"0000000000"),'📞 Call Tracker'!A$2:A$2000,'📞 Call Tracker'!F$2:F$2000,""),"")</f>
        <v>LEFT VOICE MESSAGE</v>
      </c>
      <c r="AB980" s="132">
        <f t="shared" si="31"/>
        <v>99</v>
      </c>
      <c r="AC980" s="79"/>
    </row>
    <row r="981" spans="1:29" ht="20.100000000000001" customHeight="1">
      <c r="A981" s="91">
        <v>46024</v>
      </c>
      <c r="B981" s="92" t="str">
        <v>Cearns</v>
      </c>
      <c r="C981" s="92" t="str">
        <v>Katharine</v>
      </c>
      <c r="D981" s="92" t="str">
        <v>Yuma</v>
      </c>
      <c r="E981" s="92">
        <v>85365</v>
      </c>
      <c r="F981" s="137" t="str">
        <v>Form Letter: Enough is enough! You must reject the latest 14% rate hikes by APS e TEP</v>
      </c>
      <c r="G981" s="93" t="str">
        <v>https://docket.images.azcc.gov/E000048497.pdf</v>
      </c>
      <c r="H981" s="150" t="s">
        <v>3582</v>
      </c>
      <c r="I981" s="114" t="str">
        <v>R-2</v>
      </c>
      <c r="J981" s="94" t="str">
        <v>Yes</v>
      </c>
      <c r="K981" s="94" t="str">
        <v>No</v>
      </c>
      <c r="L981" s="137" t="str">
        <v>Frozen</v>
      </c>
      <c r="M981" s="94" t="str">
        <v>Yes</v>
      </c>
      <c r="N981" s="134">
        <v>310</v>
      </c>
      <c r="O981" s="119" t="str">
        <v>Yes</v>
      </c>
      <c r="P981" s="92" t="str">
        <v>N</v>
      </c>
      <c r="Q981" s="91">
        <v>46028</v>
      </c>
      <c r="R981" s="140" t="str">
        <v>Customer filed ACC complaint about automatic PA on 10/16/2025</v>
      </c>
      <c r="S981" s="92">
        <v>0</v>
      </c>
      <c r="T981" s="92">
        <v>0</v>
      </c>
      <c r="U981" s="137">
        <v>0</v>
      </c>
      <c r="V981" s="126" t="str">
        <f t="shared" si="30"/>
        <v>❌ Not on Best Plan</v>
      </c>
      <c r="W981" s="130" t="str">
        <f>IFERROR(_xlfn.XLOOKUP(TEXT(H981,"0000000000"),'📞 Call Tracker'!A$2:A$2000,'📞 Call Tracker'!B$2:B$2000,""),"")</f>
        <v>Joaquin</v>
      </c>
      <c r="X981" s="96">
        <f>IFERROR(_xlfn.XLOOKUP(TEXT(H981,"0000000000"),'📞 Call Tracker'!A$2:A$2000,'📞 Call Tracker'!C$2:C$2000,""),"")</f>
        <v>46018</v>
      </c>
      <c r="Y981" s="95" t="str">
        <f>IFERROR(_xlfn.XLOOKUP(TEXT(H981,"0000000000"),'📞 Call Tracker'!A$2:A$2000,'📞 Call Tracker'!D$2:D$2000,""),"")</f>
        <v>YES</v>
      </c>
      <c r="Z981" s="95">
        <f>IFERROR(_xlfn.XLOOKUP(TEXT(H981,"0000000000"),'📞 Call Tracker'!A$2:A$2000,'📞 Call Tracker'!E$2:E$2000,""),"")</f>
        <v>0</v>
      </c>
      <c r="AA981" s="145" t="str">
        <f>IFERROR(_xlfn.XLOOKUP(TEXT(H981,"0000000000"),'📞 Call Tracker'!A$2:A$2000,'📞 Call Tracker'!F$2:F$2000,""),"")</f>
        <v>LEFT VOICE MESSAGE</v>
      </c>
      <c r="AB981" s="132">
        <f t="shared" si="31"/>
        <v>99</v>
      </c>
      <c r="AC981" s="79"/>
    </row>
    <row r="982" spans="1:29" ht="20.100000000000001" customHeight="1">
      <c r="A982" s="91">
        <v>46024</v>
      </c>
      <c r="B982" s="92" t="str">
        <v>Anderson</v>
      </c>
      <c r="C982" s="92" t="str">
        <v>Sandra</v>
      </c>
      <c r="D982" s="92" t="str">
        <v>Florence</v>
      </c>
      <c r="E982" s="92">
        <v>85132</v>
      </c>
      <c r="F982" s="137" t="str">
        <v>Form Letter: Enough is enough! You must reject the latest 14% rate hikes by APS e TEP</v>
      </c>
      <c r="G982" s="93" t="str">
        <v>https://docket.images.azcc.gov/E000048497.pdf</v>
      </c>
      <c r="H982" s="150" t="s">
        <v>3594</v>
      </c>
      <c r="I982" s="114" t="str">
        <v>RCPw/R-2</v>
      </c>
      <c r="J982" s="94" t="str">
        <v>Yes</v>
      </c>
      <c r="K982" s="94" t="str">
        <v>No</v>
      </c>
      <c r="L982" s="137" t="str">
        <v>Frozen Plan</v>
      </c>
      <c r="M982" s="94" t="str">
        <v>No</v>
      </c>
      <c r="N982" s="134" t="str">
        <v>No</v>
      </c>
      <c r="O982" s="119" t="str">
        <v>Yes</v>
      </c>
      <c r="P982" s="92" t="str">
        <v>N</v>
      </c>
      <c r="Q982" s="91">
        <v>46028</v>
      </c>
      <c r="R982" s="140">
        <v>0</v>
      </c>
      <c r="S982" s="92">
        <v>0</v>
      </c>
      <c r="T982" s="92">
        <v>0</v>
      </c>
      <c r="U982" s="137">
        <v>0</v>
      </c>
      <c r="V982" s="126" t="str">
        <f t="shared" si="30"/>
        <v>❄ Frozen Rate</v>
      </c>
      <c r="W982" s="130">
        <f>IFERROR(_xlfn.XLOOKUP(TEXT(H982,"0000000000"),'📞 Call Tracker'!A$2:A$2000,'📞 Call Tracker'!B$2:B$2000,""),"")</f>
        <v>0</v>
      </c>
      <c r="X982" s="96">
        <f>IFERROR(_xlfn.XLOOKUP(TEXT(H982,"0000000000"),'📞 Call Tracker'!A$2:A$2000,'📞 Call Tracker'!C$2:C$2000,""),"")</f>
        <v>0</v>
      </c>
      <c r="Y982" s="95">
        <f>IFERROR(_xlfn.XLOOKUP(TEXT(H982,"0000000000"),'📞 Call Tracker'!A$2:A$2000,'📞 Call Tracker'!D$2:D$2000,""),"")</f>
        <v>0</v>
      </c>
      <c r="Z982" s="95">
        <f>IFERROR(_xlfn.XLOOKUP(TEXT(H982,"0000000000"),'📞 Call Tracker'!A$2:A$2000,'📞 Call Tracker'!E$2:E$2000,""),"")</f>
        <v>0</v>
      </c>
      <c r="AA982" s="145">
        <f>IFERROR(_xlfn.XLOOKUP(TEXT(H982,"0000000000"),'📞 Call Tracker'!A$2:A$2000,'📞 Call Tracker'!F$2:F$2000,""),"")</f>
        <v>0</v>
      </c>
      <c r="AB982" s="132">
        <f t="shared" si="31"/>
        <v>99</v>
      </c>
      <c r="AC982" s="79"/>
    </row>
    <row r="983" spans="1:29" ht="20.100000000000001" customHeight="1">
      <c r="A983" s="91">
        <v>46024</v>
      </c>
      <c r="B983" s="92" t="str">
        <v>Tucker</v>
      </c>
      <c r="C983" s="92" t="str">
        <v>Lisa</v>
      </c>
      <c r="D983" s="92" t="str">
        <v>Winslow</v>
      </c>
      <c r="E983" s="92">
        <v>86047</v>
      </c>
      <c r="F983" s="137" t="str">
        <v>Form Letter: Enough is enough! You must reject the latest 14% rate hikes by APS e TEP</v>
      </c>
      <c r="G983" s="93" t="str">
        <v>https://docket.images.azcc.gov/E000048497.pdf</v>
      </c>
      <c r="H983" s="150" t="s">
        <v>3598</v>
      </c>
      <c r="I983" s="114" t="str">
        <v>R-BASIC</v>
      </c>
      <c r="J983" s="94" t="str">
        <v>Yes</v>
      </c>
      <c r="K983" s="94" t="str">
        <v>No</v>
      </c>
      <c r="L983" s="137" t="str">
        <v>No MEP R3-47 ($274.25)</v>
      </c>
      <c r="M983" s="94" t="str">
        <v>No</v>
      </c>
      <c r="N983" s="134" t="str">
        <v>No</v>
      </c>
      <c r="O983" s="119" t="str">
        <v>Yes</v>
      </c>
      <c r="P983" s="92">
        <v>0</v>
      </c>
      <c r="Q983" s="91">
        <v>46028</v>
      </c>
      <c r="R983" s="140">
        <v>0</v>
      </c>
      <c r="S983" s="92">
        <v>0</v>
      </c>
      <c r="T983" s="92">
        <v>0</v>
      </c>
      <c r="U983" s="137">
        <v>0</v>
      </c>
      <c r="V983" s="126" t="str">
        <f t="shared" si="30"/>
        <v>❌ Not on Best Plan</v>
      </c>
      <c r="W983" s="130">
        <f>IFERROR(_xlfn.XLOOKUP(TEXT(H983,"0000000000"),'📞 Call Tracker'!A$2:A$2000,'📞 Call Tracker'!B$2:B$2000,""),"")</f>
        <v>0</v>
      </c>
      <c r="X983" s="96">
        <f>IFERROR(_xlfn.XLOOKUP(TEXT(H983,"0000000000"),'📞 Call Tracker'!A$2:A$2000,'📞 Call Tracker'!C$2:C$2000,""),"")</f>
        <v>0</v>
      </c>
      <c r="Y983" s="95">
        <f>IFERROR(_xlfn.XLOOKUP(TEXT(H983,"0000000000"),'📞 Call Tracker'!A$2:A$2000,'📞 Call Tracker'!D$2:D$2000,""),"")</f>
        <v>0</v>
      </c>
      <c r="Z983" s="95">
        <f>IFERROR(_xlfn.XLOOKUP(TEXT(H983,"0000000000"),'📞 Call Tracker'!A$2:A$2000,'📞 Call Tracker'!E$2:E$2000,""),"")</f>
        <v>0</v>
      </c>
      <c r="AA983" s="145">
        <f>IFERROR(_xlfn.XLOOKUP(TEXT(H983,"0000000000"),'📞 Call Tracker'!A$2:A$2000,'📞 Call Tracker'!F$2:F$2000,""),"")</f>
        <v>0</v>
      </c>
      <c r="AB983" s="132">
        <f t="shared" si="31"/>
        <v>99</v>
      </c>
      <c r="AC983" s="79"/>
    </row>
    <row r="984" spans="1:29" ht="20.100000000000001" customHeight="1">
      <c r="A984" s="91">
        <v>46024</v>
      </c>
      <c r="B984" s="92" t="str">
        <v>Walewski</v>
      </c>
      <c r="C984" s="92" t="str">
        <v>Walter</v>
      </c>
      <c r="D984" s="92" t="str">
        <v>Phoenix</v>
      </c>
      <c r="E984" s="92">
        <v>85028</v>
      </c>
      <c r="F984" s="137" t="str">
        <v>Form Letter: Enough is enough! You must reject the latest 14% rate hikes by APS e TEP</v>
      </c>
      <c r="G984" s="93" t="str">
        <v>https://docket.images.azcc.gov/E000048497.pdf</v>
      </c>
      <c r="H984" s="150" t="s">
        <v>3600</v>
      </c>
      <c r="I984" s="114" t="str">
        <v>R3-47</v>
      </c>
      <c r="J984" s="94" t="str">
        <v>No</v>
      </c>
      <c r="K984" s="94" t="str">
        <v>No</v>
      </c>
      <c r="L984" s="137" t="str">
        <v>Yes</v>
      </c>
      <c r="M984" s="94" t="str">
        <v>No</v>
      </c>
      <c r="N984" s="134" t="str">
        <v>No</v>
      </c>
      <c r="O984" s="119" t="str">
        <v>Yes</v>
      </c>
      <c r="P984" s="92" t="str">
        <v>N</v>
      </c>
      <c r="Q984" s="91">
        <v>46028</v>
      </c>
      <c r="R984" s="140">
        <v>0</v>
      </c>
      <c r="S984" s="92">
        <v>0</v>
      </c>
      <c r="T984" s="92">
        <v>0</v>
      </c>
      <c r="U984" s="137">
        <v>0</v>
      </c>
      <c r="V984" s="126" t="str">
        <f t="shared" si="30"/>
        <v>✅ On Best Plan</v>
      </c>
      <c r="W984" s="130">
        <f>IFERROR(_xlfn.XLOOKUP(TEXT(H984,"0000000000"),'📞 Call Tracker'!A$2:A$2000,'📞 Call Tracker'!B$2:B$2000,""),"")</f>
        <v>0</v>
      </c>
      <c r="X984" s="96">
        <f>IFERROR(_xlfn.XLOOKUP(TEXT(H984,"0000000000"),'📞 Call Tracker'!A$2:A$2000,'📞 Call Tracker'!C$2:C$2000,""),"")</f>
        <v>0</v>
      </c>
      <c r="Y984" s="95">
        <f>IFERROR(_xlfn.XLOOKUP(TEXT(H984,"0000000000"),'📞 Call Tracker'!A$2:A$2000,'📞 Call Tracker'!D$2:D$2000,""),"")</f>
        <v>0</v>
      </c>
      <c r="Z984" s="95">
        <f>IFERROR(_xlfn.XLOOKUP(TEXT(H984,"0000000000"),'📞 Call Tracker'!A$2:A$2000,'📞 Call Tracker'!E$2:E$2000,""),"")</f>
        <v>0</v>
      </c>
      <c r="AA984" s="145">
        <f>IFERROR(_xlfn.XLOOKUP(TEXT(H984,"0000000000"),'📞 Call Tracker'!A$2:A$2000,'📞 Call Tracker'!F$2:F$2000,""),"")</f>
        <v>0</v>
      </c>
      <c r="AB984" s="132">
        <f t="shared" si="31"/>
        <v>99</v>
      </c>
      <c r="AC984" s="79"/>
    </row>
    <row r="985" spans="1:29" ht="20.100000000000001" customHeight="1">
      <c r="A985" s="91">
        <v>46024</v>
      </c>
      <c r="B985" s="92" t="str">
        <v>Nelson</v>
      </c>
      <c r="C985" s="92" t="str">
        <v>Karen</v>
      </c>
      <c r="D985" s="92" t="str">
        <v>Flagstaff</v>
      </c>
      <c r="E985" s="92">
        <v>86005</v>
      </c>
      <c r="F985" s="137" t="str">
        <v>Form Letter: Enough is enough! You must reject the latest 14% rate hikes by APS e TEP</v>
      </c>
      <c r="G985" s="93" t="str">
        <v>https://docket.images.azcc.gov/E000048497.pdf</v>
      </c>
      <c r="H985" s="150" t="s">
        <v>3602</v>
      </c>
      <c r="I985" s="114" t="str">
        <v>R3-47</v>
      </c>
      <c r="J985" s="94" t="str">
        <v>No</v>
      </c>
      <c r="K985" s="94" t="str">
        <v>No</v>
      </c>
      <c r="L985" s="137" t="str">
        <v>Yes</v>
      </c>
      <c r="M985" s="94" t="str">
        <v>No</v>
      </c>
      <c r="N985" s="134" t="str">
        <v>No</v>
      </c>
      <c r="O985" s="119" t="str">
        <v>Yes</v>
      </c>
      <c r="P985" s="92" t="str">
        <v>N</v>
      </c>
      <c r="Q985" s="91">
        <v>46028</v>
      </c>
      <c r="R985" s="140">
        <v>0</v>
      </c>
      <c r="S985" s="92">
        <v>0</v>
      </c>
      <c r="T985" s="92">
        <v>0</v>
      </c>
      <c r="U985" s="137">
        <v>0</v>
      </c>
      <c r="V985" s="126" t="str">
        <f t="shared" si="30"/>
        <v>✅ On Best Plan</v>
      </c>
      <c r="W985" s="130">
        <f>IFERROR(_xlfn.XLOOKUP(TEXT(H985,"0000000000"),'📞 Call Tracker'!A$2:A$2000,'📞 Call Tracker'!B$2:B$2000,""),"")</f>
        <v>0</v>
      </c>
      <c r="X985" s="96">
        <f>IFERROR(_xlfn.XLOOKUP(TEXT(H985,"0000000000"),'📞 Call Tracker'!A$2:A$2000,'📞 Call Tracker'!C$2:C$2000,""),"")</f>
        <v>0</v>
      </c>
      <c r="Y985" s="95">
        <f>IFERROR(_xlfn.XLOOKUP(TEXT(H985,"0000000000"),'📞 Call Tracker'!A$2:A$2000,'📞 Call Tracker'!D$2:D$2000,""),"")</f>
        <v>0</v>
      </c>
      <c r="Z985" s="95">
        <f>IFERROR(_xlfn.XLOOKUP(TEXT(H985,"0000000000"),'📞 Call Tracker'!A$2:A$2000,'📞 Call Tracker'!E$2:E$2000,""),"")</f>
        <v>0</v>
      </c>
      <c r="AA985" s="145">
        <f>IFERROR(_xlfn.XLOOKUP(TEXT(H985,"0000000000"),'📞 Call Tracker'!A$2:A$2000,'📞 Call Tracker'!F$2:F$2000,""),"")</f>
        <v>0</v>
      </c>
      <c r="AB985" s="132">
        <f t="shared" si="31"/>
        <v>99</v>
      </c>
      <c r="AC985" s="79"/>
    </row>
    <row r="986" spans="1:29" ht="20.100000000000001" customHeight="1">
      <c r="A986" s="91">
        <v>46024</v>
      </c>
      <c r="B986" s="92" t="str">
        <v>Shaffer</v>
      </c>
      <c r="C986" s="92" t="str">
        <v>William</v>
      </c>
      <c r="D986" s="92" t="str">
        <v>Phoenix</v>
      </c>
      <c r="E986" s="92">
        <v>85028</v>
      </c>
      <c r="F986" s="137" t="str">
        <v>Form Letter: Enough is enough! You must reject the latest 14% rate hikes by APS e TEP</v>
      </c>
      <c r="G986" s="93" t="str">
        <v>https://docket.images.azcc.gov/E000048497.pdf</v>
      </c>
      <c r="H986" s="150" t="s">
        <v>3696</v>
      </c>
      <c r="I986" s="114" t="str">
        <v>R-BASICL</v>
      </c>
      <c r="J986" s="94" t="str">
        <v>No</v>
      </c>
      <c r="K986" s="94" t="str">
        <v>No</v>
      </c>
      <c r="L986" s="137" t="str">
        <v>No MEP TOUE-47 ($171.32)</v>
      </c>
      <c r="M986" s="94" t="str">
        <v>No</v>
      </c>
      <c r="N986" s="134" t="str">
        <v>No</v>
      </c>
      <c r="O986" s="119" t="str">
        <v>Yes</v>
      </c>
      <c r="P986" s="92">
        <v>0</v>
      </c>
      <c r="Q986" s="91">
        <v>0</v>
      </c>
      <c r="R986" s="140">
        <v>0</v>
      </c>
      <c r="S986" s="92">
        <v>0</v>
      </c>
      <c r="T986" s="92">
        <v>0</v>
      </c>
      <c r="U986" s="137">
        <v>0</v>
      </c>
      <c r="V986" s="126" t="str">
        <f t="shared" si="30"/>
        <v>❌ Not on Best Plan</v>
      </c>
      <c r="W986" s="130">
        <f>IFERROR(_xlfn.XLOOKUP(TEXT(H986,"0000000000"),'📞 Call Tracker'!A$2:A$2000,'📞 Call Tracker'!B$2:B$2000,""),"")</f>
        <v>0</v>
      </c>
      <c r="X986" s="96">
        <f>IFERROR(_xlfn.XLOOKUP(TEXT(H986,"0000000000"),'📞 Call Tracker'!A$2:A$2000,'📞 Call Tracker'!C$2:C$2000,""),"")</f>
        <v>0</v>
      </c>
      <c r="Y986" s="95">
        <f>IFERROR(_xlfn.XLOOKUP(TEXT(H986,"0000000000"),'📞 Call Tracker'!A$2:A$2000,'📞 Call Tracker'!D$2:D$2000,""),"")</f>
        <v>0</v>
      </c>
      <c r="Z986" s="95">
        <f>IFERROR(_xlfn.XLOOKUP(TEXT(H986,"0000000000"),'📞 Call Tracker'!A$2:A$2000,'📞 Call Tracker'!E$2:E$2000,""),"")</f>
        <v>0</v>
      </c>
      <c r="AA986" s="145">
        <f>IFERROR(_xlfn.XLOOKUP(TEXT(H986,"0000000000"),'📞 Call Tracker'!A$2:A$2000,'📞 Call Tracker'!F$2:F$2000,""),"")</f>
        <v>0</v>
      </c>
      <c r="AB986" s="132">
        <f t="shared" si="31"/>
        <v>99</v>
      </c>
      <c r="AC986" s="79"/>
    </row>
    <row r="987" spans="1:29" ht="20.100000000000001" customHeight="1">
      <c r="A987" s="91">
        <v>46027</v>
      </c>
      <c r="B987" s="92" t="str">
        <v>Williamson</v>
      </c>
      <c r="C987" s="92" t="str">
        <v>Elaine</v>
      </c>
      <c r="D987" s="92" t="str">
        <v>Peoria</v>
      </c>
      <c r="E987" s="92">
        <v>85382</v>
      </c>
      <c r="F987" s="137" t="str">
        <v>Form Letter: Enough is enough! You must reject the latest 14% rate hikes by APS e TEP</v>
      </c>
      <c r="G987" s="93" t="str">
        <v>https://docket.images.azcc.gov/E000048522.pdf</v>
      </c>
      <c r="H987" s="150" t="s">
        <v>6421</v>
      </c>
      <c r="I987" s="114" t="str">
        <v>R3-47</v>
      </c>
      <c r="J987" s="94" t="str">
        <v>No</v>
      </c>
      <c r="K987" s="94" t="str">
        <v>No</v>
      </c>
      <c r="L987" s="137" t="str">
        <v>Yes</v>
      </c>
      <c r="M987" s="94" t="str">
        <v>No</v>
      </c>
      <c r="N987" s="134" t="str">
        <v>No</v>
      </c>
      <c r="O987" s="119" t="str">
        <v>Yes</v>
      </c>
      <c r="P987" s="92" t="str">
        <v>N</v>
      </c>
      <c r="Q987" s="91">
        <v>46028</v>
      </c>
      <c r="R987" s="140">
        <v>0</v>
      </c>
      <c r="S987" s="92">
        <v>0</v>
      </c>
      <c r="T987" s="92">
        <v>0</v>
      </c>
      <c r="U987" s="137">
        <v>0</v>
      </c>
      <c r="V987" s="126" t="str">
        <f t="shared" si="30"/>
        <v>✅ On Best Plan</v>
      </c>
      <c r="W987" s="130">
        <f>IFERROR(_xlfn.XLOOKUP(TEXT(H987,"0000000000"),'📞 Call Tracker'!A$2:A$2000,'📞 Call Tracker'!B$2:B$2000,""),"")</f>
        <v>0</v>
      </c>
      <c r="X987" s="96">
        <f>IFERROR(_xlfn.XLOOKUP(TEXT(H987,"0000000000"),'📞 Call Tracker'!A$2:A$2000,'📞 Call Tracker'!C$2:C$2000,""),"")</f>
        <v>0</v>
      </c>
      <c r="Y987" s="95">
        <f>IFERROR(_xlfn.XLOOKUP(TEXT(H987,"0000000000"),'📞 Call Tracker'!A$2:A$2000,'📞 Call Tracker'!D$2:D$2000,""),"")</f>
        <v>0</v>
      </c>
      <c r="Z987" s="95">
        <f>IFERROR(_xlfn.XLOOKUP(TEXT(H987,"0000000000"),'📞 Call Tracker'!A$2:A$2000,'📞 Call Tracker'!E$2:E$2000,""),"")</f>
        <v>0</v>
      </c>
      <c r="AA987" s="145">
        <f>IFERROR(_xlfn.XLOOKUP(TEXT(H987,"0000000000"),'📞 Call Tracker'!A$2:A$2000,'📞 Call Tracker'!F$2:F$2000,""),"")</f>
        <v>0</v>
      </c>
      <c r="AB987" s="132">
        <f t="shared" si="31"/>
        <v>99</v>
      </c>
      <c r="AC987" s="79"/>
    </row>
    <row r="988" spans="1:29" ht="20.100000000000001" customHeight="1">
      <c r="A988" s="91">
        <v>46027</v>
      </c>
      <c r="B988" s="92" t="str">
        <v>Furlong</v>
      </c>
      <c r="C988" s="92" t="str">
        <v>Judy</v>
      </c>
      <c r="D988" s="92" t="str">
        <v>Phoenix</v>
      </c>
      <c r="E988" s="92">
        <v>85027</v>
      </c>
      <c r="F988" s="137" t="str">
        <v>Form Letter: Enough is enough! You must reject the latest 14% rate hikes by APS e TEP</v>
      </c>
      <c r="G988" s="93" t="str">
        <v>https://docket.images.azcc.gov/E000048522.pdf</v>
      </c>
      <c r="H988" s="150" t="s">
        <v>3612</v>
      </c>
      <c r="I988" s="114" t="str">
        <v>R3-47</v>
      </c>
      <c r="J988" s="94" t="str">
        <v>Yes</v>
      </c>
      <c r="K988" s="94" t="str">
        <v>Yes</v>
      </c>
      <c r="L988" s="137" t="str">
        <v>Yes</v>
      </c>
      <c r="M988" s="94" t="str">
        <v>No</v>
      </c>
      <c r="N988" s="134" t="str">
        <v>No</v>
      </c>
      <c r="O988" s="119" t="str">
        <v>Yes</v>
      </c>
      <c r="P988" s="92">
        <v>0</v>
      </c>
      <c r="Q988" s="91">
        <v>0</v>
      </c>
      <c r="R988" s="140">
        <v>0</v>
      </c>
      <c r="S988" s="92">
        <v>0</v>
      </c>
      <c r="T988" s="92">
        <v>0</v>
      </c>
      <c r="U988" s="137">
        <v>0</v>
      </c>
      <c r="V988" s="126" t="str">
        <f t="shared" si="30"/>
        <v>✅ On Best Plan</v>
      </c>
      <c r="W988" s="130">
        <f>IFERROR(_xlfn.XLOOKUP(TEXT(H988,"0000000000"),'📞 Call Tracker'!A$2:A$2000,'📞 Call Tracker'!B$2:B$2000,""),"")</f>
        <v>0</v>
      </c>
      <c r="X988" s="96">
        <f>IFERROR(_xlfn.XLOOKUP(TEXT(H988,"0000000000"),'📞 Call Tracker'!A$2:A$2000,'📞 Call Tracker'!C$2:C$2000,""),"")</f>
        <v>0</v>
      </c>
      <c r="Y988" s="95">
        <f>IFERROR(_xlfn.XLOOKUP(TEXT(H988,"0000000000"),'📞 Call Tracker'!A$2:A$2000,'📞 Call Tracker'!D$2:D$2000,""),"")</f>
        <v>0</v>
      </c>
      <c r="Z988" s="95">
        <f>IFERROR(_xlfn.XLOOKUP(TEXT(H988,"0000000000"),'📞 Call Tracker'!A$2:A$2000,'📞 Call Tracker'!E$2:E$2000,""),"")</f>
        <v>0</v>
      </c>
      <c r="AA988" s="145">
        <f>IFERROR(_xlfn.XLOOKUP(TEXT(H988,"0000000000"),'📞 Call Tracker'!A$2:A$2000,'📞 Call Tracker'!F$2:F$2000,""),"")</f>
        <v>0</v>
      </c>
      <c r="AB988" s="132">
        <f t="shared" si="31"/>
        <v>99</v>
      </c>
      <c r="AC988" s="79"/>
    </row>
    <row r="989" spans="1:29" ht="20.100000000000001" customHeight="1">
      <c r="A989" s="91">
        <v>46027</v>
      </c>
      <c r="B989" s="92" t="str">
        <v>Aycock</v>
      </c>
      <c r="C989" s="92" t="str">
        <v>Sandra</v>
      </c>
      <c r="D989" s="92" t="str">
        <v>Glendale</v>
      </c>
      <c r="E989" s="92">
        <v>85306</v>
      </c>
      <c r="F989" s="137" t="str">
        <v>Form Letter: Enough is enough! You must reject the latest 14% rate hikes by APS e TEP</v>
      </c>
      <c r="G989" s="93" t="str">
        <v>https://docket.images.azcc.gov/E000048522.pdf</v>
      </c>
      <c r="H989" s="150" t="s">
        <v>3623</v>
      </c>
      <c r="I989" s="114" t="str">
        <v>R3-47</v>
      </c>
      <c r="J989" s="94" t="str">
        <v>No</v>
      </c>
      <c r="K989" s="94" t="str">
        <v>No</v>
      </c>
      <c r="L989" s="137" t="str">
        <v>Yes</v>
      </c>
      <c r="M989" s="94" t="str">
        <v>No</v>
      </c>
      <c r="N989" s="134" t="str">
        <v>No</v>
      </c>
      <c r="O989" s="119" t="str">
        <v>Yes</v>
      </c>
      <c r="P989" s="92" t="str">
        <v>N</v>
      </c>
      <c r="Q989" s="91">
        <v>46030</v>
      </c>
      <c r="R989" s="140">
        <v>0</v>
      </c>
      <c r="S989" s="92">
        <v>0</v>
      </c>
      <c r="T989" s="92">
        <v>0</v>
      </c>
      <c r="U989" s="137">
        <v>0</v>
      </c>
      <c r="V989" s="126" t="str">
        <f t="shared" si="30"/>
        <v>✅ On Best Plan</v>
      </c>
      <c r="W989" s="130">
        <f>IFERROR(_xlfn.XLOOKUP(TEXT(H989,"0000000000"),'📞 Call Tracker'!A$2:A$2000,'📞 Call Tracker'!B$2:B$2000,""),"")</f>
        <v>0</v>
      </c>
      <c r="X989" s="96">
        <f>IFERROR(_xlfn.XLOOKUP(TEXT(H989,"0000000000"),'📞 Call Tracker'!A$2:A$2000,'📞 Call Tracker'!C$2:C$2000,""),"")</f>
        <v>0</v>
      </c>
      <c r="Y989" s="95">
        <f>IFERROR(_xlfn.XLOOKUP(TEXT(H989,"0000000000"),'📞 Call Tracker'!A$2:A$2000,'📞 Call Tracker'!D$2:D$2000,""),"")</f>
        <v>0</v>
      </c>
      <c r="Z989" s="95">
        <f>IFERROR(_xlfn.XLOOKUP(TEXT(H989,"0000000000"),'📞 Call Tracker'!A$2:A$2000,'📞 Call Tracker'!E$2:E$2000,""),"")</f>
        <v>0</v>
      </c>
      <c r="AA989" s="145">
        <f>IFERROR(_xlfn.XLOOKUP(TEXT(H989,"0000000000"),'📞 Call Tracker'!A$2:A$2000,'📞 Call Tracker'!F$2:F$2000,""),"")</f>
        <v>0</v>
      </c>
      <c r="AB989" s="132">
        <f t="shared" si="31"/>
        <v>99</v>
      </c>
      <c r="AC989" s="79"/>
    </row>
    <row r="990" spans="1:29" ht="20.100000000000001" customHeight="1">
      <c r="A990" s="91">
        <v>46027</v>
      </c>
      <c r="B990" s="92" t="str">
        <v>Foushee</v>
      </c>
      <c r="C990" s="92" t="str">
        <v>Rachael</v>
      </c>
      <c r="D990" s="92" t="str">
        <v>Phoenix</v>
      </c>
      <c r="E990" s="92">
        <v>85032</v>
      </c>
      <c r="F990" s="137" t="str">
        <v>Form Letter: Enough is enough! You must reject the latest 14% rate hikes by APS e TEP</v>
      </c>
      <c r="G990" s="93" t="str">
        <v>https://docket.images.azcc.gov/E000048522.pdf</v>
      </c>
      <c r="H990" s="150" t="s">
        <v>3625</v>
      </c>
      <c r="I990" s="114" t="str">
        <v>RTOU47</v>
      </c>
      <c r="J990" s="94" t="str">
        <v>No</v>
      </c>
      <c r="K990" s="94" t="str">
        <v>No</v>
      </c>
      <c r="L990" s="137" t="str">
        <v>No MEP R3-47 ($446.36)</v>
      </c>
      <c r="M990" s="94" t="str">
        <v>No</v>
      </c>
      <c r="N990" s="134" t="str">
        <v>No</v>
      </c>
      <c r="O990" s="119" t="str">
        <v>Yes</v>
      </c>
      <c r="P990" s="92">
        <v>0</v>
      </c>
      <c r="Q990" s="91">
        <v>0</v>
      </c>
      <c r="R990" s="140">
        <v>0</v>
      </c>
      <c r="S990" s="92">
        <v>0</v>
      </c>
      <c r="T990" s="92">
        <v>0</v>
      </c>
      <c r="U990" s="137">
        <v>0</v>
      </c>
      <c r="V990" s="126" t="str">
        <f t="shared" si="30"/>
        <v>❌ Not on Best Plan</v>
      </c>
      <c r="W990" s="130">
        <f>IFERROR(_xlfn.XLOOKUP(TEXT(H990,"0000000000"),'📞 Call Tracker'!A$2:A$2000,'📞 Call Tracker'!B$2:B$2000,""),"")</f>
        <v>0</v>
      </c>
      <c r="X990" s="96">
        <f>IFERROR(_xlfn.XLOOKUP(TEXT(H990,"0000000000"),'📞 Call Tracker'!A$2:A$2000,'📞 Call Tracker'!C$2:C$2000,""),"")</f>
        <v>0</v>
      </c>
      <c r="Y990" s="95">
        <f>IFERROR(_xlfn.XLOOKUP(TEXT(H990,"0000000000"),'📞 Call Tracker'!A$2:A$2000,'📞 Call Tracker'!D$2:D$2000,""),"")</f>
        <v>0</v>
      </c>
      <c r="Z990" s="95">
        <f>IFERROR(_xlfn.XLOOKUP(TEXT(H990,"0000000000"),'📞 Call Tracker'!A$2:A$2000,'📞 Call Tracker'!E$2:E$2000,""),"")</f>
        <v>0</v>
      </c>
      <c r="AA990" s="145">
        <f>IFERROR(_xlfn.XLOOKUP(TEXT(H990,"0000000000"),'📞 Call Tracker'!A$2:A$2000,'📞 Call Tracker'!F$2:F$2000,""),"")</f>
        <v>0</v>
      </c>
      <c r="AB990" s="132">
        <f t="shared" si="31"/>
        <v>99</v>
      </c>
      <c r="AC990" s="79"/>
    </row>
    <row r="991" spans="1:29" ht="20.100000000000001" customHeight="1">
      <c r="A991" s="91">
        <v>46027</v>
      </c>
      <c r="B991" s="92" t="str">
        <v>Sise</v>
      </c>
      <c r="C991" s="92" t="str">
        <v>Jason</v>
      </c>
      <c r="D991" s="92" t="str">
        <v>Phoenix</v>
      </c>
      <c r="E991" s="92">
        <v>85027</v>
      </c>
      <c r="F991" s="137" t="str">
        <v>Form Letter: Enough is enough! You must reject the latest 14% rate hikes by APS e TEP</v>
      </c>
      <c r="G991" s="93" t="str">
        <v>https://docket.images.azcc.gov/E000048522.pdf</v>
      </c>
      <c r="H991" s="150" t="s">
        <v>3627</v>
      </c>
      <c r="I991" s="114" t="str">
        <v>R3-47</v>
      </c>
      <c r="J991" s="94" t="str">
        <v>No</v>
      </c>
      <c r="K991" s="94" t="str">
        <v>No</v>
      </c>
      <c r="L991" s="137" t="str">
        <v>Yes</v>
      </c>
      <c r="M991" s="94" t="str">
        <v>No</v>
      </c>
      <c r="N991" s="134" t="str">
        <v>No</v>
      </c>
      <c r="O991" s="119" t="str">
        <v>Yes</v>
      </c>
      <c r="P991" s="92" t="str">
        <v>N</v>
      </c>
      <c r="Q991" s="91">
        <v>46030</v>
      </c>
      <c r="R991" s="140">
        <v>0</v>
      </c>
      <c r="S991" s="92">
        <v>0</v>
      </c>
      <c r="T991" s="92">
        <v>0</v>
      </c>
      <c r="U991" s="137">
        <v>0</v>
      </c>
      <c r="V991" s="126" t="str">
        <f t="shared" si="30"/>
        <v>✅ On Best Plan</v>
      </c>
      <c r="W991" s="130">
        <f>IFERROR(_xlfn.XLOOKUP(TEXT(H991,"0000000000"),'📞 Call Tracker'!A$2:A$2000,'📞 Call Tracker'!B$2:B$2000,""),"")</f>
        <v>0</v>
      </c>
      <c r="X991" s="96">
        <f>IFERROR(_xlfn.XLOOKUP(TEXT(H991,"0000000000"),'📞 Call Tracker'!A$2:A$2000,'📞 Call Tracker'!C$2:C$2000,""),"")</f>
        <v>0</v>
      </c>
      <c r="Y991" s="95">
        <f>IFERROR(_xlfn.XLOOKUP(TEXT(H991,"0000000000"),'📞 Call Tracker'!A$2:A$2000,'📞 Call Tracker'!D$2:D$2000,""),"")</f>
        <v>0</v>
      </c>
      <c r="Z991" s="95">
        <f>IFERROR(_xlfn.XLOOKUP(TEXT(H991,"0000000000"),'📞 Call Tracker'!A$2:A$2000,'📞 Call Tracker'!E$2:E$2000,""),"")</f>
        <v>0</v>
      </c>
      <c r="AA991" s="145">
        <f>IFERROR(_xlfn.XLOOKUP(TEXT(H991,"0000000000"),'📞 Call Tracker'!A$2:A$2000,'📞 Call Tracker'!F$2:F$2000,""),"")</f>
        <v>0</v>
      </c>
      <c r="AB991" s="132">
        <f t="shared" si="31"/>
        <v>99</v>
      </c>
      <c r="AC991" s="79"/>
    </row>
    <row r="992" spans="1:29" ht="20.100000000000001" customHeight="1">
      <c r="A992" s="91">
        <v>46027</v>
      </c>
      <c r="B992" s="92" t="str">
        <v>Cummings</v>
      </c>
      <c r="C992" s="92" t="str">
        <v>Leslie</v>
      </c>
      <c r="D992" s="92" t="str">
        <v>Phoenix</v>
      </c>
      <c r="E992" s="92">
        <v>85022</v>
      </c>
      <c r="F992" s="137" t="str">
        <v>Opposed: Data Centers are causing the issue; vote for the people not the corporations</v>
      </c>
      <c r="G992" s="93" t="str">
        <v>https://docket.images.azcc.gov/E000048522.pdf</v>
      </c>
      <c r="H992" s="150" t="s">
        <v>3633</v>
      </c>
      <c r="I992" s="114" t="str">
        <v>R-XS</v>
      </c>
      <c r="J992" s="94" t="str">
        <v>Yes</v>
      </c>
      <c r="K992" s="94" t="str">
        <v>No</v>
      </c>
      <c r="L992" s="137" t="str">
        <v>Yes</v>
      </c>
      <c r="M992" s="94" t="str">
        <v>No</v>
      </c>
      <c r="N992" s="134" t="str">
        <v>No</v>
      </c>
      <c r="O992" s="119" t="str">
        <v>Yes</v>
      </c>
      <c r="P992" s="92" t="str">
        <v>N</v>
      </c>
      <c r="Q992" s="91">
        <v>46030</v>
      </c>
      <c r="R992" s="140">
        <v>0</v>
      </c>
      <c r="S992" s="92">
        <v>0</v>
      </c>
      <c r="T992" s="92">
        <v>0</v>
      </c>
      <c r="U992" s="137">
        <v>0</v>
      </c>
      <c r="V992" s="126" t="str">
        <f t="shared" si="30"/>
        <v>✅ On Best Plan</v>
      </c>
      <c r="W992" s="130">
        <f>IFERROR(_xlfn.XLOOKUP(TEXT(H992,"0000000000"),'📞 Call Tracker'!A$2:A$2000,'📞 Call Tracker'!B$2:B$2000,""),"")</f>
        <v>0</v>
      </c>
      <c r="X992" s="96">
        <f>IFERROR(_xlfn.XLOOKUP(TEXT(H992,"0000000000"),'📞 Call Tracker'!A$2:A$2000,'📞 Call Tracker'!C$2:C$2000,""),"")</f>
        <v>0</v>
      </c>
      <c r="Y992" s="95">
        <f>IFERROR(_xlfn.XLOOKUP(TEXT(H992,"0000000000"),'📞 Call Tracker'!A$2:A$2000,'📞 Call Tracker'!D$2:D$2000,""),"")</f>
        <v>0</v>
      </c>
      <c r="Z992" s="95">
        <f>IFERROR(_xlfn.XLOOKUP(TEXT(H992,"0000000000"),'📞 Call Tracker'!A$2:A$2000,'📞 Call Tracker'!E$2:E$2000,""),"")</f>
        <v>0</v>
      </c>
      <c r="AA992" s="145">
        <f>IFERROR(_xlfn.XLOOKUP(TEXT(H992,"0000000000"),'📞 Call Tracker'!A$2:A$2000,'📞 Call Tracker'!F$2:F$2000,""),"")</f>
        <v>0</v>
      </c>
      <c r="AB992" s="132">
        <f t="shared" si="31"/>
        <v>99</v>
      </c>
      <c r="AC992" s="79"/>
    </row>
    <row r="993" spans="1:29" ht="20.100000000000001" customHeight="1">
      <c r="A993" s="91">
        <v>46027</v>
      </c>
      <c r="B993" s="92" t="str">
        <v>Patrovich</v>
      </c>
      <c r="C993" s="92" t="str">
        <v>Marcie</v>
      </c>
      <c r="D993" s="92" t="str">
        <v>Goodyear</v>
      </c>
      <c r="E993" s="92">
        <v>85395</v>
      </c>
      <c r="F993" s="137" t="str">
        <v>Opposed: Too many fees, deny the rate increase</v>
      </c>
      <c r="G993" s="93" t="str">
        <v>https://docket.images.azcc.gov/E000048522.pdf</v>
      </c>
      <c r="H993" s="150" t="s">
        <v>3640</v>
      </c>
      <c r="I993" s="114" t="str">
        <v>EPR6w/ET-2</v>
      </c>
      <c r="J993" s="94" t="str">
        <v>No</v>
      </c>
      <c r="K993" s="94" t="str">
        <v>No</v>
      </c>
      <c r="L993" s="137" t="str">
        <v>Frozen Plan</v>
      </c>
      <c r="M993" s="94" t="str">
        <v>No</v>
      </c>
      <c r="N993" s="134" t="str">
        <v>No</v>
      </c>
      <c r="O993" s="119" t="str">
        <v>Yes</v>
      </c>
      <c r="P993" s="92" t="str">
        <v>N</v>
      </c>
      <c r="Q993" s="91">
        <v>46030</v>
      </c>
      <c r="R993" s="140">
        <v>0</v>
      </c>
      <c r="S993" s="92">
        <v>0</v>
      </c>
      <c r="T993" s="92">
        <v>0</v>
      </c>
      <c r="U993" s="137">
        <v>0</v>
      </c>
      <c r="V993" s="126" t="str">
        <f t="shared" si="30"/>
        <v>❄ Frozen Rate</v>
      </c>
      <c r="W993" s="130">
        <f>IFERROR(_xlfn.XLOOKUP(TEXT(H993,"0000000000"),'📞 Call Tracker'!A$2:A$2000,'📞 Call Tracker'!B$2:B$2000,""),"")</f>
        <v>0</v>
      </c>
      <c r="X993" s="96">
        <f>IFERROR(_xlfn.XLOOKUP(TEXT(H993,"0000000000"),'📞 Call Tracker'!A$2:A$2000,'📞 Call Tracker'!C$2:C$2000,""),"")</f>
        <v>0</v>
      </c>
      <c r="Y993" s="95">
        <f>IFERROR(_xlfn.XLOOKUP(TEXT(H993,"0000000000"),'📞 Call Tracker'!A$2:A$2000,'📞 Call Tracker'!D$2:D$2000,""),"")</f>
        <v>0</v>
      </c>
      <c r="Z993" s="95">
        <f>IFERROR(_xlfn.XLOOKUP(TEXT(H993,"0000000000"),'📞 Call Tracker'!A$2:A$2000,'📞 Call Tracker'!E$2:E$2000,""),"")</f>
        <v>0</v>
      </c>
      <c r="AA993" s="145">
        <f>IFERROR(_xlfn.XLOOKUP(TEXT(H993,"0000000000"),'📞 Call Tracker'!A$2:A$2000,'📞 Call Tracker'!F$2:F$2000,""),"")</f>
        <v>0</v>
      </c>
      <c r="AB993" s="132">
        <f t="shared" si="31"/>
        <v>99</v>
      </c>
      <c r="AC993" s="79"/>
    </row>
    <row r="994" spans="1:29" ht="20.100000000000001" customHeight="1">
      <c r="A994" s="91">
        <v>46028</v>
      </c>
      <c r="B994" s="92" t="str">
        <v>Macek</v>
      </c>
      <c r="C994" s="92" t="str">
        <v>Marlene</v>
      </c>
      <c r="D994" s="92" t="str">
        <v>Sedona</v>
      </c>
      <c r="E994" s="92">
        <v>86351</v>
      </c>
      <c r="F994" s="137" t="str">
        <v>Opposed: APS is highly profitable. What about APS's expenses and spending?</v>
      </c>
      <c r="G994" s="93" t="str">
        <v>https://docket.images.azcc.gov/E000048542.pdf</v>
      </c>
      <c r="H994" s="150" t="s">
        <v>3644</v>
      </c>
      <c r="I994" s="114" t="str">
        <v>EPR6w/ET-2</v>
      </c>
      <c r="J994" s="94" t="str">
        <v>No</v>
      </c>
      <c r="K994" s="94" t="str">
        <v>No</v>
      </c>
      <c r="L994" s="137" t="str">
        <v>Frozen Plan</v>
      </c>
      <c r="M994" s="94" t="str">
        <v>No</v>
      </c>
      <c r="N994" s="134" t="str">
        <v>No</v>
      </c>
      <c r="O994" s="119" t="str">
        <v>Yes</v>
      </c>
      <c r="P994" s="92" t="str">
        <v>N</v>
      </c>
      <c r="Q994" s="91">
        <v>46030</v>
      </c>
      <c r="R994" s="140">
        <v>0</v>
      </c>
      <c r="S994" s="92">
        <v>0</v>
      </c>
      <c r="T994" s="92">
        <v>0</v>
      </c>
      <c r="U994" s="137">
        <v>0</v>
      </c>
      <c r="V994" s="126" t="str">
        <f t="shared" si="30"/>
        <v>❄ Frozen Rate</v>
      </c>
      <c r="W994" s="130">
        <f>IFERROR(_xlfn.XLOOKUP(TEXT(H994,"0000000000"),'📞 Call Tracker'!A$2:A$2000,'📞 Call Tracker'!B$2:B$2000,""),"")</f>
        <v>0</v>
      </c>
      <c r="X994" s="96">
        <f>IFERROR(_xlfn.XLOOKUP(TEXT(H994,"0000000000"),'📞 Call Tracker'!A$2:A$2000,'📞 Call Tracker'!C$2:C$2000,""),"")</f>
        <v>0</v>
      </c>
      <c r="Y994" s="95">
        <f>IFERROR(_xlfn.XLOOKUP(TEXT(H994,"0000000000"),'📞 Call Tracker'!A$2:A$2000,'📞 Call Tracker'!D$2:D$2000,""),"")</f>
        <v>0</v>
      </c>
      <c r="Z994" s="95">
        <f>IFERROR(_xlfn.XLOOKUP(TEXT(H994,"0000000000"),'📞 Call Tracker'!A$2:A$2000,'📞 Call Tracker'!E$2:E$2000,""),"")</f>
        <v>0</v>
      </c>
      <c r="AA994" s="145">
        <f>IFERROR(_xlfn.XLOOKUP(TEXT(H994,"0000000000"),'📞 Call Tracker'!A$2:A$2000,'📞 Call Tracker'!F$2:F$2000,""),"")</f>
        <v>0</v>
      </c>
      <c r="AB994" s="132">
        <f t="shared" si="31"/>
        <v>99</v>
      </c>
      <c r="AC994" s="79"/>
    </row>
    <row r="995" spans="1:29" ht="20.100000000000001" customHeight="1">
      <c r="A995" s="91">
        <v>46028</v>
      </c>
      <c r="B995" s="92" t="str">
        <v>Palowoda</v>
      </c>
      <c r="C995" s="92" t="str">
        <v>Marie</v>
      </c>
      <c r="D995" s="92" t="str">
        <v>Cottonwood</v>
      </c>
      <c r="E995" s="92">
        <v>86326</v>
      </c>
      <c r="F995" s="137" t="str">
        <v>APS just had a rate increase and $600 M in neet income. Prices are drive up becuase of EV charging ad Data Centers.</v>
      </c>
      <c r="G995" s="93" t="str">
        <v>https://docket.images.azcc.gov/E000048542.pdf</v>
      </c>
      <c r="H995" s="150" t="s">
        <v>3647</v>
      </c>
      <c r="I995" s="114" t="str">
        <v>R-XS</v>
      </c>
      <c r="J995" s="94" t="str">
        <v>No</v>
      </c>
      <c r="K995" s="94" t="str">
        <v>No</v>
      </c>
      <c r="L995" s="137" t="str">
        <v>Yes</v>
      </c>
      <c r="M995" s="94" t="str">
        <v>No</v>
      </c>
      <c r="N995" s="134" t="str">
        <v>No</v>
      </c>
      <c r="O995" s="119" t="str">
        <v>Yes</v>
      </c>
      <c r="P995" s="92" t="str">
        <v>N</v>
      </c>
      <c r="Q995" s="91">
        <v>46030</v>
      </c>
      <c r="R995" s="140">
        <v>0</v>
      </c>
      <c r="S995" s="92">
        <v>0</v>
      </c>
      <c r="T995" s="92">
        <v>0</v>
      </c>
      <c r="U995" s="137">
        <v>0</v>
      </c>
      <c r="V995" s="126" t="str">
        <f t="shared" si="30"/>
        <v>✅ On Best Plan</v>
      </c>
      <c r="W995" s="130">
        <f>IFERROR(_xlfn.XLOOKUP(TEXT(H995,"0000000000"),'📞 Call Tracker'!A$2:A$2000,'📞 Call Tracker'!B$2:B$2000,""),"")</f>
        <v>0</v>
      </c>
      <c r="X995" s="96">
        <f>IFERROR(_xlfn.XLOOKUP(TEXT(H995,"0000000000"),'📞 Call Tracker'!A$2:A$2000,'📞 Call Tracker'!C$2:C$2000,""),"")</f>
        <v>0</v>
      </c>
      <c r="Y995" s="95">
        <f>IFERROR(_xlfn.XLOOKUP(TEXT(H995,"0000000000"),'📞 Call Tracker'!A$2:A$2000,'📞 Call Tracker'!D$2:D$2000,""),"")</f>
        <v>0</v>
      </c>
      <c r="Z995" s="95">
        <f>IFERROR(_xlfn.XLOOKUP(TEXT(H995,"0000000000"),'📞 Call Tracker'!A$2:A$2000,'📞 Call Tracker'!E$2:E$2000,""),"")</f>
        <v>0</v>
      </c>
      <c r="AA995" s="145">
        <f>IFERROR(_xlfn.XLOOKUP(TEXT(H995,"0000000000"),'📞 Call Tracker'!A$2:A$2000,'📞 Call Tracker'!F$2:F$2000,""),"")</f>
        <v>0</v>
      </c>
      <c r="AB995" s="132">
        <f t="shared" si="31"/>
        <v>99</v>
      </c>
      <c r="AC995" s="79"/>
    </row>
    <row r="996" spans="1:29" ht="20.100000000000001" customHeight="1">
      <c r="A996" s="91">
        <v>46028</v>
      </c>
      <c r="B996" s="92" t="str">
        <v>Hatler</v>
      </c>
      <c r="C996" s="92" t="str">
        <v>Carol (Phil)</v>
      </c>
      <c r="D996" s="92" t="str">
        <v>Sun City</v>
      </c>
      <c r="E996" s="92">
        <v>85373</v>
      </c>
      <c r="F996" s="137" t="str">
        <v>Deny rate increase: quoting Kris Mayes</v>
      </c>
      <c r="G996" s="93" t="str">
        <v>https://docket.images.azcc.gov/E000048535.pdf</v>
      </c>
      <c r="H996" s="150" t="s">
        <v>3649</v>
      </c>
      <c r="I996" s="114" t="str">
        <v>RTOUE47</v>
      </c>
      <c r="J996" s="94" t="str">
        <v>No</v>
      </c>
      <c r="K996" s="94" t="str">
        <v>No</v>
      </c>
      <c r="L996" s="137" t="str">
        <v>Yes</v>
      </c>
      <c r="M996" s="94" t="str">
        <v>No</v>
      </c>
      <c r="N996" s="134" t="str">
        <v>No</v>
      </c>
      <c r="O996" s="119" t="str">
        <v>Yes</v>
      </c>
      <c r="P996" s="92" t="str">
        <v>N</v>
      </c>
      <c r="Q996" s="91">
        <v>46030</v>
      </c>
      <c r="R996" s="140">
        <v>0</v>
      </c>
      <c r="S996" s="92">
        <v>0</v>
      </c>
      <c r="T996" s="92">
        <v>0</v>
      </c>
      <c r="U996" s="137">
        <v>0</v>
      </c>
      <c r="V996" s="126" t="str">
        <f t="shared" si="30"/>
        <v>✅ On Best Plan</v>
      </c>
      <c r="W996" s="130">
        <f>IFERROR(_xlfn.XLOOKUP(TEXT(H996,"0000000000"),'📞 Call Tracker'!A$2:A$2000,'📞 Call Tracker'!B$2:B$2000,""),"")</f>
        <v>0</v>
      </c>
      <c r="X996" s="96">
        <f>IFERROR(_xlfn.XLOOKUP(TEXT(H996,"0000000000"),'📞 Call Tracker'!A$2:A$2000,'📞 Call Tracker'!C$2:C$2000,""),"")</f>
        <v>0</v>
      </c>
      <c r="Y996" s="95">
        <f>IFERROR(_xlfn.XLOOKUP(TEXT(H996,"0000000000"),'📞 Call Tracker'!A$2:A$2000,'📞 Call Tracker'!D$2:D$2000,""),"")</f>
        <v>0</v>
      </c>
      <c r="Z996" s="95">
        <f>IFERROR(_xlfn.XLOOKUP(TEXT(H996,"0000000000"),'📞 Call Tracker'!A$2:A$2000,'📞 Call Tracker'!E$2:E$2000,""),"")</f>
        <v>0</v>
      </c>
      <c r="AA996" s="145">
        <f>IFERROR(_xlfn.XLOOKUP(TEXT(H996,"0000000000"),'📞 Call Tracker'!A$2:A$2000,'📞 Call Tracker'!F$2:F$2000,""),"")</f>
        <v>0</v>
      </c>
      <c r="AB996" s="132">
        <f t="shared" si="31"/>
        <v>99</v>
      </c>
      <c r="AC996" s="79"/>
    </row>
    <row r="997" spans="1:29" ht="20.100000000000001" customHeight="1">
      <c r="A997" s="91">
        <v>46031</v>
      </c>
      <c r="B997" s="92" t="str">
        <v>Alger</v>
      </c>
      <c r="C997" s="92" t="str">
        <v>Debra</v>
      </c>
      <c r="D997" s="92" t="str">
        <v>Phoenix</v>
      </c>
      <c r="E997" s="92">
        <v>85029</v>
      </c>
      <c r="F997" s="137" t="str">
        <v>Widow on a very fixed income. Supporting data centers bulit on my back. APS has never been honest or transparent</v>
      </c>
      <c r="G997" s="93" t="str">
        <v>https://docket.images.azcc.gov/E000048581.pdf</v>
      </c>
      <c r="H997" s="150" t="s">
        <v>3652</v>
      </c>
      <c r="I997" s="114" t="str">
        <v>R3-47</v>
      </c>
      <c r="J997" s="94" t="str">
        <v>No</v>
      </c>
      <c r="K997" s="94" t="str">
        <v>No</v>
      </c>
      <c r="L997" s="137" t="str">
        <v>Yes</v>
      </c>
      <c r="M997" s="94" t="str">
        <v>No</v>
      </c>
      <c r="N997" s="134" t="str">
        <v>No</v>
      </c>
      <c r="O997" s="119" t="str">
        <v>Yes</v>
      </c>
      <c r="P997" s="92">
        <v>0</v>
      </c>
      <c r="Q997" s="91">
        <v>46034</v>
      </c>
      <c r="R997" s="140" t="str">
        <v>Offer Assistance Program Info?</v>
      </c>
      <c r="S997" s="92">
        <v>0</v>
      </c>
      <c r="T997" s="92">
        <v>0</v>
      </c>
      <c r="U997" s="137">
        <v>0</v>
      </c>
      <c r="V997" s="126" t="str">
        <f t="shared" si="30"/>
        <v>✅ On Best Plan</v>
      </c>
      <c r="W997" s="130">
        <f>IFERROR(_xlfn.XLOOKUP(TEXT(H997,"0000000000"),'📞 Call Tracker'!A$2:A$2000,'📞 Call Tracker'!B$2:B$2000,""),"")</f>
        <v>0</v>
      </c>
      <c r="X997" s="96">
        <f>IFERROR(_xlfn.XLOOKUP(TEXT(H997,"0000000000"),'📞 Call Tracker'!A$2:A$2000,'📞 Call Tracker'!C$2:C$2000,""),"")</f>
        <v>0</v>
      </c>
      <c r="Y997" s="95">
        <f>IFERROR(_xlfn.XLOOKUP(TEXT(H997,"0000000000"),'📞 Call Tracker'!A$2:A$2000,'📞 Call Tracker'!D$2:D$2000,""),"")</f>
        <v>0</v>
      </c>
      <c r="Z997" s="95">
        <f>IFERROR(_xlfn.XLOOKUP(TEXT(H997,"0000000000"),'📞 Call Tracker'!A$2:A$2000,'📞 Call Tracker'!E$2:E$2000,""),"")</f>
        <v>0</v>
      </c>
      <c r="AA997" s="145">
        <f>IFERROR(_xlfn.XLOOKUP(TEXT(H997,"0000000000"),'📞 Call Tracker'!A$2:A$2000,'📞 Call Tracker'!F$2:F$2000,""),"")</f>
        <v>0</v>
      </c>
      <c r="AB997" s="132">
        <f t="shared" si="31"/>
        <v>99</v>
      </c>
      <c r="AC997" s="79"/>
    </row>
    <row r="998" spans="1:29" ht="20.100000000000001" customHeight="1">
      <c r="A998" s="91">
        <v>46037</v>
      </c>
      <c r="B998" s="92" t="str">
        <v>Dunn</v>
      </c>
      <c r="C998" s="92" t="str">
        <v>Sally</v>
      </c>
      <c r="D998" s="92" t="str">
        <v>Prescott</v>
      </c>
      <c r="E998" s="92">
        <v>86303</v>
      </c>
      <c r="F998" s="137" t="str">
        <v>Put a stop to this kind of spending and stop inflation. Enough is enough.</v>
      </c>
      <c r="G998" s="93" t="str">
        <v>https://docket.images.azcc.gov/E000048716.pdf</v>
      </c>
      <c r="H998" s="150" t="s">
        <v>3657</v>
      </c>
      <c r="I998" s="114" t="str">
        <v>R-BASIC</v>
      </c>
      <c r="J998" s="94" t="str">
        <v>No</v>
      </c>
      <c r="K998" s="94" t="str">
        <v>No</v>
      </c>
      <c r="L998" s="137" t="str">
        <v>Yes</v>
      </c>
      <c r="M998" s="94" t="str">
        <v>No</v>
      </c>
      <c r="N998" s="134" t="str">
        <v>No</v>
      </c>
      <c r="O998" s="119" t="str">
        <v>Yes</v>
      </c>
      <c r="P998" s="92" t="str">
        <v>N</v>
      </c>
      <c r="Q998" s="91">
        <v>46044</v>
      </c>
      <c r="R998" s="140">
        <v>0</v>
      </c>
      <c r="S998" s="92">
        <v>0</v>
      </c>
      <c r="T998" s="92">
        <v>0</v>
      </c>
      <c r="U998" s="137">
        <v>0</v>
      </c>
      <c r="V998" s="126" t="str">
        <f t="shared" si="30"/>
        <v>✅ On Best Plan</v>
      </c>
      <c r="W998" s="130">
        <f>IFERROR(_xlfn.XLOOKUP(TEXT(H998,"0000000000"),'📞 Call Tracker'!A$2:A$2000,'📞 Call Tracker'!B$2:B$2000,""),"")</f>
        <v>0</v>
      </c>
      <c r="X998" s="96">
        <f>IFERROR(_xlfn.XLOOKUP(TEXT(H998,"0000000000"),'📞 Call Tracker'!A$2:A$2000,'📞 Call Tracker'!C$2:C$2000,""),"")</f>
        <v>0</v>
      </c>
      <c r="Y998" s="95">
        <f>IFERROR(_xlfn.XLOOKUP(TEXT(H998,"0000000000"),'📞 Call Tracker'!A$2:A$2000,'📞 Call Tracker'!D$2:D$2000,""),"")</f>
        <v>0</v>
      </c>
      <c r="Z998" s="95">
        <f>IFERROR(_xlfn.XLOOKUP(TEXT(H998,"0000000000"),'📞 Call Tracker'!A$2:A$2000,'📞 Call Tracker'!E$2:E$2000,""),"")</f>
        <v>0</v>
      </c>
      <c r="AA998" s="145">
        <f>IFERROR(_xlfn.XLOOKUP(TEXT(H998,"0000000000"),'📞 Call Tracker'!A$2:A$2000,'📞 Call Tracker'!F$2:F$2000,""),"")</f>
        <v>0</v>
      </c>
      <c r="AB998" s="132">
        <f t="shared" si="31"/>
        <v>99</v>
      </c>
      <c r="AC998" s="79"/>
    </row>
    <row r="999" spans="1:29" ht="20.100000000000001" customHeight="1">
      <c r="A999" s="91">
        <v>46037</v>
      </c>
      <c r="B999" s="92" t="str">
        <v>Elliott</v>
      </c>
      <c r="C999" s="92" t="str">
        <v>Catherine</v>
      </c>
      <c r="D999" s="92" t="str">
        <v>Litchfield Park</v>
      </c>
      <c r="E999" s="92">
        <v>85340</v>
      </c>
      <c r="F999" s="137" t="str">
        <v>APS has deep enough pockets to cover these costs. We don't.</v>
      </c>
      <c r="G999" s="93" t="str">
        <v>https://docket.images.azcc.gov/E000048716.pdf</v>
      </c>
      <c r="H999" s="150" t="s">
        <v>3660</v>
      </c>
      <c r="I999" s="114" t="str">
        <v>R3-47</v>
      </c>
      <c r="J999" s="94" t="str">
        <v>No</v>
      </c>
      <c r="K999" s="94" t="str">
        <v>No</v>
      </c>
      <c r="L999" s="137" t="str">
        <v>Yes</v>
      </c>
      <c r="M999" s="94" t="str">
        <v>No</v>
      </c>
      <c r="N999" s="134" t="str">
        <v>No</v>
      </c>
      <c r="O999" s="119" t="str">
        <v>Yes</v>
      </c>
      <c r="P999" s="92" t="str">
        <v>N</v>
      </c>
      <c r="Q999" s="91">
        <v>46044</v>
      </c>
      <c r="R999" s="140">
        <v>0</v>
      </c>
      <c r="S999" s="92">
        <v>0</v>
      </c>
      <c r="T999" s="92">
        <v>0</v>
      </c>
      <c r="U999" s="137">
        <v>0</v>
      </c>
      <c r="V999" s="126" t="str">
        <f t="shared" si="30"/>
        <v>✅ On Best Plan</v>
      </c>
      <c r="W999" s="130">
        <f>IFERROR(_xlfn.XLOOKUP(TEXT(H999,"0000000000"),'📞 Call Tracker'!A$2:A$2000,'📞 Call Tracker'!B$2:B$2000,""),"")</f>
        <v>0</v>
      </c>
      <c r="X999" s="96">
        <f>IFERROR(_xlfn.XLOOKUP(TEXT(H999,"0000000000"),'📞 Call Tracker'!A$2:A$2000,'📞 Call Tracker'!C$2:C$2000,""),"")</f>
        <v>0</v>
      </c>
      <c r="Y999" s="95">
        <f>IFERROR(_xlfn.XLOOKUP(TEXT(H999,"0000000000"),'📞 Call Tracker'!A$2:A$2000,'📞 Call Tracker'!D$2:D$2000,""),"")</f>
        <v>0</v>
      </c>
      <c r="Z999" s="95">
        <f>IFERROR(_xlfn.XLOOKUP(TEXT(H999,"0000000000"),'📞 Call Tracker'!A$2:A$2000,'📞 Call Tracker'!E$2:E$2000,""),"")</f>
        <v>0</v>
      </c>
      <c r="AA999" s="145">
        <f>IFERROR(_xlfn.XLOOKUP(TEXT(H999,"0000000000"),'📞 Call Tracker'!A$2:A$2000,'📞 Call Tracker'!F$2:F$2000,""),"")</f>
        <v>0</v>
      </c>
      <c r="AB999" s="132">
        <f t="shared" si="31"/>
        <v>99</v>
      </c>
      <c r="AC999" s="79"/>
    </row>
    <row r="1000" spans="1:29" ht="20.100000000000001" customHeight="1">
      <c r="A1000" s="91">
        <v>46037</v>
      </c>
      <c r="B1000" s="92" t="str">
        <v>Pouncy</v>
      </c>
      <c r="C1000" s="92" t="str">
        <v>Ernest</v>
      </c>
      <c r="D1000" s="92" t="str">
        <v>Buckeye</v>
      </c>
      <c r="E1000" s="92">
        <v>85396</v>
      </c>
      <c r="F1000" s="137" t="str">
        <v xml:space="preserve">Retired on a fixed income. On-peak hours should change. Unfair, APS had a rate  hike two years ago. </v>
      </c>
      <c r="G1000" s="93" t="str">
        <v>https://docket.images.azcc.gov/E000048716.pdf</v>
      </c>
      <c r="H1000" s="150" t="s">
        <v>6422</v>
      </c>
      <c r="I1000" s="114" t="str">
        <v>R-2</v>
      </c>
      <c r="J1000" s="94" t="str">
        <v>No</v>
      </c>
      <c r="K1000" s="94" t="str">
        <v>No</v>
      </c>
      <c r="L1000" s="137" t="str">
        <v>Frozen Plan</v>
      </c>
      <c r="M1000" s="94" t="str">
        <v>No</v>
      </c>
      <c r="N1000" s="134" t="str">
        <v>No</v>
      </c>
      <c r="O1000" s="119" t="str">
        <v>Yes</v>
      </c>
      <c r="P1000" s="92" t="str">
        <v>N</v>
      </c>
      <c r="Q1000" s="91">
        <v>46044</v>
      </c>
      <c r="R1000" s="140">
        <v>0</v>
      </c>
      <c r="S1000" s="92">
        <v>0</v>
      </c>
      <c r="T1000" s="92">
        <v>0</v>
      </c>
      <c r="U1000" s="137">
        <v>0</v>
      </c>
      <c r="V1000" s="126" t="str">
        <f t="shared" si="30"/>
        <v>❄ Frozen Rate</v>
      </c>
      <c r="W1000" s="130">
        <f>IFERROR(_xlfn.XLOOKUP(TEXT(H1000,"0000000000"),'📞 Call Tracker'!A$2:A$2000,'📞 Call Tracker'!B$2:B$2000,""),"")</f>
        <v>0</v>
      </c>
      <c r="X1000" s="96">
        <f>IFERROR(_xlfn.XLOOKUP(TEXT(H1000,"0000000000"),'📞 Call Tracker'!A$2:A$2000,'📞 Call Tracker'!C$2:C$2000,""),"")</f>
        <v>0</v>
      </c>
      <c r="Y1000" s="95">
        <f>IFERROR(_xlfn.XLOOKUP(TEXT(H1000,"0000000000"),'📞 Call Tracker'!A$2:A$2000,'📞 Call Tracker'!D$2:D$2000,""),"")</f>
        <v>0</v>
      </c>
      <c r="Z1000" s="95">
        <f>IFERROR(_xlfn.XLOOKUP(TEXT(H1000,"0000000000"),'📞 Call Tracker'!A$2:A$2000,'📞 Call Tracker'!E$2:E$2000,""),"")</f>
        <v>0</v>
      </c>
      <c r="AA1000" s="145">
        <f>IFERROR(_xlfn.XLOOKUP(TEXT(H1000,"0000000000"),'📞 Call Tracker'!A$2:A$2000,'📞 Call Tracker'!F$2:F$2000,""),"")</f>
        <v>0</v>
      </c>
      <c r="AB1000" s="132">
        <f t="shared" si="31"/>
        <v>99</v>
      </c>
      <c r="AC1000" s="79"/>
    </row>
    <row r="1001" spans="1:29" ht="20.100000000000001" customHeight="1">
      <c r="A1001" s="91">
        <v>46037</v>
      </c>
      <c r="B1001" s="92" t="str">
        <v>Filice</v>
      </c>
      <c r="C1001" s="92" t="str">
        <v>Jordan</v>
      </c>
      <c r="D1001" s="92" t="str">
        <v>Peoria</v>
      </c>
      <c r="E1001" s="92">
        <v>85383</v>
      </c>
      <c r="F1001" s="137" t="str">
        <v>Ridiculous, 22% increase in 3 years. People are struggling. Reject the rate increase.</v>
      </c>
      <c r="G1001" s="93" t="str">
        <v>https://docket.images.azcc.gov/E000048716.pdf</v>
      </c>
      <c r="H1001" s="150" t="s">
        <v>3667</v>
      </c>
      <c r="I1001" s="114" t="str">
        <v>RCPw/R-2</v>
      </c>
      <c r="J1001" s="94" t="str">
        <v>No</v>
      </c>
      <c r="K1001" s="94" t="str">
        <v>No</v>
      </c>
      <c r="L1001" s="137" t="str">
        <v>Frozen Plan</v>
      </c>
      <c r="M1001" s="94" t="str">
        <v>No</v>
      </c>
      <c r="N1001" s="134" t="str">
        <v>No</v>
      </c>
      <c r="O1001" s="119" t="str">
        <v>Yes</v>
      </c>
      <c r="P1001" s="92" t="str">
        <v>N</v>
      </c>
      <c r="Q1001" s="91">
        <v>46044</v>
      </c>
      <c r="R1001" s="140">
        <v>0</v>
      </c>
      <c r="S1001" s="92">
        <v>0</v>
      </c>
      <c r="T1001" s="92">
        <v>0</v>
      </c>
      <c r="U1001" s="137">
        <v>0</v>
      </c>
      <c r="V1001" s="126" t="str">
        <f t="shared" si="30"/>
        <v>❄ Frozen Rate</v>
      </c>
      <c r="W1001" s="130">
        <f>IFERROR(_xlfn.XLOOKUP(TEXT(H1001,"0000000000"),'📞 Call Tracker'!A$2:A$2000,'📞 Call Tracker'!B$2:B$2000,""),"")</f>
        <v>0</v>
      </c>
      <c r="X1001" s="96">
        <f>IFERROR(_xlfn.XLOOKUP(TEXT(H1001,"0000000000"),'📞 Call Tracker'!A$2:A$2000,'📞 Call Tracker'!C$2:C$2000,""),"")</f>
        <v>0</v>
      </c>
      <c r="Y1001" s="95">
        <f>IFERROR(_xlfn.XLOOKUP(TEXT(H1001,"0000000000"),'📞 Call Tracker'!A$2:A$2000,'📞 Call Tracker'!D$2:D$2000,""),"")</f>
        <v>0</v>
      </c>
      <c r="Z1001" s="95">
        <f>IFERROR(_xlfn.XLOOKUP(TEXT(H1001,"0000000000"),'📞 Call Tracker'!A$2:A$2000,'📞 Call Tracker'!E$2:E$2000,""),"")</f>
        <v>0</v>
      </c>
      <c r="AA1001" s="145">
        <f>IFERROR(_xlfn.XLOOKUP(TEXT(H1001,"0000000000"),'📞 Call Tracker'!A$2:A$2000,'📞 Call Tracker'!F$2:F$2000,""),"")</f>
        <v>0</v>
      </c>
      <c r="AB1001" s="132">
        <f t="shared" si="31"/>
        <v>99</v>
      </c>
      <c r="AC1001" s="79"/>
    </row>
    <row r="1002" spans="1:29" ht="20.100000000000001" customHeight="1">
      <c r="A1002" s="91">
        <v>46037</v>
      </c>
      <c r="B1002" s="92" t="str">
        <v>Furnas</v>
      </c>
      <c r="C1002" s="92" t="str">
        <v>Daniel</v>
      </c>
      <c r="D1002" s="92" t="str">
        <v>Kirkland</v>
      </c>
      <c r="E1002" s="92">
        <v>86332</v>
      </c>
      <c r="F1002" s="137" t="str">
        <v>yearly reduction of export rates for the past 5 years on solar systems supplying the grid. Non-solar customers have paid the difference</v>
      </c>
      <c r="G1002" s="93" t="str">
        <v>https://docket.images.azcc.gov/E000048716.pdf</v>
      </c>
      <c r="H1002" s="150" t="s">
        <v>3669</v>
      </c>
      <c r="I1002" s="114" t="str">
        <v>R-XS</v>
      </c>
      <c r="J1002" s="94" t="str">
        <v>No</v>
      </c>
      <c r="K1002" s="94" t="str">
        <v>No</v>
      </c>
      <c r="L1002" s="137" t="str">
        <v>Yes</v>
      </c>
      <c r="M1002" s="94" t="str">
        <v>No</v>
      </c>
      <c r="N1002" s="134" t="str">
        <v>No</v>
      </c>
      <c r="O1002" s="119" t="str">
        <v>Yes</v>
      </c>
      <c r="P1002" s="92" t="str">
        <v>N</v>
      </c>
      <c r="Q1002" s="91">
        <v>45679</v>
      </c>
      <c r="R1002" s="140">
        <v>0</v>
      </c>
      <c r="S1002" s="92">
        <v>0</v>
      </c>
      <c r="T1002" s="92">
        <v>0</v>
      </c>
      <c r="U1002" s="137">
        <v>0</v>
      </c>
      <c r="V1002" s="126" t="str">
        <f t="shared" si="30"/>
        <v>✅ On Best Plan</v>
      </c>
      <c r="W1002" s="130">
        <f>IFERROR(_xlfn.XLOOKUP(TEXT(H1002,"0000000000"),'📞 Call Tracker'!A$2:A$2000,'📞 Call Tracker'!B$2:B$2000,""),"")</f>
        <v>0</v>
      </c>
      <c r="X1002" s="96">
        <f>IFERROR(_xlfn.XLOOKUP(TEXT(H1002,"0000000000"),'📞 Call Tracker'!A$2:A$2000,'📞 Call Tracker'!C$2:C$2000,""),"")</f>
        <v>0</v>
      </c>
      <c r="Y1002" s="95">
        <f>IFERROR(_xlfn.XLOOKUP(TEXT(H1002,"0000000000"),'📞 Call Tracker'!A$2:A$2000,'📞 Call Tracker'!D$2:D$2000,""),"")</f>
        <v>0</v>
      </c>
      <c r="Z1002" s="95">
        <f>IFERROR(_xlfn.XLOOKUP(TEXT(H1002,"0000000000"),'📞 Call Tracker'!A$2:A$2000,'📞 Call Tracker'!E$2:E$2000,""),"")</f>
        <v>0</v>
      </c>
      <c r="AA1002" s="145">
        <f>IFERROR(_xlfn.XLOOKUP(TEXT(H1002,"0000000000"),'📞 Call Tracker'!A$2:A$2000,'📞 Call Tracker'!F$2:F$2000,""),"")</f>
        <v>0</v>
      </c>
      <c r="AB1002" s="132">
        <f t="shared" si="31"/>
        <v>99</v>
      </c>
      <c r="AC1002" s="79"/>
    </row>
    <row r="1003" spans="1:29" ht="20.100000000000001" customHeight="1">
      <c r="A1003" s="91">
        <v>46037</v>
      </c>
      <c r="B1003" s="92" t="str">
        <v>Chesney</v>
      </c>
      <c r="C1003" s="92" t="str">
        <v>Dennis</v>
      </c>
      <c r="D1003" s="92" t="str">
        <v>Peoria</v>
      </c>
      <c r="E1003" s="92">
        <v>85383</v>
      </c>
      <c r="F1003" s="137" t="str">
        <v>16% for residential on top of the previous 8% is crippling as a retired person; with solar.</v>
      </c>
      <c r="G1003" s="93" t="str">
        <v>https://docket.images.azcc.gov/E000048716.pdf</v>
      </c>
      <c r="H1003" s="150" t="s">
        <v>3671</v>
      </c>
      <c r="I1003" s="114" t="str">
        <v>RCPw/RTOUE47</v>
      </c>
      <c r="J1003" s="94" t="str">
        <v>No</v>
      </c>
      <c r="K1003" s="94" t="str">
        <v>No</v>
      </c>
      <c r="L1003" s="137" t="str">
        <v>Yes</v>
      </c>
      <c r="M1003" s="94" t="str">
        <v>No</v>
      </c>
      <c r="N1003" s="134" t="str">
        <v>No</v>
      </c>
      <c r="O1003" s="119" t="str">
        <v>Yes</v>
      </c>
      <c r="P1003" s="92" t="str">
        <v>N</v>
      </c>
      <c r="Q1003" s="91">
        <v>45679</v>
      </c>
      <c r="R1003" s="140">
        <v>0</v>
      </c>
      <c r="S1003" s="92">
        <v>0</v>
      </c>
      <c r="T1003" s="92">
        <v>0</v>
      </c>
      <c r="U1003" s="137">
        <v>0</v>
      </c>
      <c r="V1003" s="126" t="str">
        <f t="shared" si="30"/>
        <v>✅ On Best Plan</v>
      </c>
      <c r="W1003" s="130">
        <f>IFERROR(_xlfn.XLOOKUP(TEXT(H1003,"0000000000"),'📞 Call Tracker'!A$2:A$2000,'📞 Call Tracker'!B$2:B$2000,""),"")</f>
        <v>0</v>
      </c>
      <c r="X1003" s="96">
        <f>IFERROR(_xlfn.XLOOKUP(TEXT(H1003,"0000000000"),'📞 Call Tracker'!A$2:A$2000,'📞 Call Tracker'!C$2:C$2000,""),"")</f>
        <v>0</v>
      </c>
      <c r="Y1003" s="95">
        <f>IFERROR(_xlfn.XLOOKUP(TEXT(H1003,"0000000000"),'📞 Call Tracker'!A$2:A$2000,'📞 Call Tracker'!D$2:D$2000,""),"")</f>
        <v>0</v>
      </c>
      <c r="Z1003" s="95">
        <f>IFERROR(_xlfn.XLOOKUP(TEXT(H1003,"0000000000"),'📞 Call Tracker'!A$2:A$2000,'📞 Call Tracker'!E$2:E$2000,""),"")</f>
        <v>0</v>
      </c>
      <c r="AA1003" s="145">
        <f>IFERROR(_xlfn.XLOOKUP(TEXT(H1003,"0000000000"),'📞 Call Tracker'!A$2:A$2000,'📞 Call Tracker'!F$2:F$2000,""),"")</f>
        <v>0</v>
      </c>
      <c r="AB1003" s="132">
        <f t="shared" si="31"/>
        <v>99</v>
      </c>
      <c r="AC1003" s="79"/>
    </row>
    <row r="1004" spans="1:29" ht="20.100000000000001" customHeight="1">
      <c r="A1004" s="91">
        <v>46037</v>
      </c>
      <c r="B1004" s="92" t="str">
        <v>Young</v>
      </c>
      <c r="C1004" s="92" t="str">
        <v>Monica</v>
      </c>
      <c r="D1004" s="92" t="str">
        <v>Surprise</v>
      </c>
      <c r="E1004" s="92">
        <v>85387</v>
      </c>
      <c r="F1004" s="137" t="str">
        <v>Residents should not have to shoulder repeated increases while APS reports strong profits.</v>
      </c>
      <c r="G1004" s="93" t="str">
        <v>https://docket.images.azcc.gov/E000048716.pdf</v>
      </c>
      <c r="H1004" s="150" t="s">
        <v>3674</v>
      </c>
      <c r="I1004" s="114" t="str">
        <v>R-BASIC</v>
      </c>
      <c r="J1004" s="94" t="str">
        <v>No</v>
      </c>
      <c r="K1004" s="94" t="str">
        <v>No</v>
      </c>
      <c r="L1004" s="137" t="str">
        <v>No MEP R3-47 ($64.33)</v>
      </c>
      <c r="M1004" s="94" t="str">
        <v>No</v>
      </c>
      <c r="N1004" s="134" t="str">
        <v>No</v>
      </c>
      <c r="O1004" s="119" t="str">
        <v>Yes</v>
      </c>
      <c r="P1004" s="92" t="str">
        <v>N</v>
      </c>
      <c r="Q1004" s="91">
        <v>46044</v>
      </c>
      <c r="R1004" s="140">
        <v>0</v>
      </c>
      <c r="S1004" s="92">
        <v>0</v>
      </c>
      <c r="T1004" s="92">
        <v>0</v>
      </c>
      <c r="U1004" s="137">
        <v>0</v>
      </c>
      <c r="V1004" s="126" t="str">
        <f t="shared" si="30"/>
        <v>❌ Not on Best Plan</v>
      </c>
      <c r="W1004" s="130">
        <f>IFERROR(_xlfn.XLOOKUP(TEXT(H1004,"0000000000"),'📞 Call Tracker'!A$2:A$2000,'📞 Call Tracker'!B$2:B$2000,""),"")</f>
        <v>0</v>
      </c>
      <c r="X1004" s="96">
        <f>IFERROR(_xlfn.XLOOKUP(TEXT(H1004,"0000000000"),'📞 Call Tracker'!A$2:A$2000,'📞 Call Tracker'!C$2:C$2000,""),"")</f>
        <v>0</v>
      </c>
      <c r="Y1004" s="95">
        <f>IFERROR(_xlfn.XLOOKUP(TEXT(H1004,"0000000000"),'📞 Call Tracker'!A$2:A$2000,'📞 Call Tracker'!D$2:D$2000,""),"")</f>
        <v>0</v>
      </c>
      <c r="Z1004" s="95">
        <f>IFERROR(_xlfn.XLOOKUP(TEXT(H1004,"0000000000"),'📞 Call Tracker'!A$2:A$2000,'📞 Call Tracker'!E$2:E$2000,""),"")</f>
        <v>0</v>
      </c>
      <c r="AA1004" s="145">
        <f>IFERROR(_xlfn.XLOOKUP(TEXT(H1004,"0000000000"),'📞 Call Tracker'!A$2:A$2000,'📞 Call Tracker'!F$2:F$2000,""),"")</f>
        <v>0</v>
      </c>
      <c r="AB1004" s="132">
        <f t="shared" si="31"/>
        <v>99</v>
      </c>
      <c r="AC1004" s="79"/>
    </row>
    <row r="1005" spans="1:29" ht="20.100000000000001" customHeight="1">
      <c r="A1005" s="91">
        <v>46037</v>
      </c>
      <c r="B1005" s="92" t="str">
        <v>Burkhart</v>
      </c>
      <c r="C1005" s="92" t="str">
        <v>Karen</v>
      </c>
      <c r="D1005" s="92" t="str">
        <v>Peoria</v>
      </c>
      <c r="E1005" s="92">
        <v>85383</v>
      </c>
      <c r="F1005" s="137" t="str">
        <v>Pretty soon, my electric bill will be HALF of what I pay in mortgage. Normal people are struggling.</v>
      </c>
      <c r="G1005" s="93" t="str">
        <v>https://docket.images.azcc.gov/E000048716.pdf</v>
      </c>
      <c r="H1005" s="150" t="s">
        <v>3677</v>
      </c>
      <c r="I1005" s="114" t="str">
        <v>R3-47</v>
      </c>
      <c r="J1005" s="94" t="str">
        <v>No</v>
      </c>
      <c r="K1005" s="94" t="str">
        <v>No</v>
      </c>
      <c r="L1005" s="137" t="str">
        <v>Yes</v>
      </c>
      <c r="M1005" s="94" t="str">
        <v>Yes</v>
      </c>
      <c r="N1005" s="134">
        <v>811.15</v>
      </c>
      <c r="O1005" s="119" t="str">
        <v>Yes</v>
      </c>
      <c r="P1005" s="92">
        <v>0</v>
      </c>
      <c r="Q1005" s="91">
        <v>46044</v>
      </c>
      <c r="R1005" s="140" t="str">
        <v>Offer Assistance Program Info?</v>
      </c>
      <c r="S1005" s="92">
        <v>0</v>
      </c>
      <c r="T1005" s="92">
        <v>0</v>
      </c>
      <c r="U1005" s="137">
        <v>0</v>
      </c>
      <c r="V1005" s="126" t="str">
        <f t="shared" si="30"/>
        <v>✅ On Best Plan</v>
      </c>
      <c r="W1005" s="130">
        <f>IFERROR(_xlfn.XLOOKUP(TEXT(H1005,"0000000000"),'📞 Call Tracker'!A$2:A$2000,'📞 Call Tracker'!B$2:B$2000,""),"")</f>
        <v>0</v>
      </c>
      <c r="X1005" s="96">
        <f>IFERROR(_xlfn.XLOOKUP(TEXT(H1005,"0000000000"),'📞 Call Tracker'!A$2:A$2000,'📞 Call Tracker'!C$2:C$2000,""),"")</f>
        <v>0</v>
      </c>
      <c r="Y1005" s="95">
        <f>IFERROR(_xlfn.XLOOKUP(TEXT(H1005,"0000000000"),'📞 Call Tracker'!A$2:A$2000,'📞 Call Tracker'!D$2:D$2000,""),"")</f>
        <v>0</v>
      </c>
      <c r="Z1005" s="95">
        <f>IFERROR(_xlfn.XLOOKUP(TEXT(H1005,"0000000000"),'📞 Call Tracker'!A$2:A$2000,'📞 Call Tracker'!E$2:E$2000,""),"")</f>
        <v>0</v>
      </c>
      <c r="AA1005" s="145">
        <f>IFERROR(_xlfn.XLOOKUP(TEXT(H1005,"0000000000"),'📞 Call Tracker'!A$2:A$2000,'📞 Call Tracker'!F$2:F$2000,""),"")</f>
        <v>0</v>
      </c>
      <c r="AB1005" s="132">
        <f t="shared" si="31"/>
        <v>99</v>
      </c>
      <c r="AC1005" s="79"/>
    </row>
    <row r="1006" spans="1:29" ht="20.100000000000001" customHeight="1">
      <c r="A1006" s="91">
        <v>46037</v>
      </c>
      <c r="B1006" s="92" t="str">
        <v>Lindmark</v>
      </c>
      <c r="C1006" s="92" t="str">
        <v>Gary</v>
      </c>
      <c r="D1006" s="92" t="str">
        <v>Phoenix</v>
      </c>
      <c r="E1006" s="92">
        <v>85083</v>
      </c>
      <c r="F1006" s="137" t="str">
        <v>Commission sides with the Developers and Utility Companies; when are you going to side with the people?</v>
      </c>
      <c r="G1006" s="93" t="str">
        <v>https://docket.images.azcc.gov/E000048716.pdf</v>
      </c>
      <c r="H1006" s="150" t="s">
        <v>3681</v>
      </c>
      <c r="I1006" s="114" t="str">
        <v>R3-47</v>
      </c>
      <c r="J1006" s="94" t="str">
        <v>No</v>
      </c>
      <c r="K1006" s="94" t="str">
        <v>No</v>
      </c>
      <c r="L1006" s="137" t="str">
        <v>Yes</v>
      </c>
      <c r="M1006" s="94" t="str">
        <v>No</v>
      </c>
      <c r="N1006" s="134" t="str">
        <v>No</v>
      </c>
      <c r="O1006" s="119" t="str">
        <v>Yes</v>
      </c>
      <c r="P1006" s="92" t="str">
        <v>N</v>
      </c>
      <c r="Q1006" s="91">
        <v>46044</v>
      </c>
      <c r="R1006" s="140" t="str">
        <v>Docketed 2x</v>
      </c>
      <c r="S1006" s="92">
        <v>0</v>
      </c>
      <c r="T1006" s="92">
        <v>0</v>
      </c>
      <c r="U1006" s="137">
        <v>0</v>
      </c>
      <c r="V1006" s="126" t="str">
        <f t="shared" si="30"/>
        <v>✅ On Best Plan</v>
      </c>
      <c r="W1006" s="130">
        <f>IFERROR(_xlfn.XLOOKUP(TEXT(H1006,"0000000000"),'📞 Call Tracker'!A$2:A$2000,'📞 Call Tracker'!B$2:B$2000,""),"")</f>
        <v>0</v>
      </c>
      <c r="X1006" s="96">
        <f>IFERROR(_xlfn.XLOOKUP(TEXT(H1006,"0000000000"),'📞 Call Tracker'!A$2:A$2000,'📞 Call Tracker'!C$2:C$2000,""),"")</f>
        <v>0</v>
      </c>
      <c r="Y1006" s="95">
        <f>IFERROR(_xlfn.XLOOKUP(TEXT(H1006,"0000000000"),'📞 Call Tracker'!A$2:A$2000,'📞 Call Tracker'!D$2:D$2000,""),"")</f>
        <v>0</v>
      </c>
      <c r="Z1006" s="95">
        <f>IFERROR(_xlfn.XLOOKUP(TEXT(H1006,"0000000000"),'📞 Call Tracker'!A$2:A$2000,'📞 Call Tracker'!E$2:E$2000,""),"")</f>
        <v>0</v>
      </c>
      <c r="AA1006" s="145">
        <f>IFERROR(_xlfn.XLOOKUP(TEXT(H1006,"0000000000"),'📞 Call Tracker'!A$2:A$2000,'📞 Call Tracker'!F$2:F$2000,""),"")</f>
        <v>0</v>
      </c>
      <c r="AB1006" s="132">
        <f t="shared" si="31"/>
        <v>99</v>
      </c>
      <c r="AC1006" s="79"/>
    </row>
    <row r="1007" spans="1:29" ht="20.100000000000001" customHeight="1">
      <c r="A1007" s="91">
        <v>46038</v>
      </c>
      <c r="B1007" s="92" t="str">
        <v>Harmonson</v>
      </c>
      <c r="C1007" s="92" t="str">
        <v>Debbie</v>
      </c>
      <c r="D1007" s="92" t="str">
        <v>Surprise</v>
      </c>
      <c r="E1007" s="92">
        <v>85374</v>
      </c>
      <c r="F1007" s="137" t="str">
        <v>It should not be allowed to profit off of the working class for things that are a necessity to survive.</v>
      </c>
      <c r="G1007" s="93" t="str">
        <v>https://docket.images.azcc.gov/E000048738.pdf</v>
      </c>
      <c r="H1007" s="150" t="s">
        <v>3687</v>
      </c>
      <c r="I1007" s="114" t="str">
        <v>RTOUE47</v>
      </c>
      <c r="J1007" s="94" t="str">
        <v>No</v>
      </c>
      <c r="K1007" s="94" t="str">
        <v>No</v>
      </c>
      <c r="L1007" s="137" t="str">
        <v>No MEP R3-47 ($359.67)</v>
      </c>
      <c r="M1007" s="94" t="str">
        <v>No</v>
      </c>
      <c r="N1007" s="134" t="str">
        <v>No</v>
      </c>
      <c r="O1007" s="119" t="str">
        <v>Yes</v>
      </c>
      <c r="P1007" s="92">
        <v>0</v>
      </c>
      <c r="Q1007" s="91">
        <v>46044</v>
      </c>
      <c r="R1007" s="140" t="str">
        <v>Please contact customer regarding plan options</v>
      </c>
      <c r="S1007" s="92">
        <v>0</v>
      </c>
      <c r="T1007" s="92">
        <v>0</v>
      </c>
      <c r="U1007" s="137">
        <v>0</v>
      </c>
      <c r="V1007" s="126" t="str">
        <f t="shared" si="30"/>
        <v>❌ Not on Best Plan</v>
      </c>
      <c r="W1007" s="130">
        <f>IFERROR(_xlfn.XLOOKUP(TEXT(H1007,"0000000000"),'📞 Call Tracker'!A$2:A$2000,'📞 Call Tracker'!B$2:B$2000,""),"")</f>
        <v>0</v>
      </c>
      <c r="X1007" s="96">
        <f>IFERROR(_xlfn.XLOOKUP(TEXT(H1007,"0000000000"),'📞 Call Tracker'!A$2:A$2000,'📞 Call Tracker'!C$2:C$2000,""),"")</f>
        <v>0</v>
      </c>
      <c r="Y1007" s="95">
        <f>IFERROR(_xlfn.XLOOKUP(TEXT(H1007,"0000000000"),'📞 Call Tracker'!A$2:A$2000,'📞 Call Tracker'!D$2:D$2000,""),"")</f>
        <v>0</v>
      </c>
      <c r="Z1007" s="95">
        <f>IFERROR(_xlfn.XLOOKUP(TEXT(H1007,"0000000000"),'📞 Call Tracker'!A$2:A$2000,'📞 Call Tracker'!E$2:E$2000,""),"")</f>
        <v>0</v>
      </c>
      <c r="AA1007" s="145">
        <f>IFERROR(_xlfn.XLOOKUP(TEXT(H1007,"0000000000"),'📞 Call Tracker'!A$2:A$2000,'📞 Call Tracker'!F$2:F$2000,""),"")</f>
        <v>0</v>
      </c>
      <c r="AB1007" s="132">
        <f t="shared" si="31"/>
        <v>99</v>
      </c>
      <c r="AC1007" s="79"/>
    </row>
    <row r="1008" spans="1:29" ht="20.100000000000001" customHeight="1">
      <c r="A1008" s="91">
        <v>46038</v>
      </c>
      <c r="B1008" s="92" t="str">
        <v>Diaz</v>
      </c>
      <c r="C1008" s="92" t="str">
        <v>Bethany</v>
      </c>
      <c r="D1008" s="92" t="str">
        <v>Phoenix</v>
      </c>
      <c r="E1008" s="92">
        <v>85028</v>
      </c>
      <c r="F1008" s="137" t="str">
        <v xml:space="preserve">Owned home for 15 years and made all the EE improvements and bills are still going up. </v>
      </c>
      <c r="G1008" s="93" t="str">
        <v>https://docket.images.azcc.gov/E000048738.pdf</v>
      </c>
      <c r="H1008" s="150" t="s">
        <v>3693</v>
      </c>
      <c r="I1008" s="114" t="str">
        <v>RTOUE47</v>
      </c>
      <c r="J1008" s="94" t="str">
        <v>No</v>
      </c>
      <c r="K1008" s="94" t="str">
        <v>No</v>
      </c>
      <c r="L1008" s="137" t="str">
        <v>No MEP R3-47 ($128.88</v>
      </c>
      <c r="M1008" s="94" t="str">
        <v>No</v>
      </c>
      <c r="N1008" s="134" t="str">
        <v>No</v>
      </c>
      <c r="O1008" s="119" t="str">
        <v>Yes</v>
      </c>
      <c r="P1008" s="92">
        <v>0</v>
      </c>
      <c r="Q1008" s="91">
        <v>46044</v>
      </c>
      <c r="R1008" s="140" t="str">
        <v>Please contact customer regarding plan options</v>
      </c>
      <c r="S1008" s="92">
        <v>0</v>
      </c>
      <c r="T1008" s="92">
        <v>0</v>
      </c>
      <c r="U1008" s="137">
        <v>0</v>
      </c>
      <c r="V1008" s="126" t="str">
        <f t="shared" si="30"/>
        <v>❌ Not on Best Plan</v>
      </c>
      <c r="W1008" s="130">
        <f>IFERROR(_xlfn.XLOOKUP(TEXT(H1008,"0000000000"),'📞 Call Tracker'!A$2:A$2000,'📞 Call Tracker'!B$2:B$2000,""),"")</f>
        <v>0</v>
      </c>
      <c r="X1008" s="96">
        <f>IFERROR(_xlfn.XLOOKUP(TEXT(H1008,"0000000000"),'📞 Call Tracker'!A$2:A$2000,'📞 Call Tracker'!C$2:C$2000,""),"")</f>
        <v>0</v>
      </c>
      <c r="Y1008" s="95">
        <f>IFERROR(_xlfn.XLOOKUP(TEXT(H1008,"0000000000"),'📞 Call Tracker'!A$2:A$2000,'📞 Call Tracker'!D$2:D$2000,""),"")</f>
        <v>0</v>
      </c>
      <c r="Z1008" s="95">
        <f>IFERROR(_xlfn.XLOOKUP(TEXT(H1008,"0000000000"),'📞 Call Tracker'!A$2:A$2000,'📞 Call Tracker'!E$2:E$2000,""),"")</f>
        <v>0</v>
      </c>
      <c r="AA1008" s="145">
        <f>IFERROR(_xlfn.XLOOKUP(TEXT(H1008,"0000000000"),'📞 Call Tracker'!A$2:A$2000,'📞 Call Tracker'!F$2:F$2000,""),"")</f>
        <v>0</v>
      </c>
      <c r="AB1008" s="132">
        <f t="shared" si="31"/>
        <v>99</v>
      </c>
      <c r="AC1008" s="79"/>
    </row>
    <row r="1009" spans="1:29" ht="20.100000000000001" customHeight="1">
      <c r="A1009" s="91">
        <v>46038</v>
      </c>
      <c r="B1009" s="92" t="str">
        <v>Salazar</v>
      </c>
      <c r="C1009" s="92" t="str">
        <v>Kathryn</v>
      </c>
      <c r="D1009" s="92" t="str">
        <v>Scottsdale</v>
      </c>
      <c r="E1009" s="92">
        <v>85266</v>
      </c>
      <c r="F1009" s="137" t="str">
        <v xml:space="preserve">Cumulative 23% increase in just over 2 years. Arizona are already struggling. </v>
      </c>
      <c r="G1009" s="93" t="str">
        <v>https://docket.images.azcc.gov/E000048738.pdf</v>
      </c>
      <c r="H1009" s="150" t="s">
        <v>3696</v>
      </c>
      <c r="I1009" s="114" t="str">
        <v>R-2</v>
      </c>
      <c r="J1009" s="94" t="str">
        <v>No</v>
      </c>
      <c r="K1009" s="94" t="str">
        <v>No</v>
      </c>
      <c r="L1009" s="137" t="str">
        <v>Frozen Plan</v>
      </c>
      <c r="M1009" s="94" t="str">
        <v>No</v>
      </c>
      <c r="N1009" s="134" t="str">
        <v>No</v>
      </c>
      <c r="O1009" s="119" t="str">
        <v>Yes</v>
      </c>
      <c r="P1009" s="92" t="str">
        <v>N</v>
      </c>
      <c r="Q1009" s="91">
        <v>46044</v>
      </c>
      <c r="R1009" s="140" t="str">
        <v>Special Handling Case on Account (3 executive referrals, 1 AG complaint and 1 BBB complaint)</v>
      </c>
      <c r="S1009" s="92">
        <v>0</v>
      </c>
      <c r="T1009" s="92">
        <v>0</v>
      </c>
      <c r="U1009" s="137">
        <v>0</v>
      </c>
      <c r="V1009" s="126" t="str">
        <f t="shared" si="30"/>
        <v>❄ Frozen Rate</v>
      </c>
      <c r="W1009" s="130">
        <f>IFERROR(_xlfn.XLOOKUP(TEXT(H1009,"0000000000"),'📞 Call Tracker'!A$2:A$2000,'📞 Call Tracker'!B$2:B$2000,""),"")</f>
        <v>0</v>
      </c>
      <c r="X1009" s="96">
        <f>IFERROR(_xlfn.XLOOKUP(TEXT(H1009,"0000000000"),'📞 Call Tracker'!A$2:A$2000,'📞 Call Tracker'!C$2:C$2000,""),"")</f>
        <v>0</v>
      </c>
      <c r="Y1009" s="95">
        <f>IFERROR(_xlfn.XLOOKUP(TEXT(H1009,"0000000000"),'📞 Call Tracker'!A$2:A$2000,'📞 Call Tracker'!D$2:D$2000,""),"")</f>
        <v>0</v>
      </c>
      <c r="Z1009" s="95">
        <f>IFERROR(_xlfn.XLOOKUP(TEXT(H1009,"0000000000"),'📞 Call Tracker'!A$2:A$2000,'📞 Call Tracker'!E$2:E$2000,""),"")</f>
        <v>0</v>
      </c>
      <c r="AA1009" s="145">
        <f>IFERROR(_xlfn.XLOOKUP(TEXT(H1009,"0000000000"),'📞 Call Tracker'!A$2:A$2000,'📞 Call Tracker'!F$2:F$2000,""),"")</f>
        <v>0</v>
      </c>
      <c r="AB1009" s="132">
        <f t="shared" si="31"/>
        <v>99</v>
      </c>
      <c r="AC1009" s="79"/>
    </row>
    <row r="1010" spans="1:29" ht="20.100000000000001" customHeight="1">
      <c r="A1010" s="91">
        <v>46038</v>
      </c>
      <c r="B1010" s="92" t="str">
        <v>Gruber</v>
      </c>
      <c r="C1010" s="92" t="str">
        <v>Eli</v>
      </c>
      <c r="D1010" s="92" t="str">
        <v>Scottsdale</v>
      </c>
      <c r="E1010" s="92">
        <v>85259</v>
      </c>
      <c r="F1010" s="137" t="str">
        <v>Fixed rate criteria must be updated to reflect hotter climate.</v>
      </c>
      <c r="G1010" s="93" t="str">
        <v>https://docket.images.azcc.gov/E000048738.pdf</v>
      </c>
      <c r="H1010" s="150" t="s">
        <v>3700</v>
      </c>
      <c r="I1010" s="114" t="str">
        <v>R-BASIC</v>
      </c>
      <c r="J1010" s="94" t="str">
        <v>No</v>
      </c>
      <c r="K1010" s="94" t="str">
        <v>No</v>
      </c>
      <c r="L1010" s="137" t="str">
        <v>Yes</v>
      </c>
      <c r="M1010" s="94" t="str">
        <v>No</v>
      </c>
      <c r="N1010" s="134" t="str">
        <v>No</v>
      </c>
      <c r="O1010" s="119" t="str">
        <v>Yes</v>
      </c>
      <c r="P1010" s="92" t="str">
        <v>N</v>
      </c>
      <c r="Q1010" s="91">
        <v>46044</v>
      </c>
      <c r="R1010" s="140">
        <v>0</v>
      </c>
      <c r="S1010" s="92">
        <v>0</v>
      </c>
      <c r="T1010" s="92">
        <v>0</v>
      </c>
      <c r="U1010" s="137">
        <v>0</v>
      </c>
      <c r="V1010" s="126" t="str">
        <f t="shared" si="30"/>
        <v>✅ On Best Plan</v>
      </c>
      <c r="W1010" s="130">
        <f>IFERROR(_xlfn.XLOOKUP(TEXT(H1010,"0000000000"),'📞 Call Tracker'!A$2:A$2000,'📞 Call Tracker'!B$2:B$2000,""),"")</f>
        <v>0</v>
      </c>
      <c r="X1010" s="96">
        <f>IFERROR(_xlfn.XLOOKUP(TEXT(H1010,"0000000000"),'📞 Call Tracker'!A$2:A$2000,'📞 Call Tracker'!C$2:C$2000,""),"")</f>
        <v>0</v>
      </c>
      <c r="Y1010" s="95">
        <f>IFERROR(_xlfn.XLOOKUP(TEXT(H1010,"0000000000"),'📞 Call Tracker'!A$2:A$2000,'📞 Call Tracker'!D$2:D$2000,""),"")</f>
        <v>0</v>
      </c>
      <c r="Z1010" s="95">
        <f>IFERROR(_xlfn.XLOOKUP(TEXT(H1010,"0000000000"),'📞 Call Tracker'!A$2:A$2000,'📞 Call Tracker'!E$2:E$2000,""),"")</f>
        <v>0</v>
      </c>
      <c r="AA1010" s="145">
        <f>IFERROR(_xlfn.XLOOKUP(TEXT(H1010,"0000000000"),'📞 Call Tracker'!A$2:A$2000,'📞 Call Tracker'!F$2:F$2000,""),"")</f>
        <v>0</v>
      </c>
      <c r="AB1010" s="132">
        <f t="shared" si="31"/>
        <v>99</v>
      </c>
      <c r="AC1010" s="79"/>
    </row>
    <row r="1011" spans="1:29" ht="20.100000000000001" customHeight="1">
      <c r="A1011" s="91">
        <v>46038</v>
      </c>
      <c r="B1011" s="92" t="str">
        <v>Culligan</v>
      </c>
      <c r="C1011" s="92" t="str">
        <v>Marianne</v>
      </c>
      <c r="D1011" s="92" t="str">
        <v>Sun City West</v>
      </c>
      <c r="E1011" s="92">
        <v>85375</v>
      </c>
      <c r="F1011" s="137" t="str">
        <v>Huge chip plant - costs should not be shouldered by homeowners/renters and those with solar shoulder an additional monthly fee</v>
      </c>
      <c r="G1011" s="93" t="str">
        <v>https://docket.images.azcc.gov/E000048738.pdf</v>
      </c>
      <c r="H1011" s="150" t="s">
        <v>3711</v>
      </c>
      <c r="I1011" s="114" t="str">
        <v>R-2</v>
      </c>
      <c r="J1011" s="94" t="str">
        <v>No</v>
      </c>
      <c r="K1011" s="94" t="str">
        <v>No</v>
      </c>
      <c r="L1011" s="137" t="str">
        <v>Frozen Plan</v>
      </c>
      <c r="M1011" s="94" t="str">
        <v>No</v>
      </c>
      <c r="N1011" s="134" t="str">
        <v>No</v>
      </c>
      <c r="O1011" s="119" t="str">
        <v>Yes</v>
      </c>
      <c r="P1011" s="92" t="str">
        <v>N</v>
      </c>
      <c r="Q1011" s="91">
        <v>46044</v>
      </c>
      <c r="R1011" s="140">
        <v>0</v>
      </c>
      <c r="S1011" s="92">
        <v>0</v>
      </c>
      <c r="T1011" s="92">
        <v>0</v>
      </c>
      <c r="U1011" s="137">
        <v>0</v>
      </c>
      <c r="V1011" s="126" t="str">
        <f t="shared" si="30"/>
        <v>❄ Frozen Rate</v>
      </c>
      <c r="W1011" s="130">
        <f>IFERROR(_xlfn.XLOOKUP(TEXT(H1011,"0000000000"),'📞 Call Tracker'!A$2:A$2000,'📞 Call Tracker'!B$2:B$2000,""),"")</f>
        <v>0</v>
      </c>
      <c r="X1011" s="96">
        <f>IFERROR(_xlfn.XLOOKUP(TEXT(H1011,"0000000000"),'📞 Call Tracker'!A$2:A$2000,'📞 Call Tracker'!C$2:C$2000,""),"")</f>
        <v>0</v>
      </c>
      <c r="Y1011" s="95">
        <f>IFERROR(_xlfn.XLOOKUP(TEXT(H1011,"0000000000"),'📞 Call Tracker'!A$2:A$2000,'📞 Call Tracker'!D$2:D$2000,""),"")</f>
        <v>0</v>
      </c>
      <c r="Z1011" s="95">
        <f>IFERROR(_xlfn.XLOOKUP(TEXT(H1011,"0000000000"),'📞 Call Tracker'!A$2:A$2000,'📞 Call Tracker'!E$2:E$2000,""),"")</f>
        <v>0</v>
      </c>
      <c r="AA1011" s="145">
        <f>IFERROR(_xlfn.XLOOKUP(TEXT(H1011,"0000000000"),'📞 Call Tracker'!A$2:A$2000,'📞 Call Tracker'!F$2:F$2000,""),"")</f>
        <v>0</v>
      </c>
      <c r="AB1011" s="132">
        <f t="shared" si="31"/>
        <v>99</v>
      </c>
      <c r="AC1011" s="79"/>
    </row>
    <row r="1012" spans="1:29" ht="20.100000000000001" customHeight="1">
      <c r="A1012" s="91">
        <v>46042</v>
      </c>
      <c r="B1012" s="92" t="str">
        <v>Yates-Reiser</v>
      </c>
      <c r="C1012" s="92" t="str">
        <v>Karen</v>
      </c>
      <c r="D1012" s="92" t="str">
        <v>Phoenix</v>
      </c>
      <c r="E1012" s="92">
        <v>85032</v>
      </c>
      <c r="F1012" s="137" t="str">
        <v xml:space="preserve">Seen bill  jump from $122 to over $300 after solar panel lease. Fighting to get onto the off-peak plan. </v>
      </c>
      <c r="G1012" s="93" t="str">
        <v>https://images.edocket.azcc.gov/docketpdf/E000048753.pdf</v>
      </c>
      <c r="H1012" s="150" t="s">
        <v>6423</v>
      </c>
      <c r="I1012" s="114" t="str">
        <v>RCPw/RTOUE47</v>
      </c>
      <c r="J1012" s="94" t="str">
        <v>No</v>
      </c>
      <c r="K1012" s="94" t="str">
        <v>No</v>
      </c>
      <c r="L1012" s="137" t="str">
        <v>Yes</v>
      </c>
      <c r="M1012" s="94" t="str">
        <v>No</v>
      </c>
      <c r="N1012" s="134" t="str">
        <v>No</v>
      </c>
      <c r="O1012" s="119" t="str">
        <v>Yes</v>
      </c>
      <c r="P1012" s="92" t="str">
        <v>N</v>
      </c>
      <c r="Q1012" s="91">
        <v>46044</v>
      </c>
      <c r="R1012" s="140">
        <v>0</v>
      </c>
      <c r="S1012" s="92">
        <v>0</v>
      </c>
      <c r="T1012" s="92">
        <v>0</v>
      </c>
      <c r="U1012" s="137">
        <v>0</v>
      </c>
      <c r="V1012" s="126" t="str">
        <f t="shared" si="30"/>
        <v>✅ On Best Plan</v>
      </c>
      <c r="W1012" s="130">
        <f>IFERROR(_xlfn.XLOOKUP(TEXT(H1012,"0000000000"),'📞 Call Tracker'!A$2:A$2000,'📞 Call Tracker'!B$2:B$2000,""),"")</f>
        <v>0</v>
      </c>
      <c r="X1012" s="96">
        <f>IFERROR(_xlfn.XLOOKUP(TEXT(H1012,"0000000000"),'📞 Call Tracker'!A$2:A$2000,'📞 Call Tracker'!C$2:C$2000,""),"")</f>
        <v>0</v>
      </c>
      <c r="Y1012" s="95">
        <f>IFERROR(_xlfn.XLOOKUP(TEXT(H1012,"0000000000"),'📞 Call Tracker'!A$2:A$2000,'📞 Call Tracker'!D$2:D$2000,""),"")</f>
        <v>0</v>
      </c>
      <c r="Z1012" s="95">
        <f>IFERROR(_xlfn.XLOOKUP(TEXT(H1012,"0000000000"),'📞 Call Tracker'!A$2:A$2000,'📞 Call Tracker'!E$2:E$2000,""),"")</f>
        <v>0</v>
      </c>
      <c r="AA1012" s="145">
        <f>IFERROR(_xlfn.XLOOKUP(TEXT(H1012,"0000000000"),'📞 Call Tracker'!A$2:A$2000,'📞 Call Tracker'!F$2:F$2000,""),"")</f>
        <v>0</v>
      </c>
      <c r="AB1012" s="132">
        <f t="shared" si="31"/>
        <v>99</v>
      </c>
      <c r="AC1012" s="79"/>
    </row>
    <row r="1013" spans="1:29" ht="20.100000000000001" customHeight="1">
      <c r="A1013" s="91">
        <v>46042</v>
      </c>
      <c r="B1013" s="92" t="str">
        <v>Mancuso</v>
      </c>
      <c r="C1013" s="92" t="str">
        <v>Jared</v>
      </c>
      <c r="D1013" s="92" t="str">
        <v>Phoenix</v>
      </c>
      <c r="E1013" s="92">
        <v>85013</v>
      </c>
      <c r="F1013" s="137" t="str">
        <v>already too high, wages are stagnant, and the profit margins of this company are absurd.</v>
      </c>
      <c r="G1013" s="93" t="str">
        <v>https://images.edocket.azcc.gov/docketpdf/E000048753.pdf</v>
      </c>
      <c r="H1013" s="150" t="s">
        <v>6424</v>
      </c>
      <c r="I1013" s="114" t="str">
        <v>R-BASICL</v>
      </c>
      <c r="J1013" s="94" t="str">
        <v>No</v>
      </c>
      <c r="K1013" s="94" t="str">
        <v>No</v>
      </c>
      <c r="L1013" s="137" t="str">
        <v>No MEP R3-47 ($336.56)</v>
      </c>
      <c r="M1013" s="94" t="str">
        <v>No</v>
      </c>
      <c r="N1013" s="134" t="str">
        <v>No</v>
      </c>
      <c r="O1013" s="119" t="str">
        <v>Yes</v>
      </c>
      <c r="P1013" s="92">
        <v>0</v>
      </c>
      <c r="Q1013" s="91">
        <v>46044</v>
      </c>
      <c r="R1013" s="140" t="str">
        <v>Please contact customer regarding plan options</v>
      </c>
      <c r="S1013" s="92">
        <v>0</v>
      </c>
      <c r="T1013" s="92">
        <v>0</v>
      </c>
      <c r="U1013" s="137">
        <v>0</v>
      </c>
      <c r="V1013" s="126" t="str">
        <f t="shared" si="30"/>
        <v>❌ Not on Best Plan</v>
      </c>
      <c r="W1013" s="130">
        <f>IFERROR(_xlfn.XLOOKUP(TEXT(H1013,"0000000000"),'📞 Call Tracker'!A$2:A$2000,'📞 Call Tracker'!B$2:B$2000,""),"")</f>
        <v>0</v>
      </c>
      <c r="X1013" s="96">
        <f>IFERROR(_xlfn.XLOOKUP(TEXT(H1013,"0000000000"),'📞 Call Tracker'!A$2:A$2000,'📞 Call Tracker'!C$2:C$2000,""),"")</f>
        <v>0</v>
      </c>
      <c r="Y1013" s="95">
        <f>IFERROR(_xlfn.XLOOKUP(TEXT(H1013,"0000000000"),'📞 Call Tracker'!A$2:A$2000,'📞 Call Tracker'!D$2:D$2000,""),"")</f>
        <v>0</v>
      </c>
      <c r="Z1013" s="95">
        <f>IFERROR(_xlfn.XLOOKUP(TEXT(H1013,"0000000000"),'📞 Call Tracker'!A$2:A$2000,'📞 Call Tracker'!E$2:E$2000,""),"")</f>
        <v>0</v>
      </c>
      <c r="AA1013" s="145">
        <f>IFERROR(_xlfn.XLOOKUP(TEXT(H1013,"0000000000"),'📞 Call Tracker'!A$2:A$2000,'📞 Call Tracker'!F$2:F$2000,""),"")</f>
        <v>0</v>
      </c>
      <c r="AB1013" s="132">
        <f t="shared" si="31"/>
        <v>99</v>
      </c>
      <c r="AC1013" s="79"/>
    </row>
    <row r="1014" spans="1:29" ht="20.100000000000001" customHeight="1">
      <c r="A1014" s="91">
        <v>46042</v>
      </c>
      <c r="B1014" s="92" t="str">
        <v>Dzezinski</v>
      </c>
      <c r="C1014" s="92" t="str">
        <v>Michael</v>
      </c>
      <c r="D1014" s="92" t="str">
        <v>Phoenix</v>
      </c>
      <c r="E1014" s="92">
        <v>85085</v>
      </c>
      <c r="F1014" s="137" t="str">
        <v>APS's greed is asking for another hike less than 2  years after the last increase is borderline criminal.</v>
      </c>
      <c r="G1014" s="93" t="str">
        <v>https://images.edocket.azcc.gov/docketpdf/E000048753.pdf</v>
      </c>
      <c r="H1014" s="150" t="s">
        <v>6425</v>
      </c>
      <c r="I1014" s="114" t="str">
        <v>RCPw/RTOUE47</v>
      </c>
      <c r="J1014" s="94" t="str">
        <v>No</v>
      </c>
      <c r="K1014" s="94" t="str">
        <v>No</v>
      </c>
      <c r="L1014" s="137" t="str">
        <v>Yes</v>
      </c>
      <c r="M1014" s="94" t="str">
        <v>No</v>
      </c>
      <c r="N1014" s="134" t="str">
        <v>No</v>
      </c>
      <c r="O1014" s="119" t="str">
        <v>Yes</v>
      </c>
      <c r="P1014" s="92" t="str">
        <v>N</v>
      </c>
      <c r="Q1014" s="91">
        <v>46044</v>
      </c>
      <c r="R1014" s="140">
        <v>0</v>
      </c>
      <c r="S1014" s="92">
        <v>0</v>
      </c>
      <c r="T1014" s="92">
        <v>0</v>
      </c>
      <c r="U1014" s="137">
        <v>0</v>
      </c>
      <c r="V1014" s="126" t="str">
        <f t="shared" si="30"/>
        <v>✅ On Best Plan</v>
      </c>
      <c r="W1014" s="130">
        <f>IFERROR(_xlfn.XLOOKUP(TEXT(H1014,"0000000000"),'📞 Call Tracker'!A$2:A$2000,'📞 Call Tracker'!B$2:B$2000,""),"")</f>
        <v>0</v>
      </c>
      <c r="X1014" s="96">
        <f>IFERROR(_xlfn.XLOOKUP(TEXT(H1014,"0000000000"),'📞 Call Tracker'!A$2:A$2000,'📞 Call Tracker'!C$2:C$2000,""),"")</f>
        <v>0</v>
      </c>
      <c r="Y1014" s="95">
        <f>IFERROR(_xlfn.XLOOKUP(TEXT(H1014,"0000000000"),'📞 Call Tracker'!A$2:A$2000,'📞 Call Tracker'!D$2:D$2000,""),"")</f>
        <v>0</v>
      </c>
      <c r="Z1014" s="95">
        <f>IFERROR(_xlfn.XLOOKUP(TEXT(H1014,"0000000000"),'📞 Call Tracker'!A$2:A$2000,'📞 Call Tracker'!E$2:E$2000,""),"")</f>
        <v>0</v>
      </c>
      <c r="AA1014" s="145">
        <f>IFERROR(_xlfn.XLOOKUP(TEXT(H1014,"0000000000"),'📞 Call Tracker'!A$2:A$2000,'📞 Call Tracker'!F$2:F$2000,""),"")</f>
        <v>0</v>
      </c>
      <c r="AB1014" s="132">
        <f t="shared" si="31"/>
        <v>99</v>
      </c>
      <c r="AC1014" s="79"/>
    </row>
    <row r="1015" spans="1:29" ht="20.100000000000001" customHeight="1">
      <c r="A1015" s="91">
        <v>46042</v>
      </c>
      <c r="B1015" s="92" t="str">
        <v>Ollis</v>
      </c>
      <c r="C1015" s="92" t="str">
        <v>Brandon</v>
      </c>
      <c r="D1015" s="92" t="str">
        <v>Goodyear</v>
      </c>
      <c r="E1015" s="92">
        <v>85395</v>
      </c>
      <c r="F1015" s="137" t="str">
        <v>Cannot attend the public comment meeting. Monopoly, $483M profits, Their solar reimbursement program is a scam</v>
      </c>
      <c r="G1015" s="93" t="str">
        <v>https://images.edocket.azcc.gov/docketpdf/E000048762.pdf</v>
      </c>
      <c r="H1015" s="150" t="s">
        <v>6426</v>
      </c>
      <c r="I1015" s="114" t="str">
        <v>RCPw/R-2</v>
      </c>
      <c r="J1015" s="94" t="str">
        <v>No</v>
      </c>
      <c r="K1015" s="94" t="str">
        <v>No</v>
      </c>
      <c r="L1015" s="137" t="str">
        <v>Frozen Plan</v>
      </c>
      <c r="M1015" s="94" t="str">
        <v>No</v>
      </c>
      <c r="N1015" s="134" t="str">
        <v>No</v>
      </c>
      <c r="O1015" s="119" t="str">
        <v>Yes</v>
      </c>
      <c r="P1015" s="92" t="str">
        <v>N</v>
      </c>
      <c r="Q1015" s="91" t="str">
        <v>1/22/2026+</v>
      </c>
      <c r="R1015" s="140">
        <v>0</v>
      </c>
      <c r="S1015" s="92">
        <v>0</v>
      </c>
      <c r="T1015" s="92">
        <v>0</v>
      </c>
      <c r="U1015" s="137">
        <v>0</v>
      </c>
      <c r="V1015" s="126" t="str">
        <f t="shared" si="30"/>
        <v>❄ Frozen Rate</v>
      </c>
      <c r="W1015" s="130">
        <f>IFERROR(_xlfn.XLOOKUP(TEXT(H1015,"0000000000"),'📞 Call Tracker'!A$2:A$2000,'📞 Call Tracker'!B$2:B$2000,""),"")</f>
        <v>0</v>
      </c>
      <c r="X1015" s="96">
        <f>IFERROR(_xlfn.XLOOKUP(TEXT(H1015,"0000000000"),'📞 Call Tracker'!A$2:A$2000,'📞 Call Tracker'!C$2:C$2000,""),"")</f>
        <v>0</v>
      </c>
      <c r="Y1015" s="95">
        <f>IFERROR(_xlfn.XLOOKUP(TEXT(H1015,"0000000000"),'📞 Call Tracker'!A$2:A$2000,'📞 Call Tracker'!D$2:D$2000,""),"")</f>
        <v>0</v>
      </c>
      <c r="Z1015" s="95">
        <f>IFERROR(_xlfn.XLOOKUP(TEXT(H1015,"0000000000"),'📞 Call Tracker'!A$2:A$2000,'📞 Call Tracker'!E$2:E$2000,""),"")</f>
        <v>0</v>
      </c>
      <c r="AA1015" s="145">
        <f>IFERROR(_xlfn.XLOOKUP(TEXT(H1015,"0000000000"),'📞 Call Tracker'!A$2:A$2000,'📞 Call Tracker'!F$2:F$2000,""),"")</f>
        <v>0</v>
      </c>
      <c r="AB1015" s="132">
        <f t="shared" si="31"/>
        <v>99</v>
      </c>
      <c r="AC1015" s="79"/>
    </row>
    <row r="1016" spans="1:29" ht="20.100000000000001" customHeight="1">
      <c r="A1016" s="91">
        <v>46043</v>
      </c>
      <c r="B1016" s="92" t="str">
        <v>Ciasnocha</v>
      </c>
      <c r="C1016" s="92" t="str">
        <v>Greg</v>
      </c>
      <c r="D1016" s="92" t="str">
        <v>Buckeye</v>
      </c>
      <c r="E1016" s="92">
        <v>85326</v>
      </c>
      <c r="F1016" s="137" t="str">
        <v>Opposed, another increase after an 8% increase just 2 y ears ago, punishing solar, alarming FRM, quoting AG</v>
      </c>
      <c r="G1016" s="93" t="str">
        <v>https://docket.images.azcc.gov/E000048791.pdf</v>
      </c>
      <c r="H1016" s="150" t="s">
        <v>6181</v>
      </c>
      <c r="I1016" s="114" t="str">
        <v>EPR6w/ET-2</v>
      </c>
      <c r="J1016" s="94" t="str">
        <v>No</v>
      </c>
      <c r="K1016" s="94" t="str">
        <v>No</v>
      </c>
      <c r="L1016" s="137" t="str">
        <v>Frozen Plan</v>
      </c>
      <c r="M1016" s="94" t="str">
        <v>No</v>
      </c>
      <c r="N1016" s="134" t="str">
        <v>No</v>
      </c>
      <c r="O1016" s="119" t="str">
        <v>Yes</v>
      </c>
      <c r="P1016" s="92" t="str">
        <v>N</v>
      </c>
      <c r="Q1016" s="91">
        <v>46049</v>
      </c>
      <c r="R1016" s="140">
        <v>0</v>
      </c>
      <c r="S1016" s="92">
        <v>0</v>
      </c>
      <c r="T1016" s="92">
        <v>0</v>
      </c>
      <c r="U1016" s="137">
        <v>0</v>
      </c>
      <c r="V1016" s="126" t="str">
        <f t="shared" si="30"/>
        <v>❄ Frozen Rate</v>
      </c>
      <c r="W1016" s="130">
        <f>IFERROR(_xlfn.XLOOKUP(TEXT(H1016,"0000000000"),'📞 Call Tracker'!A$2:A$2000,'📞 Call Tracker'!B$2:B$2000,""),"")</f>
        <v>0</v>
      </c>
      <c r="X1016" s="96">
        <f>IFERROR(_xlfn.XLOOKUP(TEXT(H1016,"0000000000"),'📞 Call Tracker'!A$2:A$2000,'📞 Call Tracker'!C$2:C$2000,""),"")</f>
        <v>0</v>
      </c>
      <c r="Y1016" s="95">
        <f>IFERROR(_xlfn.XLOOKUP(TEXT(H1016,"0000000000"),'📞 Call Tracker'!A$2:A$2000,'📞 Call Tracker'!D$2:D$2000,""),"")</f>
        <v>0</v>
      </c>
      <c r="Z1016" s="95">
        <f>IFERROR(_xlfn.XLOOKUP(TEXT(H1016,"0000000000"),'📞 Call Tracker'!A$2:A$2000,'📞 Call Tracker'!E$2:E$2000,""),"")</f>
        <v>0</v>
      </c>
      <c r="AA1016" s="145">
        <f>IFERROR(_xlfn.XLOOKUP(TEXT(H1016,"0000000000"),'📞 Call Tracker'!A$2:A$2000,'📞 Call Tracker'!F$2:F$2000,""),"")</f>
        <v>0</v>
      </c>
      <c r="AB1016" s="132">
        <f t="shared" si="31"/>
        <v>99</v>
      </c>
      <c r="AC1016" s="79"/>
    </row>
    <row r="1017" spans="1:29" ht="20.100000000000001" customHeight="1">
      <c r="A1017" s="91">
        <v>46043</v>
      </c>
      <c r="B1017" s="92" t="str">
        <v>Apolinar</v>
      </c>
      <c r="C1017" s="92" t="str">
        <v>Alexia</v>
      </c>
      <c r="D1017" s="92" t="str">
        <v>Goodyear</v>
      </c>
      <c r="E1017" s="92">
        <v>85338</v>
      </c>
      <c r="F1017" s="137" t="str">
        <v>Oppose -rate was just increased less than 2 years ago</v>
      </c>
      <c r="G1017" s="93" t="str">
        <v>https://docket.images.azcc.gov/E000048791.pdf</v>
      </c>
      <c r="H1017" s="150" t="s">
        <v>6427</v>
      </c>
      <c r="I1017" s="114" t="str">
        <v>RCPw/TOUE47</v>
      </c>
      <c r="J1017" s="94" t="str">
        <v>Yes</v>
      </c>
      <c r="K1017" s="94" t="str">
        <v>No</v>
      </c>
      <c r="L1017" s="137" t="str">
        <v>No MEP R3-47 ($84.24)</v>
      </c>
      <c r="M1017" s="94" t="str">
        <v>Yes</v>
      </c>
      <c r="N1017" s="134">
        <v>681.89</v>
      </c>
      <c r="O1017" s="119" t="str">
        <v>Yes</v>
      </c>
      <c r="P1017" s="92">
        <v>0</v>
      </c>
      <c r="Q1017" s="91">
        <v>46049</v>
      </c>
      <c r="R1017" s="140" t="str">
        <v>Please contact customer regarding plan options and additional assistance programs</v>
      </c>
      <c r="S1017" s="92">
        <v>0</v>
      </c>
      <c r="T1017" s="92">
        <v>0</v>
      </c>
      <c r="U1017" s="137">
        <v>0</v>
      </c>
      <c r="V1017" s="126" t="str">
        <f t="shared" si="30"/>
        <v>❌ Not on Best Plan</v>
      </c>
      <c r="W1017" s="130">
        <f>IFERROR(_xlfn.XLOOKUP(TEXT(H1017,"0000000000"),'📞 Call Tracker'!A$2:A$2000,'📞 Call Tracker'!B$2:B$2000,""),"")</f>
        <v>0</v>
      </c>
      <c r="X1017" s="96">
        <f>IFERROR(_xlfn.XLOOKUP(TEXT(H1017,"0000000000"),'📞 Call Tracker'!A$2:A$2000,'📞 Call Tracker'!C$2:C$2000,""),"")</f>
        <v>0</v>
      </c>
      <c r="Y1017" s="95">
        <f>IFERROR(_xlfn.XLOOKUP(TEXT(H1017,"0000000000"),'📞 Call Tracker'!A$2:A$2000,'📞 Call Tracker'!D$2:D$2000,""),"")</f>
        <v>0</v>
      </c>
      <c r="Z1017" s="95">
        <f>IFERROR(_xlfn.XLOOKUP(TEXT(H1017,"0000000000"),'📞 Call Tracker'!A$2:A$2000,'📞 Call Tracker'!E$2:E$2000,""),"")</f>
        <v>0</v>
      </c>
      <c r="AA1017" s="145">
        <f>IFERROR(_xlfn.XLOOKUP(TEXT(H1017,"0000000000"),'📞 Call Tracker'!A$2:A$2000,'📞 Call Tracker'!F$2:F$2000,""),"")</f>
        <v>0</v>
      </c>
      <c r="AB1017" s="132">
        <f t="shared" si="31"/>
        <v>99</v>
      </c>
      <c r="AC1017" s="79"/>
    </row>
    <row r="1018" spans="1:29" ht="20.100000000000001" customHeight="1">
      <c r="A1018" s="91">
        <v>46043</v>
      </c>
      <c r="B1018" s="92" t="str">
        <v>Freeman</v>
      </c>
      <c r="C1018" s="92" t="str">
        <v>Doris</v>
      </c>
      <c r="D1018" s="92" t="str">
        <v>Phoenix</v>
      </c>
      <c r="E1018" s="92">
        <v>85032</v>
      </c>
      <c r="F1018" s="137" t="str">
        <v>They just got a 16% rate increase and now those greedy people demand more?</v>
      </c>
      <c r="G1018" s="93" t="str">
        <v>https://docket.images.azcc.gov/E000048791.pdf</v>
      </c>
      <c r="H1018" s="150" t="s">
        <v>6428</v>
      </c>
      <c r="I1018" s="114" t="str">
        <v>R3-47</v>
      </c>
      <c r="J1018" s="94" t="str">
        <v>Yes</v>
      </c>
      <c r="K1018" s="94" t="str">
        <v>No</v>
      </c>
      <c r="L1018" s="137" t="str">
        <v>Yes</v>
      </c>
      <c r="M1018" s="94" t="str">
        <v>No</v>
      </c>
      <c r="N1018" s="134" t="str">
        <v>No</v>
      </c>
      <c r="O1018" s="119" t="str">
        <v>Yes</v>
      </c>
      <c r="P1018" s="92" t="str">
        <v>N</v>
      </c>
      <c r="Q1018" s="91">
        <v>46049</v>
      </c>
      <c r="R1018" s="140" t="str">
        <v>Participated in public comment session on 1/20</v>
      </c>
      <c r="S1018" s="92">
        <v>0</v>
      </c>
      <c r="T1018" s="92">
        <v>0</v>
      </c>
      <c r="U1018" s="137">
        <v>0</v>
      </c>
      <c r="V1018" s="126" t="str">
        <f t="shared" si="30"/>
        <v>✅ On Best Plan</v>
      </c>
      <c r="W1018" s="130">
        <f>IFERROR(_xlfn.XLOOKUP(TEXT(H1018,"0000000000"),'📞 Call Tracker'!A$2:A$2000,'📞 Call Tracker'!B$2:B$2000,""),"")</f>
        <v>0</v>
      </c>
      <c r="X1018" s="96">
        <f>IFERROR(_xlfn.XLOOKUP(TEXT(H1018,"0000000000"),'📞 Call Tracker'!A$2:A$2000,'📞 Call Tracker'!C$2:C$2000,""),"")</f>
        <v>0</v>
      </c>
      <c r="Y1018" s="95">
        <f>IFERROR(_xlfn.XLOOKUP(TEXT(H1018,"0000000000"),'📞 Call Tracker'!A$2:A$2000,'📞 Call Tracker'!D$2:D$2000,""),"")</f>
        <v>0</v>
      </c>
      <c r="Z1018" s="95">
        <f>IFERROR(_xlfn.XLOOKUP(TEXT(H1018,"0000000000"),'📞 Call Tracker'!A$2:A$2000,'📞 Call Tracker'!E$2:E$2000,""),"")</f>
        <v>0</v>
      </c>
      <c r="AA1018" s="145">
        <f>IFERROR(_xlfn.XLOOKUP(TEXT(H1018,"0000000000"),'📞 Call Tracker'!A$2:A$2000,'📞 Call Tracker'!F$2:F$2000,""),"")</f>
        <v>0</v>
      </c>
      <c r="AB1018" s="132">
        <f t="shared" si="31"/>
        <v>99</v>
      </c>
      <c r="AC1018" s="79"/>
    </row>
    <row r="1019" spans="1:29" ht="20.100000000000001" customHeight="1">
      <c r="A1019" s="91">
        <v>46043</v>
      </c>
      <c r="B1019" s="92" t="str">
        <v>Lister</v>
      </c>
      <c r="C1019" s="92" t="str">
        <v>Blake</v>
      </c>
      <c r="D1019" s="92" t="str">
        <v>Glendale</v>
      </c>
      <c r="E1019" s="92">
        <v>85308</v>
      </c>
      <c r="F1019" s="137" t="str">
        <v xml:space="preserve">Thank you for the opportunity to testify today. Representing Opportunity Arizona. Quotes 12News for data center growth make up energy demand. </v>
      </c>
      <c r="G1019" s="93" t="str">
        <v>https://docket.images.azcc.gov/E000048791.pdf</v>
      </c>
      <c r="H1019" s="150" t="s">
        <v>6110</v>
      </c>
      <c r="I1019" s="114" t="str">
        <v>R-BASIC</v>
      </c>
      <c r="J1019" s="94" t="str">
        <v>No</v>
      </c>
      <c r="K1019" s="94" t="str">
        <v>No</v>
      </c>
      <c r="L1019" s="137" t="str">
        <v>Yes</v>
      </c>
      <c r="M1019" s="94" t="str">
        <v>No</v>
      </c>
      <c r="N1019" s="134" t="str">
        <v>No</v>
      </c>
      <c r="O1019" s="119" t="str">
        <v>Yes</v>
      </c>
      <c r="P1019" s="92" t="str">
        <v>N</v>
      </c>
      <c r="Q1019" s="91">
        <v>46049</v>
      </c>
      <c r="R1019" s="140" t="str">
        <v>Participated in public comment session on 1/20 - Representing Opportunity Arizona</v>
      </c>
      <c r="S1019" s="92">
        <v>0</v>
      </c>
      <c r="T1019" s="92">
        <v>0</v>
      </c>
      <c r="U1019" s="137">
        <v>0</v>
      </c>
      <c r="V1019" s="126" t="str">
        <f t="shared" si="30"/>
        <v>✅ On Best Plan</v>
      </c>
      <c r="W1019" s="130">
        <f>IFERROR(_xlfn.XLOOKUP(TEXT(H1019,"0000000000"),'📞 Call Tracker'!A$2:A$2000,'📞 Call Tracker'!B$2:B$2000,""),"")</f>
        <v>0</v>
      </c>
      <c r="X1019" s="96">
        <f>IFERROR(_xlfn.XLOOKUP(TEXT(H1019,"0000000000"),'📞 Call Tracker'!A$2:A$2000,'📞 Call Tracker'!C$2:C$2000,""),"")</f>
        <v>0</v>
      </c>
      <c r="Y1019" s="95">
        <f>IFERROR(_xlfn.XLOOKUP(TEXT(H1019,"0000000000"),'📞 Call Tracker'!A$2:A$2000,'📞 Call Tracker'!D$2:D$2000,""),"")</f>
        <v>0</v>
      </c>
      <c r="Z1019" s="95">
        <f>IFERROR(_xlfn.XLOOKUP(TEXT(H1019,"0000000000"),'📞 Call Tracker'!A$2:A$2000,'📞 Call Tracker'!E$2:E$2000,""),"")</f>
        <v>0</v>
      </c>
      <c r="AA1019" s="145">
        <f>IFERROR(_xlfn.XLOOKUP(TEXT(H1019,"0000000000"),'📞 Call Tracker'!A$2:A$2000,'📞 Call Tracker'!F$2:F$2000,""),"")</f>
        <v>0</v>
      </c>
      <c r="AB1019" s="132">
        <f t="shared" si="31"/>
        <v>99</v>
      </c>
      <c r="AC1019" s="79"/>
    </row>
    <row r="1020" spans="1:29" ht="20.100000000000001" customHeight="1">
      <c r="A1020" s="91">
        <v>46043</v>
      </c>
      <c r="B1020" s="92" t="str">
        <v>Welch</v>
      </c>
      <c r="C1020" s="92" t="str">
        <v>Cheryl</v>
      </c>
      <c r="D1020" s="92" t="str">
        <v>Scottsdale</v>
      </c>
      <c r="E1020" s="92">
        <v>85254</v>
      </c>
      <c r="F1020" s="137" t="str">
        <v>My bill in the winter was almost $300 last month, and the heat and air were never used - that is criminal.</v>
      </c>
      <c r="G1020" s="93" t="str">
        <v>https://docket.images.azcc.gov/E000048791.pdf</v>
      </c>
      <c r="H1020" s="150" t="s">
        <v>6383</v>
      </c>
      <c r="I1020" s="114" t="str">
        <v>R3-47</v>
      </c>
      <c r="J1020" s="94" t="str">
        <v>No</v>
      </c>
      <c r="K1020" s="94" t="str">
        <v>No</v>
      </c>
      <c r="L1020" s="137" t="str">
        <v>Yes</v>
      </c>
      <c r="M1020" s="94" t="str">
        <v>No</v>
      </c>
      <c r="N1020" s="134" t="str">
        <v>No</v>
      </c>
      <c r="O1020" s="119" t="str">
        <v>Yes</v>
      </c>
      <c r="P1020" s="92" t="str">
        <v>N</v>
      </c>
      <c r="Q1020" s="91">
        <v>46049</v>
      </c>
      <c r="R1020" s="140">
        <v>0</v>
      </c>
      <c r="S1020" s="92">
        <v>0</v>
      </c>
      <c r="T1020" s="92">
        <v>0</v>
      </c>
      <c r="U1020" s="137">
        <v>0</v>
      </c>
      <c r="V1020" s="126" t="str">
        <f t="shared" si="30"/>
        <v>✅ On Best Plan</v>
      </c>
      <c r="W1020" s="130">
        <f>IFERROR(_xlfn.XLOOKUP(TEXT(H1020,"0000000000"),'📞 Call Tracker'!A$2:A$2000,'📞 Call Tracker'!B$2:B$2000,""),"")</f>
        <v>0</v>
      </c>
      <c r="X1020" s="96">
        <f>IFERROR(_xlfn.XLOOKUP(TEXT(H1020,"0000000000"),'📞 Call Tracker'!A$2:A$2000,'📞 Call Tracker'!C$2:C$2000,""),"")</f>
        <v>0</v>
      </c>
      <c r="Y1020" s="95">
        <f>IFERROR(_xlfn.XLOOKUP(TEXT(H1020,"0000000000"),'📞 Call Tracker'!A$2:A$2000,'📞 Call Tracker'!D$2:D$2000,""),"")</f>
        <v>0</v>
      </c>
      <c r="Z1020" s="95">
        <f>IFERROR(_xlfn.XLOOKUP(TEXT(H1020,"0000000000"),'📞 Call Tracker'!A$2:A$2000,'📞 Call Tracker'!E$2:E$2000,""),"")</f>
        <v>0</v>
      </c>
      <c r="AA1020" s="145">
        <f>IFERROR(_xlfn.XLOOKUP(TEXT(H1020,"0000000000"),'📞 Call Tracker'!A$2:A$2000,'📞 Call Tracker'!F$2:F$2000,""),"")</f>
        <v>0</v>
      </c>
      <c r="AB1020" s="132">
        <f t="shared" si="31"/>
        <v>99</v>
      </c>
      <c r="AC1020" s="79"/>
    </row>
    <row r="1021" spans="1:29" ht="20.100000000000001" customHeight="1">
      <c r="A1021" s="91">
        <v>46043</v>
      </c>
      <c r="B1021" s="92" t="str">
        <v>Liu</v>
      </c>
      <c r="C1021" s="92" t="str">
        <v>Yijeng</v>
      </c>
      <c r="D1021" s="92" t="str">
        <v>Scottsdale</v>
      </c>
      <c r="E1021" s="92">
        <v>85254</v>
      </c>
      <c r="F1021" s="137" t="str">
        <v>Why do residents have to pay APS shareholders' dividends more and more each year?</v>
      </c>
      <c r="G1021" s="93" t="str">
        <v>https://docket.images.azcc.gov/E000048791.pdf</v>
      </c>
      <c r="H1021" s="150" t="s">
        <v>6163</v>
      </c>
      <c r="I1021" s="114" t="str">
        <v>EPR6w/ET-1</v>
      </c>
      <c r="J1021" s="94" t="str">
        <v>No</v>
      </c>
      <c r="K1021" s="94" t="str">
        <v>No</v>
      </c>
      <c r="L1021" s="137" t="str">
        <v>Frozen Plan</v>
      </c>
      <c r="M1021" s="94" t="str">
        <v>No</v>
      </c>
      <c r="N1021" s="134" t="str">
        <v>No</v>
      </c>
      <c r="O1021" s="119" t="str">
        <v>Yes</v>
      </c>
      <c r="P1021" s="92" t="str">
        <v>N</v>
      </c>
      <c r="Q1021" s="91">
        <v>46049</v>
      </c>
      <c r="R1021" s="140">
        <v>0</v>
      </c>
      <c r="S1021" s="92">
        <v>0</v>
      </c>
      <c r="T1021" s="92">
        <v>0</v>
      </c>
      <c r="U1021" s="137">
        <v>0</v>
      </c>
      <c r="V1021" s="126" t="str">
        <f t="shared" si="30"/>
        <v>❄ Frozen Rate</v>
      </c>
      <c r="W1021" s="130">
        <f>IFERROR(_xlfn.XLOOKUP(TEXT(H1021,"0000000000"),'📞 Call Tracker'!A$2:A$2000,'📞 Call Tracker'!B$2:B$2000,""),"")</f>
        <v>0</v>
      </c>
      <c r="X1021" s="96">
        <f>IFERROR(_xlfn.XLOOKUP(TEXT(H1021,"0000000000"),'📞 Call Tracker'!A$2:A$2000,'📞 Call Tracker'!C$2:C$2000,""),"")</f>
        <v>0</v>
      </c>
      <c r="Y1021" s="95">
        <f>IFERROR(_xlfn.XLOOKUP(TEXT(H1021,"0000000000"),'📞 Call Tracker'!A$2:A$2000,'📞 Call Tracker'!D$2:D$2000,""),"")</f>
        <v>0</v>
      </c>
      <c r="Z1021" s="95">
        <f>IFERROR(_xlfn.XLOOKUP(TEXT(H1021,"0000000000"),'📞 Call Tracker'!A$2:A$2000,'📞 Call Tracker'!E$2:E$2000,""),"")</f>
        <v>0</v>
      </c>
      <c r="AA1021" s="145">
        <f>IFERROR(_xlfn.XLOOKUP(TEXT(H1021,"0000000000"),'📞 Call Tracker'!A$2:A$2000,'📞 Call Tracker'!F$2:F$2000,""),"")</f>
        <v>0</v>
      </c>
      <c r="AB1021" s="132">
        <f t="shared" si="31"/>
        <v>99</v>
      </c>
      <c r="AC1021" s="79"/>
    </row>
    <row r="1022" spans="1:29" ht="20.100000000000001" customHeight="1">
      <c r="A1022" s="91">
        <v>46043</v>
      </c>
      <c r="B1022" s="92" t="str">
        <v>Lucas</v>
      </c>
      <c r="C1022" s="92" t="str">
        <v>Barbara</v>
      </c>
      <c r="D1022" s="92" t="str">
        <v>New River</v>
      </c>
      <c r="E1022" s="92">
        <v>85087</v>
      </c>
      <c r="F1022" s="137" t="str">
        <v xml:space="preserve">For families like mine, this is simply too much... customers should not be expected to absorb constant hikes whiles APS continues to report healthy returns. </v>
      </c>
      <c r="G1022" s="93" t="str">
        <v>https://docket.images.azcc.gov/E000048791.pdf</v>
      </c>
      <c r="H1022" s="150" t="s">
        <v>6429</v>
      </c>
      <c r="I1022" s="114" t="str">
        <v>R3-47</v>
      </c>
      <c r="J1022" s="94" t="str">
        <v>No</v>
      </c>
      <c r="K1022" s="94" t="str">
        <v>No</v>
      </c>
      <c r="L1022" s="137" t="str">
        <v>Yes</v>
      </c>
      <c r="M1022" s="94" t="str">
        <v>No</v>
      </c>
      <c r="N1022" s="134" t="str">
        <v>No</v>
      </c>
      <c r="O1022" s="119" t="str">
        <v>Yes</v>
      </c>
      <c r="P1022" s="92" t="str">
        <v>N</v>
      </c>
      <c r="Q1022" s="91">
        <v>46049</v>
      </c>
      <c r="R1022" s="140">
        <v>0</v>
      </c>
      <c r="S1022" s="92">
        <v>0</v>
      </c>
      <c r="T1022" s="92">
        <v>0</v>
      </c>
      <c r="U1022" s="137">
        <v>0</v>
      </c>
      <c r="V1022" s="126" t="str">
        <f t="shared" si="30"/>
        <v>✅ On Best Plan</v>
      </c>
      <c r="W1022" s="130">
        <f>IFERROR(_xlfn.XLOOKUP(TEXT(H1022,"0000000000"),'📞 Call Tracker'!A$2:A$2000,'📞 Call Tracker'!B$2:B$2000,""),"")</f>
        <v>0</v>
      </c>
      <c r="X1022" s="96">
        <f>IFERROR(_xlfn.XLOOKUP(TEXT(H1022,"0000000000"),'📞 Call Tracker'!A$2:A$2000,'📞 Call Tracker'!C$2:C$2000,""),"")</f>
        <v>0</v>
      </c>
      <c r="Y1022" s="95">
        <f>IFERROR(_xlfn.XLOOKUP(TEXT(H1022,"0000000000"),'📞 Call Tracker'!A$2:A$2000,'📞 Call Tracker'!D$2:D$2000,""),"")</f>
        <v>0</v>
      </c>
      <c r="Z1022" s="95">
        <f>IFERROR(_xlfn.XLOOKUP(TEXT(H1022,"0000000000"),'📞 Call Tracker'!A$2:A$2000,'📞 Call Tracker'!E$2:E$2000,""),"")</f>
        <v>0</v>
      </c>
      <c r="AA1022" s="145">
        <f>IFERROR(_xlfn.XLOOKUP(TEXT(H1022,"0000000000"),'📞 Call Tracker'!A$2:A$2000,'📞 Call Tracker'!F$2:F$2000,""),"")</f>
        <v>0</v>
      </c>
      <c r="AB1022" s="132">
        <f t="shared" si="31"/>
        <v>99</v>
      </c>
      <c r="AC1022" s="79"/>
    </row>
    <row r="1023" spans="1:29" ht="20.100000000000001" customHeight="1">
      <c r="A1023" s="91">
        <v>46043</v>
      </c>
      <c r="B1023" s="92" t="str">
        <v>Simon</v>
      </c>
      <c r="C1023" s="92" t="str">
        <v>Ross</v>
      </c>
      <c r="D1023" s="92" t="str">
        <v>Phoenix</v>
      </c>
      <c r="E1023" s="92">
        <v>85013</v>
      </c>
      <c r="F1023" s="137" t="str">
        <v xml:space="preserve">Approving yet another rate ncrease-especially one that penalizes solar adoption and inflates transmission costs-would violate your duty. </v>
      </c>
      <c r="G1023" s="93" t="str">
        <v>https://docket.images.azcc.gov/E000048791.pdf</v>
      </c>
      <c r="H1023" s="150" t="s">
        <v>6111</v>
      </c>
      <c r="I1023" s="114" t="str">
        <v>RCPw/TOUE47</v>
      </c>
      <c r="J1023" s="94" t="str">
        <v>No</v>
      </c>
      <c r="K1023" s="94" t="str">
        <v>No</v>
      </c>
      <c r="L1023" s="137" t="str">
        <v>Yes</v>
      </c>
      <c r="M1023" s="94" t="str">
        <v>No</v>
      </c>
      <c r="N1023" s="134" t="str">
        <v>No</v>
      </c>
      <c r="O1023" s="119" t="str">
        <v>Yes</v>
      </c>
      <c r="P1023" s="92" t="str">
        <v>N</v>
      </c>
      <c r="Q1023" s="91">
        <v>46049</v>
      </c>
      <c r="R1023" s="140">
        <v>0</v>
      </c>
      <c r="S1023" s="92">
        <v>0</v>
      </c>
      <c r="T1023" s="92">
        <v>0</v>
      </c>
      <c r="U1023" s="137">
        <v>0</v>
      </c>
      <c r="V1023" s="126" t="str">
        <f t="shared" si="30"/>
        <v>✅ On Best Plan</v>
      </c>
      <c r="W1023" s="130">
        <f>IFERROR(_xlfn.XLOOKUP(TEXT(H1023,"0000000000"),'📞 Call Tracker'!A$2:A$2000,'📞 Call Tracker'!B$2:B$2000,""),"")</f>
        <v>0</v>
      </c>
      <c r="X1023" s="96">
        <f>IFERROR(_xlfn.XLOOKUP(TEXT(H1023,"0000000000"),'📞 Call Tracker'!A$2:A$2000,'📞 Call Tracker'!C$2:C$2000,""),"")</f>
        <v>0</v>
      </c>
      <c r="Y1023" s="95">
        <f>IFERROR(_xlfn.XLOOKUP(TEXT(H1023,"0000000000"),'📞 Call Tracker'!A$2:A$2000,'📞 Call Tracker'!D$2:D$2000,""),"")</f>
        <v>0</v>
      </c>
      <c r="Z1023" s="95">
        <f>IFERROR(_xlfn.XLOOKUP(TEXT(H1023,"0000000000"),'📞 Call Tracker'!A$2:A$2000,'📞 Call Tracker'!E$2:E$2000,""),"")</f>
        <v>0</v>
      </c>
      <c r="AA1023" s="145">
        <f>IFERROR(_xlfn.XLOOKUP(TEXT(H1023,"0000000000"),'📞 Call Tracker'!A$2:A$2000,'📞 Call Tracker'!F$2:F$2000,""),"")</f>
        <v>0</v>
      </c>
      <c r="AB1023" s="132">
        <f t="shared" si="31"/>
        <v>99</v>
      </c>
      <c r="AC1023" s="79"/>
    </row>
    <row r="1024" spans="1:29" ht="20.100000000000001" customHeight="1">
      <c r="A1024" s="91">
        <v>46043</v>
      </c>
      <c r="B1024" s="92" t="str">
        <v>Arriola</v>
      </c>
      <c r="C1024" s="92" t="str">
        <v>Frank</v>
      </c>
      <c r="D1024" s="92" t="str">
        <v>Florence</v>
      </c>
      <c r="E1024" s="92">
        <v>85132</v>
      </c>
      <c r="F1024" s="137" t="str">
        <v>It's tough as it is to try to keep up with life without yet another increase from APS</v>
      </c>
      <c r="G1024" s="93" t="str">
        <v>https://docket.images.azcc.gov/E000048791.pdf</v>
      </c>
      <c r="H1024" s="150" t="s">
        <v>6112</v>
      </c>
      <c r="I1024" s="114" t="str">
        <v>R3-47</v>
      </c>
      <c r="J1024" s="94" t="str">
        <v>No</v>
      </c>
      <c r="K1024" s="94" t="str">
        <v>No</v>
      </c>
      <c r="L1024" s="137" t="str">
        <v>Yes</v>
      </c>
      <c r="M1024" s="94" t="str">
        <v>No</v>
      </c>
      <c r="N1024" s="134" t="str">
        <v>No</v>
      </c>
      <c r="O1024" s="119" t="str">
        <v>Yes</v>
      </c>
      <c r="P1024" s="92" t="str">
        <v>N</v>
      </c>
      <c r="Q1024" s="91">
        <v>46049</v>
      </c>
      <c r="R1024" s="140">
        <v>0</v>
      </c>
      <c r="S1024" s="92">
        <v>0</v>
      </c>
      <c r="T1024" s="92">
        <v>0</v>
      </c>
      <c r="U1024" s="137">
        <v>0</v>
      </c>
      <c r="V1024" s="126" t="str">
        <f t="shared" si="30"/>
        <v>✅ On Best Plan</v>
      </c>
      <c r="W1024" s="130">
        <f>IFERROR(_xlfn.XLOOKUP(TEXT(H1024,"0000000000"),'📞 Call Tracker'!A$2:A$2000,'📞 Call Tracker'!B$2:B$2000,""),"")</f>
        <v>0</v>
      </c>
      <c r="X1024" s="96">
        <f>IFERROR(_xlfn.XLOOKUP(TEXT(H1024,"0000000000"),'📞 Call Tracker'!A$2:A$2000,'📞 Call Tracker'!C$2:C$2000,""),"")</f>
        <v>0</v>
      </c>
      <c r="Y1024" s="95">
        <f>IFERROR(_xlfn.XLOOKUP(TEXT(H1024,"0000000000"),'📞 Call Tracker'!A$2:A$2000,'📞 Call Tracker'!D$2:D$2000,""),"")</f>
        <v>0</v>
      </c>
      <c r="Z1024" s="95">
        <f>IFERROR(_xlfn.XLOOKUP(TEXT(H1024,"0000000000"),'📞 Call Tracker'!A$2:A$2000,'📞 Call Tracker'!E$2:E$2000,""),"")</f>
        <v>0</v>
      </c>
      <c r="AA1024" s="145">
        <f>IFERROR(_xlfn.XLOOKUP(TEXT(H1024,"0000000000"),'📞 Call Tracker'!A$2:A$2000,'📞 Call Tracker'!F$2:F$2000,""),"")</f>
        <v>0</v>
      </c>
      <c r="AB1024" s="132">
        <f t="shared" si="31"/>
        <v>99</v>
      </c>
      <c r="AC1024" s="79"/>
    </row>
    <row r="1025" spans="1:29" ht="20.100000000000001" customHeight="1">
      <c r="A1025" s="91">
        <v>46043</v>
      </c>
      <c r="B1025" s="92" t="str">
        <v>Pottorf</v>
      </c>
      <c r="C1025" s="92" t="str">
        <v>Jaimie</v>
      </c>
      <c r="D1025" s="92" t="str">
        <v>Surprise</v>
      </c>
      <c r="E1025" s="92">
        <v>85374</v>
      </c>
      <c r="F1025" s="137" t="str">
        <v>APS is a regulated utility with a statutory right to seek recovery of reasonable costs, however the magnitude of the request, paired with existing profits and the ongoing financial strain on AZ residents makes this application neither fair nor reasonable</v>
      </c>
      <c r="G1025" s="93" t="str">
        <v>https://docket.images.azcc.gov/E000048791.pdf</v>
      </c>
      <c r="H1025" s="150" t="s">
        <v>6430</v>
      </c>
      <c r="I1025" s="114" t="str">
        <v>R3-47</v>
      </c>
      <c r="J1025" s="94" t="str">
        <v>No</v>
      </c>
      <c r="K1025" s="94" t="str">
        <v>No</v>
      </c>
      <c r="L1025" s="137" t="str">
        <v>Yes</v>
      </c>
      <c r="M1025" s="94" t="str">
        <v>No</v>
      </c>
      <c r="N1025" s="134" t="str">
        <v>No</v>
      </c>
      <c r="O1025" s="119" t="str">
        <v>Yes</v>
      </c>
      <c r="P1025" s="92" t="str">
        <v>N</v>
      </c>
      <c r="Q1025" s="91">
        <v>46049</v>
      </c>
      <c r="R1025" s="140">
        <v>0</v>
      </c>
      <c r="S1025" s="92">
        <v>0</v>
      </c>
      <c r="T1025" s="92">
        <v>0</v>
      </c>
      <c r="U1025" s="137">
        <v>0</v>
      </c>
      <c r="V1025" s="126" t="str">
        <f t="shared" si="30"/>
        <v>✅ On Best Plan</v>
      </c>
      <c r="W1025" s="130">
        <f>IFERROR(_xlfn.XLOOKUP(TEXT(H1025,"0000000000"),'📞 Call Tracker'!A$2:A$2000,'📞 Call Tracker'!B$2:B$2000,""),"")</f>
        <v>0</v>
      </c>
      <c r="X1025" s="96">
        <f>IFERROR(_xlfn.XLOOKUP(TEXT(H1025,"0000000000"),'📞 Call Tracker'!A$2:A$2000,'📞 Call Tracker'!C$2:C$2000,""),"")</f>
        <v>0</v>
      </c>
      <c r="Y1025" s="95">
        <f>IFERROR(_xlfn.XLOOKUP(TEXT(H1025,"0000000000"),'📞 Call Tracker'!A$2:A$2000,'📞 Call Tracker'!D$2:D$2000,""),"")</f>
        <v>0</v>
      </c>
      <c r="Z1025" s="95">
        <f>IFERROR(_xlfn.XLOOKUP(TEXT(H1025,"0000000000"),'📞 Call Tracker'!A$2:A$2000,'📞 Call Tracker'!E$2:E$2000,""),"")</f>
        <v>0</v>
      </c>
      <c r="AA1025" s="145">
        <f>IFERROR(_xlfn.XLOOKUP(TEXT(H1025,"0000000000"),'📞 Call Tracker'!A$2:A$2000,'📞 Call Tracker'!F$2:F$2000,""),"")</f>
        <v>0</v>
      </c>
      <c r="AB1025" s="132">
        <f t="shared" si="31"/>
        <v>99</v>
      </c>
      <c r="AC1025" s="79"/>
    </row>
    <row r="1026" spans="1:29" ht="20.100000000000001" customHeight="1">
      <c r="A1026" s="91">
        <v>46043</v>
      </c>
      <c r="B1026" s="92" t="str">
        <v>Conte</v>
      </c>
      <c r="C1026" s="92" t="str">
        <v>Davide</v>
      </c>
      <c r="D1026" s="92" t="str">
        <v>Prescott Valley</v>
      </c>
      <c r="E1026" s="92">
        <v>86314</v>
      </c>
      <c r="F1026" s="137" t="str">
        <v xml:space="preserve">Commission review APS's solar rate design and consider whether forcing all solar customers into sunset-aligned peak pricing is consistent with fair cost allocation. </v>
      </c>
      <c r="G1026" s="93" t="str">
        <v>https://docket.images.azcc.gov/E000048791.pdf</v>
      </c>
      <c r="H1026" s="150" t="s">
        <v>6373</v>
      </c>
      <c r="I1026" s="114" t="str">
        <v>R-XS</v>
      </c>
      <c r="J1026" s="94" t="str">
        <v>No</v>
      </c>
      <c r="K1026" s="94" t="str">
        <v>No</v>
      </c>
      <c r="L1026" s="137" t="str">
        <v>Yes</v>
      </c>
      <c r="M1026" s="94" t="str">
        <v>No</v>
      </c>
      <c r="N1026" s="134" t="str">
        <v>No</v>
      </c>
      <c r="O1026" s="119" t="str">
        <v>Yes</v>
      </c>
      <c r="P1026" s="92" t="str">
        <v>N</v>
      </c>
      <c r="Q1026" s="91">
        <v>46049</v>
      </c>
      <c r="R1026" s="140">
        <v>0</v>
      </c>
      <c r="S1026" s="92">
        <v>0</v>
      </c>
      <c r="T1026" s="92">
        <v>0</v>
      </c>
      <c r="U1026" s="137">
        <v>0</v>
      </c>
      <c r="V1026" s="126" t="str">
        <f t="shared" si="30"/>
        <v>✅ On Best Plan</v>
      </c>
      <c r="W1026" s="130" t="str">
        <f>IFERROR(_xlfn.XLOOKUP(TEXT(H1026,"0000000000"),'📞 Call Tracker'!A$2:A$2000,'📞 Call Tracker'!B$2:B$2000,""),"")</f>
        <v>Joaquin</v>
      </c>
      <c r="X1026" s="96">
        <f>IFERROR(_xlfn.XLOOKUP(TEXT(H1026,"0000000000"),'📞 Call Tracker'!A$2:A$2000,'📞 Call Tracker'!C$2:C$2000,""),"")</f>
        <v>46081</v>
      </c>
      <c r="Y1026" s="95" t="str">
        <f>IFERROR(_xlfn.XLOOKUP(TEXT(H1026,"0000000000"),'📞 Call Tracker'!A$2:A$2000,'📞 Call Tracker'!D$2:D$2000,""),"")</f>
        <v>NO</v>
      </c>
      <c r="Z1026" s="95" t="str">
        <f>IFERROR(_xlfn.XLOOKUP(TEXT(H1026,"0000000000"),'📞 Call Tracker'!A$2:A$2000,'📞 Call Tracker'!E$2:E$2000,""),"")</f>
        <v>General Education</v>
      </c>
      <c r="AA1026" s="145" t="str">
        <f>IFERROR(_xlfn.XLOOKUP(TEXT(H1026,"0000000000"),'📞 Call Tracker'!A$2:A$2000,'📞 Call Tracker'!F$2:F$2000,""),"")</f>
        <v>NOT  FOR RATE INCREASE</v>
      </c>
      <c r="AB1026" s="132">
        <f t="shared" si="31"/>
        <v>99</v>
      </c>
      <c r="AC1026" s="79"/>
    </row>
    <row r="1027" spans="1:29" ht="20.100000000000001" customHeight="1">
      <c r="A1027" s="91">
        <v>46043</v>
      </c>
      <c r="B1027" s="92" t="str">
        <v>Baird</v>
      </c>
      <c r="C1027" s="92" t="str">
        <v>Candace</v>
      </c>
      <c r="D1027" s="92" t="str">
        <v>Florence</v>
      </c>
      <c r="E1027" s="92">
        <v>85132</v>
      </c>
      <c r="F1027" s="137" t="str">
        <v>I have filed numerous complaints with BBB because our bills are sometimes $700! How does a family living on one income afford anymore?!</v>
      </c>
      <c r="G1027" s="93" t="str">
        <v>https://docket.images.azcc.gov/E000048791.pdf</v>
      </c>
      <c r="H1027" s="150" t="s">
        <v>6431</v>
      </c>
      <c r="I1027" s="114" t="str">
        <v>R3-47</v>
      </c>
      <c r="J1027" s="94" t="str">
        <v>No</v>
      </c>
      <c r="K1027" s="94" t="str">
        <v>No</v>
      </c>
      <c r="L1027" s="137" t="str">
        <v>Yes</v>
      </c>
      <c r="M1027" s="94" t="str">
        <v>No</v>
      </c>
      <c r="N1027" s="134" t="str">
        <v>No</v>
      </c>
      <c r="O1027" s="119" t="str">
        <v>Yes</v>
      </c>
      <c r="P1027" s="92" t="str">
        <v>N</v>
      </c>
      <c r="Q1027" s="91">
        <v>46049</v>
      </c>
      <c r="R1027" s="140">
        <v>0</v>
      </c>
      <c r="S1027" s="92">
        <v>0</v>
      </c>
      <c r="T1027" s="92">
        <v>0</v>
      </c>
      <c r="U1027" s="137">
        <v>0</v>
      </c>
      <c r="V1027" s="126" t="str">
        <f t="shared" ref="V1027:V1090" si="32">IF(OR(LEFT(TRIM(L1027),3)="Yes",TRIM(L1027)="Y"),"✅ On Best Plan",IF(OR(L1027="Frozen Rate",L1027="Frozen Plan"),"❄ Frozen Rate",IF(OR(L1027="Not able to Compare",L1027="Info Not Avail",L1027="NA",L1027=""),"⚠ Unknown","❌ Not on Best Plan")))</f>
        <v>✅ On Best Plan</v>
      </c>
      <c r="W1027" s="130">
        <f>IFERROR(_xlfn.XLOOKUP(TEXT(H1027,"0000000000"),'📞 Call Tracker'!A$2:A$2000,'📞 Call Tracker'!B$2:B$2000,""),"")</f>
        <v>0</v>
      </c>
      <c r="X1027" s="96">
        <f>IFERROR(_xlfn.XLOOKUP(TEXT(H1027,"0000000000"),'📞 Call Tracker'!A$2:A$2000,'📞 Call Tracker'!C$2:C$2000,""),"")</f>
        <v>0</v>
      </c>
      <c r="Y1027" s="95">
        <f>IFERROR(_xlfn.XLOOKUP(TEXT(H1027,"0000000000"),'📞 Call Tracker'!A$2:A$2000,'📞 Call Tracker'!D$2:D$2000,""),"")</f>
        <v>0</v>
      </c>
      <c r="Z1027" s="95">
        <f>IFERROR(_xlfn.XLOOKUP(TEXT(H1027,"0000000000"),'📞 Call Tracker'!A$2:A$2000,'📞 Call Tracker'!E$2:E$2000,""),"")</f>
        <v>0</v>
      </c>
      <c r="AA1027" s="145">
        <f>IFERROR(_xlfn.XLOOKUP(TEXT(H1027,"0000000000"),'📞 Call Tracker'!A$2:A$2000,'📞 Call Tracker'!F$2:F$2000,""),"")</f>
        <v>0</v>
      </c>
      <c r="AB1027" s="132">
        <f t="shared" ref="AB1027:AB1090" si="33">IF(OR(H1027="",X1027&lt;&gt;""),99,IF(AND(NOT(OR(LEFT(TRIM(L1027),3)="Yes",TRIM(L1027)="Y",L1027="Frozen Rate",L1027="Frozen Plan",L1027="Not able to Compare",L1027="Info Not Avail",L1027="NA",L1027="")),AND(N1027&lt;&gt;"No",N1027&lt;&gt;"")),1,IF(NOT(OR(LEFT(TRIM(L1027),3)="Yes",TRIM(L1027)="Y",L1027="Frozen Rate",L1027="Frozen Plan",L1027="Not able to Compare",L1027="Info Not Avail",L1027="NA",L1027="")),2,IF(AND(N1027&lt;&gt;"No",N1027&lt;&gt;""),3,4))))</f>
        <v>99</v>
      </c>
      <c r="AC1027" s="79"/>
    </row>
    <row r="1028" spans="1:29" ht="20.100000000000001" customHeight="1">
      <c r="A1028" s="91">
        <v>46043</v>
      </c>
      <c r="B1028" s="92" t="str">
        <v>Vassallo</v>
      </c>
      <c r="C1028" s="92" t="str">
        <v>Kayla</v>
      </c>
      <c r="D1028" s="92" t="str">
        <v>Phoenix</v>
      </c>
      <c r="E1028" s="92">
        <v>85023</v>
      </c>
      <c r="F1028" s="137" t="str">
        <v>Form Letter: For families like mine this is simply too much</v>
      </c>
      <c r="G1028" s="93" t="str">
        <v>https://docket.images.azcc.gov/E000048791.pdf</v>
      </c>
      <c r="H1028" s="150" t="s">
        <v>6432</v>
      </c>
      <c r="I1028" s="114" t="str">
        <v>R-XS</v>
      </c>
      <c r="J1028" s="94" t="str">
        <v>No</v>
      </c>
      <c r="K1028" s="94" t="str">
        <v>No</v>
      </c>
      <c r="L1028" s="137" t="str">
        <v>Yes</v>
      </c>
      <c r="M1028" s="94" t="str">
        <v>No</v>
      </c>
      <c r="N1028" s="134" t="str">
        <v>No</v>
      </c>
      <c r="O1028" s="119" t="str">
        <v>Yes</v>
      </c>
      <c r="P1028" s="92" t="str">
        <v>N</v>
      </c>
      <c r="Q1028" s="91">
        <v>46049</v>
      </c>
      <c r="R1028" s="140">
        <v>0</v>
      </c>
      <c r="S1028" s="92">
        <v>0</v>
      </c>
      <c r="T1028" s="92">
        <v>0</v>
      </c>
      <c r="U1028" s="137">
        <v>0</v>
      </c>
      <c r="V1028" s="126" t="str">
        <f t="shared" si="32"/>
        <v>✅ On Best Plan</v>
      </c>
      <c r="W1028" s="130">
        <f>IFERROR(_xlfn.XLOOKUP(TEXT(H1028,"0000000000"),'📞 Call Tracker'!A$2:A$2000,'📞 Call Tracker'!B$2:B$2000,""),"")</f>
        <v>0</v>
      </c>
      <c r="X1028" s="96">
        <f>IFERROR(_xlfn.XLOOKUP(TEXT(H1028,"0000000000"),'📞 Call Tracker'!A$2:A$2000,'📞 Call Tracker'!C$2:C$2000,""),"")</f>
        <v>0</v>
      </c>
      <c r="Y1028" s="95">
        <f>IFERROR(_xlfn.XLOOKUP(TEXT(H1028,"0000000000"),'📞 Call Tracker'!A$2:A$2000,'📞 Call Tracker'!D$2:D$2000,""),"")</f>
        <v>0</v>
      </c>
      <c r="Z1028" s="95">
        <f>IFERROR(_xlfn.XLOOKUP(TEXT(H1028,"0000000000"),'📞 Call Tracker'!A$2:A$2000,'📞 Call Tracker'!E$2:E$2000,""),"")</f>
        <v>0</v>
      </c>
      <c r="AA1028" s="145">
        <f>IFERROR(_xlfn.XLOOKUP(TEXT(H1028,"0000000000"),'📞 Call Tracker'!A$2:A$2000,'📞 Call Tracker'!F$2:F$2000,""),"")</f>
        <v>0</v>
      </c>
      <c r="AB1028" s="132">
        <f t="shared" si="33"/>
        <v>99</v>
      </c>
      <c r="AC1028" s="79"/>
    </row>
    <row r="1029" spans="1:29" ht="20.100000000000001" customHeight="1">
      <c r="A1029" s="91">
        <v>46043</v>
      </c>
      <c r="B1029" s="92" t="str">
        <v>Dahne</v>
      </c>
      <c r="C1029" s="92" t="str">
        <v>Scott</v>
      </c>
      <c r="D1029" s="92" t="str">
        <v>Cave Creek</v>
      </c>
      <c r="E1029" s="92">
        <v>85331</v>
      </c>
      <c r="F1029" s="137" t="str">
        <v xml:space="preserve">Demand Charge Limiter and Demand Charge Credit... l've dropped my bills about 13% through my work on my electricity usage. Now APS wants to wipe that out just for the benefit of their shareholders and executive pay. </v>
      </c>
      <c r="G1029" s="93" t="str">
        <v>https://docket.images.azcc.gov/E000048791.pdf</v>
      </c>
      <c r="H1029" s="150" t="s">
        <v>6433</v>
      </c>
      <c r="I1029" s="114" t="str">
        <v>R3-47</v>
      </c>
      <c r="J1029" s="94" t="str">
        <v>No</v>
      </c>
      <c r="K1029" s="94" t="str">
        <v>No</v>
      </c>
      <c r="L1029" s="137" t="str">
        <v>Yes</v>
      </c>
      <c r="M1029" s="94" t="str">
        <v>No</v>
      </c>
      <c r="N1029" s="134" t="str">
        <v>No</v>
      </c>
      <c r="O1029" s="119" t="str">
        <v>Yes</v>
      </c>
      <c r="P1029" s="92" t="str">
        <v>N</v>
      </c>
      <c r="Q1029" s="91">
        <v>46049</v>
      </c>
      <c r="R1029" s="140">
        <v>0</v>
      </c>
      <c r="S1029" s="92">
        <v>0</v>
      </c>
      <c r="T1029" s="92">
        <v>0</v>
      </c>
      <c r="U1029" s="137">
        <v>0</v>
      </c>
      <c r="V1029" s="126" t="str">
        <f t="shared" si="32"/>
        <v>✅ On Best Plan</v>
      </c>
      <c r="W1029" s="130">
        <f>IFERROR(_xlfn.XLOOKUP(TEXT(H1029,"0000000000"),'📞 Call Tracker'!A$2:A$2000,'📞 Call Tracker'!B$2:B$2000,""),"")</f>
        <v>0</v>
      </c>
      <c r="X1029" s="96">
        <f>IFERROR(_xlfn.XLOOKUP(TEXT(H1029,"0000000000"),'📞 Call Tracker'!A$2:A$2000,'📞 Call Tracker'!C$2:C$2000,""),"")</f>
        <v>0</v>
      </c>
      <c r="Y1029" s="95">
        <f>IFERROR(_xlfn.XLOOKUP(TEXT(H1029,"0000000000"),'📞 Call Tracker'!A$2:A$2000,'📞 Call Tracker'!D$2:D$2000,""),"")</f>
        <v>0</v>
      </c>
      <c r="Z1029" s="95">
        <f>IFERROR(_xlfn.XLOOKUP(TEXT(H1029,"0000000000"),'📞 Call Tracker'!A$2:A$2000,'📞 Call Tracker'!E$2:E$2000,""),"")</f>
        <v>0</v>
      </c>
      <c r="AA1029" s="145">
        <f>IFERROR(_xlfn.XLOOKUP(TEXT(H1029,"0000000000"),'📞 Call Tracker'!A$2:A$2000,'📞 Call Tracker'!F$2:F$2000,""),"")</f>
        <v>0</v>
      </c>
      <c r="AB1029" s="132">
        <f t="shared" si="33"/>
        <v>99</v>
      </c>
      <c r="AC1029" s="79"/>
    </row>
    <row r="1030" spans="1:29" ht="20.100000000000001" customHeight="1">
      <c r="A1030" s="91">
        <v>46043</v>
      </c>
      <c r="B1030" s="92" t="str">
        <v>Peterson</v>
      </c>
      <c r="C1030" s="92" t="str">
        <v>Nathan</v>
      </c>
      <c r="D1030" s="92" t="str">
        <v>Goodyear</v>
      </c>
      <c r="E1030" s="92">
        <v>85338</v>
      </c>
      <c r="F1030" s="137" t="str">
        <v xml:space="preserve">Familes are trying to survive high interest rates, inflation, and provide for themselves and children. The name Arizona Public Service should be a reminder that electricity is a publis service, not a slush fund. </v>
      </c>
      <c r="G1030" s="93" t="str">
        <v>https://docket.images.azcc.gov/E000048791.pdf</v>
      </c>
      <c r="H1030" s="150" t="s">
        <v>6113</v>
      </c>
      <c r="I1030" s="114" t="str">
        <v>RTOUE47</v>
      </c>
      <c r="J1030" s="94" t="str">
        <v>No</v>
      </c>
      <c r="K1030" s="94" t="str">
        <v>No</v>
      </c>
      <c r="L1030" s="137" t="str">
        <v>No MEP R3-47 ($402.12)</v>
      </c>
      <c r="M1030" s="94" t="str">
        <v>No</v>
      </c>
      <c r="N1030" s="134" t="str">
        <v>No</v>
      </c>
      <c r="O1030" s="119" t="str">
        <v>Yes</v>
      </c>
      <c r="P1030" s="92">
        <v>0</v>
      </c>
      <c r="Q1030" s="91">
        <v>46049</v>
      </c>
      <c r="R1030" s="140" t="str">
        <v>Please contact customer regarding plan options</v>
      </c>
      <c r="S1030" s="92">
        <v>0</v>
      </c>
      <c r="T1030" s="92">
        <v>0</v>
      </c>
      <c r="U1030" s="137">
        <v>0</v>
      </c>
      <c r="V1030" s="126" t="str">
        <f t="shared" si="32"/>
        <v>❌ Not on Best Plan</v>
      </c>
      <c r="W1030" s="130">
        <f>IFERROR(_xlfn.XLOOKUP(TEXT(H1030,"0000000000"),'📞 Call Tracker'!A$2:A$2000,'📞 Call Tracker'!B$2:B$2000,""),"")</f>
        <v>0</v>
      </c>
      <c r="X1030" s="96">
        <f>IFERROR(_xlfn.XLOOKUP(TEXT(H1030,"0000000000"),'📞 Call Tracker'!A$2:A$2000,'📞 Call Tracker'!C$2:C$2000,""),"")</f>
        <v>0</v>
      </c>
      <c r="Y1030" s="95">
        <f>IFERROR(_xlfn.XLOOKUP(TEXT(H1030,"0000000000"),'📞 Call Tracker'!A$2:A$2000,'📞 Call Tracker'!D$2:D$2000,""),"")</f>
        <v>0</v>
      </c>
      <c r="Z1030" s="95">
        <f>IFERROR(_xlfn.XLOOKUP(TEXT(H1030,"0000000000"),'📞 Call Tracker'!A$2:A$2000,'📞 Call Tracker'!E$2:E$2000,""),"")</f>
        <v>0</v>
      </c>
      <c r="AA1030" s="145">
        <f>IFERROR(_xlfn.XLOOKUP(TEXT(H1030,"0000000000"),'📞 Call Tracker'!A$2:A$2000,'📞 Call Tracker'!F$2:F$2000,""),"")</f>
        <v>0</v>
      </c>
      <c r="AB1030" s="132">
        <f t="shared" si="33"/>
        <v>99</v>
      </c>
      <c r="AC1030" s="79"/>
    </row>
    <row r="1031" spans="1:29" ht="20.100000000000001" customHeight="1">
      <c r="A1031" s="91">
        <v>46043</v>
      </c>
      <c r="B1031" s="92" t="str">
        <v>Sagadraca</v>
      </c>
      <c r="C1031" s="92" t="str">
        <v>Daniel</v>
      </c>
      <c r="D1031" s="92" t="str">
        <v>Phoenix</v>
      </c>
      <c r="E1031" s="92">
        <v>85013</v>
      </c>
      <c r="F1031" s="137" t="str">
        <v>heavily against this price increase as it will add strain to the rising cost of living</v>
      </c>
      <c r="G1031" s="93" t="str">
        <v>https://docket.images.azcc.gov/E000048791.pdf</v>
      </c>
      <c r="H1031" s="150" t="s">
        <v>6434</v>
      </c>
      <c r="I1031" s="114" t="str">
        <v>R-XS</v>
      </c>
      <c r="J1031" s="94" t="str">
        <v>No</v>
      </c>
      <c r="K1031" s="94" t="str">
        <v>No</v>
      </c>
      <c r="L1031" s="137" t="str">
        <v>Yes</v>
      </c>
      <c r="M1031" s="94" t="str">
        <v>No</v>
      </c>
      <c r="N1031" s="134" t="str">
        <v>No</v>
      </c>
      <c r="O1031" s="119" t="str">
        <v>Yes</v>
      </c>
      <c r="P1031" s="92" t="str">
        <v>N</v>
      </c>
      <c r="Q1031" s="91">
        <v>46049</v>
      </c>
      <c r="R1031" s="140">
        <v>0</v>
      </c>
      <c r="S1031" s="92">
        <v>0</v>
      </c>
      <c r="T1031" s="92">
        <v>0</v>
      </c>
      <c r="U1031" s="137">
        <v>0</v>
      </c>
      <c r="V1031" s="126" t="str">
        <f t="shared" si="32"/>
        <v>✅ On Best Plan</v>
      </c>
      <c r="W1031" s="130">
        <f>IFERROR(_xlfn.XLOOKUP(TEXT(H1031,"0000000000"),'📞 Call Tracker'!A$2:A$2000,'📞 Call Tracker'!B$2:B$2000,""),"")</f>
        <v>0</v>
      </c>
      <c r="X1031" s="96">
        <f>IFERROR(_xlfn.XLOOKUP(TEXT(H1031,"0000000000"),'📞 Call Tracker'!A$2:A$2000,'📞 Call Tracker'!C$2:C$2000,""),"")</f>
        <v>0</v>
      </c>
      <c r="Y1031" s="95">
        <f>IFERROR(_xlfn.XLOOKUP(TEXT(H1031,"0000000000"),'📞 Call Tracker'!A$2:A$2000,'📞 Call Tracker'!D$2:D$2000,""),"")</f>
        <v>0</v>
      </c>
      <c r="Z1031" s="95">
        <f>IFERROR(_xlfn.XLOOKUP(TEXT(H1031,"0000000000"),'📞 Call Tracker'!A$2:A$2000,'📞 Call Tracker'!E$2:E$2000,""),"")</f>
        <v>0</v>
      </c>
      <c r="AA1031" s="145">
        <f>IFERROR(_xlfn.XLOOKUP(TEXT(H1031,"0000000000"),'📞 Call Tracker'!A$2:A$2000,'📞 Call Tracker'!F$2:F$2000,""),"")</f>
        <v>0</v>
      </c>
      <c r="AB1031" s="132">
        <f t="shared" si="33"/>
        <v>99</v>
      </c>
      <c r="AC1031" s="79"/>
    </row>
    <row r="1032" spans="1:29" ht="20.100000000000001" customHeight="1">
      <c r="A1032" s="91">
        <v>46043</v>
      </c>
      <c r="B1032" s="92" t="str">
        <v>Green</v>
      </c>
      <c r="C1032" s="92" t="str">
        <v>Vanessa</v>
      </c>
      <c r="D1032" s="92" t="str">
        <v>Phoenix</v>
      </c>
      <c r="E1032" s="92">
        <v>85027</v>
      </c>
      <c r="F1032" s="137" t="str">
        <v xml:space="preserve">we are already struggling to balance the rising costs of childcare with our monthly utility bills. </v>
      </c>
      <c r="G1032" s="93" t="str">
        <v>https://docket.images.azcc.gov/E000048791.pdf</v>
      </c>
      <c r="H1032" s="150" t="s">
        <v>6435</v>
      </c>
      <c r="I1032" s="114" t="str">
        <v>R-BASICL</v>
      </c>
      <c r="J1032" s="94" t="str">
        <v>No</v>
      </c>
      <c r="K1032" s="94" t="str">
        <v>No</v>
      </c>
      <c r="L1032" s="137" t="str">
        <v>No MEP TOUE-47 ($139.27)</v>
      </c>
      <c r="M1032" s="94" t="str">
        <v>No</v>
      </c>
      <c r="N1032" s="134" t="str">
        <v>No</v>
      </c>
      <c r="O1032" s="119" t="str">
        <v>Yes</v>
      </c>
      <c r="P1032" s="92">
        <v>0</v>
      </c>
      <c r="Q1032" s="91">
        <v>46049</v>
      </c>
      <c r="R1032" s="140" t="str">
        <v>Please contact customer regarding plan options</v>
      </c>
      <c r="S1032" s="92">
        <v>0</v>
      </c>
      <c r="T1032" s="92">
        <v>0</v>
      </c>
      <c r="U1032" s="137">
        <v>0</v>
      </c>
      <c r="V1032" s="126" t="str">
        <f t="shared" si="32"/>
        <v>❌ Not on Best Plan</v>
      </c>
      <c r="W1032" s="130">
        <f>IFERROR(_xlfn.XLOOKUP(TEXT(H1032,"0000000000"),'📞 Call Tracker'!A$2:A$2000,'📞 Call Tracker'!B$2:B$2000,""),"")</f>
        <v>0</v>
      </c>
      <c r="X1032" s="96">
        <f>IFERROR(_xlfn.XLOOKUP(TEXT(H1032,"0000000000"),'📞 Call Tracker'!A$2:A$2000,'📞 Call Tracker'!C$2:C$2000,""),"")</f>
        <v>0</v>
      </c>
      <c r="Y1032" s="95">
        <f>IFERROR(_xlfn.XLOOKUP(TEXT(H1032,"0000000000"),'📞 Call Tracker'!A$2:A$2000,'📞 Call Tracker'!D$2:D$2000,""),"")</f>
        <v>0</v>
      </c>
      <c r="Z1032" s="95">
        <f>IFERROR(_xlfn.XLOOKUP(TEXT(H1032,"0000000000"),'📞 Call Tracker'!A$2:A$2000,'📞 Call Tracker'!E$2:E$2000,""),"")</f>
        <v>0</v>
      </c>
      <c r="AA1032" s="145">
        <f>IFERROR(_xlfn.XLOOKUP(TEXT(H1032,"0000000000"),'📞 Call Tracker'!A$2:A$2000,'📞 Call Tracker'!F$2:F$2000,""),"")</f>
        <v>0</v>
      </c>
      <c r="AB1032" s="132">
        <f t="shared" si="33"/>
        <v>99</v>
      </c>
      <c r="AC1032" s="79"/>
    </row>
    <row r="1033" spans="1:29" ht="20.100000000000001" customHeight="1">
      <c r="A1033" s="91">
        <v>46043</v>
      </c>
      <c r="B1033" s="92" t="str">
        <v>Downs</v>
      </c>
      <c r="C1033" s="92" t="str">
        <v>Jodi</v>
      </c>
      <c r="D1033" s="92" t="str">
        <v>Glendale</v>
      </c>
      <c r="E1033" s="92">
        <v>85301</v>
      </c>
      <c r="F1033" s="137" t="str">
        <v>On a budget and already working 2 jobs to make ends meet, the price hike is nothing but greed.</v>
      </c>
      <c r="G1033" s="93" t="str">
        <v>https://docket.images.azcc.gov/E000048791.pdf</v>
      </c>
      <c r="H1033" s="150" t="s">
        <v>6436</v>
      </c>
      <c r="I1033" s="114" t="str">
        <v>R-BASIC</v>
      </c>
      <c r="J1033" s="94" t="str">
        <v>No</v>
      </c>
      <c r="K1033" s="94" t="str">
        <v>No</v>
      </c>
      <c r="L1033" s="137" t="str">
        <v>No MEP R3-47 ($42.04)</v>
      </c>
      <c r="M1033" s="94" t="str">
        <v>Yes</v>
      </c>
      <c r="N1033" s="134">
        <v>43.34</v>
      </c>
      <c r="O1033" s="119" t="str">
        <v>Yes</v>
      </c>
      <c r="P1033" s="92" t="str">
        <v>N</v>
      </c>
      <c r="Q1033" s="91">
        <v>45684</v>
      </c>
      <c r="R1033" s="140">
        <v>0</v>
      </c>
      <c r="S1033" s="92">
        <v>0</v>
      </c>
      <c r="T1033" s="92">
        <v>0</v>
      </c>
      <c r="U1033" s="137">
        <v>0</v>
      </c>
      <c r="V1033" s="126" t="str">
        <f t="shared" si="32"/>
        <v>❌ Not on Best Plan</v>
      </c>
      <c r="W1033" s="130">
        <f>IFERROR(_xlfn.XLOOKUP(TEXT(H1033,"0000000000"),'📞 Call Tracker'!A$2:A$2000,'📞 Call Tracker'!B$2:B$2000,""),"")</f>
        <v>0</v>
      </c>
      <c r="X1033" s="96">
        <f>IFERROR(_xlfn.XLOOKUP(TEXT(H1033,"0000000000"),'📞 Call Tracker'!A$2:A$2000,'📞 Call Tracker'!C$2:C$2000,""),"")</f>
        <v>0</v>
      </c>
      <c r="Y1033" s="95">
        <f>IFERROR(_xlfn.XLOOKUP(TEXT(H1033,"0000000000"),'📞 Call Tracker'!A$2:A$2000,'📞 Call Tracker'!D$2:D$2000,""),"")</f>
        <v>0</v>
      </c>
      <c r="Z1033" s="95">
        <f>IFERROR(_xlfn.XLOOKUP(TEXT(H1033,"0000000000"),'📞 Call Tracker'!A$2:A$2000,'📞 Call Tracker'!E$2:E$2000,""),"")</f>
        <v>0</v>
      </c>
      <c r="AA1033" s="145">
        <f>IFERROR(_xlfn.XLOOKUP(TEXT(H1033,"0000000000"),'📞 Call Tracker'!A$2:A$2000,'📞 Call Tracker'!F$2:F$2000,""),"")</f>
        <v>0</v>
      </c>
      <c r="AB1033" s="132">
        <f t="shared" si="33"/>
        <v>99</v>
      </c>
      <c r="AC1033" s="79"/>
    </row>
    <row r="1034" spans="1:29" ht="20.100000000000001" customHeight="1">
      <c r="A1034" s="91">
        <v>46043</v>
      </c>
      <c r="B1034" s="92" t="str">
        <v>Bergeron</v>
      </c>
      <c r="C1034" s="92" t="str">
        <v>Rachel</v>
      </c>
      <c r="D1034" s="92" t="str">
        <v>Phoenix</v>
      </c>
      <c r="E1034" s="92">
        <v>85013</v>
      </c>
      <c r="F1034" s="137" t="str">
        <v>Electricity is an essential function of daily life and Arizona Public Service is a monolith in service provision in the valley.</v>
      </c>
      <c r="G1034" s="93" t="str">
        <v>https://docket.images.azcc.gov/E000048791.pdf</v>
      </c>
      <c r="H1034" s="150" t="s">
        <v>6005</v>
      </c>
      <c r="I1034" s="114" t="str">
        <v>R-XS</v>
      </c>
      <c r="J1034" s="94" t="str">
        <v>No</v>
      </c>
      <c r="K1034" s="94" t="str">
        <v>No</v>
      </c>
      <c r="L1034" s="137" t="str">
        <v>Yes</v>
      </c>
      <c r="M1034" s="94" t="str">
        <v>No</v>
      </c>
      <c r="N1034" s="134" t="str">
        <v>No</v>
      </c>
      <c r="O1034" s="119" t="str">
        <v>Yes</v>
      </c>
      <c r="P1034" s="92" t="str">
        <v>N</v>
      </c>
      <c r="Q1034" s="91">
        <v>46049</v>
      </c>
      <c r="R1034" s="140">
        <v>0</v>
      </c>
      <c r="S1034" s="92">
        <v>0</v>
      </c>
      <c r="T1034" s="92">
        <v>0</v>
      </c>
      <c r="U1034" s="137">
        <v>0</v>
      </c>
      <c r="V1034" s="126" t="str">
        <f t="shared" si="32"/>
        <v>✅ On Best Plan</v>
      </c>
      <c r="W1034" s="130">
        <f>IFERROR(_xlfn.XLOOKUP(TEXT(H1034,"0000000000"),'📞 Call Tracker'!A$2:A$2000,'📞 Call Tracker'!B$2:B$2000,""),"")</f>
        <v>0</v>
      </c>
      <c r="X1034" s="96">
        <f>IFERROR(_xlfn.XLOOKUP(TEXT(H1034,"0000000000"),'📞 Call Tracker'!A$2:A$2000,'📞 Call Tracker'!C$2:C$2000,""),"")</f>
        <v>0</v>
      </c>
      <c r="Y1034" s="95">
        <f>IFERROR(_xlfn.XLOOKUP(TEXT(H1034,"0000000000"),'📞 Call Tracker'!A$2:A$2000,'📞 Call Tracker'!D$2:D$2000,""),"")</f>
        <v>0</v>
      </c>
      <c r="Z1034" s="95">
        <f>IFERROR(_xlfn.XLOOKUP(TEXT(H1034,"0000000000"),'📞 Call Tracker'!A$2:A$2000,'📞 Call Tracker'!E$2:E$2000,""),"")</f>
        <v>0</v>
      </c>
      <c r="AA1034" s="145">
        <f>IFERROR(_xlfn.XLOOKUP(TEXT(H1034,"0000000000"),'📞 Call Tracker'!A$2:A$2000,'📞 Call Tracker'!F$2:F$2000,""),"")</f>
        <v>0</v>
      </c>
      <c r="AB1034" s="132">
        <f t="shared" si="33"/>
        <v>99</v>
      </c>
      <c r="AC1034" s="79"/>
    </row>
    <row r="1035" spans="1:29" ht="20.100000000000001" customHeight="1">
      <c r="A1035" s="91">
        <v>46043</v>
      </c>
      <c r="B1035" s="92" t="str">
        <v>Palmer</v>
      </c>
      <c r="C1035" s="92" t="str">
        <v>William III</v>
      </c>
      <c r="D1035" s="92" t="str">
        <v>Peoria</v>
      </c>
      <c r="E1035" s="92">
        <v>85383</v>
      </c>
      <c r="F1035" s="137" t="str">
        <v>Retired, 2,000 sqft home, large solar system, 2 EV. APS is punishing us and h olding us hostage for doing the right thing for the environment</v>
      </c>
      <c r="G1035" s="93" t="str">
        <v>https://docket.images.azcc.gov/E000048819.pdf</v>
      </c>
      <c r="H1035" s="150" t="s">
        <v>6437</v>
      </c>
      <c r="I1035" s="114" t="str">
        <v>REV47</v>
      </c>
      <c r="J1035" s="94" t="str">
        <v>No</v>
      </c>
      <c r="K1035" s="94" t="str">
        <v>No</v>
      </c>
      <c r="L1035" s="137" t="str">
        <v>Yes</v>
      </c>
      <c r="M1035" s="94" t="str">
        <v>No</v>
      </c>
      <c r="N1035" s="134" t="str">
        <v>No</v>
      </c>
      <c r="O1035" s="119" t="str">
        <v>Yes</v>
      </c>
      <c r="P1035" s="92" t="str">
        <v>N</v>
      </c>
      <c r="Q1035" s="91">
        <v>46049</v>
      </c>
      <c r="R1035" s="140" t="str">
        <v>Participated in public comment session on 1/20</v>
      </c>
      <c r="S1035" s="92">
        <v>0</v>
      </c>
      <c r="T1035" s="92">
        <v>0</v>
      </c>
      <c r="U1035" s="137">
        <v>0</v>
      </c>
      <c r="V1035" s="126" t="str">
        <f t="shared" si="32"/>
        <v>✅ On Best Plan</v>
      </c>
      <c r="W1035" s="130">
        <f>IFERROR(_xlfn.XLOOKUP(TEXT(H1035,"0000000000"),'📞 Call Tracker'!A$2:A$2000,'📞 Call Tracker'!B$2:B$2000,""),"")</f>
        <v>0</v>
      </c>
      <c r="X1035" s="96">
        <f>IFERROR(_xlfn.XLOOKUP(TEXT(H1035,"0000000000"),'📞 Call Tracker'!A$2:A$2000,'📞 Call Tracker'!C$2:C$2000,""),"")</f>
        <v>0</v>
      </c>
      <c r="Y1035" s="95">
        <f>IFERROR(_xlfn.XLOOKUP(TEXT(H1035,"0000000000"),'📞 Call Tracker'!A$2:A$2000,'📞 Call Tracker'!D$2:D$2000,""),"")</f>
        <v>0</v>
      </c>
      <c r="Z1035" s="95">
        <f>IFERROR(_xlfn.XLOOKUP(TEXT(H1035,"0000000000"),'📞 Call Tracker'!A$2:A$2000,'📞 Call Tracker'!E$2:E$2000,""),"")</f>
        <v>0</v>
      </c>
      <c r="AA1035" s="145">
        <f>IFERROR(_xlfn.XLOOKUP(TEXT(H1035,"0000000000"),'📞 Call Tracker'!A$2:A$2000,'📞 Call Tracker'!F$2:F$2000,""),"")</f>
        <v>0</v>
      </c>
      <c r="AB1035" s="132">
        <f t="shared" si="33"/>
        <v>99</v>
      </c>
      <c r="AC1035" s="79"/>
    </row>
    <row r="1036" spans="1:29" ht="20.100000000000001" customHeight="1">
      <c r="A1036" s="91">
        <v>46043</v>
      </c>
      <c r="B1036" s="92" t="str">
        <v>Harrington</v>
      </c>
      <c r="C1036" s="92" t="str">
        <v>Matthew</v>
      </c>
      <c r="D1036" s="92" t="str">
        <v>Goodyear</v>
      </c>
      <c r="E1036" s="92">
        <v>85395</v>
      </c>
      <c r="F1036" s="137" t="str">
        <v>APS's proposed 14% rate hike is an erroneous and unjustified increase that places unnecessary financial strain on the residents</v>
      </c>
      <c r="G1036" s="93" t="str">
        <v>https://docket.images.azcc.gov/E000048819.pdf</v>
      </c>
      <c r="H1036" s="150" t="s">
        <v>6438</v>
      </c>
      <c r="I1036" s="114" t="str">
        <v>RCPw/R3-47</v>
      </c>
      <c r="J1036" s="94" t="str">
        <v>No</v>
      </c>
      <c r="K1036" s="94" t="str">
        <v>No</v>
      </c>
      <c r="L1036" s="137" t="str">
        <v>Yes</v>
      </c>
      <c r="M1036" s="94" t="str">
        <v>No</v>
      </c>
      <c r="N1036" s="134" t="str">
        <v>No</v>
      </c>
      <c r="O1036" s="119" t="str">
        <v>Yes</v>
      </c>
      <c r="P1036" s="92" t="str">
        <v>N</v>
      </c>
      <c r="Q1036" s="91">
        <v>46049</v>
      </c>
      <c r="R1036" s="140">
        <v>0</v>
      </c>
      <c r="S1036" s="92">
        <v>0</v>
      </c>
      <c r="T1036" s="92">
        <v>0</v>
      </c>
      <c r="U1036" s="137">
        <v>0</v>
      </c>
      <c r="V1036" s="126" t="str">
        <f t="shared" si="32"/>
        <v>✅ On Best Plan</v>
      </c>
      <c r="W1036" s="130">
        <f>IFERROR(_xlfn.XLOOKUP(TEXT(H1036,"0000000000"),'📞 Call Tracker'!A$2:A$2000,'📞 Call Tracker'!B$2:B$2000,""),"")</f>
        <v>0</v>
      </c>
      <c r="X1036" s="96">
        <f>IFERROR(_xlfn.XLOOKUP(TEXT(H1036,"0000000000"),'📞 Call Tracker'!A$2:A$2000,'📞 Call Tracker'!C$2:C$2000,""),"")</f>
        <v>0</v>
      </c>
      <c r="Y1036" s="95">
        <f>IFERROR(_xlfn.XLOOKUP(TEXT(H1036,"0000000000"),'📞 Call Tracker'!A$2:A$2000,'📞 Call Tracker'!D$2:D$2000,""),"")</f>
        <v>0</v>
      </c>
      <c r="Z1036" s="95">
        <f>IFERROR(_xlfn.XLOOKUP(TEXT(H1036,"0000000000"),'📞 Call Tracker'!A$2:A$2000,'📞 Call Tracker'!E$2:E$2000,""),"")</f>
        <v>0</v>
      </c>
      <c r="AA1036" s="145">
        <f>IFERROR(_xlfn.XLOOKUP(TEXT(H1036,"0000000000"),'📞 Call Tracker'!A$2:A$2000,'📞 Call Tracker'!F$2:F$2000,""),"")</f>
        <v>0</v>
      </c>
      <c r="AB1036" s="132">
        <f t="shared" si="33"/>
        <v>99</v>
      </c>
      <c r="AC1036" s="79"/>
    </row>
    <row r="1037" spans="1:29" ht="20.100000000000001" customHeight="1">
      <c r="A1037" s="91">
        <v>46043</v>
      </c>
      <c r="B1037" s="92" t="str">
        <v>Gonzales</v>
      </c>
      <c r="C1037" s="92" t="str">
        <v xml:space="preserve">Gabriel </v>
      </c>
      <c r="D1037" s="92" t="str">
        <v>Surprise</v>
      </c>
      <c r="E1037" s="92">
        <v>85379</v>
      </c>
      <c r="F1037" s="137" t="str">
        <v xml:space="preserve">Prices are outrageous and 4 or 5 increases in 5 years is disgraceful and completely shows it's about just money. Old boyz club. </v>
      </c>
      <c r="G1037" s="93" t="str">
        <v>https://docket.images.azcc.gov/E000048819.pdf</v>
      </c>
      <c r="H1037" s="150" t="s">
        <v>6439</v>
      </c>
      <c r="I1037" s="114" t="str">
        <v>R3-47</v>
      </c>
      <c r="J1037" s="94" t="str">
        <v>No</v>
      </c>
      <c r="K1037" s="94" t="str">
        <v>No</v>
      </c>
      <c r="L1037" s="137" t="str">
        <v>Yes</v>
      </c>
      <c r="M1037" s="94" t="str">
        <v>No</v>
      </c>
      <c r="N1037" s="134" t="str">
        <v>No</v>
      </c>
      <c r="O1037" s="119" t="str">
        <v>Yes</v>
      </c>
      <c r="P1037" s="92" t="str">
        <v>N</v>
      </c>
      <c r="Q1037" s="91">
        <v>46049</v>
      </c>
      <c r="R1037" s="140">
        <v>0</v>
      </c>
      <c r="S1037" s="92">
        <v>0</v>
      </c>
      <c r="T1037" s="92">
        <v>0</v>
      </c>
      <c r="U1037" s="137">
        <v>0</v>
      </c>
      <c r="V1037" s="126" t="str">
        <f t="shared" si="32"/>
        <v>✅ On Best Plan</v>
      </c>
      <c r="W1037" s="130">
        <f>IFERROR(_xlfn.XLOOKUP(TEXT(H1037,"0000000000"),'📞 Call Tracker'!A$2:A$2000,'📞 Call Tracker'!B$2:B$2000,""),"")</f>
        <v>0</v>
      </c>
      <c r="X1037" s="96">
        <f>IFERROR(_xlfn.XLOOKUP(TEXT(H1037,"0000000000"),'📞 Call Tracker'!A$2:A$2000,'📞 Call Tracker'!C$2:C$2000,""),"")</f>
        <v>0</v>
      </c>
      <c r="Y1037" s="95">
        <f>IFERROR(_xlfn.XLOOKUP(TEXT(H1037,"0000000000"),'📞 Call Tracker'!A$2:A$2000,'📞 Call Tracker'!D$2:D$2000,""),"")</f>
        <v>0</v>
      </c>
      <c r="Z1037" s="95">
        <f>IFERROR(_xlfn.XLOOKUP(TEXT(H1037,"0000000000"),'📞 Call Tracker'!A$2:A$2000,'📞 Call Tracker'!E$2:E$2000,""),"")</f>
        <v>0</v>
      </c>
      <c r="AA1037" s="145">
        <f>IFERROR(_xlfn.XLOOKUP(TEXT(H1037,"0000000000"),'📞 Call Tracker'!A$2:A$2000,'📞 Call Tracker'!F$2:F$2000,""),"")</f>
        <v>0</v>
      </c>
      <c r="AB1037" s="132">
        <f t="shared" si="33"/>
        <v>99</v>
      </c>
      <c r="AC1037" s="79"/>
    </row>
    <row r="1038" spans="1:29" ht="20.100000000000001" customHeight="1">
      <c r="A1038" s="91">
        <v>46043</v>
      </c>
      <c r="B1038" s="92" t="str">
        <v>Courtney</v>
      </c>
      <c r="C1038" s="92" t="str">
        <v>Paul</v>
      </c>
      <c r="D1038" s="92" t="str">
        <v>Phoenix</v>
      </c>
      <c r="E1038" s="92">
        <v>85022</v>
      </c>
      <c r="F1038" s="137" t="str">
        <v>At what time do we expect APS to reinvest their own profits to upgrade infrastructure?</v>
      </c>
      <c r="G1038" s="93" t="str">
        <v>https://docket.images.azcc.gov/E000048819.pdf</v>
      </c>
      <c r="H1038" s="150" t="s">
        <v>6440</v>
      </c>
      <c r="I1038" s="114" t="str">
        <v>R-BASIC</v>
      </c>
      <c r="J1038" s="94" t="str">
        <v>No</v>
      </c>
      <c r="K1038" s="94" t="str">
        <v>No</v>
      </c>
      <c r="L1038" s="137" t="str">
        <v>No MEP R3-47 ($55.05)</v>
      </c>
      <c r="M1038" s="94" t="str">
        <v>No</v>
      </c>
      <c r="N1038" s="134" t="str">
        <v>No</v>
      </c>
      <c r="O1038" s="119" t="str">
        <v>Yes</v>
      </c>
      <c r="P1038" s="92" t="str">
        <v>N</v>
      </c>
      <c r="Q1038" s="91">
        <v>46049</v>
      </c>
      <c r="R1038" s="140">
        <v>0</v>
      </c>
      <c r="S1038" s="92">
        <v>0</v>
      </c>
      <c r="T1038" s="92">
        <v>0</v>
      </c>
      <c r="U1038" s="137">
        <v>0</v>
      </c>
      <c r="V1038" s="126" t="str">
        <f t="shared" si="32"/>
        <v>❌ Not on Best Plan</v>
      </c>
      <c r="W1038" s="130">
        <f>IFERROR(_xlfn.XLOOKUP(TEXT(H1038,"0000000000"),'📞 Call Tracker'!A$2:A$2000,'📞 Call Tracker'!B$2:B$2000,""),"")</f>
        <v>0</v>
      </c>
      <c r="X1038" s="96">
        <f>IFERROR(_xlfn.XLOOKUP(TEXT(H1038,"0000000000"),'📞 Call Tracker'!A$2:A$2000,'📞 Call Tracker'!C$2:C$2000,""),"")</f>
        <v>0</v>
      </c>
      <c r="Y1038" s="95">
        <f>IFERROR(_xlfn.XLOOKUP(TEXT(H1038,"0000000000"),'📞 Call Tracker'!A$2:A$2000,'📞 Call Tracker'!D$2:D$2000,""),"")</f>
        <v>0</v>
      </c>
      <c r="Z1038" s="95">
        <f>IFERROR(_xlfn.XLOOKUP(TEXT(H1038,"0000000000"),'📞 Call Tracker'!A$2:A$2000,'📞 Call Tracker'!E$2:E$2000,""),"")</f>
        <v>0</v>
      </c>
      <c r="AA1038" s="145">
        <f>IFERROR(_xlfn.XLOOKUP(TEXT(H1038,"0000000000"),'📞 Call Tracker'!A$2:A$2000,'📞 Call Tracker'!F$2:F$2000,""),"")</f>
        <v>0</v>
      </c>
      <c r="AB1038" s="132">
        <f t="shared" si="33"/>
        <v>99</v>
      </c>
      <c r="AC1038" s="79"/>
    </row>
    <row r="1039" spans="1:29" ht="20.100000000000001" customHeight="1">
      <c r="A1039" s="91">
        <v>46043</v>
      </c>
      <c r="B1039" s="92" t="str">
        <v>Donovan</v>
      </c>
      <c r="C1039" s="92" t="str">
        <v>Tricia</v>
      </c>
      <c r="D1039" s="92" t="str">
        <v>Surprise</v>
      </c>
      <c r="E1039" s="92">
        <v>85379</v>
      </c>
      <c r="F1039" s="137" t="str">
        <v xml:space="preserve">These rate increases are unsubstantiated on a consumer level. There should be an adjusted rate for the corporation over a certain size against the homeowner. </v>
      </c>
      <c r="G1039" s="93" t="str">
        <v>https://docket.images.azcc.gov/E000048819.pdf</v>
      </c>
      <c r="H1039" s="150" t="s">
        <v>6441</v>
      </c>
      <c r="I1039" s="114" t="str">
        <v>RCPw/TOUE47</v>
      </c>
      <c r="J1039" s="94" t="str">
        <v>No</v>
      </c>
      <c r="K1039" s="94" t="str">
        <v>No</v>
      </c>
      <c r="L1039" s="137" t="str">
        <v>Yes</v>
      </c>
      <c r="M1039" s="94" t="str">
        <v>No</v>
      </c>
      <c r="N1039" s="134" t="str">
        <v>No</v>
      </c>
      <c r="O1039" s="119" t="str">
        <v>Yes</v>
      </c>
      <c r="P1039" s="92" t="str">
        <v>N</v>
      </c>
      <c r="Q1039" s="91">
        <v>46049</v>
      </c>
      <c r="R1039" s="140">
        <v>0</v>
      </c>
      <c r="S1039" s="92">
        <v>0</v>
      </c>
      <c r="T1039" s="92">
        <v>0</v>
      </c>
      <c r="U1039" s="137">
        <v>0</v>
      </c>
      <c r="V1039" s="126" t="str">
        <f t="shared" si="32"/>
        <v>✅ On Best Plan</v>
      </c>
      <c r="W1039" s="130">
        <f>IFERROR(_xlfn.XLOOKUP(TEXT(H1039,"0000000000"),'📞 Call Tracker'!A$2:A$2000,'📞 Call Tracker'!B$2:B$2000,""),"")</f>
        <v>0</v>
      </c>
      <c r="X1039" s="96">
        <f>IFERROR(_xlfn.XLOOKUP(TEXT(H1039,"0000000000"),'📞 Call Tracker'!A$2:A$2000,'📞 Call Tracker'!C$2:C$2000,""),"")</f>
        <v>0</v>
      </c>
      <c r="Y1039" s="95">
        <f>IFERROR(_xlfn.XLOOKUP(TEXT(H1039,"0000000000"),'📞 Call Tracker'!A$2:A$2000,'📞 Call Tracker'!D$2:D$2000,""),"")</f>
        <v>0</v>
      </c>
      <c r="Z1039" s="95">
        <f>IFERROR(_xlfn.XLOOKUP(TEXT(H1039,"0000000000"),'📞 Call Tracker'!A$2:A$2000,'📞 Call Tracker'!E$2:E$2000,""),"")</f>
        <v>0</v>
      </c>
      <c r="AA1039" s="145">
        <f>IFERROR(_xlfn.XLOOKUP(TEXT(H1039,"0000000000"),'📞 Call Tracker'!A$2:A$2000,'📞 Call Tracker'!F$2:F$2000,""),"")</f>
        <v>0</v>
      </c>
      <c r="AB1039" s="132">
        <f t="shared" si="33"/>
        <v>99</v>
      </c>
      <c r="AC1039" s="79"/>
    </row>
    <row r="1040" spans="1:29" ht="20.100000000000001" customHeight="1">
      <c r="A1040" s="91">
        <v>46043</v>
      </c>
      <c r="B1040" s="92" t="str">
        <v>Cupp</v>
      </c>
      <c r="C1040" s="92" t="str">
        <v>Eva</v>
      </c>
      <c r="D1040" s="92" t="str">
        <v>Surprise</v>
      </c>
      <c r="E1040" s="92">
        <v>85379</v>
      </c>
      <c r="F1040" s="137" t="str">
        <v>I am against any further hikes or increases in cost for electricity</v>
      </c>
      <c r="G1040" s="93" t="str">
        <v>https://docket.images.azcc.gov/E000048819.pdf</v>
      </c>
      <c r="H1040" s="150" t="s">
        <v>6442</v>
      </c>
      <c r="I1040" s="114" t="str">
        <v>R3-47</v>
      </c>
      <c r="J1040" s="94" t="str">
        <v>No</v>
      </c>
      <c r="K1040" s="94" t="str">
        <v>No</v>
      </c>
      <c r="L1040" s="137" t="str">
        <v>Yes</v>
      </c>
      <c r="M1040" s="94" t="str">
        <v>No</v>
      </c>
      <c r="N1040" s="134" t="str">
        <v>No</v>
      </c>
      <c r="O1040" s="119" t="str">
        <v>Yes</v>
      </c>
      <c r="P1040" s="92" t="str">
        <v>N</v>
      </c>
      <c r="Q1040" s="91">
        <v>46049</v>
      </c>
      <c r="R1040" s="140">
        <v>0</v>
      </c>
      <c r="S1040" s="92">
        <v>0</v>
      </c>
      <c r="T1040" s="92">
        <v>0</v>
      </c>
      <c r="U1040" s="137">
        <v>0</v>
      </c>
      <c r="V1040" s="126" t="str">
        <f t="shared" si="32"/>
        <v>✅ On Best Plan</v>
      </c>
      <c r="W1040" s="130">
        <f>IFERROR(_xlfn.XLOOKUP(TEXT(H1040,"0000000000"),'📞 Call Tracker'!A$2:A$2000,'📞 Call Tracker'!B$2:B$2000,""),"")</f>
        <v>0</v>
      </c>
      <c r="X1040" s="96">
        <f>IFERROR(_xlfn.XLOOKUP(TEXT(H1040,"0000000000"),'📞 Call Tracker'!A$2:A$2000,'📞 Call Tracker'!C$2:C$2000,""),"")</f>
        <v>0</v>
      </c>
      <c r="Y1040" s="95">
        <f>IFERROR(_xlfn.XLOOKUP(TEXT(H1040,"0000000000"),'📞 Call Tracker'!A$2:A$2000,'📞 Call Tracker'!D$2:D$2000,""),"")</f>
        <v>0</v>
      </c>
      <c r="Z1040" s="95">
        <f>IFERROR(_xlfn.XLOOKUP(TEXT(H1040,"0000000000"),'📞 Call Tracker'!A$2:A$2000,'📞 Call Tracker'!E$2:E$2000,""),"")</f>
        <v>0</v>
      </c>
      <c r="AA1040" s="145">
        <f>IFERROR(_xlfn.XLOOKUP(TEXT(H1040,"0000000000"),'📞 Call Tracker'!A$2:A$2000,'📞 Call Tracker'!F$2:F$2000,""),"")</f>
        <v>0</v>
      </c>
      <c r="AB1040" s="132">
        <f t="shared" si="33"/>
        <v>99</v>
      </c>
      <c r="AC1040" s="79"/>
    </row>
    <row r="1041" spans="1:29" ht="20.100000000000001" customHeight="1">
      <c r="A1041" s="91">
        <v>46043</v>
      </c>
      <c r="B1041" s="92" t="str">
        <v>Duesbury</v>
      </c>
      <c r="C1041" s="92" t="str">
        <v>Andrew</v>
      </c>
      <c r="D1041" s="92" t="str">
        <v>Florence</v>
      </c>
      <c r="E1041" s="92">
        <v>85132</v>
      </c>
      <c r="F1041" s="137" t="str">
        <v>As a senior on a fixed income, I cannot afford another rate hike by APS especially after they have gotten two in the last few years</v>
      </c>
      <c r="G1041" s="93" t="str">
        <v>https://docket.images.azcc.gov/E000048819.pdf</v>
      </c>
      <c r="H1041" s="150" t="s">
        <v>6443</v>
      </c>
      <c r="I1041" s="114" t="str">
        <v>RCPw/TOUE47</v>
      </c>
      <c r="J1041" s="94" t="str">
        <v>No</v>
      </c>
      <c r="K1041" s="94" t="str">
        <v>No</v>
      </c>
      <c r="L1041" s="137" t="str">
        <v>Yes</v>
      </c>
      <c r="M1041" s="94" t="str">
        <v>No</v>
      </c>
      <c r="N1041" s="134" t="str">
        <v>No</v>
      </c>
      <c r="O1041" s="119" t="str">
        <v>Yes</v>
      </c>
      <c r="P1041" s="92" t="str">
        <v>N</v>
      </c>
      <c r="Q1041" s="91">
        <v>46049</v>
      </c>
      <c r="R1041" s="140">
        <v>0</v>
      </c>
      <c r="S1041" s="92">
        <v>0</v>
      </c>
      <c r="T1041" s="92">
        <v>0</v>
      </c>
      <c r="U1041" s="137">
        <v>0</v>
      </c>
      <c r="V1041" s="126" t="str">
        <f t="shared" si="32"/>
        <v>✅ On Best Plan</v>
      </c>
      <c r="W1041" s="130">
        <f>IFERROR(_xlfn.XLOOKUP(TEXT(H1041,"0000000000"),'📞 Call Tracker'!A$2:A$2000,'📞 Call Tracker'!B$2:B$2000,""),"")</f>
        <v>0</v>
      </c>
      <c r="X1041" s="96">
        <f>IFERROR(_xlfn.XLOOKUP(TEXT(H1041,"0000000000"),'📞 Call Tracker'!A$2:A$2000,'📞 Call Tracker'!C$2:C$2000,""),"")</f>
        <v>0</v>
      </c>
      <c r="Y1041" s="95">
        <f>IFERROR(_xlfn.XLOOKUP(TEXT(H1041,"0000000000"),'📞 Call Tracker'!A$2:A$2000,'📞 Call Tracker'!D$2:D$2000,""),"")</f>
        <v>0</v>
      </c>
      <c r="Z1041" s="95">
        <f>IFERROR(_xlfn.XLOOKUP(TEXT(H1041,"0000000000"),'📞 Call Tracker'!A$2:A$2000,'📞 Call Tracker'!E$2:E$2000,""),"")</f>
        <v>0</v>
      </c>
      <c r="AA1041" s="145">
        <f>IFERROR(_xlfn.XLOOKUP(TEXT(H1041,"0000000000"),'📞 Call Tracker'!A$2:A$2000,'📞 Call Tracker'!F$2:F$2000,""),"")</f>
        <v>0</v>
      </c>
      <c r="AB1041" s="132">
        <f t="shared" si="33"/>
        <v>99</v>
      </c>
      <c r="AC1041" s="79"/>
    </row>
    <row r="1042" spans="1:29" ht="20.100000000000001" customHeight="1">
      <c r="A1042" s="91">
        <v>46043</v>
      </c>
      <c r="B1042" s="92" t="str">
        <v>Marquez</v>
      </c>
      <c r="C1042" s="92" t="str">
        <v>Vanessa</v>
      </c>
      <c r="D1042" s="92" t="str">
        <v>Tempe</v>
      </c>
      <c r="E1042" s="92">
        <v>85281</v>
      </c>
      <c r="F1042" s="137" t="str">
        <v>people cannot afford another APS price hike. We live in the desert, and to this company all you see is dollar signs. YOU GUYS SUCK IF YOU INCREASE MORE RATES</v>
      </c>
      <c r="G1042" s="93" t="str">
        <v>https://docket.images.azcc.gov/E000048819.pdf</v>
      </c>
      <c r="H1042" s="150" t="s">
        <v>6444</v>
      </c>
      <c r="I1042" s="114" t="str">
        <v>R-BASICL</v>
      </c>
      <c r="J1042" s="94" t="str">
        <v>Yes</v>
      </c>
      <c r="K1042" s="94" t="str">
        <v>No</v>
      </c>
      <c r="L1042" s="137" t="str">
        <v>No MEP RTOUE47 ($27.85)</v>
      </c>
      <c r="M1042" s="94" t="str">
        <v>No</v>
      </c>
      <c r="N1042" s="134" t="str">
        <v>No</v>
      </c>
      <c r="O1042" s="119" t="str">
        <v>Yes</v>
      </c>
      <c r="P1042" s="92" t="str">
        <v>N</v>
      </c>
      <c r="Q1042" s="91">
        <v>46049</v>
      </c>
      <c r="R1042" s="140">
        <v>0</v>
      </c>
      <c r="S1042" s="92">
        <v>0</v>
      </c>
      <c r="T1042" s="92">
        <v>0</v>
      </c>
      <c r="U1042" s="137">
        <v>0</v>
      </c>
      <c r="V1042" s="126" t="str">
        <f t="shared" si="32"/>
        <v>❌ Not on Best Plan</v>
      </c>
      <c r="W1042" s="130">
        <f>IFERROR(_xlfn.XLOOKUP(TEXT(H1042,"0000000000"),'📞 Call Tracker'!A$2:A$2000,'📞 Call Tracker'!B$2:B$2000,""),"")</f>
        <v>0</v>
      </c>
      <c r="X1042" s="96">
        <f>IFERROR(_xlfn.XLOOKUP(TEXT(H1042,"0000000000"),'📞 Call Tracker'!A$2:A$2000,'📞 Call Tracker'!C$2:C$2000,""),"")</f>
        <v>0</v>
      </c>
      <c r="Y1042" s="95">
        <f>IFERROR(_xlfn.XLOOKUP(TEXT(H1042,"0000000000"),'📞 Call Tracker'!A$2:A$2000,'📞 Call Tracker'!D$2:D$2000,""),"")</f>
        <v>0</v>
      </c>
      <c r="Z1042" s="95">
        <f>IFERROR(_xlfn.XLOOKUP(TEXT(H1042,"0000000000"),'📞 Call Tracker'!A$2:A$2000,'📞 Call Tracker'!E$2:E$2000,""),"")</f>
        <v>0</v>
      </c>
      <c r="AA1042" s="145">
        <f>IFERROR(_xlfn.XLOOKUP(TEXT(H1042,"0000000000"),'📞 Call Tracker'!A$2:A$2000,'📞 Call Tracker'!F$2:F$2000,""),"")</f>
        <v>0</v>
      </c>
      <c r="AB1042" s="132">
        <f t="shared" si="33"/>
        <v>99</v>
      </c>
      <c r="AC1042" s="79"/>
    </row>
    <row r="1043" spans="1:29" ht="20.100000000000001" customHeight="1">
      <c r="A1043" s="91">
        <v>46043</v>
      </c>
      <c r="B1043" s="92" t="str">
        <v>Musselman</v>
      </c>
      <c r="C1043" s="92" t="str">
        <v>Williametta</v>
      </c>
      <c r="D1043" s="92" t="str">
        <v>Phoenix</v>
      </c>
      <c r="E1043" s="92">
        <v>85027</v>
      </c>
      <c r="F1043" s="137" t="str">
        <v xml:space="preserve">We purchased solar many  years ago. Now we hear APS wants to double the rate for solar customers. Why? </v>
      </c>
      <c r="G1043" s="93" t="str">
        <v>https://docket.images.azcc.gov/E000048819.pdf</v>
      </c>
      <c r="H1043" s="150" t="s">
        <v>6445</v>
      </c>
      <c r="I1043" s="114" t="str">
        <v>EPR6w/ET-1</v>
      </c>
      <c r="J1043" s="94" t="str">
        <v>No</v>
      </c>
      <c r="K1043" s="94" t="str">
        <v>No</v>
      </c>
      <c r="L1043" s="137" t="str">
        <v>Yes</v>
      </c>
      <c r="M1043" s="94" t="str">
        <v>No</v>
      </c>
      <c r="N1043" s="134" t="str">
        <v>No</v>
      </c>
      <c r="O1043" s="119" t="str">
        <v>Yes</v>
      </c>
      <c r="P1043" s="92" t="str">
        <v>N</v>
      </c>
      <c r="Q1043" s="91">
        <v>46049</v>
      </c>
      <c r="R1043" s="140">
        <v>0</v>
      </c>
      <c r="S1043" s="92">
        <v>0</v>
      </c>
      <c r="T1043" s="92">
        <v>0</v>
      </c>
      <c r="U1043" s="137">
        <v>0</v>
      </c>
      <c r="V1043" s="126" t="str">
        <f t="shared" si="32"/>
        <v>✅ On Best Plan</v>
      </c>
      <c r="W1043" s="130">
        <f>IFERROR(_xlfn.XLOOKUP(TEXT(H1043,"0000000000"),'📞 Call Tracker'!A$2:A$2000,'📞 Call Tracker'!B$2:B$2000,""),"")</f>
        <v>0</v>
      </c>
      <c r="X1043" s="96">
        <f>IFERROR(_xlfn.XLOOKUP(TEXT(H1043,"0000000000"),'📞 Call Tracker'!A$2:A$2000,'📞 Call Tracker'!C$2:C$2000,""),"")</f>
        <v>0</v>
      </c>
      <c r="Y1043" s="95">
        <f>IFERROR(_xlfn.XLOOKUP(TEXT(H1043,"0000000000"),'📞 Call Tracker'!A$2:A$2000,'📞 Call Tracker'!D$2:D$2000,""),"")</f>
        <v>0</v>
      </c>
      <c r="Z1043" s="95">
        <f>IFERROR(_xlfn.XLOOKUP(TEXT(H1043,"0000000000"),'📞 Call Tracker'!A$2:A$2000,'📞 Call Tracker'!E$2:E$2000,""),"")</f>
        <v>0</v>
      </c>
      <c r="AA1043" s="145">
        <f>IFERROR(_xlfn.XLOOKUP(TEXT(H1043,"0000000000"),'📞 Call Tracker'!A$2:A$2000,'📞 Call Tracker'!F$2:F$2000,""),"")</f>
        <v>0</v>
      </c>
      <c r="AB1043" s="132">
        <f t="shared" si="33"/>
        <v>99</v>
      </c>
      <c r="AC1043" s="79"/>
    </row>
    <row r="1044" spans="1:29" ht="20.100000000000001" customHeight="1">
      <c r="A1044" s="91">
        <v>46043</v>
      </c>
      <c r="B1044" s="92" t="str">
        <v xml:space="preserve">Horton </v>
      </c>
      <c r="C1044" s="92" t="str">
        <v>Daryl</v>
      </c>
      <c r="D1044" s="92" t="str">
        <v>Phoenix</v>
      </c>
      <c r="E1044" s="92">
        <v>85003</v>
      </c>
      <c r="F1044" s="137" t="str">
        <v xml:space="preserve">Arizonans are struggling with costs for housing, food, and other essentials. This increase is unjust and unreasonable. The Proposed FRM is a blank check. </v>
      </c>
      <c r="G1044" s="93" t="str">
        <v>https://docket.images.azcc.gov/E000048819.pdf</v>
      </c>
      <c r="H1044" s="150" t="s">
        <v>6446</v>
      </c>
      <c r="I1044" s="114" t="str">
        <v>R3-47</v>
      </c>
      <c r="J1044" s="94" t="str">
        <v>No</v>
      </c>
      <c r="K1044" s="94" t="str">
        <v>No</v>
      </c>
      <c r="L1044" s="137" t="str">
        <v>Yes</v>
      </c>
      <c r="M1044" s="94" t="str">
        <v>No</v>
      </c>
      <c r="N1044" s="134" t="str">
        <v>No</v>
      </c>
      <c r="O1044" s="119" t="str">
        <v>Yes</v>
      </c>
      <c r="P1044" s="92" t="str">
        <v>N</v>
      </c>
      <c r="Q1044" s="91">
        <v>46050</v>
      </c>
      <c r="R1044" s="140">
        <v>0</v>
      </c>
      <c r="S1044" s="92">
        <v>0</v>
      </c>
      <c r="T1044" s="92">
        <v>0</v>
      </c>
      <c r="U1044" s="137">
        <v>0</v>
      </c>
      <c r="V1044" s="126" t="str">
        <f t="shared" si="32"/>
        <v>✅ On Best Plan</v>
      </c>
      <c r="W1044" s="130">
        <f>IFERROR(_xlfn.XLOOKUP(TEXT(H1044,"0000000000"),'📞 Call Tracker'!A$2:A$2000,'📞 Call Tracker'!B$2:B$2000,""),"")</f>
        <v>0</v>
      </c>
      <c r="X1044" s="96">
        <f>IFERROR(_xlfn.XLOOKUP(TEXT(H1044,"0000000000"),'📞 Call Tracker'!A$2:A$2000,'📞 Call Tracker'!C$2:C$2000,""),"")</f>
        <v>0</v>
      </c>
      <c r="Y1044" s="95">
        <f>IFERROR(_xlfn.XLOOKUP(TEXT(H1044,"0000000000"),'📞 Call Tracker'!A$2:A$2000,'📞 Call Tracker'!D$2:D$2000,""),"")</f>
        <v>0</v>
      </c>
      <c r="Z1044" s="95">
        <f>IFERROR(_xlfn.XLOOKUP(TEXT(H1044,"0000000000"),'📞 Call Tracker'!A$2:A$2000,'📞 Call Tracker'!E$2:E$2000,""),"")</f>
        <v>0</v>
      </c>
      <c r="AA1044" s="145">
        <f>IFERROR(_xlfn.XLOOKUP(TEXT(H1044,"0000000000"),'📞 Call Tracker'!A$2:A$2000,'📞 Call Tracker'!F$2:F$2000,""),"")</f>
        <v>0</v>
      </c>
      <c r="AB1044" s="132">
        <f t="shared" si="33"/>
        <v>99</v>
      </c>
      <c r="AC1044" s="79"/>
    </row>
    <row r="1045" spans="1:29" ht="20.100000000000001" customHeight="1">
      <c r="A1045" s="91">
        <v>46043</v>
      </c>
      <c r="B1045" s="92" t="str">
        <v>Berger</v>
      </c>
      <c r="C1045" s="92" t="str">
        <v>Madison</v>
      </c>
      <c r="D1045" s="92" t="str">
        <v xml:space="preserve">Phoenix </v>
      </c>
      <c r="E1045" s="92">
        <v>85013</v>
      </c>
      <c r="F1045" s="137" t="str">
        <v>Oppose -rate was just increased less than 2 years ago</v>
      </c>
      <c r="G1045" s="93" t="str">
        <v>https://docket.images.azcc.gov/E000048819.pdf</v>
      </c>
      <c r="H1045" s="150" t="s">
        <v>6447</v>
      </c>
      <c r="I1045" s="114" t="str">
        <v>RTOUE47</v>
      </c>
      <c r="J1045" s="94" t="str">
        <v>No</v>
      </c>
      <c r="K1045" s="94" t="str">
        <v>No</v>
      </c>
      <c r="L1045" s="137" t="str">
        <v>No MEP R3-47 ($311.33)</v>
      </c>
      <c r="M1045" s="94" t="str">
        <v>No</v>
      </c>
      <c r="N1045" s="134" t="str">
        <v>No</v>
      </c>
      <c r="O1045" s="119" t="str">
        <v>Yes</v>
      </c>
      <c r="P1045" s="92">
        <v>0</v>
      </c>
      <c r="Q1045" s="91">
        <v>46050</v>
      </c>
      <c r="R1045" s="140" t="str">
        <v>Please contact customer regarding plan options and additional assistance programs</v>
      </c>
      <c r="S1045" s="92">
        <v>0</v>
      </c>
      <c r="T1045" s="92">
        <v>0</v>
      </c>
      <c r="U1045" s="137">
        <v>0</v>
      </c>
      <c r="V1045" s="126" t="str">
        <f t="shared" si="32"/>
        <v>❌ Not on Best Plan</v>
      </c>
      <c r="W1045" s="130">
        <f>IFERROR(_xlfn.XLOOKUP(TEXT(H1045,"0000000000"),'📞 Call Tracker'!A$2:A$2000,'📞 Call Tracker'!B$2:B$2000,""),"")</f>
        <v>0</v>
      </c>
      <c r="X1045" s="96">
        <f>IFERROR(_xlfn.XLOOKUP(TEXT(H1045,"0000000000"),'📞 Call Tracker'!A$2:A$2000,'📞 Call Tracker'!C$2:C$2000,""),"")</f>
        <v>0</v>
      </c>
      <c r="Y1045" s="95">
        <f>IFERROR(_xlfn.XLOOKUP(TEXT(H1045,"0000000000"),'📞 Call Tracker'!A$2:A$2000,'📞 Call Tracker'!D$2:D$2000,""),"")</f>
        <v>0</v>
      </c>
      <c r="Z1045" s="95">
        <f>IFERROR(_xlfn.XLOOKUP(TEXT(H1045,"0000000000"),'📞 Call Tracker'!A$2:A$2000,'📞 Call Tracker'!E$2:E$2000,""),"")</f>
        <v>0</v>
      </c>
      <c r="AA1045" s="145">
        <f>IFERROR(_xlfn.XLOOKUP(TEXT(H1045,"0000000000"),'📞 Call Tracker'!A$2:A$2000,'📞 Call Tracker'!F$2:F$2000,""),"")</f>
        <v>0</v>
      </c>
      <c r="AB1045" s="132">
        <f t="shared" si="33"/>
        <v>99</v>
      </c>
      <c r="AC1045" s="79"/>
    </row>
    <row r="1046" spans="1:29" ht="20.100000000000001" customHeight="1">
      <c r="A1046" s="91">
        <v>46043</v>
      </c>
      <c r="B1046" s="92" t="str">
        <v>Tocco</v>
      </c>
      <c r="C1046" s="92" t="str">
        <v>Hailee</v>
      </c>
      <c r="D1046" s="92" t="str">
        <v>Goodyear</v>
      </c>
      <c r="E1046" s="92">
        <v>85338</v>
      </c>
      <c r="F1046" s="137" t="str">
        <v xml:space="preserve">households are already struggling with rising costs for housing, food, healthcare, and fuel. Wages have not increased at the same pace as utility costs. </v>
      </c>
      <c r="G1046" s="93" t="str">
        <v>https://docket.images.azcc.gov/E000048819.pdf</v>
      </c>
      <c r="H1046" s="150" t="s">
        <v>6448</v>
      </c>
      <c r="I1046" s="114" t="str">
        <v>RTOUE47</v>
      </c>
      <c r="J1046" s="94" t="str">
        <v>No</v>
      </c>
      <c r="K1046" s="94" t="str">
        <v>No</v>
      </c>
      <c r="L1046" s="137" t="str">
        <v>Yes</v>
      </c>
      <c r="M1046" s="94" t="str">
        <v>No</v>
      </c>
      <c r="N1046" s="134" t="str">
        <v>No</v>
      </c>
      <c r="O1046" s="119" t="str">
        <v>Yes</v>
      </c>
      <c r="P1046" s="92" t="str">
        <v>N</v>
      </c>
      <c r="Q1046" s="91">
        <v>46050</v>
      </c>
      <c r="R1046" s="140">
        <v>0</v>
      </c>
      <c r="S1046" s="92">
        <v>0</v>
      </c>
      <c r="T1046" s="92">
        <v>0</v>
      </c>
      <c r="U1046" s="137">
        <v>0</v>
      </c>
      <c r="V1046" s="126" t="str">
        <f t="shared" si="32"/>
        <v>✅ On Best Plan</v>
      </c>
      <c r="W1046" s="130">
        <f>IFERROR(_xlfn.XLOOKUP(TEXT(H1046,"0000000000"),'📞 Call Tracker'!A$2:A$2000,'📞 Call Tracker'!B$2:B$2000,""),"")</f>
        <v>0</v>
      </c>
      <c r="X1046" s="96">
        <f>IFERROR(_xlfn.XLOOKUP(TEXT(H1046,"0000000000"),'📞 Call Tracker'!A$2:A$2000,'📞 Call Tracker'!C$2:C$2000,""),"")</f>
        <v>0</v>
      </c>
      <c r="Y1046" s="95">
        <f>IFERROR(_xlfn.XLOOKUP(TEXT(H1046,"0000000000"),'📞 Call Tracker'!A$2:A$2000,'📞 Call Tracker'!D$2:D$2000,""),"")</f>
        <v>0</v>
      </c>
      <c r="Z1046" s="95">
        <f>IFERROR(_xlfn.XLOOKUP(TEXT(H1046,"0000000000"),'📞 Call Tracker'!A$2:A$2000,'📞 Call Tracker'!E$2:E$2000,""),"")</f>
        <v>0</v>
      </c>
      <c r="AA1046" s="145">
        <f>IFERROR(_xlfn.XLOOKUP(TEXT(H1046,"0000000000"),'📞 Call Tracker'!A$2:A$2000,'📞 Call Tracker'!F$2:F$2000,""),"")</f>
        <v>0</v>
      </c>
      <c r="AB1046" s="132">
        <f t="shared" si="33"/>
        <v>99</v>
      </c>
      <c r="AC1046" s="79"/>
    </row>
    <row r="1047" spans="1:29" ht="20.100000000000001" customHeight="1">
      <c r="A1047" s="91">
        <v>46043</v>
      </c>
      <c r="B1047" s="92" t="str">
        <v>Kocho</v>
      </c>
      <c r="C1047" s="92" t="str">
        <v>Eileen</v>
      </c>
      <c r="D1047" s="92" t="str">
        <v>Surprise</v>
      </c>
      <c r="E1047" s="92">
        <v>85387</v>
      </c>
      <c r="F1047" s="137" t="str">
        <v>rising costs places an undue financial burden on households-especially those on fixed incomes,</v>
      </c>
      <c r="G1047" s="93" t="str">
        <v>https://docket.images.azcc.gov/E000048819.pdf</v>
      </c>
      <c r="H1047" s="150" t="s">
        <v>6114</v>
      </c>
      <c r="I1047" s="114" t="str">
        <v>RTOUE47</v>
      </c>
      <c r="J1047" s="94" t="str">
        <v>No</v>
      </c>
      <c r="K1047" s="94" t="str">
        <v>No</v>
      </c>
      <c r="L1047" s="137" t="str">
        <v>No MEP R-XS ($11.32)</v>
      </c>
      <c r="M1047" s="94" t="str">
        <v>No</v>
      </c>
      <c r="N1047" s="134" t="str">
        <v>No</v>
      </c>
      <c r="O1047" s="119" t="str">
        <v>Yes</v>
      </c>
      <c r="P1047" s="92" t="str">
        <v>N</v>
      </c>
      <c r="Q1047" s="91">
        <v>46050</v>
      </c>
      <c r="R1047" s="140">
        <v>0</v>
      </c>
      <c r="S1047" s="92">
        <v>0</v>
      </c>
      <c r="T1047" s="92">
        <v>0</v>
      </c>
      <c r="U1047" s="137">
        <v>0</v>
      </c>
      <c r="V1047" s="126" t="str">
        <f t="shared" si="32"/>
        <v>❌ Not on Best Plan</v>
      </c>
      <c r="W1047" s="130">
        <f>IFERROR(_xlfn.XLOOKUP(TEXT(H1047,"0000000000"),'📞 Call Tracker'!A$2:A$2000,'📞 Call Tracker'!B$2:B$2000,""),"")</f>
        <v>0</v>
      </c>
      <c r="X1047" s="96">
        <f>IFERROR(_xlfn.XLOOKUP(TEXT(H1047,"0000000000"),'📞 Call Tracker'!A$2:A$2000,'📞 Call Tracker'!C$2:C$2000,""),"")</f>
        <v>0</v>
      </c>
      <c r="Y1047" s="95">
        <f>IFERROR(_xlfn.XLOOKUP(TEXT(H1047,"0000000000"),'📞 Call Tracker'!A$2:A$2000,'📞 Call Tracker'!D$2:D$2000,""),"")</f>
        <v>0</v>
      </c>
      <c r="Z1047" s="95">
        <f>IFERROR(_xlfn.XLOOKUP(TEXT(H1047,"0000000000"),'📞 Call Tracker'!A$2:A$2000,'📞 Call Tracker'!E$2:E$2000,""),"")</f>
        <v>0</v>
      </c>
      <c r="AA1047" s="145">
        <f>IFERROR(_xlfn.XLOOKUP(TEXT(H1047,"0000000000"),'📞 Call Tracker'!A$2:A$2000,'📞 Call Tracker'!F$2:F$2000,""),"")</f>
        <v>0</v>
      </c>
      <c r="AB1047" s="132">
        <f t="shared" si="33"/>
        <v>99</v>
      </c>
      <c r="AC1047" s="79"/>
    </row>
    <row r="1048" spans="1:29" ht="20.100000000000001" customHeight="1">
      <c r="A1048" s="91">
        <v>46043</v>
      </c>
      <c r="B1048" s="92" t="str">
        <v>Gewargis</v>
      </c>
      <c r="C1048" s="92" t="str">
        <v>Youshia</v>
      </c>
      <c r="D1048" s="92" t="str">
        <v>Sun City</v>
      </c>
      <c r="E1048" s="92">
        <v>85351</v>
      </c>
      <c r="F1048" s="137" t="str">
        <v>This increase places a significant financial burden on households and small businesses</v>
      </c>
      <c r="G1048" s="93" t="str">
        <v>https://docket.images.azcc.gov/E000048819.pdf</v>
      </c>
      <c r="H1048" s="150" t="s">
        <v>6449</v>
      </c>
      <c r="I1048" s="114" t="str">
        <v>RTOUE47</v>
      </c>
      <c r="J1048" s="94" t="str">
        <v>Yes</v>
      </c>
      <c r="K1048" s="94" t="str">
        <v>No</v>
      </c>
      <c r="L1048" s="137" t="str">
        <v>No MEP R3-47 ($108.10)</v>
      </c>
      <c r="M1048" s="94" t="str">
        <v>No</v>
      </c>
      <c r="N1048" s="134" t="str">
        <v>No</v>
      </c>
      <c r="O1048" s="119" t="str">
        <v>Yes</v>
      </c>
      <c r="P1048" s="92">
        <v>0</v>
      </c>
      <c r="Q1048" s="91">
        <v>46050</v>
      </c>
      <c r="R1048" s="140" t="str">
        <v>Please contact customer regarding plan options and additional assistance programs</v>
      </c>
      <c r="S1048" s="92">
        <v>0</v>
      </c>
      <c r="T1048" s="92">
        <v>0</v>
      </c>
      <c r="U1048" s="137">
        <v>0</v>
      </c>
      <c r="V1048" s="126" t="str">
        <f t="shared" si="32"/>
        <v>❌ Not on Best Plan</v>
      </c>
      <c r="W1048" s="130">
        <f>IFERROR(_xlfn.XLOOKUP(TEXT(H1048,"0000000000"),'📞 Call Tracker'!A$2:A$2000,'📞 Call Tracker'!B$2:B$2000,""),"")</f>
        <v>0</v>
      </c>
      <c r="X1048" s="96">
        <f>IFERROR(_xlfn.XLOOKUP(TEXT(H1048,"0000000000"),'📞 Call Tracker'!A$2:A$2000,'📞 Call Tracker'!C$2:C$2000,""),"")</f>
        <v>0</v>
      </c>
      <c r="Y1048" s="95">
        <f>IFERROR(_xlfn.XLOOKUP(TEXT(H1048,"0000000000"),'📞 Call Tracker'!A$2:A$2000,'📞 Call Tracker'!D$2:D$2000,""),"")</f>
        <v>0</v>
      </c>
      <c r="Z1048" s="95">
        <f>IFERROR(_xlfn.XLOOKUP(TEXT(H1048,"0000000000"),'📞 Call Tracker'!A$2:A$2000,'📞 Call Tracker'!E$2:E$2000,""),"")</f>
        <v>0</v>
      </c>
      <c r="AA1048" s="145">
        <f>IFERROR(_xlfn.XLOOKUP(TEXT(H1048,"0000000000"),'📞 Call Tracker'!A$2:A$2000,'📞 Call Tracker'!F$2:F$2000,""),"")</f>
        <v>0</v>
      </c>
      <c r="AB1048" s="132">
        <f t="shared" si="33"/>
        <v>99</v>
      </c>
      <c r="AC1048" s="79"/>
    </row>
    <row r="1049" spans="1:29" ht="20.100000000000001" customHeight="1">
      <c r="A1049" s="91">
        <v>46043</v>
      </c>
      <c r="B1049" s="92" t="str">
        <v>Lewis</v>
      </c>
      <c r="C1049" s="92" t="str">
        <v>Rebecca</v>
      </c>
      <c r="D1049" s="92" t="str">
        <v>Glendale</v>
      </c>
      <c r="E1049" s="92">
        <v>85308</v>
      </c>
      <c r="F1049" s="137" t="str">
        <v xml:space="preserve">Costs of electricity are rising much faster than our incomes. People with fixed/limited income can't afford these drastic increases year over year. </v>
      </c>
      <c r="G1049" s="93" t="str">
        <v>https://docket.images.azcc.gov/E000048819.pdf</v>
      </c>
      <c r="H1049" s="150" t="s">
        <v>6115</v>
      </c>
      <c r="I1049" s="114" t="str">
        <v>R-BASIC</v>
      </c>
      <c r="J1049" s="94" t="str">
        <v>No</v>
      </c>
      <c r="K1049" s="94" t="str">
        <v>No</v>
      </c>
      <c r="L1049" s="137" t="str">
        <v>Not eligible yet</v>
      </c>
      <c r="M1049" s="94" t="str">
        <v>No</v>
      </c>
      <c r="N1049" s="134" t="str">
        <v>No</v>
      </c>
      <c r="O1049" s="119" t="str">
        <v>Yes</v>
      </c>
      <c r="P1049" s="92" t="str">
        <v>N</v>
      </c>
      <c r="Q1049" s="91">
        <v>46050</v>
      </c>
      <c r="R1049" s="140" t="str">
        <v>Just transitioned from Tier 1 to Tier 2</v>
      </c>
      <c r="S1049" s="92">
        <v>0</v>
      </c>
      <c r="T1049" s="92">
        <v>0</v>
      </c>
      <c r="U1049" s="137">
        <v>0</v>
      </c>
      <c r="V1049" s="126" t="str">
        <f t="shared" si="32"/>
        <v>❌ Not on Best Plan</v>
      </c>
      <c r="W1049" s="130">
        <f>IFERROR(_xlfn.XLOOKUP(TEXT(H1049,"0000000000"),'📞 Call Tracker'!A$2:A$2000,'📞 Call Tracker'!B$2:B$2000,""),"")</f>
        <v>0</v>
      </c>
      <c r="X1049" s="96">
        <f>IFERROR(_xlfn.XLOOKUP(TEXT(H1049,"0000000000"),'📞 Call Tracker'!A$2:A$2000,'📞 Call Tracker'!C$2:C$2000,""),"")</f>
        <v>0</v>
      </c>
      <c r="Y1049" s="95">
        <f>IFERROR(_xlfn.XLOOKUP(TEXT(H1049,"0000000000"),'📞 Call Tracker'!A$2:A$2000,'📞 Call Tracker'!D$2:D$2000,""),"")</f>
        <v>0</v>
      </c>
      <c r="Z1049" s="95">
        <f>IFERROR(_xlfn.XLOOKUP(TEXT(H1049,"0000000000"),'📞 Call Tracker'!A$2:A$2000,'📞 Call Tracker'!E$2:E$2000,""),"")</f>
        <v>0</v>
      </c>
      <c r="AA1049" s="145">
        <f>IFERROR(_xlfn.XLOOKUP(TEXT(H1049,"0000000000"),'📞 Call Tracker'!A$2:A$2000,'📞 Call Tracker'!F$2:F$2000,""),"")</f>
        <v>0</v>
      </c>
      <c r="AB1049" s="132">
        <f t="shared" si="33"/>
        <v>99</v>
      </c>
      <c r="AC1049" s="79"/>
    </row>
    <row r="1050" spans="1:29" ht="20.100000000000001" customHeight="1">
      <c r="A1050" s="91">
        <v>46043</v>
      </c>
      <c r="B1050" s="92" t="str">
        <v>Seifert</v>
      </c>
      <c r="C1050" s="92" t="str">
        <v>Lyn</v>
      </c>
      <c r="D1050" s="92" t="str">
        <v>Scottsdale</v>
      </c>
      <c r="E1050" s="92">
        <v>85254</v>
      </c>
      <c r="F1050" s="137" t="str">
        <v>APS needs to be pressured to figure out how to keep costs down and find other ways to create cost-effective energy, such as portable nuclear power and natural gas.</v>
      </c>
      <c r="G1050" s="93" t="str">
        <v>https://docket.images.azcc.gov/E000048819.pdf</v>
      </c>
      <c r="H1050" s="150" t="s">
        <v>6006</v>
      </c>
      <c r="I1050" s="114" t="str">
        <v>RTOUE47</v>
      </c>
      <c r="J1050" s="94" t="str">
        <v>No</v>
      </c>
      <c r="K1050" s="94" t="str">
        <v>No</v>
      </c>
      <c r="L1050" s="137" t="str">
        <v>No MEP R3-47 ($339.29)</v>
      </c>
      <c r="M1050" s="94" t="str">
        <v>No</v>
      </c>
      <c r="N1050" s="134" t="str">
        <v>No</v>
      </c>
      <c r="O1050" s="119" t="str">
        <v>Yes</v>
      </c>
      <c r="P1050" s="92">
        <v>0</v>
      </c>
      <c r="Q1050" s="91">
        <v>46050</v>
      </c>
      <c r="R1050" s="140" t="str">
        <v>Please contact customer regarding plan options</v>
      </c>
      <c r="S1050" s="92">
        <v>0</v>
      </c>
      <c r="T1050" s="92">
        <v>0</v>
      </c>
      <c r="U1050" s="137">
        <v>0</v>
      </c>
      <c r="V1050" s="126" t="str">
        <f t="shared" si="32"/>
        <v>❌ Not on Best Plan</v>
      </c>
      <c r="W1050" s="130">
        <f>IFERROR(_xlfn.XLOOKUP(TEXT(H1050,"0000000000"),'📞 Call Tracker'!A$2:A$2000,'📞 Call Tracker'!B$2:B$2000,""),"")</f>
        <v>0</v>
      </c>
      <c r="X1050" s="96">
        <f>IFERROR(_xlfn.XLOOKUP(TEXT(H1050,"0000000000"),'📞 Call Tracker'!A$2:A$2000,'📞 Call Tracker'!C$2:C$2000,""),"")</f>
        <v>0</v>
      </c>
      <c r="Y1050" s="95">
        <f>IFERROR(_xlfn.XLOOKUP(TEXT(H1050,"0000000000"),'📞 Call Tracker'!A$2:A$2000,'📞 Call Tracker'!D$2:D$2000,""),"")</f>
        <v>0</v>
      </c>
      <c r="Z1050" s="95">
        <f>IFERROR(_xlfn.XLOOKUP(TEXT(H1050,"0000000000"),'📞 Call Tracker'!A$2:A$2000,'📞 Call Tracker'!E$2:E$2000,""),"")</f>
        <v>0</v>
      </c>
      <c r="AA1050" s="145">
        <f>IFERROR(_xlfn.XLOOKUP(TEXT(H1050,"0000000000"),'📞 Call Tracker'!A$2:A$2000,'📞 Call Tracker'!F$2:F$2000,""),"")</f>
        <v>0</v>
      </c>
      <c r="AB1050" s="132">
        <f t="shared" si="33"/>
        <v>99</v>
      </c>
      <c r="AC1050" s="79"/>
    </row>
    <row r="1051" spans="1:29" ht="20.100000000000001" customHeight="1">
      <c r="A1051" s="91">
        <v>46043</v>
      </c>
      <c r="B1051" s="92" t="str">
        <v>Rueda</v>
      </c>
      <c r="C1051" s="92" t="str">
        <v>Cristiana</v>
      </c>
      <c r="D1051" s="92" t="str">
        <v>Phoenix</v>
      </c>
      <c r="E1051" s="92">
        <v>85013</v>
      </c>
      <c r="F1051" s="137" t="str">
        <v>consider how this affects our total cost of living - many of us struggle to pay rising rent prices without utilities</v>
      </c>
      <c r="G1051" s="93" t="str">
        <v>https://docket.images.azcc.gov/E000048819.pdf</v>
      </c>
      <c r="H1051" s="150" t="s">
        <v>6450</v>
      </c>
      <c r="I1051" s="114" t="str">
        <v>RTOUE47</v>
      </c>
      <c r="J1051" s="94" t="str">
        <v>No</v>
      </c>
      <c r="K1051" s="94" t="str">
        <v>No</v>
      </c>
      <c r="L1051" s="137" t="str">
        <v>No MEP R-XS ($103.62)</v>
      </c>
      <c r="M1051" s="94" t="str">
        <v>No</v>
      </c>
      <c r="N1051" s="134" t="str">
        <v>No</v>
      </c>
      <c r="O1051" s="119" t="str">
        <v>Yes</v>
      </c>
      <c r="P1051" s="92">
        <v>0</v>
      </c>
      <c r="Q1051" s="91">
        <v>46050</v>
      </c>
      <c r="R1051" s="140" t="str">
        <v>Please contact customer regarding plan options</v>
      </c>
      <c r="S1051" s="92">
        <v>0</v>
      </c>
      <c r="T1051" s="92">
        <v>0</v>
      </c>
      <c r="U1051" s="137">
        <v>0</v>
      </c>
      <c r="V1051" s="126" t="str">
        <f t="shared" si="32"/>
        <v>❌ Not on Best Plan</v>
      </c>
      <c r="W1051" s="130">
        <f>IFERROR(_xlfn.XLOOKUP(TEXT(H1051,"0000000000"),'📞 Call Tracker'!A$2:A$2000,'📞 Call Tracker'!B$2:B$2000,""),"")</f>
        <v>0</v>
      </c>
      <c r="X1051" s="96">
        <f>IFERROR(_xlfn.XLOOKUP(TEXT(H1051,"0000000000"),'📞 Call Tracker'!A$2:A$2000,'📞 Call Tracker'!C$2:C$2000,""),"")</f>
        <v>0</v>
      </c>
      <c r="Y1051" s="95">
        <f>IFERROR(_xlfn.XLOOKUP(TEXT(H1051,"0000000000"),'📞 Call Tracker'!A$2:A$2000,'📞 Call Tracker'!D$2:D$2000,""),"")</f>
        <v>0</v>
      </c>
      <c r="Z1051" s="95">
        <f>IFERROR(_xlfn.XLOOKUP(TEXT(H1051,"0000000000"),'📞 Call Tracker'!A$2:A$2000,'📞 Call Tracker'!E$2:E$2000,""),"")</f>
        <v>0</v>
      </c>
      <c r="AA1051" s="145">
        <f>IFERROR(_xlfn.XLOOKUP(TEXT(H1051,"0000000000"),'📞 Call Tracker'!A$2:A$2000,'📞 Call Tracker'!F$2:F$2000,""),"")</f>
        <v>0</v>
      </c>
      <c r="AB1051" s="132">
        <f t="shared" si="33"/>
        <v>99</v>
      </c>
      <c r="AC1051" s="79"/>
    </row>
    <row r="1052" spans="1:29" ht="20.100000000000001" customHeight="1">
      <c r="A1052" s="91">
        <v>46043</v>
      </c>
      <c r="B1052" s="92" t="str">
        <v>Huizenga</v>
      </c>
      <c r="C1052" s="92" t="str">
        <v>Joseph</v>
      </c>
      <c r="D1052" s="92" t="str">
        <v>Phoenix</v>
      </c>
      <c r="E1052" s="92">
        <v>85032</v>
      </c>
      <c r="F1052" s="137" t="str">
        <v>Spend money within their means as opposed to growing the grid to prepare for future growth at the expense of the sonsumer. I invested in solar... costs continue to grow.</v>
      </c>
      <c r="G1052" s="93" t="str">
        <v>https://docket.images.azcc.gov/E000048819.pdf</v>
      </c>
      <c r="H1052" s="150" t="s">
        <v>6451</v>
      </c>
      <c r="I1052" s="114" t="str">
        <v>RTOUE47</v>
      </c>
      <c r="J1052" s="94" t="str">
        <v>No</v>
      </c>
      <c r="K1052" s="94" t="str">
        <v>No</v>
      </c>
      <c r="L1052" s="137" t="str">
        <v>Yes</v>
      </c>
      <c r="M1052" s="94" t="str">
        <v>No</v>
      </c>
      <c r="N1052" s="134" t="str">
        <v>No</v>
      </c>
      <c r="O1052" s="119" t="str">
        <v>Yes</v>
      </c>
      <c r="P1052" s="92" t="str">
        <v>N</v>
      </c>
      <c r="Q1052" s="91">
        <v>46050</v>
      </c>
      <c r="R1052" s="140">
        <v>0</v>
      </c>
      <c r="S1052" s="92">
        <v>0</v>
      </c>
      <c r="T1052" s="92">
        <v>0</v>
      </c>
      <c r="U1052" s="137">
        <v>0</v>
      </c>
      <c r="V1052" s="126" t="str">
        <f t="shared" si="32"/>
        <v>✅ On Best Plan</v>
      </c>
      <c r="W1052" s="130">
        <f>IFERROR(_xlfn.XLOOKUP(TEXT(H1052,"0000000000"),'📞 Call Tracker'!A$2:A$2000,'📞 Call Tracker'!B$2:B$2000,""),"")</f>
        <v>0</v>
      </c>
      <c r="X1052" s="96">
        <f>IFERROR(_xlfn.XLOOKUP(TEXT(H1052,"0000000000"),'📞 Call Tracker'!A$2:A$2000,'📞 Call Tracker'!C$2:C$2000,""),"")</f>
        <v>0</v>
      </c>
      <c r="Y1052" s="95">
        <f>IFERROR(_xlfn.XLOOKUP(TEXT(H1052,"0000000000"),'📞 Call Tracker'!A$2:A$2000,'📞 Call Tracker'!D$2:D$2000,""),"")</f>
        <v>0</v>
      </c>
      <c r="Z1052" s="95">
        <f>IFERROR(_xlfn.XLOOKUP(TEXT(H1052,"0000000000"),'📞 Call Tracker'!A$2:A$2000,'📞 Call Tracker'!E$2:E$2000,""),"")</f>
        <v>0</v>
      </c>
      <c r="AA1052" s="145">
        <f>IFERROR(_xlfn.XLOOKUP(TEXT(H1052,"0000000000"),'📞 Call Tracker'!A$2:A$2000,'📞 Call Tracker'!F$2:F$2000,""),"")</f>
        <v>0</v>
      </c>
      <c r="AB1052" s="132">
        <f t="shared" si="33"/>
        <v>99</v>
      </c>
      <c r="AC1052" s="79"/>
    </row>
    <row r="1053" spans="1:29" ht="20.100000000000001" customHeight="1">
      <c r="A1053" s="91">
        <v>46043</v>
      </c>
      <c r="B1053" s="92" t="str">
        <v>Lundin</v>
      </c>
      <c r="C1053" s="92" t="str">
        <v>Jennifer</v>
      </c>
      <c r="D1053" s="92" t="str">
        <v>Scottsdale</v>
      </c>
      <c r="E1053" s="92">
        <v>85254</v>
      </c>
      <c r="F1053" s="137" t="str">
        <v>This is pure GREED and negatively impacts all constituents. Do not pass this!</v>
      </c>
      <c r="G1053" s="93" t="str">
        <v>https://docket.images.azcc.gov/E000048819.pdf</v>
      </c>
      <c r="H1053" s="150" t="s">
        <v>6452</v>
      </c>
      <c r="I1053" s="114" t="str">
        <v>R3-47</v>
      </c>
      <c r="J1053" s="94" t="str">
        <v>No</v>
      </c>
      <c r="K1053" s="94" t="str">
        <v>No</v>
      </c>
      <c r="L1053" s="137" t="str">
        <v>No MEP R-XS ($845.52)</v>
      </c>
      <c r="M1053" s="94" t="str">
        <v>No</v>
      </c>
      <c r="N1053" s="134" t="str">
        <v>No</v>
      </c>
      <c r="O1053" s="119" t="str">
        <v>Yes</v>
      </c>
      <c r="P1053" s="92">
        <v>0</v>
      </c>
      <c r="Q1053" s="91">
        <v>46050</v>
      </c>
      <c r="R1053" s="140" t="str">
        <v>Please contact customer regarding plan options - 3 properties total but 1 property is not on MEP.</v>
      </c>
      <c r="S1053" s="92">
        <v>0</v>
      </c>
      <c r="T1053" s="92">
        <v>0</v>
      </c>
      <c r="U1053" s="137">
        <v>0</v>
      </c>
      <c r="V1053" s="126" t="str">
        <f t="shared" si="32"/>
        <v>❌ Not on Best Plan</v>
      </c>
      <c r="W1053" s="130">
        <f>IFERROR(_xlfn.XLOOKUP(TEXT(H1053,"0000000000"),'📞 Call Tracker'!A$2:A$2000,'📞 Call Tracker'!B$2:B$2000,""),"")</f>
        <v>0</v>
      </c>
      <c r="X1053" s="96">
        <f>IFERROR(_xlfn.XLOOKUP(TEXT(H1053,"0000000000"),'📞 Call Tracker'!A$2:A$2000,'📞 Call Tracker'!C$2:C$2000,""),"")</f>
        <v>0</v>
      </c>
      <c r="Y1053" s="95">
        <f>IFERROR(_xlfn.XLOOKUP(TEXT(H1053,"0000000000"),'📞 Call Tracker'!A$2:A$2000,'📞 Call Tracker'!D$2:D$2000,""),"")</f>
        <v>0</v>
      </c>
      <c r="Z1053" s="95">
        <f>IFERROR(_xlfn.XLOOKUP(TEXT(H1053,"0000000000"),'📞 Call Tracker'!A$2:A$2000,'📞 Call Tracker'!E$2:E$2000,""),"")</f>
        <v>0</v>
      </c>
      <c r="AA1053" s="145">
        <f>IFERROR(_xlfn.XLOOKUP(TEXT(H1053,"0000000000"),'📞 Call Tracker'!A$2:A$2000,'📞 Call Tracker'!F$2:F$2000,""),"")</f>
        <v>0</v>
      </c>
      <c r="AB1053" s="132">
        <f t="shared" si="33"/>
        <v>99</v>
      </c>
      <c r="AC1053" s="79"/>
    </row>
    <row r="1054" spans="1:29" ht="20.100000000000001" customHeight="1">
      <c r="A1054" s="91">
        <v>46043</v>
      </c>
      <c r="B1054" s="92" t="str">
        <v>Pillsbury</v>
      </c>
      <c r="C1054" s="92" t="str">
        <v>Heather</v>
      </c>
      <c r="D1054" s="92" t="str">
        <v>Phoenix</v>
      </c>
      <c r="E1054" s="92">
        <v>85024</v>
      </c>
      <c r="F1054" s="137" t="str">
        <v>No more rate hikes! Already increased 8% last year! I oppose the 14% proposed increase!</v>
      </c>
      <c r="G1054" s="93" t="str">
        <v>https://docket.images.azcc.gov/E000048819.pdf</v>
      </c>
      <c r="H1054" s="150" t="s">
        <v>6453</v>
      </c>
      <c r="I1054" s="114" t="str">
        <v>R-XS</v>
      </c>
      <c r="J1054" s="94" t="str">
        <v>No</v>
      </c>
      <c r="K1054" s="94" t="str">
        <v>No</v>
      </c>
      <c r="L1054" s="137" t="str">
        <v>Yes</v>
      </c>
      <c r="M1054" s="94" t="str">
        <v>No</v>
      </c>
      <c r="N1054" s="134" t="str">
        <v>No</v>
      </c>
      <c r="O1054" s="119" t="str">
        <v>Yes</v>
      </c>
      <c r="P1054" s="92" t="str">
        <v>N</v>
      </c>
      <c r="Q1054" s="91">
        <v>46050</v>
      </c>
      <c r="R1054" s="140">
        <v>0</v>
      </c>
      <c r="S1054" s="92">
        <v>0</v>
      </c>
      <c r="T1054" s="92">
        <v>0</v>
      </c>
      <c r="U1054" s="137">
        <v>0</v>
      </c>
      <c r="V1054" s="126" t="str">
        <f t="shared" si="32"/>
        <v>✅ On Best Plan</v>
      </c>
      <c r="W1054" s="130">
        <f>IFERROR(_xlfn.XLOOKUP(TEXT(H1054,"0000000000"),'📞 Call Tracker'!A$2:A$2000,'📞 Call Tracker'!B$2:B$2000,""),"")</f>
        <v>0</v>
      </c>
      <c r="X1054" s="96">
        <f>IFERROR(_xlfn.XLOOKUP(TEXT(H1054,"0000000000"),'📞 Call Tracker'!A$2:A$2000,'📞 Call Tracker'!C$2:C$2000,""),"")</f>
        <v>0</v>
      </c>
      <c r="Y1054" s="95">
        <f>IFERROR(_xlfn.XLOOKUP(TEXT(H1054,"0000000000"),'📞 Call Tracker'!A$2:A$2000,'📞 Call Tracker'!D$2:D$2000,""),"")</f>
        <v>0</v>
      </c>
      <c r="Z1054" s="95">
        <f>IFERROR(_xlfn.XLOOKUP(TEXT(H1054,"0000000000"),'📞 Call Tracker'!A$2:A$2000,'📞 Call Tracker'!E$2:E$2000,""),"")</f>
        <v>0</v>
      </c>
      <c r="AA1054" s="145">
        <f>IFERROR(_xlfn.XLOOKUP(TEXT(H1054,"0000000000"),'📞 Call Tracker'!A$2:A$2000,'📞 Call Tracker'!F$2:F$2000,""),"")</f>
        <v>0</v>
      </c>
      <c r="AB1054" s="132">
        <f t="shared" si="33"/>
        <v>99</v>
      </c>
      <c r="AC1054" s="79"/>
    </row>
    <row r="1055" spans="1:29" ht="20.100000000000001" customHeight="1">
      <c r="A1055" s="91">
        <v>46043</v>
      </c>
      <c r="B1055" s="92" t="str">
        <v>Zegarac</v>
      </c>
      <c r="C1055" s="92" t="str">
        <v>Mara</v>
      </c>
      <c r="D1055" s="92" t="str">
        <v>Phoenix</v>
      </c>
      <c r="E1055" s="92">
        <v>85029</v>
      </c>
      <c r="F1055" s="137" t="str">
        <v>No increase in rates is needed or warranted. Put people over profits,</v>
      </c>
      <c r="G1055" s="93" t="str">
        <v>https://docket.images.azcc.gov/E000048819.pdf</v>
      </c>
      <c r="H1055" s="150" t="s">
        <v>6116</v>
      </c>
      <c r="I1055" s="114" t="str">
        <v>R3-47</v>
      </c>
      <c r="J1055" s="94" t="str">
        <v>Yes</v>
      </c>
      <c r="K1055" s="94" t="str">
        <v>No</v>
      </c>
      <c r="L1055" s="137" t="str">
        <v>No MEP R-BASIC ($40.52)</v>
      </c>
      <c r="M1055" s="94" t="str">
        <v>No</v>
      </c>
      <c r="N1055" s="134" t="str">
        <v>No</v>
      </c>
      <c r="O1055" s="119" t="str">
        <v>Yes</v>
      </c>
      <c r="P1055" s="92" t="str">
        <v>N</v>
      </c>
      <c r="Q1055" s="91">
        <v>46050</v>
      </c>
      <c r="R1055" s="140">
        <v>0</v>
      </c>
      <c r="S1055" s="92">
        <v>0</v>
      </c>
      <c r="T1055" s="92">
        <v>0</v>
      </c>
      <c r="U1055" s="137">
        <v>0</v>
      </c>
      <c r="V1055" s="126" t="str">
        <f t="shared" si="32"/>
        <v>❌ Not on Best Plan</v>
      </c>
      <c r="W1055" s="130">
        <f>IFERROR(_xlfn.XLOOKUP(TEXT(H1055,"0000000000"),'📞 Call Tracker'!A$2:A$2000,'📞 Call Tracker'!B$2:B$2000,""),"")</f>
        <v>0</v>
      </c>
      <c r="X1055" s="96">
        <f>IFERROR(_xlfn.XLOOKUP(TEXT(H1055,"0000000000"),'📞 Call Tracker'!A$2:A$2000,'📞 Call Tracker'!C$2:C$2000,""),"")</f>
        <v>0</v>
      </c>
      <c r="Y1055" s="95">
        <f>IFERROR(_xlfn.XLOOKUP(TEXT(H1055,"0000000000"),'📞 Call Tracker'!A$2:A$2000,'📞 Call Tracker'!D$2:D$2000,""),"")</f>
        <v>0</v>
      </c>
      <c r="Z1055" s="95">
        <f>IFERROR(_xlfn.XLOOKUP(TEXT(H1055,"0000000000"),'📞 Call Tracker'!A$2:A$2000,'📞 Call Tracker'!E$2:E$2000,""),"")</f>
        <v>0</v>
      </c>
      <c r="AA1055" s="145">
        <f>IFERROR(_xlfn.XLOOKUP(TEXT(H1055,"0000000000"),'📞 Call Tracker'!A$2:A$2000,'📞 Call Tracker'!F$2:F$2000,""),"")</f>
        <v>0</v>
      </c>
      <c r="AB1055" s="132">
        <f t="shared" si="33"/>
        <v>99</v>
      </c>
      <c r="AC1055" s="79"/>
    </row>
    <row r="1056" spans="1:29" ht="20.100000000000001" customHeight="1">
      <c r="A1056" s="91">
        <v>46043</v>
      </c>
      <c r="B1056" s="92" t="str">
        <v>Sukhera</v>
      </c>
      <c r="C1056" s="92" t="str">
        <v>Jasim</v>
      </c>
      <c r="D1056" s="92" t="str">
        <v>Phoenix</v>
      </c>
      <c r="E1056" s="92">
        <v>85014</v>
      </c>
      <c r="F1056" s="137" t="str">
        <v>a resident of Phoenix AZ oppose the 14% utilities rate increase</v>
      </c>
      <c r="G1056" s="93" t="str">
        <v>https://docket.images.azcc.gov/E000048819.pdf</v>
      </c>
      <c r="H1056" s="150" t="s">
        <v>6454</v>
      </c>
      <c r="I1056" s="114" t="str">
        <v>R-XS</v>
      </c>
      <c r="J1056" s="94" t="str">
        <v>No</v>
      </c>
      <c r="K1056" s="94" t="str">
        <v>No</v>
      </c>
      <c r="L1056" s="137" t="str">
        <v>Yes</v>
      </c>
      <c r="M1056" s="94" t="str">
        <v>No</v>
      </c>
      <c r="N1056" s="134" t="str">
        <v>No</v>
      </c>
      <c r="O1056" s="119" t="str">
        <v>Yes</v>
      </c>
      <c r="P1056" s="92" t="str">
        <v>N</v>
      </c>
      <c r="Q1056" s="91">
        <v>46050</v>
      </c>
      <c r="R1056" s="140">
        <v>0</v>
      </c>
      <c r="S1056" s="92">
        <v>0</v>
      </c>
      <c r="T1056" s="92">
        <v>0</v>
      </c>
      <c r="U1056" s="137">
        <v>0</v>
      </c>
      <c r="V1056" s="126" t="str">
        <f t="shared" si="32"/>
        <v>✅ On Best Plan</v>
      </c>
      <c r="W1056" s="130">
        <f>IFERROR(_xlfn.XLOOKUP(TEXT(H1056,"0000000000"),'📞 Call Tracker'!A$2:A$2000,'📞 Call Tracker'!B$2:B$2000,""),"")</f>
        <v>0</v>
      </c>
      <c r="X1056" s="96">
        <f>IFERROR(_xlfn.XLOOKUP(TEXT(H1056,"0000000000"),'📞 Call Tracker'!A$2:A$2000,'📞 Call Tracker'!C$2:C$2000,""),"")</f>
        <v>0</v>
      </c>
      <c r="Y1056" s="95">
        <f>IFERROR(_xlfn.XLOOKUP(TEXT(H1056,"0000000000"),'📞 Call Tracker'!A$2:A$2000,'📞 Call Tracker'!D$2:D$2000,""),"")</f>
        <v>0</v>
      </c>
      <c r="Z1056" s="95">
        <f>IFERROR(_xlfn.XLOOKUP(TEXT(H1056,"0000000000"),'📞 Call Tracker'!A$2:A$2000,'📞 Call Tracker'!E$2:E$2000,""),"")</f>
        <v>0</v>
      </c>
      <c r="AA1056" s="145">
        <f>IFERROR(_xlfn.XLOOKUP(TEXT(H1056,"0000000000"),'📞 Call Tracker'!A$2:A$2000,'📞 Call Tracker'!F$2:F$2000,""),"")</f>
        <v>0</v>
      </c>
      <c r="AB1056" s="132">
        <f t="shared" si="33"/>
        <v>99</v>
      </c>
      <c r="AC1056" s="79"/>
    </row>
    <row r="1057" spans="1:29" ht="20.100000000000001" customHeight="1">
      <c r="A1057" s="91">
        <v>46043</v>
      </c>
      <c r="B1057" s="92" t="str">
        <v>Mahoney</v>
      </c>
      <c r="C1057" s="92" t="str">
        <v>Brindle</v>
      </c>
      <c r="D1057" s="92" t="str">
        <v>Sun City West</v>
      </c>
      <c r="E1057" s="92">
        <v>85375</v>
      </c>
      <c r="F1057" s="137" t="str">
        <v xml:space="preserve">Newly widowed, disabled snior. Half the time I don't even use the utilities because I can barely afford them. </v>
      </c>
      <c r="G1057" s="93" t="str">
        <v>https://docket.images.azcc.gov/E000048819.pdf</v>
      </c>
      <c r="H1057" s="150" t="s">
        <v>6455</v>
      </c>
      <c r="I1057" s="114" t="str">
        <v>R-XS</v>
      </c>
      <c r="J1057" s="94" t="str">
        <v>No</v>
      </c>
      <c r="K1057" s="94" t="str">
        <v>No</v>
      </c>
      <c r="L1057" s="137" t="str">
        <v>Yes</v>
      </c>
      <c r="M1057" s="94" t="str">
        <v>No</v>
      </c>
      <c r="N1057" s="134" t="str">
        <v>No</v>
      </c>
      <c r="O1057" s="119" t="str">
        <v>Yes</v>
      </c>
      <c r="P1057" s="92" t="str">
        <v>N</v>
      </c>
      <c r="Q1057" s="91">
        <v>46050</v>
      </c>
      <c r="R1057" s="140">
        <v>0</v>
      </c>
      <c r="S1057" s="92">
        <v>0</v>
      </c>
      <c r="T1057" s="92">
        <v>0</v>
      </c>
      <c r="U1057" s="137">
        <v>0</v>
      </c>
      <c r="V1057" s="126" t="str">
        <f t="shared" si="32"/>
        <v>✅ On Best Plan</v>
      </c>
      <c r="W1057" s="130">
        <f>IFERROR(_xlfn.XLOOKUP(TEXT(H1057,"0000000000"),'📞 Call Tracker'!A$2:A$2000,'📞 Call Tracker'!B$2:B$2000,""),"")</f>
        <v>0</v>
      </c>
      <c r="X1057" s="96">
        <f>IFERROR(_xlfn.XLOOKUP(TEXT(H1057,"0000000000"),'📞 Call Tracker'!A$2:A$2000,'📞 Call Tracker'!C$2:C$2000,""),"")</f>
        <v>0</v>
      </c>
      <c r="Y1057" s="95">
        <f>IFERROR(_xlfn.XLOOKUP(TEXT(H1057,"0000000000"),'📞 Call Tracker'!A$2:A$2000,'📞 Call Tracker'!D$2:D$2000,""),"")</f>
        <v>0</v>
      </c>
      <c r="Z1057" s="95">
        <f>IFERROR(_xlfn.XLOOKUP(TEXT(H1057,"0000000000"),'📞 Call Tracker'!A$2:A$2000,'📞 Call Tracker'!E$2:E$2000,""),"")</f>
        <v>0</v>
      </c>
      <c r="AA1057" s="145">
        <f>IFERROR(_xlfn.XLOOKUP(TEXT(H1057,"0000000000"),'📞 Call Tracker'!A$2:A$2000,'📞 Call Tracker'!F$2:F$2000,""),"")</f>
        <v>0</v>
      </c>
      <c r="AB1057" s="132">
        <f t="shared" si="33"/>
        <v>99</v>
      </c>
      <c r="AC1057" s="79"/>
    </row>
    <row r="1058" spans="1:29" ht="20.100000000000001" customHeight="1">
      <c r="A1058" s="91">
        <v>46043</v>
      </c>
      <c r="B1058" s="92" t="str">
        <v>Arias</v>
      </c>
      <c r="C1058" s="92" t="str">
        <v>Tessa</v>
      </c>
      <c r="D1058" s="92" t="str">
        <v>Phoenix</v>
      </c>
      <c r="E1058" s="92">
        <v>85028</v>
      </c>
      <c r="F1058" s="137" t="str">
        <v>Double the price I paid in SRP territory. Troubled by the proposal for FRM</v>
      </c>
      <c r="G1058" s="93" t="str">
        <v>https://docket.images.azcc.gov/E000048819.pdf</v>
      </c>
      <c r="H1058" s="150" t="s">
        <v>6456</v>
      </c>
      <c r="I1058" s="114" t="str">
        <v>RTOUE47</v>
      </c>
      <c r="J1058" s="94" t="str">
        <v>No</v>
      </c>
      <c r="K1058" s="94" t="str">
        <v>No</v>
      </c>
      <c r="L1058" s="137" t="str">
        <v>Yes</v>
      </c>
      <c r="M1058" s="94" t="str">
        <v>No</v>
      </c>
      <c r="N1058" s="134" t="str">
        <v>No</v>
      </c>
      <c r="O1058" s="119" t="str">
        <v>Yes</v>
      </c>
      <c r="P1058" s="92" t="str">
        <v>N</v>
      </c>
      <c r="Q1058" s="91">
        <v>46050</v>
      </c>
      <c r="R1058" s="140">
        <v>0</v>
      </c>
      <c r="S1058" s="92">
        <v>0</v>
      </c>
      <c r="T1058" s="92">
        <v>0</v>
      </c>
      <c r="U1058" s="137">
        <v>0</v>
      </c>
      <c r="V1058" s="126" t="str">
        <f t="shared" si="32"/>
        <v>✅ On Best Plan</v>
      </c>
      <c r="W1058" s="130">
        <f>IFERROR(_xlfn.XLOOKUP(TEXT(H1058,"0000000000"),'📞 Call Tracker'!A$2:A$2000,'📞 Call Tracker'!B$2:B$2000,""),"")</f>
        <v>0</v>
      </c>
      <c r="X1058" s="96">
        <f>IFERROR(_xlfn.XLOOKUP(TEXT(H1058,"0000000000"),'📞 Call Tracker'!A$2:A$2000,'📞 Call Tracker'!C$2:C$2000,""),"")</f>
        <v>0</v>
      </c>
      <c r="Y1058" s="95">
        <f>IFERROR(_xlfn.XLOOKUP(TEXT(H1058,"0000000000"),'📞 Call Tracker'!A$2:A$2000,'📞 Call Tracker'!D$2:D$2000,""),"")</f>
        <v>0</v>
      </c>
      <c r="Z1058" s="95">
        <f>IFERROR(_xlfn.XLOOKUP(TEXT(H1058,"0000000000"),'📞 Call Tracker'!A$2:A$2000,'📞 Call Tracker'!E$2:E$2000,""),"")</f>
        <v>0</v>
      </c>
      <c r="AA1058" s="145">
        <f>IFERROR(_xlfn.XLOOKUP(TEXT(H1058,"0000000000"),'📞 Call Tracker'!A$2:A$2000,'📞 Call Tracker'!F$2:F$2000,""),"")</f>
        <v>0</v>
      </c>
      <c r="AB1058" s="132">
        <f t="shared" si="33"/>
        <v>99</v>
      </c>
      <c r="AC1058" s="79"/>
    </row>
    <row r="1059" spans="1:29" ht="20.100000000000001" customHeight="1">
      <c r="A1059" s="91">
        <v>46043</v>
      </c>
      <c r="B1059" s="92" t="str">
        <v>Currie</v>
      </c>
      <c r="C1059" s="92" t="str">
        <v>Donald</v>
      </c>
      <c r="D1059" s="92" t="str">
        <v>Glendale</v>
      </c>
      <c r="E1059" s="92">
        <v>85308</v>
      </c>
      <c r="F1059" s="137" t="str">
        <v xml:space="preserve">Solar customers got solar to help sustain the grid and keep our price stable. We paid for these panels. We should not be fee'd to death. Inrease data center even more. </v>
      </c>
      <c r="G1059" s="93" t="str">
        <v>https://docket.images.azcc.gov/E000048819.pdf</v>
      </c>
      <c r="H1059" s="150" t="s">
        <v>6117</v>
      </c>
      <c r="I1059" s="114" t="str">
        <v>RCPw/RTOUE47</v>
      </c>
      <c r="J1059" s="94" t="str">
        <v>No</v>
      </c>
      <c r="K1059" s="94" t="str">
        <v>No</v>
      </c>
      <c r="L1059" s="137" t="str">
        <v>Yes</v>
      </c>
      <c r="M1059" s="94" t="str">
        <v>No</v>
      </c>
      <c r="N1059" s="134" t="str">
        <v>No</v>
      </c>
      <c r="O1059" s="119" t="str">
        <v>Yes</v>
      </c>
      <c r="P1059" s="92" t="str">
        <v>N</v>
      </c>
      <c r="Q1059" s="91">
        <v>46050</v>
      </c>
      <c r="R1059" s="140">
        <v>0</v>
      </c>
      <c r="S1059" s="92">
        <v>0</v>
      </c>
      <c r="T1059" s="92">
        <v>0</v>
      </c>
      <c r="U1059" s="137">
        <v>0</v>
      </c>
      <c r="V1059" s="126" t="str">
        <f t="shared" si="32"/>
        <v>✅ On Best Plan</v>
      </c>
      <c r="W1059" s="130">
        <f>IFERROR(_xlfn.XLOOKUP(TEXT(H1059,"0000000000"),'📞 Call Tracker'!A$2:A$2000,'📞 Call Tracker'!B$2:B$2000,""),"")</f>
        <v>0</v>
      </c>
      <c r="X1059" s="96">
        <f>IFERROR(_xlfn.XLOOKUP(TEXT(H1059,"0000000000"),'📞 Call Tracker'!A$2:A$2000,'📞 Call Tracker'!C$2:C$2000,""),"")</f>
        <v>0</v>
      </c>
      <c r="Y1059" s="95">
        <f>IFERROR(_xlfn.XLOOKUP(TEXT(H1059,"0000000000"),'📞 Call Tracker'!A$2:A$2000,'📞 Call Tracker'!D$2:D$2000,""),"")</f>
        <v>0</v>
      </c>
      <c r="Z1059" s="95">
        <f>IFERROR(_xlfn.XLOOKUP(TEXT(H1059,"0000000000"),'📞 Call Tracker'!A$2:A$2000,'📞 Call Tracker'!E$2:E$2000,""),"")</f>
        <v>0</v>
      </c>
      <c r="AA1059" s="145">
        <f>IFERROR(_xlfn.XLOOKUP(TEXT(H1059,"0000000000"),'📞 Call Tracker'!A$2:A$2000,'📞 Call Tracker'!F$2:F$2000,""),"")</f>
        <v>0</v>
      </c>
      <c r="AB1059" s="132">
        <f t="shared" si="33"/>
        <v>99</v>
      </c>
      <c r="AC1059" s="79"/>
    </row>
    <row r="1060" spans="1:29" ht="20.100000000000001" customHeight="1">
      <c r="A1060" s="91">
        <v>46043</v>
      </c>
      <c r="B1060" s="92" t="str">
        <v>Neal</v>
      </c>
      <c r="C1060" s="92" t="str">
        <v>Linda</v>
      </c>
      <c r="D1060" s="92" t="str">
        <v>Sun City</v>
      </c>
      <c r="E1060" s="92">
        <v>85351</v>
      </c>
      <c r="F1060" s="137" t="str">
        <v xml:space="preserve">14% APS rate hike is excessive for consumers. I am a senior citizen, struggling already. </v>
      </c>
      <c r="G1060" s="93" t="str">
        <v>https://docket.images.azcc.gov/E000048819.pdf</v>
      </c>
      <c r="H1060" s="150" t="s">
        <v>6457</v>
      </c>
      <c r="I1060" s="114" t="str">
        <v>RTOUE47</v>
      </c>
      <c r="J1060" s="94" t="str">
        <v>No</v>
      </c>
      <c r="K1060" s="94" t="str">
        <v>No</v>
      </c>
      <c r="L1060" s="137" t="str">
        <v>No MEP R3-47 ($235.41)</v>
      </c>
      <c r="M1060" s="94" t="str">
        <v>No</v>
      </c>
      <c r="N1060" s="134" t="str">
        <v>No</v>
      </c>
      <c r="O1060" s="119" t="str">
        <v>Yes</v>
      </c>
      <c r="P1060" s="92">
        <v>0</v>
      </c>
      <c r="Q1060" s="91">
        <v>46050</v>
      </c>
      <c r="R1060" s="140" t="str">
        <v>Please contact customer regarding plan options</v>
      </c>
      <c r="S1060" s="92">
        <v>0</v>
      </c>
      <c r="T1060" s="92">
        <v>0</v>
      </c>
      <c r="U1060" s="137">
        <v>0</v>
      </c>
      <c r="V1060" s="126" t="str">
        <f t="shared" si="32"/>
        <v>❌ Not on Best Plan</v>
      </c>
      <c r="W1060" s="130">
        <f>IFERROR(_xlfn.XLOOKUP(TEXT(H1060,"0000000000"),'📞 Call Tracker'!A$2:A$2000,'📞 Call Tracker'!B$2:B$2000,""),"")</f>
        <v>0</v>
      </c>
      <c r="X1060" s="96">
        <f>IFERROR(_xlfn.XLOOKUP(TEXT(H1060,"0000000000"),'📞 Call Tracker'!A$2:A$2000,'📞 Call Tracker'!C$2:C$2000,""),"")</f>
        <v>0</v>
      </c>
      <c r="Y1060" s="95">
        <f>IFERROR(_xlfn.XLOOKUP(TEXT(H1060,"0000000000"),'📞 Call Tracker'!A$2:A$2000,'📞 Call Tracker'!D$2:D$2000,""),"")</f>
        <v>0</v>
      </c>
      <c r="Z1060" s="95">
        <f>IFERROR(_xlfn.XLOOKUP(TEXT(H1060,"0000000000"),'📞 Call Tracker'!A$2:A$2000,'📞 Call Tracker'!E$2:E$2000,""),"")</f>
        <v>0</v>
      </c>
      <c r="AA1060" s="145">
        <f>IFERROR(_xlfn.XLOOKUP(TEXT(H1060,"0000000000"),'📞 Call Tracker'!A$2:A$2000,'📞 Call Tracker'!F$2:F$2000,""),"")</f>
        <v>0</v>
      </c>
      <c r="AB1060" s="132">
        <f t="shared" si="33"/>
        <v>99</v>
      </c>
      <c r="AC1060" s="79"/>
    </row>
    <row r="1061" spans="1:29" ht="20.100000000000001" customHeight="1">
      <c r="A1061" s="91">
        <v>46043</v>
      </c>
      <c r="B1061" s="92" t="str">
        <v>Murton</v>
      </c>
      <c r="C1061" s="92" t="str">
        <v>Stacy</v>
      </c>
      <c r="D1061" s="92" t="str">
        <v>Sun City</v>
      </c>
      <c r="E1061" s="92">
        <v>85373</v>
      </c>
      <c r="F1061" s="137" t="str">
        <v>OPPOSE the proposed 14% rate increase by APS. Coming on the heels of an 8% increase just last year.</v>
      </c>
      <c r="G1061" s="93" t="str">
        <v>https://docket.images.azcc.gov/E000048819.pdf</v>
      </c>
      <c r="H1061" s="150" t="s">
        <v>6458</v>
      </c>
      <c r="I1061" s="114" t="str">
        <v>EPR6w/ET-2</v>
      </c>
      <c r="J1061" s="94" t="str">
        <v>No</v>
      </c>
      <c r="K1061" s="94" t="str">
        <v>No</v>
      </c>
      <c r="L1061" s="137" t="str">
        <v>Frozen Rate</v>
      </c>
      <c r="M1061" s="94" t="str">
        <v>No</v>
      </c>
      <c r="N1061" s="134" t="str">
        <v>No</v>
      </c>
      <c r="O1061" s="119" t="str">
        <v>Yes</v>
      </c>
      <c r="P1061" s="92" t="str">
        <v>N</v>
      </c>
      <c r="Q1061" s="91">
        <v>46050</v>
      </c>
      <c r="R1061" s="140">
        <v>0</v>
      </c>
      <c r="S1061" s="92">
        <v>0</v>
      </c>
      <c r="T1061" s="92">
        <v>0</v>
      </c>
      <c r="U1061" s="137">
        <v>0</v>
      </c>
      <c r="V1061" s="126" t="str">
        <f t="shared" si="32"/>
        <v>❄ Frozen Rate</v>
      </c>
      <c r="W1061" s="130">
        <f>IFERROR(_xlfn.XLOOKUP(TEXT(H1061,"0000000000"),'📞 Call Tracker'!A$2:A$2000,'📞 Call Tracker'!B$2:B$2000,""),"")</f>
        <v>0</v>
      </c>
      <c r="X1061" s="96">
        <f>IFERROR(_xlfn.XLOOKUP(TEXT(H1061,"0000000000"),'📞 Call Tracker'!A$2:A$2000,'📞 Call Tracker'!C$2:C$2000,""),"")</f>
        <v>0</v>
      </c>
      <c r="Y1061" s="95">
        <f>IFERROR(_xlfn.XLOOKUP(TEXT(H1061,"0000000000"),'📞 Call Tracker'!A$2:A$2000,'📞 Call Tracker'!D$2:D$2000,""),"")</f>
        <v>0</v>
      </c>
      <c r="Z1061" s="95">
        <f>IFERROR(_xlfn.XLOOKUP(TEXT(H1061,"0000000000"),'📞 Call Tracker'!A$2:A$2000,'📞 Call Tracker'!E$2:E$2000,""),"")</f>
        <v>0</v>
      </c>
      <c r="AA1061" s="145">
        <f>IFERROR(_xlfn.XLOOKUP(TEXT(H1061,"0000000000"),'📞 Call Tracker'!A$2:A$2000,'📞 Call Tracker'!F$2:F$2000,""),"")</f>
        <v>0</v>
      </c>
      <c r="AB1061" s="132">
        <f t="shared" si="33"/>
        <v>99</v>
      </c>
      <c r="AC1061" s="79"/>
    </row>
    <row r="1062" spans="1:29" ht="20.100000000000001" customHeight="1">
      <c r="A1062" s="91">
        <v>46043</v>
      </c>
      <c r="B1062" s="92" t="str">
        <v>Waddell</v>
      </c>
      <c r="C1062" s="92" t="str">
        <v>Alyssa</v>
      </c>
      <c r="D1062" s="92" t="str">
        <v>Florence</v>
      </c>
      <c r="E1062" s="92">
        <v>85132</v>
      </c>
      <c r="F1062" s="137" t="str">
        <v>Oppose -rate was just increased less than 2 years ago</v>
      </c>
      <c r="G1062" s="93" t="str">
        <v>https://docket.images.azcc.gov/E000048819.pdf</v>
      </c>
      <c r="H1062" s="150" t="s">
        <v>6118</v>
      </c>
      <c r="I1062" s="114" t="str">
        <v>RCPw/TOUE47</v>
      </c>
      <c r="J1062" s="94" t="str">
        <v>No</v>
      </c>
      <c r="K1062" s="94" t="str">
        <v>No</v>
      </c>
      <c r="L1062" s="137" t="str">
        <v>Yes</v>
      </c>
      <c r="M1062" s="94" t="str">
        <v>No</v>
      </c>
      <c r="N1062" s="134" t="str">
        <v>No</v>
      </c>
      <c r="O1062" s="119" t="str">
        <v>Yes</v>
      </c>
      <c r="P1062" s="92" t="str">
        <v>N</v>
      </c>
      <c r="Q1062" s="91">
        <v>46050</v>
      </c>
      <c r="R1062" s="140">
        <v>0</v>
      </c>
      <c r="S1062" s="92">
        <v>0</v>
      </c>
      <c r="T1062" s="92">
        <v>0</v>
      </c>
      <c r="U1062" s="137">
        <v>0</v>
      </c>
      <c r="V1062" s="126" t="str">
        <f t="shared" si="32"/>
        <v>✅ On Best Plan</v>
      </c>
      <c r="W1062" s="130">
        <f>IFERROR(_xlfn.XLOOKUP(TEXT(H1062,"0000000000"),'📞 Call Tracker'!A$2:A$2000,'📞 Call Tracker'!B$2:B$2000,""),"")</f>
        <v>0</v>
      </c>
      <c r="X1062" s="96">
        <f>IFERROR(_xlfn.XLOOKUP(TEXT(H1062,"0000000000"),'📞 Call Tracker'!A$2:A$2000,'📞 Call Tracker'!C$2:C$2000,""),"")</f>
        <v>0</v>
      </c>
      <c r="Y1062" s="95">
        <f>IFERROR(_xlfn.XLOOKUP(TEXT(H1062,"0000000000"),'📞 Call Tracker'!A$2:A$2000,'📞 Call Tracker'!D$2:D$2000,""),"")</f>
        <v>0</v>
      </c>
      <c r="Z1062" s="95">
        <f>IFERROR(_xlfn.XLOOKUP(TEXT(H1062,"0000000000"),'📞 Call Tracker'!A$2:A$2000,'📞 Call Tracker'!E$2:E$2000,""),"")</f>
        <v>0</v>
      </c>
      <c r="AA1062" s="145">
        <f>IFERROR(_xlfn.XLOOKUP(TEXT(H1062,"0000000000"),'📞 Call Tracker'!A$2:A$2000,'📞 Call Tracker'!F$2:F$2000,""),"")</f>
        <v>0</v>
      </c>
      <c r="AB1062" s="132">
        <f t="shared" si="33"/>
        <v>99</v>
      </c>
      <c r="AC1062" s="79"/>
    </row>
    <row r="1063" spans="1:29" ht="20.100000000000001" customHeight="1">
      <c r="A1063" s="91">
        <v>46043</v>
      </c>
      <c r="B1063" s="92" t="str">
        <v>Pendergraft</v>
      </c>
      <c r="C1063" s="92" t="str">
        <v>Stephen</v>
      </c>
      <c r="D1063" s="92" t="str">
        <v>Phoenix</v>
      </c>
      <c r="E1063" s="92">
        <v>85014</v>
      </c>
      <c r="F1063" s="137" t="str">
        <v xml:space="preserve">It is unreasonable to expect Arizona families to shoulder another significant iincrease. Quotes APS  mission statement on 'About Us' page. </v>
      </c>
      <c r="G1063" s="93" t="str">
        <v>https://docket.images.azcc.gov/E000048819.pdf</v>
      </c>
      <c r="H1063" s="150" t="s">
        <v>6459</v>
      </c>
      <c r="I1063" s="114" t="str">
        <v>EPR6w/ET-1</v>
      </c>
      <c r="J1063" s="94" t="str">
        <v>No</v>
      </c>
      <c r="K1063" s="94" t="str">
        <v>No</v>
      </c>
      <c r="L1063" s="137" t="str">
        <v>Frozen Rate</v>
      </c>
      <c r="M1063" s="94" t="str">
        <v>No</v>
      </c>
      <c r="N1063" s="134" t="str">
        <v>No</v>
      </c>
      <c r="O1063" s="119" t="str">
        <v>Yes</v>
      </c>
      <c r="P1063" s="92" t="str">
        <v>N</v>
      </c>
      <c r="Q1063" s="91">
        <v>46050</v>
      </c>
      <c r="R1063" s="140">
        <v>0</v>
      </c>
      <c r="S1063" s="92">
        <v>0</v>
      </c>
      <c r="T1063" s="92">
        <v>0</v>
      </c>
      <c r="U1063" s="137">
        <v>0</v>
      </c>
      <c r="V1063" s="126" t="str">
        <f t="shared" si="32"/>
        <v>❄ Frozen Rate</v>
      </c>
      <c r="W1063" s="130">
        <f>IFERROR(_xlfn.XLOOKUP(TEXT(H1063,"0000000000"),'📞 Call Tracker'!A$2:A$2000,'📞 Call Tracker'!B$2:B$2000,""),"")</f>
        <v>0</v>
      </c>
      <c r="X1063" s="96">
        <f>IFERROR(_xlfn.XLOOKUP(TEXT(H1063,"0000000000"),'📞 Call Tracker'!A$2:A$2000,'📞 Call Tracker'!C$2:C$2000,""),"")</f>
        <v>0</v>
      </c>
      <c r="Y1063" s="95">
        <f>IFERROR(_xlfn.XLOOKUP(TEXT(H1063,"0000000000"),'📞 Call Tracker'!A$2:A$2000,'📞 Call Tracker'!D$2:D$2000,""),"")</f>
        <v>0</v>
      </c>
      <c r="Z1063" s="95">
        <f>IFERROR(_xlfn.XLOOKUP(TEXT(H1063,"0000000000"),'📞 Call Tracker'!A$2:A$2000,'📞 Call Tracker'!E$2:E$2000,""),"")</f>
        <v>0</v>
      </c>
      <c r="AA1063" s="145">
        <f>IFERROR(_xlfn.XLOOKUP(TEXT(H1063,"0000000000"),'📞 Call Tracker'!A$2:A$2000,'📞 Call Tracker'!F$2:F$2000,""),"")</f>
        <v>0</v>
      </c>
      <c r="AB1063" s="132">
        <f t="shared" si="33"/>
        <v>99</v>
      </c>
      <c r="AC1063" s="79"/>
    </row>
    <row r="1064" spans="1:29" ht="20.100000000000001" customHeight="1">
      <c r="A1064" s="91">
        <v>46043</v>
      </c>
      <c r="B1064" s="92" t="str">
        <v>Mueller</v>
      </c>
      <c r="C1064" s="92" t="str">
        <v>Shannon</v>
      </c>
      <c r="D1064" s="92" t="str">
        <v>Surprise</v>
      </c>
      <c r="E1064" s="92">
        <v>85379</v>
      </c>
      <c r="F1064" s="137" t="str">
        <v xml:space="preserve">Why do they need YET ANOTHER INCREASE? APS is already charging WAAAAY more than SRP. </v>
      </c>
      <c r="G1064" s="93" t="str">
        <v>https://docket.images.azcc.gov/E000048819.pdf</v>
      </c>
      <c r="H1064" s="150" t="s">
        <v>6119</v>
      </c>
      <c r="I1064" s="114" t="str">
        <v>R3-47</v>
      </c>
      <c r="J1064" s="94" t="str">
        <v>Yes</v>
      </c>
      <c r="K1064" s="94" t="str">
        <v>No</v>
      </c>
      <c r="L1064" s="137" t="str">
        <v>Yes</v>
      </c>
      <c r="M1064" s="94" t="str">
        <v>No</v>
      </c>
      <c r="N1064" s="134" t="str">
        <v>No</v>
      </c>
      <c r="O1064" s="119" t="str">
        <v>Yes</v>
      </c>
      <c r="P1064" s="92" t="str">
        <v>N</v>
      </c>
      <c r="Q1064" s="91">
        <v>46050</v>
      </c>
      <c r="R1064" s="140">
        <v>0</v>
      </c>
      <c r="S1064" s="92">
        <v>0</v>
      </c>
      <c r="T1064" s="92">
        <v>0</v>
      </c>
      <c r="U1064" s="137">
        <v>0</v>
      </c>
      <c r="V1064" s="126" t="str">
        <f t="shared" si="32"/>
        <v>✅ On Best Plan</v>
      </c>
      <c r="W1064" s="130">
        <f>IFERROR(_xlfn.XLOOKUP(TEXT(H1064,"0000000000"),'📞 Call Tracker'!A$2:A$2000,'📞 Call Tracker'!B$2:B$2000,""),"")</f>
        <v>0</v>
      </c>
      <c r="X1064" s="96">
        <f>IFERROR(_xlfn.XLOOKUP(TEXT(H1064,"0000000000"),'📞 Call Tracker'!A$2:A$2000,'📞 Call Tracker'!C$2:C$2000,""),"")</f>
        <v>0</v>
      </c>
      <c r="Y1064" s="95">
        <f>IFERROR(_xlfn.XLOOKUP(TEXT(H1064,"0000000000"),'📞 Call Tracker'!A$2:A$2000,'📞 Call Tracker'!D$2:D$2000,""),"")</f>
        <v>0</v>
      </c>
      <c r="Z1064" s="95">
        <f>IFERROR(_xlfn.XLOOKUP(TEXT(H1064,"0000000000"),'📞 Call Tracker'!A$2:A$2000,'📞 Call Tracker'!E$2:E$2000,""),"")</f>
        <v>0</v>
      </c>
      <c r="AA1064" s="145">
        <f>IFERROR(_xlfn.XLOOKUP(TEXT(H1064,"0000000000"),'📞 Call Tracker'!A$2:A$2000,'📞 Call Tracker'!F$2:F$2000,""),"")</f>
        <v>0</v>
      </c>
      <c r="AB1064" s="132">
        <f t="shared" si="33"/>
        <v>99</v>
      </c>
      <c r="AC1064" s="79"/>
    </row>
    <row r="1065" spans="1:29" ht="20.100000000000001" customHeight="1">
      <c r="A1065" s="91">
        <v>46043</v>
      </c>
      <c r="B1065" s="92" t="str">
        <v>Barraza</v>
      </c>
      <c r="C1065" s="92" t="str">
        <v>Andrew</v>
      </c>
      <c r="D1065" s="92" t="str">
        <v>Phoenix</v>
      </c>
      <c r="E1065" s="92">
        <v>85029</v>
      </c>
      <c r="F1065" s="137" t="str">
        <v xml:space="preserve">Parent of  three children, like many Arizona families, we are already struggling with the rising cost of living. </v>
      </c>
      <c r="G1065" s="93" t="str">
        <v>https://docket.images.azcc.gov/E000048819.pdf</v>
      </c>
      <c r="H1065" s="150" t="s">
        <v>6120</v>
      </c>
      <c r="I1065" s="114" t="str">
        <v>RTOUE47</v>
      </c>
      <c r="J1065" s="94" t="str">
        <v>Yes</v>
      </c>
      <c r="K1065" s="94" t="str">
        <v>No</v>
      </c>
      <c r="L1065" s="137" t="str">
        <v>No MEP R-BASIC ($1.22)</v>
      </c>
      <c r="M1065" s="94" t="str">
        <v>No</v>
      </c>
      <c r="N1065" s="134" t="str">
        <v>No</v>
      </c>
      <c r="O1065" s="119" t="str">
        <v>Yes</v>
      </c>
      <c r="P1065" s="92" t="str">
        <v>N</v>
      </c>
      <c r="Q1065" s="91">
        <v>46050</v>
      </c>
      <c r="R1065" s="140">
        <v>0</v>
      </c>
      <c r="S1065" s="92">
        <v>0</v>
      </c>
      <c r="T1065" s="92">
        <v>0</v>
      </c>
      <c r="U1065" s="137">
        <v>0</v>
      </c>
      <c r="V1065" s="126" t="str">
        <f t="shared" si="32"/>
        <v>❌ Not on Best Plan</v>
      </c>
      <c r="W1065" s="130">
        <f>IFERROR(_xlfn.XLOOKUP(TEXT(H1065,"0000000000"),'📞 Call Tracker'!A$2:A$2000,'📞 Call Tracker'!B$2:B$2000,""),"")</f>
        <v>0</v>
      </c>
      <c r="X1065" s="96">
        <f>IFERROR(_xlfn.XLOOKUP(TEXT(H1065,"0000000000"),'📞 Call Tracker'!A$2:A$2000,'📞 Call Tracker'!C$2:C$2000,""),"")</f>
        <v>0</v>
      </c>
      <c r="Y1065" s="95">
        <f>IFERROR(_xlfn.XLOOKUP(TEXT(H1065,"0000000000"),'📞 Call Tracker'!A$2:A$2000,'📞 Call Tracker'!D$2:D$2000,""),"")</f>
        <v>0</v>
      </c>
      <c r="Z1065" s="95">
        <f>IFERROR(_xlfn.XLOOKUP(TEXT(H1065,"0000000000"),'📞 Call Tracker'!A$2:A$2000,'📞 Call Tracker'!E$2:E$2000,""),"")</f>
        <v>0</v>
      </c>
      <c r="AA1065" s="145">
        <f>IFERROR(_xlfn.XLOOKUP(TEXT(H1065,"0000000000"),'📞 Call Tracker'!A$2:A$2000,'📞 Call Tracker'!F$2:F$2000,""),"")</f>
        <v>0</v>
      </c>
      <c r="AB1065" s="132">
        <f t="shared" si="33"/>
        <v>99</v>
      </c>
      <c r="AC1065" s="79"/>
    </row>
    <row r="1066" spans="1:29" ht="20.100000000000001" customHeight="1">
      <c r="A1066" s="91">
        <v>46044</v>
      </c>
      <c r="B1066" s="92" t="str">
        <v>McKee</v>
      </c>
      <c r="C1066" s="92" t="str">
        <v>Dave</v>
      </c>
      <c r="D1066" s="92" t="str">
        <v>Tempe</v>
      </c>
      <c r="E1066" s="92">
        <v>85281</v>
      </c>
      <c r="F1066" s="137" t="str">
        <v xml:space="preserve">It is unfathomable that they would request yet another rate hike, especially considering the outrageous amount the APS officers are taking in sompensation. </v>
      </c>
      <c r="G1066" s="93" t="str">
        <v>https://docket.images.azcc.gov/E000048828.pdf</v>
      </c>
      <c r="H1066" s="150" t="s">
        <v>6121</v>
      </c>
      <c r="I1066" s="114" t="str">
        <v>R3-47</v>
      </c>
      <c r="J1066" s="94" t="str">
        <v>No</v>
      </c>
      <c r="K1066" s="94" t="str">
        <v>No</v>
      </c>
      <c r="L1066" s="137" t="str">
        <v>Yes</v>
      </c>
      <c r="M1066" s="94" t="str">
        <v>No</v>
      </c>
      <c r="N1066" s="134" t="str">
        <v>No</v>
      </c>
      <c r="O1066" s="119" t="str">
        <v>Yes</v>
      </c>
      <c r="P1066" s="92" t="str">
        <v>N</v>
      </c>
      <c r="Q1066" s="91">
        <v>46050</v>
      </c>
      <c r="R1066" s="140">
        <v>0</v>
      </c>
      <c r="S1066" s="92">
        <v>0</v>
      </c>
      <c r="T1066" s="92">
        <v>0</v>
      </c>
      <c r="U1066" s="137">
        <v>0</v>
      </c>
      <c r="V1066" s="126" t="str">
        <f t="shared" si="32"/>
        <v>✅ On Best Plan</v>
      </c>
      <c r="W1066" s="130">
        <f>IFERROR(_xlfn.XLOOKUP(TEXT(H1066,"0000000000"),'📞 Call Tracker'!A$2:A$2000,'📞 Call Tracker'!B$2:B$2000,""),"")</f>
        <v>0</v>
      </c>
      <c r="X1066" s="96">
        <f>IFERROR(_xlfn.XLOOKUP(TEXT(H1066,"0000000000"),'📞 Call Tracker'!A$2:A$2000,'📞 Call Tracker'!C$2:C$2000,""),"")</f>
        <v>0</v>
      </c>
      <c r="Y1066" s="95">
        <f>IFERROR(_xlfn.XLOOKUP(TEXT(H1066,"0000000000"),'📞 Call Tracker'!A$2:A$2000,'📞 Call Tracker'!D$2:D$2000,""),"")</f>
        <v>0</v>
      </c>
      <c r="Z1066" s="95">
        <f>IFERROR(_xlfn.XLOOKUP(TEXT(H1066,"0000000000"),'📞 Call Tracker'!A$2:A$2000,'📞 Call Tracker'!E$2:E$2000,""),"")</f>
        <v>0</v>
      </c>
      <c r="AA1066" s="145">
        <f>IFERROR(_xlfn.XLOOKUP(TEXT(H1066,"0000000000"),'📞 Call Tracker'!A$2:A$2000,'📞 Call Tracker'!F$2:F$2000,""),"")</f>
        <v>0</v>
      </c>
      <c r="AB1066" s="132">
        <f t="shared" si="33"/>
        <v>99</v>
      </c>
      <c r="AC1066" s="79"/>
    </row>
    <row r="1067" spans="1:29" ht="20.100000000000001" customHeight="1">
      <c r="A1067" s="91">
        <v>46044</v>
      </c>
      <c r="B1067" s="92" t="str">
        <v>Devlin</v>
      </c>
      <c r="C1067" s="92" t="str">
        <v>Diane</v>
      </c>
      <c r="D1067" s="92" t="str">
        <v>Scottsdale</v>
      </c>
      <c r="E1067" s="92">
        <v>85254</v>
      </c>
      <c r="F1067" s="137" t="str">
        <v>difficult to enjoy my retirement from hard work for 50 years. My family consistently tries to conserve but it seems like large businesses are not pulling their weight.</v>
      </c>
      <c r="G1067" s="93" t="str">
        <v>https://docket.images.azcc.gov/E000048828.pdf</v>
      </c>
      <c r="H1067" s="150" t="s">
        <v>6122</v>
      </c>
      <c r="I1067" s="114" t="str">
        <v>EPR6w/ET-2</v>
      </c>
      <c r="J1067" s="94" t="str">
        <v>No</v>
      </c>
      <c r="K1067" s="94" t="str">
        <v>No</v>
      </c>
      <c r="L1067" s="137" t="str">
        <v>Frozen Rate</v>
      </c>
      <c r="M1067" s="94" t="str">
        <v>No</v>
      </c>
      <c r="N1067" s="134" t="str">
        <v>No</v>
      </c>
      <c r="O1067" s="119" t="str">
        <v>Yes</v>
      </c>
      <c r="P1067" s="92" t="str">
        <v>N</v>
      </c>
      <c r="Q1067" s="91">
        <v>46050</v>
      </c>
      <c r="R1067" s="140">
        <v>0</v>
      </c>
      <c r="S1067" s="92">
        <v>0</v>
      </c>
      <c r="T1067" s="92">
        <v>0</v>
      </c>
      <c r="U1067" s="137">
        <v>0</v>
      </c>
      <c r="V1067" s="126" t="str">
        <f t="shared" si="32"/>
        <v>❄ Frozen Rate</v>
      </c>
      <c r="W1067" s="130">
        <f>IFERROR(_xlfn.XLOOKUP(TEXT(H1067,"0000000000"),'📞 Call Tracker'!A$2:A$2000,'📞 Call Tracker'!B$2:B$2000,""),"")</f>
        <v>0</v>
      </c>
      <c r="X1067" s="96">
        <f>IFERROR(_xlfn.XLOOKUP(TEXT(H1067,"0000000000"),'📞 Call Tracker'!A$2:A$2000,'📞 Call Tracker'!C$2:C$2000,""),"")</f>
        <v>0</v>
      </c>
      <c r="Y1067" s="95">
        <f>IFERROR(_xlfn.XLOOKUP(TEXT(H1067,"0000000000"),'📞 Call Tracker'!A$2:A$2000,'📞 Call Tracker'!D$2:D$2000,""),"")</f>
        <v>0</v>
      </c>
      <c r="Z1067" s="95">
        <f>IFERROR(_xlfn.XLOOKUP(TEXT(H1067,"0000000000"),'📞 Call Tracker'!A$2:A$2000,'📞 Call Tracker'!E$2:E$2000,""),"")</f>
        <v>0</v>
      </c>
      <c r="AA1067" s="145">
        <f>IFERROR(_xlfn.XLOOKUP(TEXT(H1067,"0000000000"),'📞 Call Tracker'!A$2:A$2000,'📞 Call Tracker'!F$2:F$2000,""),"")</f>
        <v>0</v>
      </c>
      <c r="AB1067" s="132">
        <f t="shared" si="33"/>
        <v>99</v>
      </c>
      <c r="AC1067" s="79"/>
    </row>
    <row r="1068" spans="1:29" ht="20.100000000000001" customHeight="1">
      <c r="A1068" s="91">
        <v>46045</v>
      </c>
      <c r="B1068" s="92" t="str">
        <v>Keliher</v>
      </c>
      <c r="C1068" s="92" t="str">
        <v>Michael</v>
      </c>
      <c r="D1068" s="92" t="str">
        <v>Mayer</v>
      </c>
      <c r="E1068" s="92">
        <v>86333</v>
      </c>
      <c r="F1068" s="137" t="str">
        <v>Prices at the grocery store and it has tripled the cost per month that we pay for food. This has really out into our budget.</v>
      </c>
      <c r="G1068" s="93" t="str">
        <v>https://docket.images.azcc.gov/E000048860.pdf</v>
      </c>
      <c r="H1068" s="150" t="s">
        <v>6123</v>
      </c>
      <c r="I1068" s="114" t="str">
        <v>R-XS</v>
      </c>
      <c r="J1068" s="94" t="str">
        <v>No</v>
      </c>
      <c r="K1068" s="94" t="str">
        <v>No</v>
      </c>
      <c r="L1068" s="137" t="str">
        <v>Yes</v>
      </c>
      <c r="M1068" s="94" t="str">
        <v>No</v>
      </c>
      <c r="N1068" s="134" t="str">
        <v>No</v>
      </c>
      <c r="O1068" s="119" t="str">
        <v>Yes</v>
      </c>
      <c r="P1068" s="92" t="str">
        <v>N</v>
      </c>
      <c r="Q1068" s="91">
        <v>46050</v>
      </c>
      <c r="R1068" s="140">
        <v>0</v>
      </c>
      <c r="S1068" s="92">
        <v>0</v>
      </c>
      <c r="T1068" s="92">
        <v>0</v>
      </c>
      <c r="U1068" s="137">
        <v>0</v>
      </c>
      <c r="V1068" s="126" t="str">
        <f t="shared" si="32"/>
        <v>✅ On Best Plan</v>
      </c>
      <c r="W1068" s="130">
        <f>IFERROR(_xlfn.XLOOKUP(TEXT(H1068,"0000000000"),'📞 Call Tracker'!A$2:A$2000,'📞 Call Tracker'!B$2:B$2000,""),"")</f>
        <v>0</v>
      </c>
      <c r="X1068" s="96">
        <f>IFERROR(_xlfn.XLOOKUP(TEXT(H1068,"0000000000"),'📞 Call Tracker'!A$2:A$2000,'📞 Call Tracker'!C$2:C$2000,""),"")</f>
        <v>0</v>
      </c>
      <c r="Y1068" s="95">
        <f>IFERROR(_xlfn.XLOOKUP(TEXT(H1068,"0000000000"),'📞 Call Tracker'!A$2:A$2000,'📞 Call Tracker'!D$2:D$2000,""),"")</f>
        <v>0</v>
      </c>
      <c r="Z1068" s="95">
        <f>IFERROR(_xlfn.XLOOKUP(TEXT(H1068,"0000000000"),'📞 Call Tracker'!A$2:A$2000,'📞 Call Tracker'!E$2:E$2000,""),"")</f>
        <v>0</v>
      </c>
      <c r="AA1068" s="145">
        <f>IFERROR(_xlfn.XLOOKUP(TEXT(H1068,"0000000000"),'📞 Call Tracker'!A$2:A$2000,'📞 Call Tracker'!F$2:F$2000,""),"")</f>
        <v>0</v>
      </c>
      <c r="AB1068" s="132">
        <f t="shared" si="33"/>
        <v>99</v>
      </c>
      <c r="AC1068" s="79"/>
    </row>
    <row r="1069" spans="1:29" ht="20.100000000000001" customHeight="1">
      <c r="A1069" s="91">
        <v>46045</v>
      </c>
      <c r="B1069" s="92" t="str">
        <v>Dapcedich</v>
      </c>
      <c r="C1069" s="92" t="str">
        <v>Mark</v>
      </c>
      <c r="D1069" s="92" t="str">
        <v>New River</v>
      </c>
      <c r="E1069" s="92">
        <v>85087</v>
      </c>
      <c r="F1069" s="137" t="str">
        <v>A 16%+ increase is unreasonable and unjustified. APS has made little improvements to their infrastructure compared to the increased amount of customers and revenue.</v>
      </c>
      <c r="G1069" s="93" t="str">
        <v>https://docket.images.azcc.gov/E000048844.pdf</v>
      </c>
      <c r="H1069" s="150" t="s">
        <v>6460</v>
      </c>
      <c r="I1069" s="114" t="str">
        <v>R-2</v>
      </c>
      <c r="J1069" s="94" t="str">
        <v>No</v>
      </c>
      <c r="K1069" s="94" t="str">
        <v>No</v>
      </c>
      <c r="L1069" s="137" t="str">
        <v>Frozen Rate</v>
      </c>
      <c r="M1069" s="94" t="str">
        <v>No</v>
      </c>
      <c r="N1069" s="134" t="str">
        <v>No</v>
      </c>
      <c r="O1069" s="119" t="str">
        <v>Yes</v>
      </c>
      <c r="P1069" s="92" t="str">
        <v>N</v>
      </c>
      <c r="Q1069" s="91">
        <v>46050</v>
      </c>
      <c r="R1069" s="140">
        <v>0</v>
      </c>
      <c r="S1069" s="92">
        <v>0</v>
      </c>
      <c r="T1069" s="92">
        <v>0</v>
      </c>
      <c r="U1069" s="137">
        <v>0</v>
      </c>
      <c r="V1069" s="126" t="str">
        <f t="shared" si="32"/>
        <v>❄ Frozen Rate</v>
      </c>
      <c r="W1069" s="130">
        <f>IFERROR(_xlfn.XLOOKUP(TEXT(H1069,"0000000000"),'📞 Call Tracker'!A$2:A$2000,'📞 Call Tracker'!B$2:B$2000,""),"")</f>
        <v>0</v>
      </c>
      <c r="X1069" s="96">
        <f>IFERROR(_xlfn.XLOOKUP(TEXT(H1069,"0000000000"),'📞 Call Tracker'!A$2:A$2000,'📞 Call Tracker'!C$2:C$2000,""),"")</f>
        <v>0</v>
      </c>
      <c r="Y1069" s="95">
        <f>IFERROR(_xlfn.XLOOKUP(TEXT(H1069,"0000000000"),'📞 Call Tracker'!A$2:A$2000,'📞 Call Tracker'!D$2:D$2000,""),"")</f>
        <v>0</v>
      </c>
      <c r="Z1069" s="95">
        <f>IFERROR(_xlfn.XLOOKUP(TEXT(H1069,"0000000000"),'📞 Call Tracker'!A$2:A$2000,'📞 Call Tracker'!E$2:E$2000,""),"")</f>
        <v>0</v>
      </c>
      <c r="AA1069" s="145">
        <f>IFERROR(_xlfn.XLOOKUP(TEXT(H1069,"0000000000"),'📞 Call Tracker'!A$2:A$2000,'📞 Call Tracker'!F$2:F$2000,""),"")</f>
        <v>0</v>
      </c>
      <c r="AB1069" s="132">
        <f t="shared" si="33"/>
        <v>99</v>
      </c>
      <c r="AC1069" s="79"/>
    </row>
    <row r="1070" spans="1:29" ht="20.100000000000001" customHeight="1">
      <c r="A1070" s="91">
        <v>46045</v>
      </c>
      <c r="B1070" s="92" t="str">
        <v>Triggs</v>
      </c>
      <c r="C1070" s="92" t="str">
        <v>Jovada</v>
      </c>
      <c r="D1070" s="92" t="str">
        <v>Phoenix</v>
      </c>
      <c r="E1070" s="92">
        <v>85027</v>
      </c>
      <c r="F1070" s="137" t="str">
        <v>Live with my daughter and am on a fixed income. Even with a discounted plan, I am still paying over $100 per month. I can't afford another increase. This is unfair</v>
      </c>
      <c r="G1070" s="93" t="str">
        <v>https://docket.images.azcc.gov/E000048847.pdf</v>
      </c>
      <c r="H1070" s="150" t="s">
        <v>6124</v>
      </c>
      <c r="I1070" s="114" t="str">
        <v>R-2</v>
      </c>
      <c r="J1070" s="94" t="str">
        <v>Yes</v>
      </c>
      <c r="K1070" s="94" t="str">
        <v>No</v>
      </c>
      <c r="L1070" s="137" t="str">
        <v>Frozen Rate</v>
      </c>
      <c r="M1070" s="94" t="str">
        <v>No</v>
      </c>
      <c r="N1070" s="134" t="str">
        <v>No</v>
      </c>
      <c r="O1070" s="119" t="str">
        <v>Yes</v>
      </c>
      <c r="P1070" s="92" t="str">
        <v>N</v>
      </c>
      <c r="Q1070" s="91">
        <v>46050</v>
      </c>
      <c r="R1070" s="140">
        <v>0</v>
      </c>
      <c r="S1070" s="92">
        <v>0</v>
      </c>
      <c r="T1070" s="92">
        <v>0</v>
      </c>
      <c r="U1070" s="137">
        <v>0</v>
      </c>
      <c r="V1070" s="126" t="str">
        <f t="shared" si="32"/>
        <v>❄ Frozen Rate</v>
      </c>
      <c r="W1070" s="130">
        <f>IFERROR(_xlfn.XLOOKUP(TEXT(H1070,"0000000000"),'📞 Call Tracker'!A$2:A$2000,'📞 Call Tracker'!B$2:B$2000,""),"")</f>
        <v>0</v>
      </c>
      <c r="X1070" s="96">
        <f>IFERROR(_xlfn.XLOOKUP(TEXT(H1070,"0000000000"),'📞 Call Tracker'!A$2:A$2000,'📞 Call Tracker'!C$2:C$2000,""),"")</f>
        <v>0</v>
      </c>
      <c r="Y1070" s="95">
        <f>IFERROR(_xlfn.XLOOKUP(TEXT(H1070,"0000000000"),'📞 Call Tracker'!A$2:A$2000,'📞 Call Tracker'!D$2:D$2000,""),"")</f>
        <v>0</v>
      </c>
      <c r="Z1070" s="95">
        <f>IFERROR(_xlfn.XLOOKUP(TEXT(H1070,"0000000000"),'📞 Call Tracker'!A$2:A$2000,'📞 Call Tracker'!E$2:E$2000,""),"")</f>
        <v>0</v>
      </c>
      <c r="AA1070" s="145">
        <f>IFERROR(_xlfn.XLOOKUP(TEXT(H1070,"0000000000"),'📞 Call Tracker'!A$2:A$2000,'📞 Call Tracker'!F$2:F$2000,""),"")</f>
        <v>0</v>
      </c>
      <c r="AB1070" s="132">
        <f t="shared" si="33"/>
        <v>99</v>
      </c>
      <c r="AC1070" s="79"/>
    </row>
    <row r="1071" spans="1:29" ht="20.100000000000001" customHeight="1">
      <c r="A1071" s="91">
        <v>46045</v>
      </c>
      <c r="B1071" s="92" t="str">
        <v>Gaydos</v>
      </c>
      <c r="C1071" s="92" t="str">
        <v>Kathleen</v>
      </c>
      <c r="D1071" s="92" t="str">
        <v>Scottsdale</v>
      </c>
      <c r="E1071" s="92">
        <v>85260</v>
      </c>
      <c r="F1071" s="137" t="str">
        <v>I worry about our schools. It should be the developers building that should be paying for the expansion and infrastructure to support our power grid.</v>
      </c>
      <c r="G1071" s="93" t="str">
        <v>https://docket.images.azcc.gov/E000048847.pdf</v>
      </c>
      <c r="H1071" s="150" t="s">
        <v>6461</v>
      </c>
      <c r="I1071" s="114" t="str">
        <v>R-XS</v>
      </c>
      <c r="J1071" s="94" t="str">
        <v>No</v>
      </c>
      <c r="K1071" s="94" t="str">
        <v>No</v>
      </c>
      <c r="L1071" s="137" t="str">
        <v>Yes</v>
      </c>
      <c r="M1071" s="94" t="str">
        <v>No</v>
      </c>
      <c r="N1071" s="134" t="str">
        <v>No</v>
      </c>
      <c r="O1071" s="119" t="str">
        <v>Yes</v>
      </c>
      <c r="P1071" s="92" t="str">
        <v>N</v>
      </c>
      <c r="Q1071" s="91">
        <v>46050</v>
      </c>
      <c r="R1071" s="140">
        <v>0</v>
      </c>
      <c r="S1071" s="92">
        <v>0</v>
      </c>
      <c r="T1071" s="92">
        <v>0</v>
      </c>
      <c r="U1071" s="137">
        <v>0</v>
      </c>
      <c r="V1071" s="126" t="str">
        <f t="shared" si="32"/>
        <v>✅ On Best Plan</v>
      </c>
      <c r="W1071" s="130">
        <f>IFERROR(_xlfn.XLOOKUP(TEXT(H1071,"0000000000"),'📞 Call Tracker'!A$2:A$2000,'📞 Call Tracker'!B$2:B$2000,""),"")</f>
        <v>0</v>
      </c>
      <c r="X1071" s="96">
        <f>IFERROR(_xlfn.XLOOKUP(TEXT(H1071,"0000000000"),'📞 Call Tracker'!A$2:A$2000,'📞 Call Tracker'!C$2:C$2000,""),"")</f>
        <v>0</v>
      </c>
      <c r="Y1071" s="95">
        <f>IFERROR(_xlfn.XLOOKUP(TEXT(H1071,"0000000000"),'📞 Call Tracker'!A$2:A$2000,'📞 Call Tracker'!D$2:D$2000,""),"")</f>
        <v>0</v>
      </c>
      <c r="Z1071" s="95">
        <f>IFERROR(_xlfn.XLOOKUP(TEXT(H1071,"0000000000"),'📞 Call Tracker'!A$2:A$2000,'📞 Call Tracker'!E$2:E$2000,""),"")</f>
        <v>0</v>
      </c>
      <c r="AA1071" s="145">
        <f>IFERROR(_xlfn.XLOOKUP(TEXT(H1071,"0000000000"),'📞 Call Tracker'!A$2:A$2000,'📞 Call Tracker'!F$2:F$2000,""),"")</f>
        <v>0</v>
      </c>
      <c r="AB1071" s="132">
        <f t="shared" si="33"/>
        <v>99</v>
      </c>
      <c r="AC1071" s="79"/>
    </row>
    <row r="1072" spans="1:29" ht="20.100000000000001" customHeight="1">
      <c r="A1072" s="91">
        <v>46048</v>
      </c>
      <c r="B1072" s="92" t="str">
        <v>Crawley</v>
      </c>
      <c r="C1072" s="92" t="str">
        <v>Nancy</v>
      </c>
      <c r="D1072" s="92" t="str">
        <v>Cottonwood</v>
      </c>
      <c r="E1072" s="92">
        <v>86326</v>
      </c>
      <c r="F1072" s="137" t="str">
        <v xml:space="preserve">I'm opposed to a rate increase from APS. It is difficult to pay our current bill, let alone an additional increase. We (retired folks) only received a $34 increase on our SS. </v>
      </c>
      <c r="G1072" s="93" t="str">
        <v>https://docket.images.azcc.gov/E000048888.pdf</v>
      </c>
      <c r="H1072" s="150" t="s">
        <v>6125</v>
      </c>
      <c r="I1072" s="114" t="str">
        <v>R-BASIC</v>
      </c>
      <c r="J1072" s="94" t="str">
        <v>Yes</v>
      </c>
      <c r="K1072" s="94" t="str">
        <v>No</v>
      </c>
      <c r="L1072" s="137" t="str">
        <v>??</v>
      </c>
      <c r="M1072" s="94" t="str">
        <v>No</v>
      </c>
      <c r="N1072" s="134" t="str">
        <v>No</v>
      </c>
      <c r="O1072" s="119" t="str">
        <v>Yes</v>
      </c>
      <c r="P1072" s="92">
        <v>0</v>
      </c>
      <c r="Q1072" s="91">
        <v>0</v>
      </c>
      <c r="R1072" s="140">
        <v>0</v>
      </c>
      <c r="S1072" s="92">
        <v>0</v>
      </c>
      <c r="T1072" s="92">
        <v>0</v>
      </c>
      <c r="U1072" s="137">
        <v>0</v>
      </c>
      <c r="V1072" s="126" t="str">
        <f t="shared" si="32"/>
        <v>❌ Not on Best Plan</v>
      </c>
      <c r="W1072" s="130">
        <f>IFERROR(_xlfn.XLOOKUP(TEXT(H1072,"0000000000"),'📞 Call Tracker'!A$2:A$2000,'📞 Call Tracker'!B$2:B$2000,""),"")</f>
        <v>0</v>
      </c>
      <c r="X1072" s="96">
        <f>IFERROR(_xlfn.XLOOKUP(TEXT(H1072,"0000000000"),'📞 Call Tracker'!A$2:A$2000,'📞 Call Tracker'!C$2:C$2000,""),"")</f>
        <v>0</v>
      </c>
      <c r="Y1072" s="95">
        <f>IFERROR(_xlfn.XLOOKUP(TEXT(H1072,"0000000000"),'📞 Call Tracker'!A$2:A$2000,'📞 Call Tracker'!D$2:D$2000,""),"")</f>
        <v>0</v>
      </c>
      <c r="Z1072" s="95">
        <f>IFERROR(_xlfn.XLOOKUP(TEXT(H1072,"0000000000"),'📞 Call Tracker'!A$2:A$2000,'📞 Call Tracker'!E$2:E$2000,""),"")</f>
        <v>0</v>
      </c>
      <c r="AA1072" s="145">
        <f>IFERROR(_xlfn.XLOOKUP(TEXT(H1072,"0000000000"),'📞 Call Tracker'!A$2:A$2000,'📞 Call Tracker'!F$2:F$2000,""),"")</f>
        <v>0</v>
      </c>
      <c r="AB1072" s="132">
        <f t="shared" si="33"/>
        <v>99</v>
      </c>
      <c r="AC1072" s="79"/>
    </row>
    <row r="1073" spans="1:29" ht="20.100000000000001" customHeight="1">
      <c r="A1073" s="91">
        <v>46048</v>
      </c>
      <c r="B1073" s="92" t="str">
        <v>Tuggle</v>
      </c>
      <c r="C1073" s="92" t="str">
        <v>Nora</v>
      </c>
      <c r="D1073" s="92" t="str">
        <v>Prescott</v>
      </c>
      <c r="E1073" s="92">
        <v>86303</v>
      </c>
      <c r="F1073" s="137" t="str">
        <v xml:space="preserve">I am 72 years old, a disabled veteran on a fixed income. I am left questiong what options are available to me. </v>
      </c>
      <c r="G1073" s="93" t="str">
        <v>https://docket.images.azcc.gov/E000048888.pdf</v>
      </c>
      <c r="H1073" s="150" t="s">
        <v>6462</v>
      </c>
      <c r="I1073" s="114" t="str">
        <v>R-BASIC</v>
      </c>
      <c r="J1073" s="94" t="str">
        <v>No</v>
      </c>
      <c r="K1073" s="94" t="str">
        <v>No</v>
      </c>
      <c r="L1073" s="137" t="str">
        <v>Yes</v>
      </c>
      <c r="M1073" s="94" t="str">
        <v>No</v>
      </c>
      <c r="N1073" s="134" t="str">
        <v>No</v>
      </c>
      <c r="O1073" s="119" t="str">
        <v>Yes</v>
      </c>
      <c r="P1073" s="92" t="str">
        <v>N</v>
      </c>
      <c r="Q1073" s="91">
        <v>46050</v>
      </c>
      <c r="R1073" s="140">
        <v>0</v>
      </c>
      <c r="S1073" s="92">
        <v>0</v>
      </c>
      <c r="T1073" s="92">
        <v>0</v>
      </c>
      <c r="U1073" s="137">
        <v>0</v>
      </c>
      <c r="V1073" s="126" t="str">
        <f t="shared" si="32"/>
        <v>✅ On Best Plan</v>
      </c>
      <c r="W1073" s="130">
        <f>IFERROR(_xlfn.XLOOKUP(TEXT(H1073,"0000000000"),'📞 Call Tracker'!A$2:A$2000,'📞 Call Tracker'!B$2:B$2000,""),"")</f>
        <v>0</v>
      </c>
      <c r="X1073" s="96">
        <f>IFERROR(_xlfn.XLOOKUP(TEXT(H1073,"0000000000"),'📞 Call Tracker'!A$2:A$2000,'📞 Call Tracker'!C$2:C$2000,""),"")</f>
        <v>0</v>
      </c>
      <c r="Y1073" s="95">
        <f>IFERROR(_xlfn.XLOOKUP(TEXT(H1073,"0000000000"),'📞 Call Tracker'!A$2:A$2000,'📞 Call Tracker'!D$2:D$2000,""),"")</f>
        <v>0</v>
      </c>
      <c r="Z1073" s="95">
        <f>IFERROR(_xlfn.XLOOKUP(TEXT(H1073,"0000000000"),'📞 Call Tracker'!A$2:A$2000,'📞 Call Tracker'!E$2:E$2000,""),"")</f>
        <v>0</v>
      </c>
      <c r="AA1073" s="145">
        <f>IFERROR(_xlfn.XLOOKUP(TEXT(H1073,"0000000000"),'📞 Call Tracker'!A$2:A$2000,'📞 Call Tracker'!F$2:F$2000,""),"")</f>
        <v>0</v>
      </c>
      <c r="AB1073" s="132">
        <f t="shared" si="33"/>
        <v>99</v>
      </c>
      <c r="AC1073" s="79"/>
    </row>
    <row r="1074" spans="1:29" ht="20.100000000000001" customHeight="1">
      <c r="A1074" s="91">
        <v>46048</v>
      </c>
      <c r="B1074" s="92" t="str">
        <v>Chettle</v>
      </c>
      <c r="C1074" s="92" t="str">
        <v>Barbara</v>
      </c>
      <c r="D1074" s="92" t="str">
        <v>Cave Creek</v>
      </c>
      <c r="E1074" s="92">
        <v>85331</v>
      </c>
      <c r="F1074" s="137" t="str">
        <v>We are opposed to the proposed rate increase of 14% in 2026</v>
      </c>
      <c r="G1074" s="93" t="str">
        <v>https://docket.images.azcc.gov/E000048866.pdf</v>
      </c>
      <c r="H1074" s="150" t="s">
        <v>6463</v>
      </c>
      <c r="I1074" s="114" t="str">
        <v>R-2</v>
      </c>
      <c r="J1074" s="94" t="str">
        <v>No</v>
      </c>
      <c r="K1074" s="94" t="str">
        <v>No</v>
      </c>
      <c r="L1074" s="137" t="str">
        <v>Frozen Rate</v>
      </c>
      <c r="M1074" s="94" t="str">
        <v>No</v>
      </c>
      <c r="N1074" s="134" t="str">
        <v>No</v>
      </c>
      <c r="O1074" s="119" t="str">
        <v>Yes</v>
      </c>
      <c r="P1074" s="92" t="str">
        <v>N</v>
      </c>
      <c r="Q1074" s="91">
        <v>46050</v>
      </c>
      <c r="R1074" s="140">
        <v>0</v>
      </c>
      <c r="S1074" s="92">
        <v>0</v>
      </c>
      <c r="T1074" s="92">
        <v>0</v>
      </c>
      <c r="U1074" s="137">
        <v>0</v>
      </c>
      <c r="V1074" s="126" t="str">
        <f t="shared" si="32"/>
        <v>❄ Frozen Rate</v>
      </c>
      <c r="W1074" s="130">
        <f>IFERROR(_xlfn.XLOOKUP(TEXT(H1074,"0000000000"),'📞 Call Tracker'!A$2:A$2000,'📞 Call Tracker'!B$2:B$2000,""),"")</f>
        <v>0</v>
      </c>
      <c r="X1074" s="96">
        <f>IFERROR(_xlfn.XLOOKUP(TEXT(H1074,"0000000000"),'📞 Call Tracker'!A$2:A$2000,'📞 Call Tracker'!C$2:C$2000,""),"")</f>
        <v>0</v>
      </c>
      <c r="Y1074" s="95">
        <f>IFERROR(_xlfn.XLOOKUP(TEXT(H1074,"0000000000"),'📞 Call Tracker'!A$2:A$2000,'📞 Call Tracker'!D$2:D$2000,""),"")</f>
        <v>0</v>
      </c>
      <c r="Z1074" s="95">
        <f>IFERROR(_xlfn.XLOOKUP(TEXT(H1074,"0000000000"),'📞 Call Tracker'!A$2:A$2000,'📞 Call Tracker'!E$2:E$2000,""),"")</f>
        <v>0</v>
      </c>
      <c r="AA1074" s="145">
        <f>IFERROR(_xlfn.XLOOKUP(TEXT(H1074,"0000000000"),'📞 Call Tracker'!A$2:A$2000,'📞 Call Tracker'!F$2:F$2000,""),"")</f>
        <v>0</v>
      </c>
      <c r="AB1074" s="132">
        <f t="shared" si="33"/>
        <v>99</v>
      </c>
      <c r="AC1074" s="79"/>
    </row>
    <row r="1075" spans="1:29" ht="20.100000000000001" customHeight="1">
      <c r="A1075" s="91">
        <v>46049</v>
      </c>
      <c r="B1075" s="92" t="str">
        <v>Ewing</v>
      </c>
      <c r="C1075" s="92" t="str">
        <v>Christopher</v>
      </c>
      <c r="D1075" s="92" t="str">
        <v>Phoenix</v>
      </c>
      <c r="E1075" s="92">
        <v>85003</v>
      </c>
      <c r="F1075" s="137" t="str">
        <v>We are already paying historic rate heights while the data centers receive their power at a discounted rate. Enough is enough!</v>
      </c>
      <c r="G1075" s="93" t="str">
        <v>https://docket.images.azcc.gov/E000048893.pdf</v>
      </c>
      <c r="H1075" s="150" t="s">
        <v>6464</v>
      </c>
      <c r="I1075" s="114" t="str">
        <v>RTOUE47</v>
      </c>
      <c r="J1075" s="94" t="str">
        <v>No</v>
      </c>
      <c r="K1075" s="94" t="str">
        <v>No</v>
      </c>
      <c r="L1075" s="137" t="str">
        <v>Not eligible yet</v>
      </c>
      <c r="M1075" s="94" t="str">
        <v>No</v>
      </c>
      <c r="N1075" s="134" t="str">
        <v>No</v>
      </c>
      <c r="O1075" s="119" t="str">
        <v>Yes</v>
      </c>
      <c r="P1075" s="92" t="str">
        <v>N</v>
      </c>
      <c r="Q1075" s="91">
        <v>46050</v>
      </c>
      <c r="R1075" s="140">
        <v>0</v>
      </c>
      <c r="S1075" s="92">
        <v>0</v>
      </c>
      <c r="T1075" s="92">
        <v>0</v>
      </c>
      <c r="U1075" s="137">
        <v>0</v>
      </c>
      <c r="V1075" s="126" t="str">
        <f t="shared" si="32"/>
        <v>❌ Not on Best Plan</v>
      </c>
      <c r="W1075" s="130">
        <f>IFERROR(_xlfn.XLOOKUP(TEXT(H1075,"0000000000"),'📞 Call Tracker'!A$2:A$2000,'📞 Call Tracker'!B$2:B$2000,""),"")</f>
        <v>0</v>
      </c>
      <c r="X1075" s="96">
        <f>IFERROR(_xlfn.XLOOKUP(TEXT(H1075,"0000000000"),'📞 Call Tracker'!A$2:A$2000,'📞 Call Tracker'!C$2:C$2000,""),"")</f>
        <v>0</v>
      </c>
      <c r="Y1075" s="95">
        <f>IFERROR(_xlfn.XLOOKUP(TEXT(H1075,"0000000000"),'📞 Call Tracker'!A$2:A$2000,'📞 Call Tracker'!D$2:D$2000,""),"")</f>
        <v>0</v>
      </c>
      <c r="Z1075" s="95">
        <f>IFERROR(_xlfn.XLOOKUP(TEXT(H1075,"0000000000"),'📞 Call Tracker'!A$2:A$2000,'📞 Call Tracker'!E$2:E$2000,""),"")</f>
        <v>0</v>
      </c>
      <c r="AA1075" s="145">
        <f>IFERROR(_xlfn.XLOOKUP(TEXT(H1075,"0000000000"),'📞 Call Tracker'!A$2:A$2000,'📞 Call Tracker'!F$2:F$2000,""),"")</f>
        <v>0</v>
      </c>
      <c r="AB1075" s="132">
        <f t="shared" si="33"/>
        <v>99</v>
      </c>
      <c r="AC1075" s="79"/>
    </row>
    <row r="1076" spans="1:29" ht="20.100000000000001" customHeight="1">
      <c r="A1076" s="91">
        <v>46049</v>
      </c>
      <c r="B1076" s="92" t="str">
        <v>Threadgill</v>
      </c>
      <c r="C1076" s="92" t="str">
        <v>Diane</v>
      </c>
      <c r="D1076" s="92" t="str">
        <v>New River</v>
      </c>
      <c r="E1076" s="92">
        <v>85087</v>
      </c>
      <c r="F1076" s="137" t="str">
        <v>If their expenses are on the rise pass the rate increases off to the mega users-Al &amp; Fab, plants not us</v>
      </c>
      <c r="G1076" s="93" t="str">
        <v>https://docket.images.azcc.gov/E000048893.pdf</v>
      </c>
      <c r="H1076" s="150" t="s">
        <v>6465</v>
      </c>
      <c r="I1076" s="114" t="str">
        <v>R-XS</v>
      </c>
      <c r="J1076" s="94" t="str">
        <v>No</v>
      </c>
      <c r="K1076" s="94" t="str">
        <v>No</v>
      </c>
      <c r="L1076" s="137" t="str">
        <v>Yes</v>
      </c>
      <c r="M1076" s="94" t="str">
        <v>No</v>
      </c>
      <c r="N1076" s="134" t="str">
        <v>No</v>
      </c>
      <c r="O1076" s="119" t="str">
        <v>Yes</v>
      </c>
      <c r="P1076" s="92" t="str">
        <v>N</v>
      </c>
      <c r="Q1076" s="91">
        <v>46050</v>
      </c>
      <c r="R1076" s="140">
        <v>0</v>
      </c>
      <c r="S1076" s="92">
        <v>0</v>
      </c>
      <c r="T1076" s="92">
        <v>0</v>
      </c>
      <c r="U1076" s="137">
        <v>0</v>
      </c>
      <c r="V1076" s="126" t="str">
        <f t="shared" si="32"/>
        <v>✅ On Best Plan</v>
      </c>
      <c r="W1076" s="130">
        <f>IFERROR(_xlfn.XLOOKUP(TEXT(H1076,"0000000000"),'📞 Call Tracker'!A$2:A$2000,'📞 Call Tracker'!B$2:B$2000,""),"")</f>
        <v>0</v>
      </c>
      <c r="X1076" s="96">
        <f>IFERROR(_xlfn.XLOOKUP(TEXT(H1076,"0000000000"),'📞 Call Tracker'!A$2:A$2000,'📞 Call Tracker'!C$2:C$2000,""),"")</f>
        <v>0</v>
      </c>
      <c r="Y1076" s="95">
        <f>IFERROR(_xlfn.XLOOKUP(TEXT(H1076,"0000000000"),'📞 Call Tracker'!A$2:A$2000,'📞 Call Tracker'!D$2:D$2000,""),"")</f>
        <v>0</v>
      </c>
      <c r="Z1076" s="95">
        <f>IFERROR(_xlfn.XLOOKUP(TEXT(H1076,"0000000000"),'📞 Call Tracker'!A$2:A$2000,'📞 Call Tracker'!E$2:E$2000,""),"")</f>
        <v>0</v>
      </c>
      <c r="AA1076" s="145">
        <f>IFERROR(_xlfn.XLOOKUP(TEXT(H1076,"0000000000"),'📞 Call Tracker'!A$2:A$2000,'📞 Call Tracker'!F$2:F$2000,""),"")</f>
        <v>0</v>
      </c>
      <c r="AB1076" s="132">
        <f t="shared" si="33"/>
        <v>99</v>
      </c>
      <c r="AC1076" s="79"/>
    </row>
    <row r="1077" spans="1:29" ht="20.100000000000001" customHeight="1">
      <c r="A1077" s="91">
        <v>46049</v>
      </c>
      <c r="B1077" s="92" t="str">
        <v>Daniels</v>
      </c>
      <c r="C1077" s="92" t="str">
        <v>Jesse</v>
      </c>
      <c r="D1077" s="92" t="str">
        <v>Prescott Valley</v>
      </c>
      <c r="E1077" s="92">
        <v>86315</v>
      </c>
      <c r="F1077" s="137" t="str">
        <v xml:space="preserve">ACC should require APS to demonstrate stronger cost controls, clearer justification for projected expensses and meaningful efforts to protect low-income customers. </v>
      </c>
      <c r="G1077" s="93" t="str">
        <v>https://docket.images.azcc.gov/E000048893.pdf</v>
      </c>
      <c r="H1077" s="150" t="s">
        <v>6126</v>
      </c>
      <c r="I1077" s="114" t="str">
        <v>R-BASICL</v>
      </c>
      <c r="J1077" s="94" t="str">
        <v>No</v>
      </c>
      <c r="K1077" s="94" t="str">
        <v>No</v>
      </c>
      <c r="L1077" s="137" t="str">
        <v>Not eligible yet</v>
      </c>
      <c r="M1077" s="94" t="str">
        <v>No</v>
      </c>
      <c r="N1077" s="134" t="str">
        <v>No</v>
      </c>
      <c r="O1077" s="119" t="str">
        <v>Yes</v>
      </c>
      <c r="P1077" s="92" t="str">
        <v>N</v>
      </c>
      <c r="Q1077" s="91">
        <v>46050</v>
      </c>
      <c r="R1077" s="140" t="str">
        <v>This customer was re-assigned from Tier 1 to Tier 3. Likely not their best rate. Needs 3 months of data to see if RTOUE or R3 would be better.</v>
      </c>
      <c r="S1077" s="92">
        <v>0</v>
      </c>
      <c r="T1077" s="92">
        <v>0</v>
      </c>
      <c r="U1077" s="137">
        <v>0</v>
      </c>
      <c r="V1077" s="126" t="str">
        <f t="shared" si="32"/>
        <v>❌ Not on Best Plan</v>
      </c>
      <c r="W1077" s="130">
        <f>IFERROR(_xlfn.XLOOKUP(TEXT(H1077,"0000000000"),'📞 Call Tracker'!A$2:A$2000,'📞 Call Tracker'!B$2:B$2000,""),"")</f>
        <v>0</v>
      </c>
      <c r="X1077" s="96">
        <f>IFERROR(_xlfn.XLOOKUP(TEXT(H1077,"0000000000"),'📞 Call Tracker'!A$2:A$2000,'📞 Call Tracker'!C$2:C$2000,""),"")</f>
        <v>0</v>
      </c>
      <c r="Y1077" s="95">
        <f>IFERROR(_xlfn.XLOOKUP(TEXT(H1077,"0000000000"),'📞 Call Tracker'!A$2:A$2000,'📞 Call Tracker'!D$2:D$2000,""),"")</f>
        <v>0</v>
      </c>
      <c r="Z1077" s="95">
        <f>IFERROR(_xlfn.XLOOKUP(TEXT(H1077,"0000000000"),'📞 Call Tracker'!A$2:A$2000,'📞 Call Tracker'!E$2:E$2000,""),"")</f>
        <v>0</v>
      </c>
      <c r="AA1077" s="145">
        <f>IFERROR(_xlfn.XLOOKUP(TEXT(H1077,"0000000000"),'📞 Call Tracker'!A$2:A$2000,'📞 Call Tracker'!F$2:F$2000,""),"")</f>
        <v>0</v>
      </c>
      <c r="AB1077" s="132">
        <f t="shared" si="33"/>
        <v>99</v>
      </c>
      <c r="AC1077" s="79"/>
    </row>
    <row r="1078" spans="1:29" ht="20.100000000000001" customHeight="1">
      <c r="A1078" s="91">
        <v>46049</v>
      </c>
      <c r="B1078" s="92" t="str">
        <v>Hamrick</v>
      </c>
      <c r="C1078" s="92" t="str">
        <v>Larry</v>
      </c>
      <c r="D1078" s="92" t="str">
        <v>Phoenix</v>
      </c>
      <c r="E1078" s="92">
        <v>85034</v>
      </c>
      <c r="F1078" s="137" t="str">
        <v>Trying get help because every year my rent goes up</v>
      </c>
      <c r="G1078" s="93" t="str">
        <v>https://docket.images.azcc.gov/E000048917.pdf</v>
      </c>
      <c r="H1078" s="150" t="s">
        <v>6466</v>
      </c>
      <c r="I1078" s="114" t="str">
        <v>R-BASIC</v>
      </c>
      <c r="J1078" s="94" t="str">
        <v>Yes</v>
      </c>
      <c r="K1078" s="94" t="str">
        <v>No</v>
      </c>
      <c r="L1078" s="137" t="str">
        <v>Yes</v>
      </c>
      <c r="M1078" s="94" t="str">
        <v>No</v>
      </c>
      <c r="N1078" s="134" t="str">
        <v>No</v>
      </c>
      <c r="O1078" s="119" t="str">
        <v>Yes</v>
      </c>
      <c r="P1078" s="92">
        <v>0</v>
      </c>
      <c r="Q1078" s="91">
        <v>46050</v>
      </c>
      <c r="R1078" s="140" t="str">
        <v>May need information for additional assistance programs?</v>
      </c>
      <c r="S1078" s="92">
        <v>0</v>
      </c>
      <c r="T1078" s="92">
        <v>0</v>
      </c>
      <c r="U1078" s="137">
        <v>0</v>
      </c>
      <c r="V1078" s="126" t="str">
        <f t="shared" si="32"/>
        <v>✅ On Best Plan</v>
      </c>
      <c r="W1078" s="130">
        <f>IFERROR(_xlfn.XLOOKUP(TEXT(H1078,"0000000000"),'📞 Call Tracker'!A$2:A$2000,'📞 Call Tracker'!B$2:B$2000,""),"")</f>
        <v>0</v>
      </c>
      <c r="X1078" s="96">
        <f>IFERROR(_xlfn.XLOOKUP(TEXT(H1078,"0000000000"),'📞 Call Tracker'!A$2:A$2000,'📞 Call Tracker'!C$2:C$2000,""),"")</f>
        <v>0</v>
      </c>
      <c r="Y1078" s="95">
        <f>IFERROR(_xlfn.XLOOKUP(TEXT(H1078,"0000000000"),'📞 Call Tracker'!A$2:A$2000,'📞 Call Tracker'!D$2:D$2000,""),"")</f>
        <v>0</v>
      </c>
      <c r="Z1078" s="95">
        <f>IFERROR(_xlfn.XLOOKUP(TEXT(H1078,"0000000000"),'📞 Call Tracker'!A$2:A$2000,'📞 Call Tracker'!E$2:E$2000,""),"")</f>
        <v>0</v>
      </c>
      <c r="AA1078" s="145">
        <f>IFERROR(_xlfn.XLOOKUP(TEXT(H1078,"0000000000"),'📞 Call Tracker'!A$2:A$2000,'📞 Call Tracker'!F$2:F$2000,""),"")</f>
        <v>0</v>
      </c>
      <c r="AB1078" s="132">
        <f t="shared" si="33"/>
        <v>99</v>
      </c>
      <c r="AC1078" s="79"/>
    </row>
    <row r="1079" spans="1:29" ht="20.100000000000001" customHeight="1">
      <c r="A1079" s="91">
        <v>46050</v>
      </c>
      <c r="B1079" s="92" t="str">
        <v>Smith</v>
      </c>
      <c r="C1079" s="92" t="str">
        <v>Roberta</v>
      </c>
      <c r="D1079" s="92" t="str">
        <v>Peoria</v>
      </c>
      <c r="E1079" s="92">
        <v>85345</v>
      </c>
      <c r="F1079" s="137" t="str">
        <v>I would like to ask why you weren't at the meeting as you are an elected official and you are one of the members in charge of making this important decision. I have lived in my current home that uses APS for 11 years. I have seen my rates inrease 3 times.</v>
      </c>
      <c r="G1079" s="93" t="str">
        <v>https://docket.images.azcc.gov/E000048953.pdf</v>
      </c>
      <c r="H1079" s="150" t="s">
        <v>6467</v>
      </c>
      <c r="I1079" s="114" t="str">
        <v>RTOUE47</v>
      </c>
      <c r="J1079" s="94" t="str">
        <v>No</v>
      </c>
      <c r="K1079" s="94" t="str">
        <v>No</v>
      </c>
      <c r="L1079" s="137" t="str">
        <v>No MEP R3-47 ($393.92)</v>
      </c>
      <c r="M1079" s="94" t="str">
        <v>No</v>
      </c>
      <c r="N1079" s="134" t="str">
        <v>No</v>
      </c>
      <c r="O1079" s="119" t="str">
        <v>Yes</v>
      </c>
      <c r="P1079" s="92">
        <v>0</v>
      </c>
      <c r="Q1079" s="91">
        <v>46051</v>
      </c>
      <c r="R1079" s="140" t="str">
        <v>Please contact customer regarding rate options. Participated in public comment session on 1/20, Docketed 2x</v>
      </c>
      <c r="S1079" s="92">
        <v>0</v>
      </c>
      <c r="T1079" s="92">
        <v>0</v>
      </c>
      <c r="U1079" s="137">
        <v>0</v>
      </c>
      <c r="V1079" s="126" t="str">
        <f t="shared" si="32"/>
        <v>❌ Not on Best Plan</v>
      </c>
      <c r="W1079" s="130">
        <f>IFERROR(_xlfn.XLOOKUP(TEXT(H1079,"0000000000"),'📞 Call Tracker'!A$2:A$2000,'📞 Call Tracker'!B$2:B$2000,""),"")</f>
        <v>0</v>
      </c>
      <c r="X1079" s="96">
        <f>IFERROR(_xlfn.XLOOKUP(TEXT(H1079,"0000000000"),'📞 Call Tracker'!A$2:A$2000,'📞 Call Tracker'!C$2:C$2000,""),"")</f>
        <v>0</v>
      </c>
      <c r="Y1079" s="95">
        <f>IFERROR(_xlfn.XLOOKUP(TEXT(H1079,"0000000000"),'📞 Call Tracker'!A$2:A$2000,'📞 Call Tracker'!D$2:D$2000,""),"")</f>
        <v>0</v>
      </c>
      <c r="Z1079" s="95">
        <f>IFERROR(_xlfn.XLOOKUP(TEXT(H1079,"0000000000"),'📞 Call Tracker'!A$2:A$2000,'📞 Call Tracker'!E$2:E$2000,""),"")</f>
        <v>0</v>
      </c>
      <c r="AA1079" s="145">
        <f>IFERROR(_xlfn.XLOOKUP(TEXT(H1079,"0000000000"),'📞 Call Tracker'!A$2:A$2000,'📞 Call Tracker'!F$2:F$2000,""),"")</f>
        <v>0</v>
      </c>
      <c r="AB1079" s="132">
        <f t="shared" si="33"/>
        <v>99</v>
      </c>
      <c r="AC1079" s="79"/>
    </row>
    <row r="1080" spans="1:29" ht="20.100000000000001" customHeight="1">
      <c r="A1080" s="91">
        <v>46050</v>
      </c>
      <c r="B1080" s="92" t="str">
        <v>Keithly</v>
      </c>
      <c r="C1080" s="92" t="str">
        <v>Cheryl</v>
      </c>
      <c r="D1080" s="92" t="str">
        <v>Yuma</v>
      </c>
      <c r="E1080" s="92">
        <v>85364</v>
      </c>
      <c r="F1080" s="137" t="str">
        <v>Form Letter: Enough is enough! You must reject the latest 14% rate hikes by APS e TEP</v>
      </c>
      <c r="G1080" s="93" t="str">
        <v>https://docket.images.azcc.gov/E000048950.pdf</v>
      </c>
      <c r="H1080" s="150" t="s">
        <v>6127</v>
      </c>
      <c r="I1080" s="114" t="str">
        <v>RTOUE47</v>
      </c>
      <c r="J1080" s="94" t="str">
        <v>No</v>
      </c>
      <c r="K1080" s="94" t="str">
        <v>No</v>
      </c>
      <c r="L1080" s="137" t="str">
        <v>???</v>
      </c>
      <c r="M1080" s="94" t="str">
        <v>No</v>
      </c>
      <c r="N1080" s="134" t="str">
        <v>No</v>
      </c>
      <c r="O1080" s="119" t="str">
        <v>Yes</v>
      </c>
      <c r="P1080" s="92">
        <v>0</v>
      </c>
      <c r="Q1080" s="91">
        <v>46051</v>
      </c>
      <c r="R1080" s="140">
        <v>0</v>
      </c>
      <c r="S1080" s="92">
        <v>0</v>
      </c>
      <c r="T1080" s="92">
        <v>0</v>
      </c>
      <c r="U1080" s="137">
        <v>0</v>
      </c>
      <c r="V1080" s="126" t="str">
        <f t="shared" si="32"/>
        <v>❌ Not on Best Plan</v>
      </c>
      <c r="W1080" s="130">
        <f>IFERROR(_xlfn.XLOOKUP(TEXT(H1080,"0000000000"),'📞 Call Tracker'!A$2:A$2000,'📞 Call Tracker'!B$2:B$2000,""),"")</f>
        <v>0</v>
      </c>
      <c r="X1080" s="96">
        <f>IFERROR(_xlfn.XLOOKUP(TEXT(H1080,"0000000000"),'📞 Call Tracker'!A$2:A$2000,'📞 Call Tracker'!C$2:C$2000,""),"")</f>
        <v>0</v>
      </c>
      <c r="Y1080" s="95">
        <f>IFERROR(_xlfn.XLOOKUP(TEXT(H1080,"0000000000"),'📞 Call Tracker'!A$2:A$2000,'📞 Call Tracker'!D$2:D$2000,""),"")</f>
        <v>0</v>
      </c>
      <c r="Z1080" s="95">
        <f>IFERROR(_xlfn.XLOOKUP(TEXT(H1080,"0000000000"),'📞 Call Tracker'!A$2:A$2000,'📞 Call Tracker'!E$2:E$2000,""),"")</f>
        <v>0</v>
      </c>
      <c r="AA1080" s="145">
        <f>IFERROR(_xlfn.XLOOKUP(TEXT(H1080,"0000000000"),'📞 Call Tracker'!A$2:A$2000,'📞 Call Tracker'!F$2:F$2000,""),"")</f>
        <v>0</v>
      </c>
      <c r="AB1080" s="132">
        <f t="shared" si="33"/>
        <v>99</v>
      </c>
      <c r="AC1080" s="79"/>
    </row>
    <row r="1081" spans="1:29" ht="20.100000000000001" customHeight="1">
      <c r="A1081" s="91">
        <v>46050</v>
      </c>
      <c r="B1081" s="92" t="str">
        <v>Cook</v>
      </c>
      <c r="C1081" s="92" t="str">
        <v>Stephen</v>
      </c>
      <c r="D1081" s="92" t="str">
        <v>Prescott</v>
      </c>
      <c r="E1081" s="92">
        <v>86301</v>
      </c>
      <c r="F1081" s="137" t="str">
        <v>$5 billion scheme to build a pipeline to bring gas from Texas, they're moving Arizona away from a clean energy future</v>
      </c>
      <c r="G1081" s="93" t="str">
        <v>https://docket.images.azcc.gov/E000048958.pdf</v>
      </c>
      <c r="H1081" s="150" t="s">
        <v>6468</v>
      </c>
      <c r="I1081" s="114" t="str">
        <v>R-XS</v>
      </c>
      <c r="J1081" s="94" t="str">
        <v>No</v>
      </c>
      <c r="K1081" s="94" t="str">
        <v>No</v>
      </c>
      <c r="L1081" s="137" t="str">
        <v>Yes</v>
      </c>
      <c r="M1081" s="94" t="str">
        <v>No</v>
      </c>
      <c r="N1081" s="134" t="str">
        <v>No</v>
      </c>
      <c r="O1081" s="119" t="str">
        <v>Yes</v>
      </c>
      <c r="P1081" s="92" t="str">
        <v>N</v>
      </c>
      <c r="Q1081" s="91">
        <v>46051</v>
      </c>
      <c r="R1081" s="140" t="str">
        <v>Participated in public comment session on 1/26</v>
      </c>
      <c r="S1081" s="92">
        <v>0</v>
      </c>
      <c r="T1081" s="92">
        <v>0</v>
      </c>
      <c r="U1081" s="137">
        <v>0</v>
      </c>
      <c r="V1081" s="126" t="str">
        <f t="shared" si="32"/>
        <v>✅ On Best Plan</v>
      </c>
      <c r="W1081" s="130">
        <f>IFERROR(_xlfn.XLOOKUP(TEXT(H1081,"0000000000"),'📞 Call Tracker'!A$2:A$2000,'📞 Call Tracker'!B$2:B$2000,""),"")</f>
        <v>0</v>
      </c>
      <c r="X1081" s="96">
        <f>IFERROR(_xlfn.XLOOKUP(TEXT(H1081,"0000000000"),'📞 Call Tracker'!A$2:A$2000,'📞 Call Tracker'!C$2:C$2000,""),"")</f>
        <v>0</v>
      </c>
      <c r="Y1081" s="95">
        <f>IFERROR(_xlfn.XLOOKUP(TEXT(H1081,"0000000000"),'📞 Call Tracker'!A$2:A$2000,'📞 Call Tracker'!D$2:D$2000,""),"")</f>
        <v>0</v>
      </c>
      <c r="Z1081" s="95">
        <f>IFERROR(_xlfn.XLOOKUP(TEXT(H1081,"0000000000"),'📞 Call Tracker'!A$2:A$2000,'📞 Call Tracker'!E$2:E$2000,""),"")</f>
        <v>0</v>
      </c>
      <c r="AA1081" s="145">
        <f>IFERROR(_xlfn.XLOOKUP(TEXT(H1081,"0000000000"),'📞 Call Tracker'!A$2:A$2000,'📞 Call Tracker'!F$2:F$2000,""),"")</f>
        <v>0</v>
      </c>
      <c r="AB1081" s="132">
        <f t="shared" si="33"/>
        <v>99</v>
      </c>
      <c r="AC1081" s="79"/>
    </row>
    <row r="1082" spans="1:29" ht="20.100000000000001" customHeight="1">
      <c r="A1082" s="91">
        <v>46050</v>
      </c>
      <c r="B1082" s="92" t="str">
        <v>Gerheauser</v>
      </c>
      <c r="C1082" s="92" t="str">
        <v>Mark</v>
      </c>
      <c r="D1082" s="92" t="str">
        <v>Wickenburg</v>
      </c>
      <c r="E1082" s="92">
        <v>85390</v>
      </c>
      <c r="F1082" s="137" t="str">
        <v>Why aren't savings from the alternate sources applied to customers, or invested in more alternate sources?</v>
      </c>
      <c r="G1082" s="93" t="str">
        <v>https://docket.images.azcc.gov/E000048958.pdf</v>
      </c>
      <c r="H1082" s="150" t="s">
        <v>6469</v>
      </c>
      <c r="I1082" s="114" t="str">
        <v>R-XS</v>
      </c>
      <c r="J1082" s="94" t="str">
        <v>No</v>
      </c>
      <c r="K1082" s="94" t="str">
        <v>No</v>
      </c>
      <c r="L1082" s="137" t="str">
        <v>Yes</v>
      </c>
      <c r="M1082" s="94" t="str">
        <v>No</v>
      </c>
      <c r="N1082" s="134" t="str">
        <v>No</v>
      </c>
      <c r="O1082" s="119" t="str">
        <v>Yes</v>
      </c>
      <c r="P1082" s="92" t="str">
        <v>N</v>
      </c>
      <c r="Q1082" s="91">
        <v>46051</v>
      </c>
      <c r="R1082" s="140">
        <v>0</v>
      </c>
      <c r="S1082" s="92">
        <v>0</v>
      </c>
      <c r="T1082" s="92">
        <v>0</v>
      </c>
      <c r="U1082" s="137">
        <v>0</v>
      </c>
      <c r="V1082" s="126" t="str">
        <f t="shared" si="32"/>
        <v>✅ On Best Plan</v>
      </c>
      <c r="W1082" s="130">
        <f>IFERROR(_xlfn.XLOOKUP(TEXT(H1082,"0000000000"),'📞 Call Tracker'!A$2:A$2000,'📞 Call Tracker'!B$2:B$2000,""),"")</f>
        <v>0</v>
      </c>
      <c r="X1082" s="96">
        <f>IFERROR(_xlfn.XLOOKUP(TEXT(H1082,"0000000000"),'📞 Call Tracker'!A$2:A$2000,'📞 Call Tracker'!C$2:C$2000,""),"")</f>
        <v>0</v>
      </c>
      <c r="Y1082" s="95">
        <f>IFERROR(_xlfn.XLOOKUP(TEXT(H1082,"0000000000"),'📞 Call Tracker'!A$2:A$2000,'📞 Call Tracker'!D$2:D$2000,""),"")</f>
        <v>0</v>
      </c>
      <c r="Z1082" s="95">
        <f>IFERROR(_xlfn.XLOOKUP(TEXT(H1082,"0000000000"),'📞 Call Tracker'!A$2:A$2000,'📞 Call Tracker'!E$2:E$2000,""),"")</f>
        <v>0</v>
      </c>
      <c r="AA1082" s="145">
        <f>IFERROR(_xlfn.XLOOKUP(TEXT(H1082,"0000000000"),'📞 Call Tracker'!A$2:A$2000,'📞 Call Tracker'!F$2:F$2000,""),"")</f>
        <v>0</v>
      </c>
      <c r="AB1082" s="132">
        <f t="shared" si="33"/>
        <v>99</v>
      </c>
      <c r="AC1082" s="79"/>
    </row>
    <row r="1083" spans="1:29" ht="20.100000000000001" customHeight="1">
      <c r="A1083" s="91">
        <v>46050</v>
      </c>
      <c r="B1083" s="92" t="str">
        <v>Spear</v>
      </c>
      <c r="C1083" s="92" t="str">
        <v>James</v>
      </c>
      <c r="D1083" s="92" t="str">
        <v>Wickenburg</v>
      </c>
      <c r="E1083" s="92">
        <v>85390</v>
      </c>
      <c r="F1083" s="137" t="str">
        <v>I don't think it is right for the existing residential homes to foot the bill in the form of rate increases for new residential and new commercial development.</v>
      </c>
      <c r="G1083" s="93" t="str">
        <v>https://docket.images.azcc.gov/E000048958.pdf</v>
      </c>
      <c r="H1083" s="150" t="s">
        <v>6128</v>
      </c>
      <c r="I1083" s="114" t="str">
        <v>RTOUE47</v>
      </c>
      <c r="J1083" s="94" t="str">
        <v>No</v>
      </c>
      <c r="K1083" s="94" t="str">
        <v>No</v>
      </c>
      <c r="L1083" s="137" t="str">
        <v>???</v>
      </c>
      <c r="M1083" s="94" t="str">
        <v>No</v>
      </c>
      <c r="N1083" s="134" t="str">
        <v>No</v>
      </c>
      <c r="O1083" s="119" t="str">
        <v>Yes</v>
      </c>
      <c r="P1083" s="92" t="str">
        <v>N</v>
      </c>
      <c r="Q1083" s="91">
        <v>46051</v>
      </c>
      <c r="R1083" s="140">
        <v>0</v>
      </c>
      <c r="S1083" s="92">
        <v>0</v>
      </c>
      <c r="T1083" s="92">
        <v>0</v>
      </c>
      <c r="U1083" s="137">
        <v>0</v>
      </c>
      <c r="V1083" s="126" t="str">
        <f t="shared" si="32"/>
        <v>❌ Not on Best Plan</v>
      </c>
      <c r="W1083" s="130">
        <f>IFERROR(_xlfn.XLOOKUP(TEXT(H1083,"0000000000"),'📞 Call Tracker'!A$2:A$2000,'📞 Call Tracker'!B$2:B$2000,""),"")</f>
        <v>0</v>
      </c>
      <c r="X1083" s="96">
        <f>IFERROR(_xlfn.XLOOKUP(TEXT(H1083,"0000000000"),'📞 Call Tracker'!A$2:A$2000,'📞 Call Tracker'!C$2:C$2000,""),"")</f>
        <v>0</v>
      </c>
      <c r="Y1083" s="95">
        <f>IFERROR(_xlfn.XLOOKUP(TEXT(H1083,"0000000000"),'📞 Call Tracker'!A$2:A$2000,'📞 Call Tracker'!D$2:D$2000,""),"")</f>
        <v>0</v>
      </c>
      <c r="Z1083" s="95">
        <f>IFERROR(_xlfn.XLOOKUP(TEXT(H1083,"0000000000"),'📞 Call Tracker'!A$2:A$2000,'📞 Call Tracker'!E$2:E$2000,""),"")</f>
        <v>0</v>
      </c>
      <c r="AA1083" s="145">
        <f>IFERROR(_xlfn.XLOOKUP(TEXT(H1083,"0000000000"),'📞 Call Tracker'!A$2:A$2000,'📞 Call Tracker'!F$2:F$2000,""),"")</f>
        <v>0</v>
      </c>
      <c r="AB1083" s="132">
        <f t="shared" si="33"/>
        <v>99</v>
      </c>
      <c r="AC1083" s="79"/>
    </row>
    <row r="1084" spans="1:29" ht="20.100000000000001" customHeight="1">
      <c r="A1084" s="91">
        <v>46050</v>
      </c>
      <c r="B1084" s="92" t="str">
        <v>Johnson</v>
      </c>
      <c r="C1084" s="92" t="str">
        <v>Jeana</v>
      </c>
      <c r="D1084" s="92" t="str">
        <v>Wickenburg</v>
      </c>
      <c r="E1084" s="92">
        <v>85390</v>
      </c>
      <c r="F1084" s="137" t="str">
        <v xml:space="preserve">Over the past 12 months our electricy expenses have totaled under $5,000 for a family of five, despite having no major electricity draws or unusually high usage. </v>
      </c>
      <c r="G1084" s="93" t="str">
        <v>https://docket.images.azcc.gov/E000048958.pdf</v>
      </c>
      <c r="H1084" s="150" t="s">
        <v>6470</v>
      </c>
      <c r="I1084" s="114" t="str">
        <v>R3-47</v>
      </c>
      <c r="J1084" s="94" t="str">
        <v>No</v>
      </c>
      <c r="K1084" s="94" t="str">
        <v>No</v>
      </c>
      <c r="L1084" s="137" t="str">
        <v>Yes</v>
      </c>
      <c r="M1084" s="94" t="str">
        <v>No</v>
      </c>
      <c r="N1084" s="134" t="str">
        <v>No</v>
      </c>
      <c r="O1084" s="119" t="str">
        <v>Yes</v>
      </c>
      <c r="P1084" s="92" t="str">
        <v>N</v>
      </c>
      <c r="Q1084" s="91">
        <v>46051</v>
      </c>
      <c r="R1084" s="140">
        <v>0</v>
      </c>
      <c r="S1084" s="92">
        <v>0</v>
      </c>
      <c r="T1084" s="92">
        <v>0</v>
      </c>
      <c r="U1084" s="137">
        <v>0</v>
      </c>
      <c r="V1084" s="126" t="str">
        <f t="shared" si="32"/>
        <v>✅ On Best Plan</v>
      </c>
      <c r="W1084" s="130">
        <f>IFERROR(_xlfn.XLOOKUP(TEXT(H1084,"0000000000"),'📞 Call Tracker'!A$2:A$2000,'📞 Call Tracker'!B$2:B$2000,""),"")</f>
        <v>0</v>
      </c>
      <c r="X1084" s="96">
        <f>IFERROR(_xlfn.XLOOKUP(TEXT(H1084,"0000000000"),'📞 Call Tracker'!A$2:A$2000,'📞 Call Tracker'!C$2:C$2000,""),"")</f>
        <v>0</v>
      </c>
      <c r="Y1084" s="95">
        <f>IFERROR(_xlfn.XLOOKUP(TEXT(H1084,"0000000000"),'📞 Call Tracker'!A$2:A$2000,'📞 Call Tracker'!D$2:D$2000,""),"")</f>
        <v>0</v>
      </c>
      <c r="Z1084" s="95">
        <f>IFERROR(_xlfn.XLOOKUP(TEXT(H1084,"0000000000"),'📞 Call Tracker'!A$2:A$2000,'📞 Call Tracker'!E$2:E$2000,""),"")</f>
        <v>0</v>
      </c>
      <c r="AA1084" s="145">
        <f>IFERROR(_xlfn.XLOOKUP(TEXT(H1084,"0000000000"),'📞 Call Tracker'!A$2:A$2000,'📞 Call Tracker'!F$2:F$2000,""),"")</f>
        <v>0</v>
      </c>
      <c r="AB1084" s="132">
        <f t="shared" si="33"/>
        <v>99</v>
      </c>
      <c r="AC1084" s="79"/>
    </row>
    <row r="1085" spans="1:29" ht="20.100000000000001" customHeight="1">
      <c r="A1085" s="91">
        <v>46050</v>
      </c>
      <c r="B1085" s="92" t="str">
        <v>Bollinger</v>
      </c>
      <c r="C1085" s="92" t="str">
        <v>Michael</v>
      </c>
      <c r="D1085" s="92" t="str">
        <v>Prescott Valley</v>
      </c>
      <c r="E1085" s="92">
        <v>86314</v>
      </c>
      <c r="F1085" s="137" t="str">
        <v>You want to raise but what are you going to tell disabled people like me that are basically trying to stay afloat</v>
      </c>
      <c r="G1085" s="93" t="str">
        <v>https://docket.images.azcc.gov/E000048958.pdf</v>
      </c>
      <c r="H1085" s="150" t="s">
        <v>6471</v>
      </c>
      <c r="I1085" s="114" t="str">
        <v>RCPw/R3-47</v>
      </c>
      <c r="J1085" s="94" t="str">
        <v>Yes</v>
      </c>
      <c r="K1085" s="94" t="str">
        <v>No</v>
      </c>
      <c r="L1085" s="137" t="str">
        <v>No MEP TOUE-47 ($384.68)</v>
      </c>
      <c r="M1085" s="94" t="str">
        <v>No</v>
      </c>
      <c r="N1085" s="134" t="str">
        <v>No</v>
      </c>
      <c r="O1085" s="119" t="str">
        <v>Yes</v>
      </c>
      <c r="P1085" s="92">
        <v>0</v>
      </c>
      <c r="Q1085" s="91">
        <v>46051</v>
      </c>
      <c r="R1085" s="140" t="str">
        <v>Please contact customer regarding plan options</v>
      </c>
      <c r="S1085" s="92">
        <v>0</v>
      </c>
      <c r="T1085" s="92">
        <v>0</v>
      </c>
      <c r="U1085" s="137">
        <v>0</v>
      </c>
      <c r="V1085" s="126" t="str">
        <f t="shared" si="32"/>
        <v>❌ Not on Best Plan</v>
      </c>
      <c r="W1085" s="130">
        <f>IFERROR(_xlfn.XLOOKUP(TEXT(H1085,"0000000000"),'📞 Call Tracker'!A$2:A$2000,'📞 Call Tracker'!B$2:B$2000,""),"")</f>
        <v>0</v>
      </c>
      <c r="X1085" s="96">
        <f>IFERROR(_xlfn.XLOOKUP(TEXT(H1085,"0000000000"),'📞 Call Tracker'!A$2:A$2000,'📞 Call Tracker'!C$2:C$2000,""),"")</f>
        <v>0</v>
      </c>
      <c r="Y1085" s="95">
        <f>IFERROR(_xlfn.XLOOKUP(TEXT(H1085,"0000000000"),'📞 Call Tracker'!A$2:A$2000,'📞 Call Tracker'!D$2:D$2000,""),"")</f>
        <v>0</v>
      </c>
      <c r="Z1085" s="95">
        <f>IFERROR(_xlfn.XLOOKUP(TEXT(H1085,"0000000000"),'📞 Call Tracker'!A$2:A$2000,'📞 Call Tracker'!E$2:E$2000,""),"")</f>
        <v>0</v>
      </c>
      <c r="AA1085" s="145">
        <f>IFERROR(_xlfn.XLOOKUP(TEXT(H1085,"0000000000"),'📞 Call Tracker'!A$2:A$2000,'📞 Call Tracker'!F$2:F$2000,""),"")</f>
        <v>0</v>
      </c>
      <c r="AB1085" s="132">
        <f t="shared" si="33"/>
        <v>99</v>
      </c>
      <c r="AC1085" s="79"/>
    </row>
    <row r="1086" spans="1:29" ht="20.100000000000001" customHeight="1">
      <c r="A1086" s="91">
        <v>46050</v>
      </c>
      <c r="B1086" s="92" t="str">
        <v>Hudson</v>
      </c>
      <c r="C1086" s="92" t="str">
        <v>Mara</v>
      </c>
      <c r="D1086" s="92" t="str">
        <v>Phoenix</v>
      </c>
      <c r="E1086" s="92">
        <v>85020</v>
      </c>
      <c r="F1086" s="137" t="str">
        <v xml:space="preserve"> it's impossible for the average Arizona. To afford electricity , if they continue to do this every single year.</v>
      </c>
      <c r="G1086" s="93" t="str">
        <v>https://docket.images.azcc.gov/E000048958.pdf</v>
      </c>
      <c r="H1086" s="150" t="s">
        <v>6472</v>
      </c>
      <c r="I1086" s="114" t="str">
        <v>RTOUE</v>
      </c>
      <c r="J1086" s="94" t="str">
        <v>No</v>
      </c>
      <c r="K1086" s="94" t="str">
        <v>No</v>
      </c>
      <c r="L1086" s="137" t="str">
        <v>No MEP R3-47 ($641.78)</v>
      </c>
      <c r="M1086" s="94" t="str">
        <v>No</v>
      </c>
      <c r="N1086" s="134" t="str">
        <v>No</v>
      </c>
      <c r="O1086" s="119" t="str">
        <v>Yes</v>
      </c>
      <c r="P1086" s="92">
        <v>0</v>
      </c>
      <c r="Q1086" s="91">
        <v>46051</v>
      </c>
      <c r="R1086" s="140" t="str">
        <v>Please contact customer regarding plan options</v>
      </c>
      <c r="S1086" s="92">
        <v>0</v>
      </c>
      <c r="T1086" s="92">
        <v>0</v>
      </c>
      <c r="U1086" s="137">
        <v>0</v>
      </c>
      <c r="V1086" s="126" t="str">
        <f t="shared" si="32"/>
        <v>❌ Not on Best Plan</v>
      </c>
      <c r="W1086" s="130">
        <f>IFERROR(_xlfn.XLOOKUP(TEXT(H1086,"0000000000"),'📞 Call Tracker'!A$2:A$2000,'📞 Call Tracker'!B$2:B$2000,""),"")</f>
        <v>0</v>
      </c>
      <c r="X1086" s="96">
        <f>IFERROR(_xlfn.XLOOKUP(TEXT(H1086,"0000000000"),'📞 Call Tracker'!A$2:A$2000,'📞 Call Tracker'!C$2:C$2000,""),"")</f>
        <v>0</v>
      </c>
      <c r="Y1086" s="95">
        <f>IFERROR(_xlfn.XLOOKUP(TEXT(H1086,"0000000000"),'📞 Call Tracker'!A$2:A$2000,'📞 Call Tracker'!D$2:D$2000,""),"")</f>
        <v>0</v>
      </c>
      <c r="Z1086" s="95">
        <f>IFERROR(_xlfn.XLOOKUP(TEXT(H1086,"0000000000"),'📞 Call Tracker'!A$2:A$2000,'📞 Call Tracker'!E$2:E$2000,""),"")</f>
        <v>0</v>
      </c>
      <c r="AA1086" s="145">
        <f>IFERROR(_xlfn.XLOOKUP(TEXT(H1086,"0000000000"),'📞 Call Tracker'!A$2:A$2000,'📞 Call Tracker'!F$2:F$2000,""),"")</f>
        <v>0</v>
      </c>
      <c r="AB1086" s="132">
        <f t="shared" si="33"/>
        <v>99</v>
      </c>
      <c r="AC1086" s="79"/>
    </row>
    <row r="1087" spans="1:29" ht="20.100000000000001" customHeight="1">
      <c r="A1087" s="91">
        <v>46051</v>
      </c>
      <c r="B1087" s="92" t="str">
        <v>Gardella</v>
      </c>
      <c r="C1087" s="92" t="str">
        <v>Louis</v>
      </c>
      <c r="D1087" s="92" t="str">
        <v>Sun City</v>
      </c>
      <c r="E1087" s="92">
        <v>85351</v>
      </c>
      <c r="F1087" s="137" t="str">
        <v>An average of $20 being added to simmer until bill will make it almost unmanageable for residents on a fixed income.</v>
      </c>
      <c r="G1087" s="93" t="str">
        <v>https://docket.images.azcc.gov/E000048995.pdf</v>
      </c>
      <c r="H1087" s="150" t="s">
        <v>6473</v>
      </c>
      <c r="I1087" s="114" t="str">
        <v>R3-47</v>
      </c>
      <c r="J1087" s="94" t="str">
        <v>No</v>
      </c>
      <c r="K1087" s="94" t="str">
        <v>No</v>
      </c>
      <c r="L1087" s="137" t="str">
        <v>Yes</v>
      </c>
      <c r="M1087" s="94" t="str">
        <v>No</v>
      </c>
      <c r="N1087" s="134" t="str">
        <v>No</v>
      </c>
      <c r="O1087" s="119" t="str">
        <v>Yes</v>
      </c>
      <c r="P1087" s="92" t="str">
        <v>N</v>
      </c>
      <c r="Q1087" s="91">
        <v>46052</v>
      </c>
      <c r="R1087" s="140">
        <v>0</v>
      </c>
      <c r="S1087" s="92">
        <v>0</v>
      </c>
      <c r="T1087" s="92">
        <v>0</v>
      </c>
      <c r="U1087" s="137">
        <v>0</v>
      </c>
      <c r="V1087" s="126" t="str">
        <f t="shared" si="32"/>
        <v>✅ On Best Plan</v>
      </c>
      <c r="W1087" s="130">
        <f>IFERROR(_xlfn.XLOOKUP(TEXT(H1087,"0000000000"),'📞 Call Tracker'!A$2:A$2000,'📞 Call Tracker'!B$2:B$2000,""),"")</f>
        <v>0</v>
      </c>
      <c r="X1087" s="96">
        <f>IFERROR(_xlfn.XLOOKUP(TEXT(H1087,"0000000000"),'📞 Call Tracker'!A$2:A$2000,'📞 Call Tracker'!C$2:C$2000,""),"")</f>
        <v>0</v>
      </c>
      <c r="Y1087" s="95">
        <f>IFERROR(_xlfn.XLOOKUP(TEXT(H1087,"0000000000"),'📞 Call Tracker'!A$2:A$2000,'📞 Call Tracker'!D$2:D$2000,""),"")</f>
        <v>0</v>
      </c>
      <c r="Z1087" s="95">
        <f>IFERROR(_xlfn.XLOOKUP(TEXT(H1087,"0000000000"),'📞 Call Tracker'!A$2:A$2000,'📞 Call Tracker'!E$2:E$2000,""),"")</f>
        <v>0</v>
      </c>
      <c r="AA1087" s="145">
        <f>IFERROR(_xlfn.XLOOKUP(TEXT(H1087,"0000000000"),'📞 Call Tracker'!A$2:A$2000,'📞 Call Tracker'!F$2:F$2000,""),"")</f>
        <v>0</v>
      </c>
      <c r="AB1087" s="132">
        <f t="shared" si="33"/>
        <v>99</v>
      </c>
      <c r="AC1087" s="79"/>
    </row>
    <row r="1088" spans="1:29" ht="20.100000000000001" customHeight="1">
      <c r="A1088" s="91">
        <v>46051</v>
      </c>
      <c r="B1088" s="92" t="str">
        <v>Zamora</v>
      </c>
      <c r="C1088" s="92" t="str">
        <v>Jeannette</v>
      </c>
      <c r="D1088" s="92" t="str">
        <v>Prescott Valley</v>
      </c>
      <c r="E1088" s="92">
        <v>86314</v>
      </c>
      <c r="F1088" s="137" t="str">
        <v>I am a retired individual who really can't afford the rate hikes that you continue to add. Tell the good people of Arizona why the hikes are so high</v>
      </c>
      <c r="G1088" s="93" t="str">
        <v>https://docket.images.azcc.gov/E000048995.pdf</v>
      </c>
      <c r="H1088" s="150" t="s">
        <v>6474</v>
      </c>
      <c r="I1088" s="114" t="str">
        <v>RCPw/TOUE47</v>
      </c>
      <c r="J1088" s="94" t="str">
        <v>No</v>
      </c>
      <c r="K1088" s="94" t="str">
        <v>No</v>
      </c>
      <c r="L1088" s="137" t="str">
        <v>Yes</v>
      </c>
      <c r="M1088" s="94" t="str">
        <v>No</v>
      </c>
      <c r="N1088" s="134" t="str">
        <v>No</v>
      </c>
      <c r="O1088" s="119" t="str">
        <v>Yes</v>
      </c>
      <c r="P1088" s="92" t="str">
        <v>N</v>
      </c>
      <c r="Q1088" s="91">
        <v>46052</v>
      </c>
      <c r="R1088" s="140">
        <v>0</v>
      </c>
      <c r="S1088" s="92">
        <v>0</v>
      </c>
      <c r="T1088" s="92">
        <v>0</v>
      </c>
      <c r="U1088" s="137">
        <v>0</v>
      </c>
      <c r="V1088" s="126" t="str">
        <f t="shared" si="32"/>
        <v>✅ On Best Plan</v>
      </c>
      <c r="W1088" s="130">
        <f>IFERROR(_xlfn.XLOOKUP(TEXT(H1088,"0000000000"),'📞 Call Tracker'!A$2:A$2000,'📞 Call Tracker'!B$2:B$2000,""),"")</f>
        <v>0</v>
      </c>
      <c r="X1088" s="96">
        <f>IFERROR(_xlfn.XLOOKUP(TEXT(H1088,"0000000000"),'📞 Call Tracker'!A$2:A$2000,'📞 Call Tracker'!C$2:C$2000,""),"")</f>
        <v>0</v>
      </c>
      <c r="Y1088" s="95">
        <f>IFERROR(_xlfn.XLOOKUP(TEXT(H1088,"0000000000"),'📞 Call Tracker'!A$2:A$2000,'📞 Call Tracker'!D$2:D$2000,""),"")</f>
        <v>0</v>
      </c>
      <c r="Z1088" s="95">
        <f>IFERROR(_xlfn.XLOOKUP(TEXT(H1088,"0000000000"),'📞 Call Tracker'!A$2:A$2000,'📞 Call Tracker'!E$2:E$2000,""),"")</f>
        <v>0</v>
      </c>
      <c r="AA1088" s="145">
        <f>IFERROR(_xlfn.XLOOKUP(TEXT(H1088,"0000000000"),'📞 Call Tracker'!A$2:A$2000,'📞 Call Tracker'!F$2:F$2000,""),"")</f>
        <v>0</v>
      </c>
      <c r="AB1088" s="132">
        <f t="shared" si="33"/>
        <v>99</v>
      </c>
      <c r="AC1088" s="79"/>
    </row>
    <row r="1089" spans="1:29" ht="20.100000000000001" customHeight="1">
      <c r="A1089" s="91">
        <v>46051</v>
      </c>
      <c r="B1089" s="92" t="str">
        <v>Franklin</v>
      </c>
      <c r="C1089" s="92" t="str">
        <v>Adena</v>
      </c>
      <c r="D1089" s="92" t="str">
        <v>Peoria</v>
      </c>
      <c r="E1089" s="92">
        <v>85383</v>
      </c>
      <c r="F1089" s="137" t="str">
        <v>I live on a fixed income. Take care of an 82-year-old man you continuously increase these rates. I am unable to sustain payments so consider this my hardship letter if rates go up.</v>
      </c>
      <c r="G1089" s="93" t="str">
        <v>https://docket.images.azcc.gov/E000048995.pdf</v>
      </c>
      <c r="H1089" s="150" t="s">
        <v>6475</v>
      </c>
      <c r="I1089" s="114" t="str">
        <v>R3-47</v>
      </c>
      <c r="J1089" s="94" t="str">
        <v>No</v>
      </c>
      <c r="K1089" s="94" t="str">
        <v>No</v>
      </c>
      <c r="L1089" s="137" t="str">
        <v>Yes</v>
      </c>
      <c r="M1089" s="94" t="str">
        <v>No</v>
      </c>
      <c r="N1089" s="134" t="str">
        <v>No</v>
      </c>
      <c r="O1089" s="119" t="str">
        <v>Yes</v>
      </c>
      <c r="P1089" s="92">
        <v>0</v>
      </c>
      <c r="Q1089" s="91">
        <v>46052</v>
      </c>
      <c r="R1089" s="140" t="str">
        <v>May need information for additional assistance programs?</v>
      </c>
      <c r="S1089" s="92">
        <v>0</v>
      </c>
      <c r="T1089" s="92">
        <v>0</v>
      </c>
      <c r="U1089" s="137">
        <v>0</v>
      </c>
      <c r="V1089" s="126" t="str">
        <f t="shared" si="32"/>
        <v>✅ On Best Plan</v>
      </c>
      <c r="W1089" s="130">
        <f>IFERROR(_xlfn.XLOOKUP(TEXT(H1089,"0000000000"),'📞 Call Tracker'!A$2:A$2000,'📞 Call Tracker'!B$2:B$2000,""),"")</f>
        <v>0</v>
      </c>
      <c r="X1089" s="96">
        <f>IFERROR(_xlfn.XLOOKUP(TEXT(H1089,"0000000000"),'📞 Call Tracker'!A$2:A$2000,'📞 Call Tracker'!C$2:C$2000,""),"")</f>
        <v>0</v>
      </c>
      <c r="Y1089" s="95">
        <f>IFERROR(_xlfn.XLOOKUP(TEXT(H1089,"0000000000"),'📞 Call Tracker'!A$2:A$2000,'📞 Call Tracker'!D$2:D$2000,""),"")</f>
        <v>0</v>
      </c>
      <c r="Z1089" s="95">
        <f>IFERROR(_xlfn.XLOOKUP(TEXT(H1089,"0000000000"),'📞 Call Tracker'!A$2:A$2000,'📞 Call Tracker'!E$2:E$2000,""),"")</f>
        <v>0</v>
      </c>
      <c r="AA1089" s="145">
        <f>IFERROR(_xlfn.XLOOKUP(TEXT(H1089,"0000000000"),'📞 Call Tracker'!A$2:A$2000,'📞 Call Tracker'!F$2:F$2000,""),"")</f>
        <v>0</v>
      </c>
      <c r="AB1089" s="132">
        <f t="shared" si="33"/>
        <v>99</v>
      </c>
      <c r="AC1089" s="79"/>
    </row>
    <row r="1090" spans="1:29" ht="20.100000000000001" customHeight="1">
      <c r="A1090" s="91">
        <v>46051</v>
      </c>
      <c r="B1090" s="92" t="str">
        <v>Aho</v>
      </c>
      <c r="C1090" s="92" t="str">
        <v>Tammy</v>
      </c>
      <c r="D1090" s="92" t="str">
        <v>Phoenix</v>
      </c>
      <c r="E1090" s="92">
        <v>85053</v>
      </c>
      <c r="F1090" s="137" t="str">
        <v>I'm currently 3 months behind and I've called every publlis assistance agency for help. Rate hikes will for sure 100% cut my electric off for my family. When is enough enough???</v>
      </c>
      <c r="G1090" s="93" t="str">
        <v>https://docket.images.azcc.gov/E000048995.pdf</v>
      </c>
      <c r="H1090" s="150" t="s">
        <v>6129</v>
      </c>
      <c r="I1090" s="114" t="str">
        <v>R3-47</v>
      </c>
      <c r="J1090" s="94" t="str">
        <v>Yes</v>
      </c>
      <c r="K1090" s="94" t="str">
        <v>No</v>
      </c>
      <c r="L1090" s="137" t="str">
        <v>Yes</v>
      </c>
      <c r="M1090" s="94" t="str">
        <v>Yes</v>
      </c>
      <c r="N1090" s="134">
        <v>2316.81</v>
      </c>
      <c r="O1090" s="119" t="str">
        <v>Yes</v>
      </c>
      <c r="P1090" s="92">
        <v>0</v>
      </c>
      <c r="Q1090" s="91">
        <v>46052</v>
      </c>
      <c r="R1090" s="140" t="str">
        <v>May need information for additional assistance programs?</v>
      </c>
      <c r="S1090" s="92">
        <v>0</v>
      </c>
      <c r="T1090" s="92">
        <v>0</v>
      </c>
      <c r="U1090" s="137">
        <v>0</v>
      </c>
      <c r="V1090" s="126" t="str">
        <f t="shared" si="32"/>
        <v>✅ On Best Plan</v>
      </c>
      <c r="W1090" s="130">
        <f>IFERROR(_xlfn.XLOOKUP(TEXT(H1090,"0000000000"),'📞 Call Tracker'!A$2:A$2000,'📞 Call Tracker'!B$2:B$2000,""),"")</f>
        <v>0</v>
      </c>
      <c r="X1090" s="96">
        <f>IFERROR(_xlfn.XLOOKUP(TEXT(H1090,"0000000000"),'📞 Call Tracker'!A$2:A$2000,'📞 Call Tracker'!C$2:C$2000,""),"")</f>
        <v>0</v>
      </c>
      <c r="Y1090" s="95">
        <f>IFERROR(_xlfn.XLOOKUP(TEXT(H1090,"0000000000"),'📞 Call Tracker'!A$2:A$2000,'📞 Call Tracker'!D$2:D$2000,""),"")</f>
        <v>0</v>
      </c>
      <c r="Z1090" s="95">
        <f>IFERROR(_xlfn.XLOOKUP(TEXT(H1090,"0000000000"),'📞 Call Tracker'!A$2:A$2000,'📞 Call Tracker'!E$2:E$2000,""),"")</f>
        <v>0</v>
      </c>
      <c r="AA1090" s="145">
        <f>IFERROR(_xlfn.XLOOKUP(TEXT(H1090,"0000000000"),'📞 Call Tracker'!A$2:A$2000,'📞 Call Tracker'!F$2:F$2000,""),"")</f>
        <v>0</v>
      </c>
      <c r="AB1090" s="132">
        <f t="shared" si="33"/>
        <v>99</v>
      </c>
      <c r="AC1090" s="79"/>
    </row>
    <row r="1091" spans="1:29" ht="20.100000000000001" customHeight="1">
      <c r="A1091" s="91">
        <v>46051</v>
      </c>
      <c r="B1091" s="92" t="str">
        <v>Raggio</v>
      </c>
      <c r="C1091" s="92" t="str">
        <v>Louis</v>
      </c>
      <c r="D1091" s="92" t="str">
        <v>Scottsdale</v>
      </c>
      <c r="E1091" s="92">
        <v>85254</v>
      </c>
      <c r="F1091" s="137" t="str">
        <v xml:space="preserve">Family of 6... I've already seen enough increases over the years that l'm constantly having to decide how to move my budget around to adjust for rising power costs. </v>
      </c>
      <c r="G1091" s="93" t="str">
        <v>https://docket.images.azcc.gov/E000048963.pdf</v>
      </c>
      <c r="H1091" s="150" t="s">
        <v>6476</v>
      </c>
      <c r="I1091" s="114" t="str">
        <v>R3-47</v>
      </c>
      <c r="J1091" s="94" t="str">
        <v>No</v>
      </c>
      <c r="K1091" s="94" t="str">
        <v>No</v>
      </c>
      <c r="L1091" s="137" t="str">
        <v>Yes</v>
      </c>
      <c r="M1091" s="94" t="str">
        <v>No</v>
      </c>
      <c r="N1091" s="134" t="str">
        <v>No</v>
      </c>
      <c r="O1091" s="119" t="str">
        <v>Yes</v>
      </c>
      <c r="P1091" s="92" t="str">
        <v>N</v>
      </c>
      <c r="Q1091" s="91">
        <v>46052</v>
      </c>
      <c r="R1091" s="140">
        <v>0</v>
      </c>
      <c r="S1091" s="92">
        <v>0</v>
      </c>
      <c r="T1091" s="92">
        <v>0</v>
      </c>
      <c r="U1091" s="137">
        <v>0</v>
      </c>
      <c r="V1091" s="126" t="str">
        <f t="shared" ref="V1091:V1154" si="34">IF(OR(LEFT(TRIM(L1091),3)="Yes",TRIM(L1091)="Y"),"✅ On Best Plan",IF(OR(L1091="Frozen Rate",L1091="Frozen Plan"),"❄ Frozen Rate",IF(OR(L1091="Not able to Compare",L1091="Info Not Avail",L1091="NA",L1091=""),"⚠ Unknown","❌ Not on Best Plan")))</f>
        <v>✅ On Best Plan</v>
      </c>
      <c r="W1091" s="130">
        <f>IFERROR(_xlfn.XLOOKUP(TEXT(H1091,"0000000000"),'📞 Call Tracker'!A$2:A$2000,'📞 Call Tracker'!B$2:B$2000,""),"")</f>
        <v>0</v>
      </c>
      <c r="X1091" s="96">
        <f>IFERROR(_xlfn.XLOOKUP(TEXT(H1091,"0000000000"),'📞 Call Tracker'!A$2:A$2000,'📞 Call Tracker'!C$2:C$2000,""),"")</f>
        <v>0</v>
      </c>
      <c r="Y1091" s="95">
        <f>IFERROR(_xlfn.XLOOKUP(TEXT(H1091,"0000000000"),'📞 Call Tracker'!A$2:A$2000,'📞 Call Tracker'!D$2:D$2000,""),"")</f>
        <v>0</v>
      </c>
      <c r="Z1091" s="95">
        <f>IFERROR(_xlfn.XLOOKUP(TEXT(H1091,"0000000000"),'📞 Call Tracker'!A$2:A$2000,'📞 Call Tracker'!E$2:E$2000,""),"")</f>
        <v>0</v>
      </c>
      <c r="AA1091" s="145">
        <f>IFERROR(_xlfn.XLOOKUP(TEXT(H1091,"0000000000"),'📞 Call Tracker'!A$2:A$2000,'📞 Call Tracker'!F$2:F$2000,""),"")</f>
        <v>0</v>
      </c>
      <c r="AB1091" s="132">
        <f t="shared" ref="AB1091:AB1154" si="35">IF(OR(H1091="",X1091&lt;&gt;""),99,IF(AND(NOT(OR(LEFT(TRIM(L1091),3)="Yes",TRIM(L1091)="Y",L1091="Frozen Rate",L1091="Frozen Plan",L1091="Not able to Compare",L1091="Info Not Avail",L1091="NA",L1091="")),AND(N1091&lt;&gt;"No",N1091&lt;&gt;"")),1,IF(NOT(OR(LEFT(TRIM(L1091),3)="Yes",TRIM(L1091)="Y",L1091="Frozen Rate",L1091="Frozen Plan",L1091="Not able to Compare",L1091="Info Not Avail",L1091="NA",L1091="")),2,IF(AND(N1091&lt;&gt;"No",N1091&lt;&gt;""),3,4))))</f>
        <v>99</v>
      </c>
      <c r="AC1091" s="79"/>
    </row>
    <row r="1092" spans="1:29" ht="20.100000000000001" customHeight="1">
      <c r="A1092" s="91">
        <v>46051</v>
      </c>
      <c r="B1092" s="92" t="str">
        <v>Murad</v>
      </c>
      <c r="C1092" s="92" t="str">
        <v>Jamie</v>
      </c>
      <c r="D1092" s="92" t="str">
        <v>Phoenix</v>
      </c>
      <c r="E1092" s="92">
        <v>85032</v>
      </c>
      <c r="F1092" s="137" t="str">
        <v xml:space="preserve">I live in a 2-bedroom, 2-bathroom unit, yet last summer my bill was as high as someone living in a 2,000 sq. ft. house. The tier system they use is also a mess. </v>
      </c>
      <c r="G1092" s="93" t="str">
        <v>https://docket.images.azcc.gov/E000048963.pdf</v>
      </c>
      <c r="H1092" s="150" t="s">
        <v>6233</v>
      </c>
      <c r="I1092" s="114" t="str">
        <v>R-BASIC</v>
      </c>
      <c r="J1092" s="94" t="str">
        <v>No</v>
      </c>
      <c r="K1092" s="94" t="str">
        <v>No</v>
      </c>
      <c r="L1092" s="137" t="str">
        <v>???</v>
      </c>
      <c r="M1092" s="94" t="str">
        <v>No</v>
      </c>
      <c r="N1092" s="134" t="str">
        <v>No</v>
      </c>
      <c r="O1092" s="119" t="str">
        <v>Yes</v>
      </c>
      <c r="P1092" s="92">
        <v>0</v>
      </c>
      <c r="Q1092" s="91">
        <v>46052</v>
      </c>
      <c r="R1092" s="140" t="str">
        <v>This customer was re-assigned from Tier 1 to Tier 2. Likely not their best rate. Needs 3 months of data to see if RTOUE or R3 would be better.</v>
      </c>
      <c r="S1092" s="92">
        <v>0</v>
      </c>
      <c r="T1092" s="92">
        <v>0</v>
      </c>
      <c r="U1092" s="137">
        <v>0</v>
      </c>
      <c r="V1092" s="126" t="str">
        <f t="shared" si="34"/>
        <v>❌ Not on Best Plan</v>
      </c>
      <c r="W1092" s="130">
        <f>IFERROR(_xlfn.XLOOKUP(TEXT(H1092,"0000000000"),'📞 Call Tracker'!A$2:A$2000,'📞 Call Tracker'!B$2:B$2000,""),"")</f>
        <v>0</v>
      </c>
      <c r="X1092" s="96">
        <f>IFERROR(_xlfn.XLOOKUP(TEXT(H1092,"0000000000"),'📞 Call Tracker'!A$2:A$2000,'📞 Call Tracker'!C$2:C$2000,""),"")</f>
        <v>0</v>
      </c>
      <c r="Y1092" s="95">
        <f>IFERROR(_xlfn.XLOOKUP(TEXT(H1092,"0000000000"),'📞 Call Tracker'!A$2:A$2000,'📞 Call Tracker'!D$2:D$2000,""),"")</f>
        <v>0</v>
      </c>
      <c r="Z1092" s="95">
        <f>IFERROR(_xlfn.XLOOKUP(TEXT(H1092,"0000000000"),'📞 Call Tracker'!A$2:A$2000,'📞 Call Tracker'!E$2:E$2000,""),"")</f>
        <v>0</v>
      </c>
      <c r="AA1092" s="145">
        <f>IFERROR(_xlfn.XLOOKUP(TEXT(H1092,"0000000000"),'📞 Call Tracker'!A$2:A$2000,'📞 Call Tracker'!F$2:F$2000,""),"")</f>
        <v>0</v>
      </c>
      <c r="AB1092" s="132">
        <f t="shared" si="35"/>
        <v>99</v>
      </c>
      <c r="AC1092" s="79"/>
    </row>
    <row r="1093" spans="1:29" ht="20.100000000000001" customHeight="1">
      <c r="A1093" s="91">
        <v>46052</v>
      </c>
      <c r="B1093" s="92" t="str">
        <v>Vitagliano</v>
      </c>
      <c r="C1093" s="92" t="str">
        <v>Lori</v>
      </c>
      <c r="D1093" s="92" t="str">
        <v>Scottsdale</v>
      </c>
      <c r="E1093" s="92">
        <v>85254</v>
      </c>
      <c r="F1093" s="137" t="str">
        <v>As a teacher I can barely afford the costs of electricity as is let alone with a 14% increase.</v>
      </c>
      <c r="G1093" s="93" t="str">
        <v>https://images.edocket.azcc.gov/docketpdf/E000049005.pdf</v>
      </c>
      <c r="H1093" s="150" t="s">
        <v>6089</v>
      </c>
      <c r="I1093" s="114" t="str">
        <v>R3-47</v>
      </c>
      <c r="J1093" s="94" t="str">
        <v>No</v>
      </c>
      <c r="K1093" s="94" t="str">
        <v>No</v>
      </c>
      <c r="L1093" s="137" t="str">
        <v>Yes</v>
      </c>
      <c r="M1093" s="94" t="str">
        <v>No</v>
      </c>
      <c r="N1093" s="134" t="str">
        <v>No</v>
      </c>
      <c r="O1093" s="119" t="str">
        <v>Yes</v>
      </c>
      <c r="P1093" s="92" t="str">
        <v>N</v>
      </c>
      <c r="Q1093" s="91">
        <v>46057</v>
      </c>
      <c r="R1093" s="140">
        <v>0</v>
      </c>
      <c r="S1093" s="92">
        <v>0</v>
      </c>
      <c r="T1093" s="92">
        <v>0</v>
      </c>
      <c r="U1093" s="137">
        <v>0</v>
      </c>
      <c r="V1093" s="126" t="str">
        <f t="shared" si="34"/>
        <v>✅ On Best Plan</v>
      </c>
      <c r="W1093" s="130" t="str">
        <f>IFERROR(_xlfn.XLOOKUP(TEXT(H1093,"0000000000"),'📞 Call Tracker'!A$2:A$2000,'📞 Call Tracker'!B$2:B$2000,""),"")</f>
        <v>Joaquin</v>
      </c>
      <c r="X1093" s="96">
        <f>IFERROR(_xlfn.XLOOKUP(TEXT(H1093,"0000000000"),'📞 Call Tracker'!A$2:A$2000,'📞 Call Tracker'!C$2:C$2000,""),"")</f>
        <v>46025</v>
      </c>
      <c r="Y1093" s="95" t="str">
        <f>IFERROR(_xlfn.XLOOKUP(TEXT(H1093,"0000000000"),'📞 Call Tracker'!A$2:A$2000,'📞 Call Tracker'!D$2:D$2000,""),"")</f>
        <v>YES</v>
      </c>
      <c r="Z1093" s="95">
        <f>IFERROR(_xlfn.XLOOKUP(TEXT(H1093,"0000000000"),'📞 Call Tracker'!A$2:A$2000,'📞 Call Tracker'!E$2:E$2000,""),"")</f>
        <v>0</v>
      </c>
      <c r="AA1093" s="145" t="str">
        <f>IFERROR(_xlfn.XLOOKUP(TEXT(H1093,"0000000000"),'📞 Call Tracker'!A$2:A$2000,'📞 Call Tracker'!F$2:F$2000,""),"")</f>
        <v>LEFT VOICE MAIL</v>
      </c>
      <c r="AB1093" s="132">
        <f t="shared" si="35"/>
        <v>99</v>
      </c>
      <c r="AC1093" s="79"/>
    </row>
    <row r="1094" spans="1:29" ht="20.100000000000001" customHeight="1">
      <c r="A1094" s="91">
        <v>46052</v>
      </c>
      <c r="B1094" s="92" t="str">
        <v>Cortez</v>
      </c>
      <c r="C1094" s="92" t="str">
        <v>Benjamin</v>
      </c>
      <c r="D1094" s="92" t="str">
        <v>Sun City West</v>
      </c>
      <c r="E1094" s="92">
        <v>85375</v>
      </c>
      <c r="F1094" s="137" t="str">
        <v>They already got a hike no more greed please</v>
      </c>
      <c r="G1094" s="93" t="str">
        <v>https://images.edocket.azcc.gov/docketpdf/E000049005.pdf</v>
      </c>
      <c r="H1094" s="150" t="s">
        <v>6477</v>
      </c>
      <c r="I1094" s="114" t="str">
        <v>RCPw/RTOUE47</v>
      </c>
      <c r="J1094" s="94" t="str">
        <v>No</v>
      </c>
      <c r="K1094" s="94" t="str">
        <v>No</v>
      </c>
      <c r="L1094" s="137" t="str">
        <v>Yes</v>
      </c>
      <c r="M1094" s="94" t="str">
        <v>Yes</v>
      </c>
      <c r="N1094" s="134">
        <v>72.2</v>
      </c>
      <c r="O1094" s="119" t="str">
        <v>Yes</v>
      </c>
      <c r="P1094" s="92" t="str">
        <v>N</v>
      </c>
      <c r="Q1094" s="91">
        <v>46057</v>
      </c>
      <c r="R1094" s="140">
        <v>0</v>
      </c>
      <c r="S1094" s="92">
        <v>0</v>
      </c>
      <c r="T1094" s="92">
        <v>0</v>
      </c>
      <c r="U1094" s="137">
        <v>0</v>
      </c>
      <c r="V1094" s="126" t="str">
        <f t="shared" si="34"/>
        <v>✅ On Best Plan</v>
      </c>
      <c r="W1094" s="130">
        <f>IFERROR(_xlfn.XLOOKUP(TEXT(H1094,"0000000000"),'📞 Call Tracker'!A$2:A$2000,'📞 Call Tracker'!B$2:B$2000,""),"")</f>
        <v>0</v>
      </c>
      <c r="X1094" s="96">
        <f>IFERROR(_xlfn.XLOOKUP(TEXT(H1094,"0000000000"),'📞 Call Tracker'!A$2:A$2000,'📞 Call Tracker'!C$2:C$2000,""),"")</f>
        <v>0</v>
      </c>
      <c r="Y1094" s="95">
        <f>IFERROR(_xlfn.XLOOKUP(TEXT(H1094,"0000000000"),'📞 Call Tracker'!A$2:A$2000,'📞 Call Tracker'!D$2:D$2000,""),"")</f>
        <v>0</v>
      </c>
      <c r="Z1094" s="95">
        <f>IFERROR(_xlfn.XLOOKUP(TEXT(H1094,"0000000000"),'📞 Call Tracker'!A$2:A$2000,'📞 Call Tracker'!E$2:E$2000,""),"")</f>
        <v>0</v>
      </c>
      <c r="AA1094" s="145">
        <f>IFERROR(_xlfn.XLOOKUP(TEXT(H1094,"0000000000"),'📞 Call Tracker'!A$2:A$2000,'📞 Call Tracker'!F$2:F$2000,""),"")</f>
        <v>0</v>
      </c>
      <c r="AB1094" s="132">
        <f t="shared" si="35"/>
        <v>99</v>
      </c>
      <c r="AC1094" s="79"/>
    </row>
    <row r="1095" spans="1:29" ht="20.100000000000001" customHeight="1">
      <c r="A1095" s="91">
        <v>46049</v>
      </c>
      <c r="B1095" s="92" t="str">
        <v>Parkhurst</v>
      </c>
      <c r="C1095" s="92" t="str">
        <v>Phil</v>
      </c>
      <c r="D1095" s="92" t="str">
        <v>Phoenix</v>
      </c>
      <c r="E1095" s="92">
        <v>85083</v>
      </c>
      <c r="F1095" s="137" t="str">
        <v>APS's Continued quest for rate increases must be stopped.either they are guilty of outlandish greed or are incredibly inefficient</v>
      </c>
      <c r="G1095" s="93" t="str">
        <v>https://docket.images.azcc.gov/E000048921.pdf</v>
      </c>
      <c r="H1095" s="150" t="s">
        <v>273</v>
      </c>
      <c r="I1095" s="114" t="str">
        <v>R3-47</v>
      </c>
      <c r="J1095" s="94" t="str">
        <v>No</v>
      </c>
      <c r="K1095" s="94" t="str">
        <v>No</v>
      </c>
      <c r="L1095" s="137" t="str">
        <v>Yes</v>
      </c>
      <c r="M1095" s="94" t="str">
        <v>No</v>
      </c>
      <c r="N1095" s="134" t="str">
        <v>No</v>
      </c>
      <c r="O1095" s="119" t="str">
        <v>Yes</v>
      </c>
      <c r="P1095" s="92" t="str">
        <v>N</v>
      </c>
      <c r="Q1095" s="91">
        <v>46057</v>
      </c>
      <c r="R1095" s="140">
        <v>0</v>
      </c>
      <c r="S1095" s="92">
        <v>0</v>
      </c>
      <c r="T1095" s="92">
        <v>0</v>
      </c>
      <c r="U1095" s="137">
        <v>0</v>
      </c>
      <c r="V1095" s="126" t="str">
        <f t="shared" si="34"/>
        <v>✅ On Best Plan</v>
      </c>
      <c r="W1095" s="130" t="str">
        <f>IFERROR(_xlfn.XLOOKUP(TEXT(H1095,"0000000000"),'📞 Call Tracker'!A$2:A$2000,'📞 Call Tracker'!B$2:B$2000,""),"")</f>
        <v>Joaquin</v>
      </c>
      <c r="X1095" s="96">
        <f>IFERROR(_xlfn.XLOOKUP(TEXT(H1095,"0000000000"),'📞 Call Tracker'!A$2:A$2000,'📞 Call Tracker'!C$2:C$2000,""),"")</f>
        <v>46011</v>
      </c>
      <c r="Y1095" s="95">
        <f>IFERROR(_xlfn.XLOOKUP(TEXT(H1095,"0000000000"),'📞 Call Tracker'!A$2:A$2000,'📞 Call Tracker'!D$2:D$2000,""),"")</f>
        <v>0</v>
      </c>
      <c r="Z1095" s="95" t="str">
        <f>IFERROR(_xlfn.XLOOKUP(TEXT(H1095,"0000000000"),'📞 Call Tracker'!A$2:A$2000,'📞 Call Tracker'!E$2:E$2000,""),"")</f>
        <v>Rate Change</v>
      </c>
      <c r="AA1095" s="145" t="str">
        <f>IFERROR(_xlfn.XLOOKUP(TEXT(H1095,"0000000000"),'📞 Call Tracker'!A$2:A$2000,'📞 Call Tracker'!F$2:F$2000,""),"")</f>
        <v>WANTED INFO DATA CENTER RATES</v>
      </c>
      <c r="AB1095" s="132">
        <f t="shared" si="35"/>
        <v>99</v>
      </c>
      <c r="AC1095" s="79"/>
    </row>
    <row r="1096" spans="1:29" ht="20.100000000000001" customHeight="1">
      <c r="A1096" s="91">
        <v>46049</v>
      </c>
      <c r="B1096" s="92" t="str">
        <v>Holmes</v>
      </c>
      <c r="C1096" s="92" t="str">
        <v>Andrew</v>
      </c>
      <c r="D1096" s="92" t="str">
        <v>Prescott Valley</v>
      </c>
      <c r="E1096" s="92">
        <v>86314</v>
      </c>
      <c r="F1096" s="137" t="str">
        <v>They are selling there power to California at a profit. They should be cost conscious of the people of AZ!</v>
      </c>
      <c r="G1096" s="93" t="str">
        <v>https://docket.images.azcc.gov/E000048921.pdf</v>
      </c>
      <c r="H1096" s="150" t="s">
        <v>6130</v>
      </c>
      <c r="I1096" s="114" t="str">
        <v>R-BASIC</v>
      </c>
      <c r="J1096" s="94" t="str">
        <v>No</v>
      </c>
      <c r="K1096" s="94" t="str">
        <v>No</v>
      </c>
      <c r="L1096" s="137" t="str">
        <v>Yes</v>
      </c>
      <c r="M1096" s="94" t="str">
        <v>No</v>
      </c>
      <c r="N1096" s="134" t="str">
        <v>No</v>
      </c>
      <c r="O1096" s="119" t="str">
        <v>Yes</v>
      </c>
      <c r="P1096" s="92" t="str">
        <v>N</v>
      </c>
      <c r="Q1096" s="91">
        <v>46057</v>
      </c>
      <c r="R1096" s="140">
        <v>0</v>
      </c>
      <c r="S1096" s="92">
        <v>0</v>
      </c>
      <c r="T1096" s="92">
        <v>0</v>
      </c>
      <c r="U1096" s="137">
        <v>0</v>
      </c>
      <c r="V1096" s="126" t="str">
        <f t="shared" si="34"/>
        <v>✅ On Best Plan</v>
      </c>
      <c r="W1096" s="130">
        <f>IFERROR(_xlfn.XLOOKUP(TEXT(H1096,"0000000000"),'📞 Call Tracker'!A$2:A$2000,'📞 Call Tracker'!B$2:B$2000,""),"")</f>
        <v>0</v>
      </c>
      <c r="X1096" s="96">
        <f>IFERROR(_xlfn.XLOOKUP(TEXT(H1096,"0000000000"),'📞 Call Tracker'!A$2:A$2000,'📞 Call Tracker'!C$2:C$2000,""),"")</f>
        <v>0</v>
      </c>
      <c r="Y1096" s="95">
        <f>IFERROR(_xlfn.XLOOKUP(TEXT(H1096,"0000000000"),'📞 Call Tracker'!A$2:A$2000,'📞 Call Tracker'!D$2:D$2000,""),"")</f>
        <v>0</v>
      </c>
      <c r="Z1096" s="95">
        <f>IFERROR(_xlfn.XLOOKUP(TEXT(H1096,"0000000000"),'📞 Call Tracker'!A$2:A$2000,'📞 Call Tracker'!E$2:E$2000,""),"")</f>
        <v>0</v>
      </c>
      <c r="AA1096" s="145">
        <f>IFERROR(_xlfn.XLOOKUP(TEXT(H1096,"0000000000"),'📞 Call Tracker'!A$2:A$2000,'📞 Call Tracker'!F$2:F$2000,""),"")</f>
        <v>0</v>
      </c>
      <c r="AB1096" s="132">
        <f t="shared" si="35"/>
        <v>99</v>
      </c>
      <c r="AC1096" s="79"/>
    </row>
    <row r="1097" spans="1:29" ht="20.100000000000001" customHeight="1">
      <c r="A1097" s="91">
        <v>46049</v>
      </c>
      <c r="B1097" s="92" t="str">
        <v>Bingham</v>
      </c>
      <c r="C1097" s="92" t="str">
        <v>David</v>
      </c>
      <c r="D1097" s="92" t="str">
        <v>Arizona City</v>
      </c>
      <c r="E1097" s="92">
        <v>85123</v>
      </c>
      <c r="F1097" s="137" t="str">
        <v>Why does the commission always side with APS ? When will you side with poor and retired citizens</v>
      </c>
      <c r="G1097" s="93" t="str">
        <v>https://docket.images.azcc.gov/E000048921.pdf</v>
      </c>
      <c r="H1097" s="150" t="s">
        <v>3996</v>
      </c>
      <c r="I1097" s="114" t="str">
        <v>R3-47</v>
      </c>
      <c r="J1097" s="94" t="str">
        <v>No</v>
      </c>
      <c r="K1097" s="94" t="str">
        <v>No</v>
      </c>
      <c r="L1097" s="137" t="str">
        <v>Yes</v>
      </c>
      <c r="M1097" s="94" t="str">
        <v>Yes</v>
      </c>
      <c r="N1097" s="134">
        <v>309.8</v>
      </c>
      <c r="O1097" s="119" t="str">
        <v>Yes</v>
      </c>
      <c r="P1097" s="92">
        <v>0</v>
      </c>
      <c r="Q1097" s="91">
        <v>46057</v>
      </c>
      <c r="R1097" s="140" t="str">
        <v>May need information for additional assistance programs?</v>
      </c>
      <c r="S1097" s="92">
        <v>0</v>
      </c>
      <c r="T1097" s="92">
        <v>0</v>
      </c>
      <c r="U1097" s="137">
        <v>0</v>
      </c>
      <c r="V1097" s="126" t="str">
        <f t="shared" si="34"/>
        <v>✅ On Best Plan</v>
      </c>
      <c r="W1097" s="130" t="str">
        <f>IFERROR(_xlfn.XLOOKUP(TEXT(H1097,"0000000000"),'📞 Call Tracker'!A$2:A$2000,'📞 Call Tracker'!B$2:B$2000,""),"")</f>
        <v/>
      </c>
      <c r="X1097" s="96" t="str">
        <f>IFERROR(_xlfn.XLOOKUP(TEXT(H1097,"0000000000"),'📞 Call Tracker'!A$2:A$2000,'📞 Call Tracker'!C$2:C$2000,""),"")</f>
        <v/>
      </c>
      <c r="Y1097" s="95" t="str">
        <f>IFERROR(_xlfn.XLOOKUP(TEXT(H1097,"0000000000"),'📞 Call Tracker'!A$2:A$2000,'📞 Call Tracker'!D$2:D$2000,""),"")</f>
        <v/>
      </c>
      <c r="Z1097" s="95" t="str">
        <f>IFERROR(_xlfn.XLOOKUP(TEXT(H1097,"0000000000"),'📞 Call Tracker'!A$2:A$2000,'📞 Call Tracker'!E$2:E$2000,""),"")</f>
        <v/>
      </c>
      <c r="AA1097" s="145" t="str">
        <f>IFERROR(_xlfn.XLOOKUP(TEXT(H1097,"0000000000"),'📞 Call Tracker'!A$2:A$2000,'📞 Call Tracker'!F$2:F$2000,""),"")</f>
        <v/>
      </c>
      <c r="AB1097" s="132">
        <f t="shared" si="35"/>
        <v>3</v>
      </c>
      <c r="AC1097" s="79"/>
    </row>
    <row r="1098" spans="1:29" ht="20.100000000000001" customHeight="1">
      <c r="A1098" s="91">
        <v>46049</v>
      </c>
      <c r="B1098" s="92" t="str">
        <v>Cordova</v>
      </c>
      <c r="C1098" s="92" t="str">
        <v>Yolanda</v>
      </c>
      <c r="D1098" s="92" t="str">
        <v>Phoenix</v>
      </c>
      <c r="E1098" s="92">
        <v>85023</v>
      </c>
      <c r="F1098" s="137" t="str">
        <v>struggling to stay a float and you're trying to add another blow to our lives, NO WAY! Stop this madness and let us be able to feed our families</v>
      </c>
      <c r="G1098" s="93" t="str">
        <v>https://docket.images.azcc.gov/E000048921.pdf</v>
      </c>
      <c r="H1098" s="150" t="s">
        <v>6131</v>
      </c>
      <c r="I1098" s="114" t="str">
        <v>R-XS</v>
      </c>
      <c r="J1098" s="94" t="str">
        <v>No</v>
      </c>
      <c r="K1098" s="94" t="str">
        <v>No</v>
      </c>
      <c r="L1098" s="137" t="str">
        <v>Yes</v>
      </c>
      <c r="M1098" s="94" t="str">
        <v>Yes</v>
      </c>
      <c r="N1098" s="134">
        <v>202.33</v>
      </c>
      <c r="O1098" s="119" t="str">
        <v>Yes</v>
      </c>
      <c r="P1098" s="92">
        <v>0</v>
      </c>
      <c r="Q1098" s="91">
        <v>46057</v>
      </c>
      <c r="R1098" s="140" t="str">
        <v>May need information for additional assistance programs?</v>
      </c>
      <c r="S1098" s="92">
        <v>0</v>
      </c>
      <c r="T1098" s="92">
        <v>0</v>
      </c>
      <c r="U1098" s="137">
        <v>0</v>
      </c>
      <c r="V1098" s="126" t="str">
        <f t="shared" si="34"/>
        <v>✅ On Best Plan</v>
      </c>
      <c r="W1098" s="130">
        <f>IFERROR(_xlfn.XLOOKUP(TEXT(H1098,"0000000000"),'📞 Call Tracker'!A$2:A$2000,'📞 Call Tracker'!B$2:B$2000,""),"")</f>
        <v>0</v>
      </c>
      <c r="X1098" s="96">
        <f>IFERROR(_xlfn.XLOOKUP(TEXT(H1098,"0000000000"),'📞 Call Tracker'!A$2:A$2000,'📞 Call Tracker'!C$2:C$2000,""),"")</f>
        <v>0</v>
      </c>
      <c r="Y1098" s="95">
        <f>IFERROR(_xlfn.XLOOKUP(TEXT(H1098,"0000000000"),'📞 Call Tracker'!A$2:A$2000,'📞 Call Tracker'!D$2:D$2000,""),"")</f>
        <v>0</v>
      </c>
      <c r="Z1098" s="95">
        <f>IFERROR(_xlfn.XLOOKUP(TEXT(H1098,"0000000000"),'📞 Call Tracker'!A$2:A$2000,'📞 Call Tracker'!E$2:E$2000,""),"")</f>
        <v>0</v>
      </c>
      <c r="AA1098" s="145">
        <f>IFERROR(_xlfn.XLOOKUP(TEXT(H1098,"0000000000"),'📞 Call Tracker'!A$2:A$2000,'📞 Call Tracker'!F$2:F$2000,""),"")</f>
        <v>0</v>
      </c>
      <c r="AB1098" s="132">
        <f t="shared" si="35"/>
        <v>99</v>
      </c>
      <c r="AC1098" s="79"/>
    </row>
    <row r="1099" spans="1:29" ht="20.100000000000001" customHeight="1">
      <c r="A1099" s="91">
        <v>46049</v>
      </c>
      <c r="B1099" s="92" t="str">
        <v>Palomino</v>
      </c>
      <c r="C1099" s="92" t="str">
        <v>Erica</v>
      </c>
      <c r="D1099" s="92" t="str">
        <v>Phoenix</v>
      </c>
      <c r="E1099" s="92">
        <v>85023</v>
      </c>
      <c r="F1099" s="137" t="str">
        <v>The service is expensive.</v>
      </c>
      <c r="G1099" s="93" t="str">
        <v>https://docket.images.azcc.gov/E000048921.pdf</v>
      </c>
      <c r="H1099" s="150" t="s">
        <v>6478</v>
      </c>
      <c r="I1099" s="114" t="str">
        <v>RCPw/RTOUE47</v>
      </c>
      <c r="J1099" s="94" t="str">
        <v>No</v>
      </c>
      <c r="K1099" s="94" t="str">
        <v>No</v>
      </c>
      <c r="L1099" s="137" t="str">
        <v>Yes</v>
      </c>
      <c r="M1099" s="94" t="str">
        <v>No</v>
      </c>
      <c r="N1099" s="134" t="str">
        <v>No</v>
      </c>
      <c r="O1099" s="119" t="str">
        <v>Yes</v>
      </c>
      <c r="P1099" s="92" t="str">
        <v>N</v>
      </c>
      <c r="Q1099" s="91">
        <v>46057</v>
      </c>
      <c r="R1099" s="140" t="str">
        <v>Spanish Preference</v>
      </c>
      <c r="S1099" s="92">
        <v>0</v>
      </c>
      <c r="T1099" s="92">
        <v>0</v>
      </c>
      <c r="U1099" s="137">
        <v>0</v>
      </c>
      <c r="V1099" s="126" t="str">
        <f t="shared" si="34"/>
        <v>✅ On Best Plan</v>
      </c>
      <c r="W1099" s="130">
        <f>IFERROR(_xlfn.XLOOKUP(TEXT(H1099,"0000000000"),'📞 Call Tracker'!A$2:A$2000,'📞 Call Tracker'!B$2:B$2000,""),"")</f>
        <v>0</v>
      </c>
      <c r="X1099" s="96">
        <f>IFERROR(_xlfn.XLOOKUP(TEXT(H1099,"0000000000"),'📞 Call Tracker'!A$2:A$2000,'📞 Call Tracker'!C$2:C$2000,""),"")</f>
        <v>0</v>
      </c>
      <c r="Y1099" s="95">
        <f>IFERROR(_xlfn.XLOOKUP(TEXT(H1099,"0000000000"),'📞 Call Tracker'!A$2:A$2000,'📞 Call Tracker'!D$2:D$2000,""),"")</f>
        <v>0</v>
      </c>
      <c r="Z1099" s="95">
        <f>IFERROR(_xlfn.XLOOKUP(TEXT(H1099,"0000000000"),'📞 Call Tracker'!A$2:A$2000,'📞 Call Tracker'!E$2:E$2000,""),"")</f>
        <v>0</v>
      </c>
      <c r="AA1099" s="145">
        <f>IFERROR(_xlfn.XLOOKUP(TEXT(H1099,"0000000000"),'📞 Call Tracker'!A$2:A$2000,'📞 Call Tracker'!F$2:F$2000,""),"")</f>
        <v>0</v>
      </c>
      <c r="AB1099" s="132">
        <f t="shared" si="35"/>
        <v>99</v>
      </c>
      <c r="AC1099" s="79"/>
    </row>
    <row r="1100" spans="1:29" ht="20.100000000000001" customHeight="1">
      <c r="A1100" s="91">
        <v>46049</v>
      </c>
      <c r="B1100" s="92" t="str">
        <v>Alexander</v>
      </c>
      <c r="C1100" s="92" t="str">
        <v>Laurie</v>
      </c>
      <c r="D1100" s="92" t="str">
        <v>Surprise</v>
      </c>
      <c r="E1100" s="92">
        <v>85374</v>
      </c>
      <c r="F1100" s="137" t="str">
        <v xml:space="preserve">I worked for a water company at for 27 years in California... people are flocking to AZ which creates huge amounts of revenue. </v>
      </c>
      <c r="G1100" s="93" t="str">
        <v>https://docket.images.azcc.gov/E000048921.pdf</v>
      </c>
      <c r="H1100" s="150" t="s">
        <v>3258</v>
      </c>
      <c r="I1100" s="114" t="str">
        <v>R-XS</v>
      </c>
      <c r="J1100" s="94" t="str">
        <v>Yes</v>
      </c>
      <c r="K1100" s="94" t="str">
        <v>No</v>
      </c>
      <c r="L1100" s="137" t="str">
        <v>Yes</v>
      </c>
      <c r="M1100" s="94" t="str">
        <v>No</v>
      </c>
      <c r="N1100" s="134" t="str">
        <v>No</v>
      </c>
      <c r="O1100" s="119" t="str">
        <v>Yes</v>
      </c>
      <c r="P1100" s="92" t="str">
        <v>N</v>
      </c>
      <c r="Q1100" s="91">
        <v>46057</v>
      </c>
      <c r="R1100" s="140">
        <v>0</v>
      </c>
      <c r="S1100" s="92">
        <v>0</v>
      </c>
      <c r="T1100" s="92">
        <v>0</v>
      </c>
      <c r="U1100" s="137">
        <v>0</v>
      </c>
      <c r="V1100" s="126" t="str">
        <f t="shared" si="34"/>
        <v>✅ On Best Plan</v>
      </c>
      <c r="W1100" s="130" t="str">
        <f>IFERROR(_xlfn.XLOOKUP(TEXT(H1100,"0000000000"),'📞 Call Tracker'!A$2:A$2000,'📞 Call Tracker'!B$2:B$2000,""),"")</f>
        <v>Joaquin</v>
      </c>
      <c r="X1100" s="96">
        <f>IFERROR(_xlfn.XLOOKUP(TEXT(H1100,"0000000000"),'📞 Call Tracker'!A$2:A$2000,'📞 Call Tracker'!C$2:C$2000,""),"")</f>
        <v>46067</v>
      </c>
      <c r="Y1100" s="95" t="str">
        <f>IFERROR(_xlfn.XLOOKUP(TEXT(H1100,"0000000000"),'📞 Call Tracker'!A$2:A$2000,'📞 Call Tracker'!D$2:D$2000,""),"")</f>
        <v>NO</v>
      </c>
      <c r="Z1100" s="95" t="str">
        <f>IFERROR(_xlfn.XLOOKUP(TEXT(H1100,"0000000000"),'📞 Call Tracker'!A$2:A$2000,'📞 Call Tracker'!E$2:E$2000,""),"")</f>
        <v>General Education</v>
      </c>
      <c r="AA1100" s="145">
        <f>IFERROR(_xlfn.XLOOKUP(TEXT(H1100,"0000000000"),'📞 Call Tracker'!A$2:A$2000,'📞 Call Tracker'!F$2:F$2000,""),"")</f>
        <v>0</v>
      </c>
      <c r="AB1100" s="132">
        <f t="shared" si="35"/>
        <v>99</v>
      </c>
      <c r="AC1100" s="79"/>
    </row>
    <row r="1101" spans="1:29" ht="20.100000000000001" customHeight="1">
      <c r="A1101" s="91">
        <v>46049</v>
      </c>
      <c r="B1101" s="92" t="str">
        <v>Miller</v>
      </c>
      <c r="C1101" s="92" t="str">
        <v>Ann</v>
      </c>
      <c r="D1101" s="92" t="str">
        <v>Peoria</v>
      </c>
      <c r="E1101" s="92">
        <v>85345</v>
      </c>
      <c r="F1101" s="137" t="str">
        <v xml:space="preserve">As a senior citizen on a very fixed income; aware of help services but qualify for none. I haven't been able to afford red meat for 3 years. </v>
      </c>
      <c r="G1101" s="93" t="str">
        <v>https://docket.images.azcc.gov/E000048921.pdf</v>
      </c>
      <c r="H1101" s="150" t="s">
        <v>4010</v>
      </c>
      <c r="I1101" s="114" t="str">
        <v>R-BASIC</v>
      </c>
      <c r="J1101" s="94" t="str">
        <v>No</v>
      </c>
      <c r="K1101" s="94" t="str">
        <v>No</v>
      </c>
      <c r="L1101" s="137" t="str">
        <v>Yes</v>
      </c>
      <c r="M1101" s="94" t="str">
        <v>No</v>
      </c>
      <c r="N1101" s="134" t="str">
        <v>No</v>
      </c>
      <c r="O1101" s="119" t="str">
        <v>Yes</v>
      </c>
      <c r="P1101" s="92" t="str">
        <v>N</v>
      </c>
      <c r="Q1101" s="91">
        <v>46057</v>
      </c>
      <c r="R1101" s="140">
        <v>0</v>
      </c>
      <c r="S1101" s="92">
        <v>0</v>
      </c>
      <c r="T1101" s="92">
        <v>0</v>
      </c>
      <c r="U1101" s="137">
        <v>0</v>
      </c>
      <c r="V1101" s="126" t="str">
        <f t="shared" si="34"/>
        <v>✅ On Best Plan</v>
      </c>
      <c r="W1101" s="130">
        <f>IFERROR(_xlfn.XLOOKUP(TEXT(H1101,"0000000000"),'📞 Call Tracker'!A$2:A$2000,'📞 Call Tracker'!B$2:B$2000,""),"")</f>
        <v>0</v>
      </c>
      <c r="X1101" s="96">
        <f>IFERROR(_xlfn.XLOOKUP(TEXT(H1101,"0000000000"),'📞 Call Tracker'!A$2:A$2000,'📞 Call Tracker'!C$2:C$2000,""),"")</f>
        <v>0</v>
      </c>
      <c r="Y1101" s="95">
        <f>IFERROR(_xlfn.XLOOKUP(TEXT(H1101,"0000000000"),'📞 Call Tracker'!A$2:A$2000,'📞 Call Tracker'!D$2:D$2000,""),"")</f>
        <v>0</v>
      </c>
      <c r="Z1101" s="95">
        <f>IFERROR(_xlfn.XLOOKUP(TEXT(H1101,"0000000000"),'📞 Call Tracker'!A$2:A$2000,'📞 Call Tracker'!E$2:E$2000,""),"")</f>
        <v>0</v>
      </c>
      <c r="AA1101" s="145">
        <f>IFERROR(_xlfn.XLOOKUP(TEXT(H1101,"0000000000"),'📞 Call Tracker'!A$2:A$2000,'📞 Call Tracker'!F$2:F$2000,""),"")</f>
        <v>0</v>
      </c>
      <c r="AB1101" s="132">
        <f t="shared" si="35"/>
        <v>99</v>
      </c>
      <c r="AC1101" s="79"/>
    </row>
    <row r="1102" spans="1:29" ht="20.100000000000001" customHeight="1">
      <c r="A1102" s="91">
        <v>46049</v>
      </c>
      <c r="B1102" s="92" t="str">
        <v>Crnich</v>
      </c>
      <c r="C1102" s="92" t="str">
        <v>Betty</v>
      </c>
      <c r="D1102" s="92" t="str">
        <v>Arizona City</v>
      </c>
      <c r="E1102" s="92">
        <v>85123</v>
      </c>
      <c r="F1102" s="137" t="str">
        <v>everyone keep raising prices and the increase they give each year doesn't even begin to help us on cost of living</v>
      </c>
      <c r="G1102" s="93" t="str">
        <v>https://docket.images.azcc.gov/E000048921.pdf</v>
      </c>
      <c r="H1102" s="150" t="s">
        <v>4015</v>
      </c>
      <c r="I1102" s="114" t="str">
        <v>RCPw/TOUE47</v>
      </c>
      <c r="J1102" s="94" t="str">
        <v>No</v>
      </c>
      <c r="K1102" s="94" t="str">
        <v>No</v>
      </c>
      <c r="L1102" s="137" t="str">
        <v>Yes</v>
      </c>
      <c r="M1102" s="94" t="str">
        <v>No</v>
      </c>
      <c r="N1102" s="134" t="str">
        <v>No</v>
      </c>
      <c r="O1102" s="119" t="str">
        <v>Yes</v>
      </c>
      <c r="P1102" s="92" t="str">
        <v>N</v>
      </c>
      <c r="Q1102" s="91">
        <v>46057</v>
      </c>
      <c r="R1102" s="140">
        <v>0</v>
      </c>
      <c r="S1102" s="92">
        <v>0</v>
      </c>
      <c r="T1102" s="92">
        <v>0</v>
      </c>
      <c r="U1102" s="137">
        <v>0</v>
      </c>
      <c r="V1102" s="126" t="str">
        <f t="shared" si="34"/>
        <v>✅ On Best Plan</v>
      </c>
      <c r="W1102" s="130">
        <f>IFERROR(_xlfn.XLOOKUP(TEXT(H1102,"0000000000"),'📞 Call Tracker'!A$2:A$2000,'📞 Call Tracker'!B$2:B$2000,""),"")</f>
        <v>0</v>
      </c>
      <c r="X1102" s="96">
        <f>IFERROR(_xlfn.XLOOKUP(TEXT(H1102,"0000000000"),'📞 Call Tracker'!A$2:A$2000,'📞 Call Tracker'!C$2:C$2000,""),"")</f>
        <v>0</v>
      </c>
      <c r="Y1102" s="95">
        <f>IFERROR(_xlfn.XLOOKUP(TEXT(H1102,"0000000000"),'📞 Call Tracker'!A$2:A$2000,'📞 Call Tracker'!D$2:D$2000,""),"")</f>
        <v>0</v>
      </c>
      <c r="Z1102" s="95">
        <f>IFERROR(_xlfn.XLOOKUP(TEXT(H1102,"0000000000"),'📞 Call Tracker'!A$2:A$2000,'📞 Call Tracker'!E$2:E$2000,""),"")</f>
        <v>0</v>
      </c>
      <c r="AA1102" s="145">
        <f>IFERROR(_xlfn.XLOOKUP(TEXT(H1102,"0000000000"),'📞 Call Tracker'!A$2:A$2000,'📞 Call Tracker'!F$2:F$2000,""),"")</f>
        <v>0</v>
      </c>
      <c r="AB1102" s="132">
        <f t="shared" si="35"/>
        <v>99</v>
      </c>
      <c r="AC1102" s="79"/>
    </row>
    <row r="1103" spans="1:29" ht="20.100000000000001" customHeight="1">
      <c r="A1103" s="91">
        <v>46049</v>
      </c>
      <c r="B1103" s="92" t="str">
        <v>Richter</v>
      </c>
      <c r="C1103" s="92" t="str">
        <v>Klaus</v>
      </c>
      <c r="D1103" s="92" t="str">
        <v>Litchfield Park</v>
      </c>
      <c r="E1103" s="92">
        <v>85340</v>
      </c>
      <c r="F1103" s="137" t="str">
        <v>I am against the increase APS is planning</v>
      </c>
      <c r="G1103" s="93" t="str">
        <v>https://docket.images.azcc.gov/E000048921.pdf</v>
      </c>
      <c r="H1103" s="150" t="s">
        <v>6479</v>
      </c>
      <c r="I1103" s="114" t="str">
        <v>EPR6w/ET</v>
      </c>
      <c r="J1103" s="94" t="str">
        <v>No</v>
      </c>
      <c r="K1103" s="94" t="str">
        <v>No</v>
      </c>
      <c r="L1103" s="137" t="str">
        <v>Frozen Plan</v>
      </c>
      <c r="M1103" s="94" t="str">
        <v>No</v>
      </c>
      <c r="N1103" s="134" t="str">
        <v>No</v>
      </c>
      <c r="O1103" s="119" t="str">
        <v>Yes</v>
      </c>
      <c r="P1103" s="92" t="str">
        <v>N</v>
      </c>
      <c r="Q1103" s="91">
        <v>46057</v>
      </c>
      <c r="R1103" s="140">
        <v>0</v>
      </c>
      <c r="S1103" s="92">
        <v>0</v>
      </c>
      <c r="T1103" s="92">
        <v>0</v>
      </c>
      <c r="U1103" s="137">
        <v>0</v>
      </c>
      <c r="V1103" s="126" t="str">
        <f t="shared" si="34"/>
        <v>❄ Frozen Rate</v>
      </c>
      <c r="W1103" s="130">
        <f>IFERROR(_xlfn.XLOOKUP(TEXT(H1103,"0000000000"),'📞 Call Tracker'!A$2:A$2000,'📞 Call Tracker'!B$2:B$2000,""),"")</f>
        <v>0</v>
      </c>
      <c r="X1103" s="96">
        <f>IFERROR(_xlfn.XLOOKUP(TEXT(H1103,"0000000000"),'📞 Call Tracker'!A$2:A$2000,'📞 Call Tracker'!C$2:C$2000,""),"")</f>
        <v>0</v>
      </c>
      <c r="Y1103" s="95">
        <f>IFERROR(_xlfn.XLOOKUP(TEXT(H1103,"0000000000"),'📞 Call Tracker'!A$2:A$2000,'📞 Call Tracker'!D$2:D$2000,""),"")</f>
        <v>0</v>
      </c>
      <c r="Z1103" s="95">
        <f>IFERROR(_xlfn.XLOOKUP(TEXT(H1103,"0000000000"),'📞 Call Tracker'!A$2:A$2000,'📞 Call Tracker'!E$2:E$2000,""),"")</f>
        <v>0</v>
      </c>
      <c r="AA1103" s="145">
        <f>IFERROR(_xlfn.XLOOKUP(TEXT(H1103,"0000000000"),'📞 Call Tracker'!A$2:A$2000,'📞 Call Tracker'!F$2:F$2000,""),"")</f>
        <v>0</v>
      </c>
      <c r="AB1103" s="132">
        <f t="shared" si="35"/>
        <v>99</v>
      </c>
      <c r="AC1103" s="79"/>
    </row>
    <row r="1104" spans="1:29" ht="20.100000000000001" customHeight="1">
      <c r="A1104" s="91">
        <v>46049</v>
      </c>
      <c r="B1104" s="92" t="str">
        <v>Hopper</v>
      </c>
      <c r="C1104" s="92" t="str">
        <v>Trudy</v>
      </c>
      <c r="D1104" s="92" t="str">
        <v>Phoenix</v>
      </c>
      <c r="E1104" s="92">
        <v>85029</v>
      </c>
      <c r="F1104" s="137" t="str">
        <v xml:space="preserve"> I'm on a payment plan now. Paying back the money owed during summer. (Which I can't afford) I still have 2-3 more payments</v>
      </c>
      <c r="G1104" s="93" t="str">
        <v>https://docket.images.azcc.gov/E000048921.pdf</v>
      </c>
      <c r="H1104" s="150" t="s">
        <v>4023</v>
      </c>
      <c r="I1104" s="114" t="str">
        <v>R-2</v>
      </c>
      <c r="J1104" s="94" t="str">
        <v>No</v>
      </c>
      <c r="K1104" s="94" t="str">
        <v>No</v>
      </c>
      <c r="L1104" s="137" t="str">
        <v>Frozen Plan</v>
      </c>
      <c r="M1104" s="94" t="str">
        <v>Yes</v>
      </c>
      <c r="N1104" s="134">
        <v>125.36</v>
      </c>
      <c r="O1104" s="119" t="str">
        <v>Yes</v>
      </c>
      <c r="P1104" s="92" t="str">
        <v>N</v>
      </c>
      <c r="Q1104" s="91">
        <v>46057</v>
      </c>
      <c r="R1104" s="140">
        <v>0</v>
      </c>
      <c r="S1104" s="92">
        <v>0</v>
      </c>
      <c r="T1104" s="92">
        <v>0</v>
      </c>
      <c r="U1104" s="137">
        <v>0</v>
      </c>
      <c r="V1104" s="126" t="str">
        <f t="shared" si="34"/>
        <v>❄ Frozen Rate</v>
      </c>
      <c r="W1104" s="130">
        <f>IFERROR(_xlfn.XLOOKUP(TEXT(H1104,"0000000000"),'📞 Call Tracker'!A$2:A$2000,'📞 Call Tracker'!B$2:B$2000,""),"")</f>
        <v>0</v>
      </c>
      <c r="X1104" s="96">
        <f>IFERROR(_xlfn.XLOOKUP(TEXT(H1104,"0000000000"),'📞 Call Tracker'!A$2:A$2000,'📞 Call Tracker'!C$2:C$2000,""),"")</f>
        <v>0</v>
      </c>
      <c r="Y1104" s="95">
        <f>IFERROR(_xlfn.XLOOKUP(TEXT(H1104,"0000000000"),'📞 Call Tracker'!A$2:A$2000,'📞 Call Tracker'!D$2:D$2000,""),"")</f>
        <v>0</v>
      </c>
      <c r="Z1104" s="95">
        <f>IFERROR(_xlfn.XLOOKUP(TEXT(H1104,"0000000000"),'📞 Call Tracker'!A$2:A$2000,'📞 Call Tracker'!E$2:E$2000,""),"")</f>
        <v>0</v>
      </c>
      <c r="AA1104" s="145">
        <f>IFERROR(_xlfn.XLOOKUP(TEXT(H1104,"0000000000"),'📞 Call Tracker'!A$2:A$2000,'📞 Call Tracker'!F$2:F$2000,""),"")</f>
        <v>0</v>
      </c>
      <c r="AB1104" s="132">
        <f t="shared" si="35"/>
        <v>99</v>
      </c>
      <c r="AC1104" s="79"/>
    </row>
    <row r="1105" spans="1:29" ht="20.100000000000001" customHeight="1">
      <c r="A1105" s="91">
        <v>46049</v>
      </c>
      <c r="B1105" s="92" t="str">
        <v>Reis</v>
      </c>
      <c r="C1105" s="92" t="str">
        <v>David</v>
      </c>
      <c r="D1105" s="92" t="str">
        <v>Surprise</v>
      </c>
      <c r="E1105" s="92">
        <v>85379</v>
      </c>
      <c r="F1105" s="137" t="str">
        <v>I am apposed to APS rate hike stop using the inefficient green energy and get more of the power from the PV plant</v>
      </c>
      <c r="G1105" s="93" t="str">
        <v>https://docket.images.azcc.gov/E000048921.pdf</v>
      </c>
      <c r="H1105" s="150" t="s">
        <v>4026</v>
      </c>
      <c r="I1105" s="114" t="str">
        <v>RTOUE47</v>
      </c>
      <c r="J1105" s="94" t="str">
        <v>Yes</v>
      </c>
      <c r="K1105" s="94" t="str">
        <v>No</v>
      </c>
      <c r="L1105" s="137" t="str">
        <v>Yes</v>
      </c>
      <c r="M1105" s="94" t="str">
        <v>No</v>
      </c>
      <c r="N1105" s="134" t="str">
        <v>No</v>
      </c>
      <c r="O1105" s="119" t="str">
        <v>Yes</v>
      </c>
      <c r="P1105" s="92" t="str">
        <v>N</v>
      </c>
      <c r="Q1105" s="91">
        <v>46057</v>
      </c>
      <c r="R1105" s="140">
        <v>0</v>
      </c>
      <c r="S1105" s="92">
        <v>0</v>
      </c>
      <c r="T1105" s="92">
        <v>0</v>
      </c>
      <c r="U1105" s="137">
        <v>0</v>
      </c>
      <c r="V1105" s="126" t="str">
        <f t="shared" si="34"/>
        <v>✅ On Best Plan</v>
      </c>
      <c r="W1105" s="130">
        <f>IFERROR(_xlfn.XLOOKUP(TEXT(H1105,"0000000000"),'📞 Call Tracker'!A$2:A$2000,'📞 Call Tracker'!B$2:B$2000,""),"")</f>
        <v>0</v>
      </c>
      <c r="X1105" s="96">
        <f>IFERROR(_xlfn.XLOOKUP(TEXT(H1105,"0000000000"),'📞 Call Tracker'!A$2:A$2000,'📞 Call Tracker'!C$2:C$2000,""),"")</f>
        <v>0</v>
      </c>
      <c r="Y1105" s="95">
        <f>IFERROR(_xlfn.XLOOKUP(TEXT(H1105,"0000000000"),'📞 Call Tracker'!A$2:A$2000,'📞 Call Tracker'!D$2:D$2000,""),"")</f>
        <v>0</v>
      </c>
      <c r="Z1105" s="95">
        <f>IFERROR(_xlfn.XLOOKUP(TEXT(H1105,"0000000000"),'📞 Call Tracker'!A$2:A$2000,'📞 Call Tracker'!E$2:E$2000,""),"")</f>
        <v>0</v>
      </c>
      <c r="AA1105" s="145">
        <f>IFERROR(_xlfn.XLOOKUP(TEXT(H1105,"0000000000"),'📞 Call Tracker'!A$2:A$2000,'📞 Call Tracker'!F$2:F$2000,""),"")</f>
        <v>0</v>
      </c>
      <c r="AB1105" s="132">
        <f t="shared" si="35"/>
        <v>99</v>
      </c>
      <c r="AC1105" s="79"/>
    </row>
    <row r="1106" spans="1:29" ht="20.100000000000001" customHeight="1">
      <c r="A1106" s="91">
        <v>46049</v>
      </c>
      <c r="B1106" s="92" t="str">
        <v>Velasquez</v>
      </c>
      <c r="C1106" s="92" t="str">
        <v>Geordanny</v>
      </c>
      <c r="D1106" s="92" t="str">
        <v>Phoenix</v>
      </c>
      <c r="E1106" s="92">
        <v>85006</v>
      </c>
      <c r="F1106" s="137" t="str">
        <v>APS already earns substantial profits, and raising rates again would place an unfair burden on Arizona households</v>
      </c>
      <c r="G1106" s="93" t="str">
        <v>https://docket.images.azcc.gov/E000048921.pdf</v>
      </c>
      <c r="H1106" s="150" t="s">
        <v>4033</v>
      </c>
      <c r="I1106" s="114" t="str">
        <v>RTOUE47</v>
      </c>
      <c r="J1106" s="94" t="str">
        <v>No</v>
      </c>
      <c r="K1106" s="94" t="str">
        <v>No</v>
      </c>
      <c r="L1106" s="137" t="str">
        <v>Yes</v>
      </c>
      <c r="M1106" s="94" t="str">
        <v>No</v>
      </c>
      <c r="N1106" s="134" t="str">
        <v>No</v>
      </c>
      <c r="O1106" s="119" t="str">
        <v>Yes</v>
      </c>
      <c r="P1106" s="92" t="str">
        <v>N</v>
      </c>
      <c r="Q1106" s="91">
        <v>46057</v>
      </c>
      <c r="R1106" s="140">
        <v>0</v>
      </c>
      <c r="S1106" s="92">
        <v>0</v>
      </c>
      <c r="T1106" s="92">
        <v>0</v>
      </c>
      <c r="U1106" s="137">
        <v>0</v>
      </c>
      <c r="V1106" s="126" t="str">
        <f t="shared" si="34"/>
        <v>✅ On Best Plan</v>
      </c>
      <c r="W1106" s="130">
        <f>IFERROR(_xlfn.XLOOKUP(TEXT(H1106,"0000000000"),'📞 Call Tracker'!A$2:A$2000,'📞 Call Tracker'!B$2:B$2000,""),"")</f>
        <v>0</v>
      </c>
      <c r="X1106" s="96">
        <f>IFERROR(_xlfn.XLOOKUP(TEXT(H1106,"0000000000"),'📞 Call Tracker'!A$2:A$2000,'📞 Call Tracker'!C$2:C$2000,""),"")</f>
        <v>0</v>
      </c>
      <c r="Y1106" s="95">
        <f>IFERROR(_xlfn.XLOOKUP(TEXT(H1106,"0000000000"),'📞 Call Tracker'!A$2:A$2000,'📞 Call Tracker'!D$2:D$2000,""),"")</f>
        <v>0</v>
      </c>
      <c r="Z1106" s="95">
        <f>IFERROR(_xlfn.XLOOKUP(TEXT(H1106,"0000000000"),'📞 Call Tracker'!A$2:A$2000,'📞 Call Tracker'!E$2:E$2000,""),"")</f>
        <v>0</v>
      </c>
      <c r="AA1106" s="145">
        <f>IFERROR(_xlfn.XLOOKUP(TEXT(H1106,"0000000000"),'📞 Call Tracker'!A$2:A$2000,'📞 Call Tracker'!F$2:F$2000,""),"")</f>
        <v>0</v>
      </c>
      <c r="AB1106" s="132">
        <f t="shared" si="35"/>
        <v>99</v>
      </c>
      <c r="AC1106" s="79"/>
    </row>
    <row r="1107" spans="1:29" ht="20.100000000000001" customHeight="1">
      <c r="A1107" s="91">
        <v>46049</v>
      </c>
      <c r="B1107" s="92" t="str">
        <v>Merriam</v>
      </c>
      <c r="C1107" s="92" t="str">
        <v>Danyial</v>
      </c>
      <c r="D1107" s="92" t="str">
        <v>Waddell</v>
      </c>
      <c r="E1107" s="92">
        <v>85355</v>
      </c>
      <c r="F1107" s="137" t="str">
        <v>When you have to decide to cool your home so your babies wont die, or to buy food something is terribly wrong.</v>
      </c>
      <c r="G1107" s="93" t="str">
        <v>https://docket.images.azcc.gov/E000048921.pdf</v>
      </c>
      <c r="H1107" s="150" t="s">
        <v>4036</v>
      </c>
      <c r="I1107" s="114" t="str">
        <v>R3-47</v>
      </c>
      <c r="J1107" s="94" t="str">
        <v>No</v>
      </c>
      <c r="K1107" s="94" t="str">
        <v>No</v>
      </c>
      <c r="L1107" s="137" t="str">
        <v>Yes</v>
      </c>
      <c r="M1107" s="94" t="str">
        <v>No</v>
      </c>
      <c r="N1107" s="134" t="str">
        <v>No</v>
      </c>
      <c r="O1107" s="119" t="str">
        <v>Yes</v>
      </c>
      <c r="P1107" s="92" t="str">
        <v>N</v>
      </c>
      <c r="Q1107" s="91">
        <v>46057</v>
      </c>
      <c r="R1107" s="140">
        <v>0</v>
      </c>
      <c r="S1107" s="92">
        <v>0</v>
      </c>
      <c r="T1107" s="92">
        <v>0</v>
      </c>
      <c r="U1107" s="137">
        <v>0</v>
      </c>
      <c r="V1107" s="126" t="str">
        <f t="shared" si="34"/>
        <v>✅ On Best Plan</v>
      </c>
      <c r="W1107" s="130">
        <f>IFERROR(_xlfn.XLOOKUP(TEXT(H1107,"0000000000"),'📞 Call Tracker'!A$2:A$2000,'📞 Call Tracker'!B$2:B$2000,""),"")</f>
        <v>0</v>
      </c>
      <c r="X1107" s="96">
        <f>IFERROR(_xlfn.XLOOKUP(TEXT(H1107,"0000000000"),'📞 Call Tracker'!A$2:A$2000,'📞 Call Tracker'!C$2:C$2000,""),"")</f>
        <v>0</v>
      </c>
      <c r="Y1107" s="95">
        <f>IFERROR(_xlfn.XLOOKUP(TEXT(H1107,"0000000000"),'📞 Call Tracker'!A$2:A$2000,'📞 Call Tracker'!D$2:D$2000,""),"")</f>
        <v>0</v>
      </c>
      <c r="Z1107" s="95">
        <f>IFERROR(_xlfn.XLOOKUP(TEXT(H1107,"0000000000"),'📞 Call Tracker'!A$2:A$2000,'📞 Call Tracker'!E$2:E$2000,""),"")</f>
        <v>0</v>
      </c>
      <c r="AA1107" s="145">
        <f>IFERROR(_xlfn.XLOOKUP(TEXT(H1107,"0000000000"),'📞 Call Tracker'!A$2:A$2000,'📞 Call Tracker'!F$2:F$2000,""),"")</f>
        <v>0</v>
      </c>
      <c r="AB1107" s="132">
        <f t="shared" si="35"/>
        <v>99</v>
      </c>
      <c r="AC1107" s="79"/>
    </row>
    <row r="1108" spans="1:29" ht="20.100000000000001" customHeight="1">
      <c r="A1108" s="91">
        <v>46049</v>
      </c>
      <c r="B1108" s="92" t="str">
        <v>Romero</v>
      </c>
      <c r="C1108" s="92" t="str">
        <v>Theadora</v>
      </c>
      <c r="D1108" s="92" t="str">
        <v>Phoenix</v>
      </c>
      <c r="E1108" s="92">
        <v>85023</v>
      </c>
      <c r="F1108" s="137" t="str">
        <v>They are charging at least half of the APS charges in taxes on top of the usage charges. That's wrong.</v>
      </c>
      <c r="G1108" s="93" t="str">
        <v>https://docket.images.azcc.gov/E000048921.pdf</v>
      </c>
      <c r="H1108" s="150" t="s">
        <v>4040</v>
      </c>
      <c r="I1108" s="114" t="str">
        <v>R-XS</v>
      </c>
      <c r="J1108" s="94" t="str">
        <v>No</v>
      </c>
      <c r="K1108" s="94" t="str">
        <v>No</v>
      </c>
      <c r="L1108" s="137" t="str">
        <v>Yes</v>
      </c>
      <c r="M1108" s="94">
        <v>0</v>
      </c>
      <c r="N1108" s="134">
        <v>0</v>
      </c>
      <c r="O1108" s="119">
        <v>0</v>
      </c>
      <c r="P1108" s="92">
        <v>0</v>
      </c>
      <c r="Q1108" s="91">
        <v>0</v>
      </c>
      <c r="R1108" s="140">
        <v>0</v>
      </c>
      <c r="S1108" s="92">
        <v>0</v>
      </c>
      <c r="T1108" s="92">
        <v>0</v>
      </c>
      <c r="U1108" s="137">
        <v>0</v>
      </c>
      <c r="V1108" s="126" t="str">
        <f t="shared" si="34"/>
        <v>✅ On Best Plan</v>
      </c>
      <c r="W1108" s="130">
        <f>IFERROR(_xlfn.XLOOKUP(TEXT(H1108,"0000000000"),'📞 Call Tracker'!A$2:A$2000,'📞 Call Tracker'!B$2:B$2000,""),"")</f>
        <v>0</v>
      </c>
      <c r="X1108" s="96">
        <f>IFERROR(_xlfn.XLOOKUP(TEXT(H1108,"0000000000"),'📞 Call Tracker'!A$2:A$2000,'📞 Call Tracker'!C$2:C$2000,""),"")</f>
        <v>0</v>
      </c>
      <c r="Y1108" s="95">
        <f>IFERROR(_xlfn.XLOOKUP(TEXT(H1108,"0000000000"),'📞 Call Tracker'!A$2:A$2000,'📞 Call Tracker'!D$2:D$2000,""),"")</f>
        <v>0</v>
      </c>
      <c r="Z1108" s="95">
        <f>IFERROR(_xlfn.XLOOKUP(TEXT(H1108,"0000000000"),'📞 Call Tracker'!A$2:A$2000,'📞 Call Tracker'!E$2:E$2000,""),"")</f>
        <v>0</v>
      </c>
      <c r="AA1108" s="145">
        <f>IFERROR(_xlfn.XLOOKUP(TEXT(H1108,"0000000000"),'📞 Call Tracker'!A$2:A$2000,'📞 Call Tracker'!F$2:F$2000,""),"")</f>
        <v>0</v>
      </c>
      <c r="AB1108" s="132">
        <f t="shared" si="35"/>
        <v>99</v>
      </c>
      <c r="AC1108" s="79"/>
    </row>
    <row r="1109" spans="1:29" ht="20.100000000000001" customHeight="1">
      <c r="A1109" s="91">
        <v>46049</v>
      </c>
      <c r="B1109" s="92" t="str">
        <v>Avery</v>
      </c>
      <c r="C1109" s="92" t="str">
        <v>Sheri</v>
      </c>
      <c r="D1109" s="92" t="str">
        <v>Phoenix</v>
      </c>
      <c r="E1109" s="92">
        <v>85013</v>
      </c>
      <c r="F1109" s="137" t="str">
        <v>Some of us are barely making ends meet as it is already! Please vote NO to APS!!</v>
      </c>
      <c r="G1109" s="93" t="str">
        <v>https://docket.images.azcc.gov/E000048921.pdf</v>
      </c>
      <c r="H1109" s="150" t="s">
        <v>4046</v>
      </c>
      <c r="I1109" s="114" t="str">
        <v>R3-47</v>
      </c>
      <c r="J1109" s="94" t="str">
        <v>Yes</v>
      </c>
      <c r="K1109" s="94" t="str">
        <v>No</v>
      </c>
      <c r="L1109" s="137" t="str">
        <v>Yes</v>
      </c>
      <c r="M1109" s="94" t="str">
        <v>No</v>
      </c>
      <c r="N1109" s="134" t="str">
        <v>No</v>
      </c>
      <c r="O1109" s="119" t="str">
        <v>Yes</v>
      </c>
      <c r="P1109" s="92" t="str">
        <v>N</v>
      </c>
      <c r="Q1109" s="91">
        <v>46057</v>
      </c>
      <c r="R1109" s="140">
        <v>0</v>
      </c>
      <c r="S1109" s="92">
        <v>0</v>
      </c>
      <c r="T1109" s="92">
        <v>0</v>
      </c>
      <c r="U1109" s="137">
        <v>0</v>
      </c>
      <c r="V1109" s="126" t="str">
        <f t="shared" si="34"/>
        <v>✅ On Best Plan</v>
      </c>
      <c r="W1109" s="130">
        <f>IFERROR(_xlfn.XLOOKUP(TEXT(H1109,"0000000000"),'📞 Call Tracker'!A$2:A$2000,'📞 Call Tracker'!B$2:B$2000,""),"")</f>
        <v>0</v>
      </c>
      <c r="X1109" s="96">
        <f>IFERROR(_xlfn.XLOOKUP(TEXT(H1109,"0000000000"),'📞 Call Tracker'!A$2:A$2000,'📞 Call Tracker'!C$2:C$2000,""),"")</f>
        <v>0</v>
      </c>
      <c r="Y1109" s="95">
        <f>IFERROR(_xlfn.XLOOKUP(TEXT(H1109,"0000000000"),'📞 Call Tracker'!A$2:A$2000,'📞 Call Tracker'!D$2:D$2000,""),"")</f>
        <v>0</v>
      </c>
      <c r="Z1109" s="95">
        <f>IFERROR(_xlfn.XLOOKUP(TEXT(H1109,"0000000000"),'📞 Call Tracker'!A$2:A$2000,'📞 Call Tracker'!E$2:E$2000,""),"")</f>
        <v>0</v>
      </c>
      <c r="AA1109" s="145">
        <f>IFERROR(_xlfn.XLOOKUP(TEXT(H1109,"0000000000"),'📞 Call Tracker'!A$2:A$2000,'📞 Call Tracker'!F$2:F$2000,""),"")</f>
        <v>0</v>
      </c>
      <c r="AB1109" s="132">
        <f t="shared" si="35"/>
        <v>99</v>
      </c>
      <c r="AC1109" s="79"/>
    </row>
    <row r="1110" spans="1:29" ht="20.100000000000001" customHeight="1">
      <c r="A1110" s="91">
        <v>46049</v>
      </c>
      <c r="B1110" s="92" t="str">
        <v>Parks</v>
      </c>
      <c r="C1110" s="92" t="str">
        <v>Debra</v>
      </c>
      <c r="D1110" s="92" t="str">
        <v>Peoria</v>
      </c>
      <c r="E1110" s="92">
        <v>85345</v>
      </c>
      <c r="F1110" s="137" t="str">
        <v>Drop some of your expensive sponsorships that benefit few of us and keep your rates the same.</v>
      </c>
      <c r="G1110" s="93" t="str">
        <v>https://docket.images.azcc.gov/E000048921.pdf</v>
      </c>
      <c r="H1110" s="150" t="s">
        <v>4050</v>
      </c>
      <c r="I1110" s="114" t="str">
        <v>R3-47</v>
      </c>
      <c r="J1110" s="94" t="str">
        <v>No</v>
      </c>
      <c r="K1110" s="94" t="str">
        <v>No</v>
      </c>
      <c r="L1110" s="137" t="str">
        <v>Yes</v>
      </c>
      <c r="M1110" s="94" t="str">
        <v>No</v>
      </c>
      <c r="N1110" s="134" t="str">
        <v>No</v>
      </c>
      <c r="O1110" s="119" t="str">
        <v>Yes</v>
      </c>
      <c r="P1110" s="92" t="str">
        <v>N</v>
      </c>
      <c r="Q1110" s="91">
        <v>46057</v>
      </c>
      <c r="R1110" s="140">
        <v>0</v>
      </c>
      <c r="S1110" s="92">
        <v>0</v>
      </c>
      <c r="T1110" s="92">
        <v>0</v>
      </c>
      <c r="U1110" s="137">
        <v>0</v>
      </c>
      <c r="V1110" s="126" t="str">
        <f t="shared" si="34"/>
        <v>✅ On Best Plan</v>
      </c>
      <c r="W1110" s="130">
        <f>IFERROR(_xlfn.XLOOKUP(TEXT(H1110,"0000000000"),'📞 Call Tracker'!A$2:A$2000,'📞 Call Tracker'!B$2:B$2000,""),"")</f>
        <v>0</v>
      </c>
      <c r="X1110" s="96">
        <f>IFERROR(_xlfn.XLOOKUP(TEXT(H1110,"0000000000"),'📞 Call Tracker'!A$2:A$2000,'📞 Call Tracker'!C$2:C$2000,""),"")</f>
        <v>0</v>
      </c>
      <c r="Y1110" s="95">
        <f>IFERROR(_xlfn.XLOOKUP(TEXT(H1110,"0000000000"),'📞 Call Tracker'!A$2:A$2000,'📞 Call Tracker'!D$2:D$2000,""),"")</f>
        <v>0</v>
      </c>
      <c r="Z1110" s="95">
        <f>IFERROR(_xlfn.XLOOKUP(TEXT(H1110,"0000000000"),'📞 Call Tracker'!A$2:A$2000,'📞 Call Tracker'!E$2:E$2000,""),"")</f>
        <v>0</v>
      </c>
      <c r="AA1110" s="145">
        <f>IFERROR(_xlfn.XLOOKUP(TEXT(H1110,"0000000000"),'📞 Call Tracker'!A$2:A$2000,'📞 Call Tracker'!F$2:F$2000,""),"")</f>
        <v>0</v>
      </c>
      <c r="AB1110" s="132">
        <f t="shared" si="35"/>
        <v>99</v>
      </c>
      <c r="AC1110" s="79"/>
    </row>
    <row r="1111" spans="1:29" ht="20.100000000000001" customHeight="1">
      <c r="A1111" s="91">
        <v>46049</v>
      </c>
      <c r="B1111" s="92" t="str">
        <v>Hubler</v>
      </c>
      <c r="C1111" s="92" t="str">
        <v>Sherrie</v>
      </c>
      <c r="D1111" s="92" t="str">
        <v>Phoenix</v>
      </c>
      <c r="E1111" s="92">
        <v>85053</v>
      </c>
      <c r="F1111" s="137" t="str">
        <v xml:space="preserve">Notes company revenue, executive order to re-open Cholla, donations to Katie Hobbs and Kari Lake. </v>
      </c>
      <c r="G1111" s="93" t="str">
        <v>https://docket.images.azcc.gov/E000048921.pdf</v>
      </c>
      <c r="H1111" s="150" t="s">
        <v>4053</v>
      </c>
      <c r="I1111" s="114" t="str">
        <v>R3-47</v>
      </c>
      <c r="J1111" s="94" t="str">
        <v>No</v>
      </c>
      <c r="K1111" s="94" t="str">
        <v>No</v>
      </c>
      <c r="L1111" s="137" t="str">
        <v>Yes</v>
      </c>
      <c r="M1111" s="94" t="str">
        <v>No</v>
      </c>
      <c r="N1111" s="134" t="str">
        <v>No</v>
      </c>
      <c r="O1111" s="119" t="str">
        <v>Yes</v>
      </c>
      <c r="P1111" s="92" t="str">
        <v>N</v>
      </c>
      <c r="Q1111" s="91">
        <v>46057</v>
      </c>
      <c r="R1111" s="140">
        <v>0</v>
      </c>
      <c r="S1111" s="92">
        <v>0</v>
      </c>
      <c r="T1111" s="92">
        <v>0</v>
      </c>
      <c r="U1111" s="137">
        <v>0</v>
      </c>
      <c r="V1111" s="126" t="str">
        <f t="shared" si="34"/>
        <v>✅ On Best Plan</v>
      </c>
      <c r="W1111" s="130">
        <f>IFERROR(_xlfn.XLOOKUP(TEXT(H1111,"0000000000"),'📞 Call Tracker'!A$2:A$2000,'📞 Call Tracker'!B$2:B$2000,""),"")</f>
        <v>0</v>
      </c>
      <c r="X1111" s="96">
        <f>IFERROR(_xlfn.XLOOKUP(TEXT(H1111,"0000000000"),'📞 Call Tracker'!A$2:A$2000,'📞 Call Tracker'!C$2:C$2000,""),"")</f>
        <v>0</v>
      </c>
      <c r="Y1111" s="95">
        <f>IFERROR(_xlfn.XLOOKUP(TEXT(H1111,"0000000000"),'📞 Call Tracker'!A$2:A$2000,'📞 Call Tracker'!D$2:D$2000,""),"")</f>
        <v>0</v>
      </c>
      <c r="Z1111" s="95">
        <f>IFERROR(_xlfn.XLOOKUP(TEXT(H1111,"0000000000"),'📞 Call Tracker'!A$2:A$2000,'📞 Call Tracker'!E$2:E$2000,""),"")</f>
        <v>0</v>
      </c>
      <c r="AA1111" s="145">
        <f>IFERROR(_xlfn.XLOOKUP(TEXT(H1111,"0000000000"),'📞 Call Tracker'!A$2:A$2000,'📞 Call Tracker'!F$2:F$2000,""),"")</f>
        <v>0</v>
      </c>
      <c r="AB1111" s="132">
        <f t="shared" si="35"/>
        <v>99</v>
      </c>
      <c r="AC1111" s="79"/>
    </row>
    <row r="1112" spans="1:29" ht="20.100000000000001" customHeight="1">
      <c r="A1112" s="91">
        <v>46049</v>
      </c>
      <c r="B1112" s="92" t="str">
        <v>Wahlert</v>
      </c>
      <c r="C1112" s="92" t="str">
        <v>Joyce</v>
      </c>
      <c r="D1112" s="92" t="str">
        <v>Sun City West</v>
      </c>
      <c r="E1112" s="92">
        <v>85375</v>
      </c>
      <c r="F1112" s="137" t="str">
        <v xml:space="preserve">Our living expenses have skyrocketed and it I have to stay cool in summer and warm in the winter. Please don't raise the fees again. </v>
      </c>
      <c r="G1112" s="93" t="str">
        <v>https://docket.images.azcc.gov/E000048921.pdf</v>
      </c>
      <c r="H1112" s="150" t="s">
        <v>4057</v>
      </c>
      <c r="I1112" s="114" t="str">
        <v>R-BASICL</v>
      </c>
      <c r="J1112" s="94" t="str">
        <v>No</v>
      </c>
      <c r="K1112" s="94" t="str">
        <v>No</v>
      </c>
      <c r="L1112" s="137" t="str">
        <v>No MEP R3-47 ($173.12)</v>
      </c>
      <c r="M1112" s="94" t="str">
        <v>No</v>
      </c>
      <c r="N1112" s="134" t="str">
        <v>No</v>
      </c>
      <c r="O1112" s="119" t="str">
        <v>Yes</v>
      </c>
      <c r="P1112" s="92">
        <v>0</v>
      </c>
      <c r="Q1112" s="91">
        <v>46057</v>
      </c>
      <c r="R1112" s="140" t="str">
        <v>Please contact customer regarding plan options</v>
      </c>
      <c r="S1112" s="92">
        <v>0</v>
      </c>
      <c r="T1112" s="92">
        <v>0</v>
      </c>
      <c r="U1112" s="137">
        <v>0</v>
      </c>
      <c r="V1112" s="126" t="str">
        <f t="shared" si="34"/>
        <v>❌ Not on Best Plan</v>
      </c>
      <c r="W1112" s="130">
        <f>IFERROR(_xlfn.XLOOKUP(TEXT(H1112,"0000000000"),'📞 Call Tracker'!A$2:A$2000,'📞 Call Tracker'!B$2:B$2000,""),"")</f>
        <v>0</v>
      </c>
      <c r="X1112" s="96">
        <f>IFERROR(_xlfn.XLOOKUP(TEXT(H1112,"0000000000"),'📞 Call Tracker'!A$2:A$2000,'📞 Call Tracker'!C$2:C$2000,""),"")</f>
        <v>0</v>
      </c>
      <c r="Y1112" s="95">
        <f>IFERROR(_xlfn.XLOOKUP(TEXT(H1112,"0000000000"),'📞 Call Tracker'!A$2:A$2000,'📞 Call Tracker'!D$2:D$2000,""),"")</f>
        <v>0</v>
      </c>
      <c r="Z1112" s="95">
        <f>IFERROR(_xlfn.XLOOKUP(TEXT(H1112,"0000000000"),'📞 Call Tracker'!A$2:A$2000,'📞 Call Tracker'!E$2:E$2000,""),"")</f>
        <v>0</v>
      </c>
      <c r="AA1112" s="145">
        <f>IFERROR(_xlfn.XLOOKUP(TEXT(H1112,"0000000000"),'📞 Call Tracker'!A$2:A$2000,'📞 Call Tracker'!F$2:F$2000,""),"")</f>
        <v>0</v>
      </c>
      <c r="AB1112" s="132">
        <f t="shared" si="35"/>
        <v>99</v>
      </c>
      <c r="AC1112" s="79"/>
    </row>
    <row r="1113" spans="1:29" ht="20.100000000000001" customHeight="1">
      <c r="A1113" s="91">
        <v>46049</v>
      </c>
      <c r="B1113" s="92" t="str">
        <v>Amaro</v>
      </c>
      <c r="C1113" s="92" t="str">
        <v>Susan</v>
      </c>
      <c r="D1113" s="92" t="str">
        <v>Peoria</v>
      </c>
      <c r="E1113" s="92">
        <v>85345</v>
      </c>
      <c r="F1113" s="137" t="str">
        <v>I have only one limited income to keep my home warm in the winter and especiall cooler in the hot hot summer months</v>
      </c>
      <c r="G1113" s="93" t="str">
        <v>https://docket.images.azcc.gov/E000048921.pdf</v>
      </c>
      <c r="H1113" s="150" t="s">
        <v>4061</v>
      </c>
      <c r="I1113" s="114" t="str">
        <v>R-XS</v>
      </c>
      <c r="J1113" s="94" t="str">
        <v>Yes</v>
      </c>
      <c r="K1113" s="94" t="str">
        <v>No</v>
      </c>
      <c r="L1113" s="137" t="str">
        <v>Yes</v>
      </c>
      <c r="M1113" s="94" t="str">
        <v>No</v>
      </c>
      <c r="N1113" s="134" t="str">
        <v>No</v>
      </c>
      <c r="O1113" s="119" t="str">
        <v>Yes</v>
      </c>
      <c r="P1113" s="92" t="str">
        <v>N</v>
      </c>
      <c r="Q1113" s="91">
        <v>46057</v>
      </c>
      <c r="R1113" s="140">
        <v>0</v>
      </c>
      <c r="S1113" s="92">
        <v>0</v>
      </c>
      <c r="T1113" s="92">
        <v>0</v>
      </c>
      <c r="U1113" s="137">
        <v>0</v>
      </c>
      <c r="V1113" s="126" t="str">
        <f t="shared" si="34"/>
        <v>✅ On Best Plan</v>
      </c>
      <c r="W1113" s="130">
        <f>IFERROR(_xlfn.XLOOKUP(TEXT(H1113,"0000000000"),'📞 Call Tracker'!A$2:A$2000,'📞 Call Tracker'!B$2:B$2000,""),"")</f>
        <v>0</v>
      </c>
      <c r="X1113" s="96">
        <f>IFERROR(_xlfn.XLOOKUP(TEXT(H1113,"0000000000"),'📞 Call Tracker'!A$2:A$2000,'📞 Call Tracker'!C$2:C$2000,""),"")</f>
        <v>0</v>
      </c>
      <c r="Y1113" s="95">
        <f>IFERROR(_xlfn.XLOOKUP(TEXT(H1113,"0000000000"),'📞 Call Tracker'!A$2:A$2000,'📞 Call Tracker'!D$2:D$2000,""),"")</f>
        <v>0</v>
      </c>
      <c r="Z1113" s="95">
        <f>IFERROR(_xlfn.XLOOKUP(TEXT(H1113,"0000000000"),'📞 Call Tracker'!A$2:A$2000,'📞 Call Tracker'!E$2:E$2000,""),"")</f>
        <v>0</v>
      </c>
      <c r="AA1113" s="145">
        <f>IFERROR(_xlfn.XLOOKUP(TEXT(H1113,"0000000000"),'📞 Call Tracker'!A$2:A$2000,'📞 Call Tracker'!F$2:F$2000,""),"")</f>
        <v>0</v>
      </c>
      <c r="AB1113" s="132">
        <f t="shared" si="35"/>
        <v>99</v>
      </c>
      <c r="AC1113" s="79"/>
    </row>
    <row r="1114" spans="1:29" ht="20.100000000000001" customHeight="1">
      <c r="A1114" s="91">
        <v>46049</v>
      </c>
      <c r="B1114" s="92" t="str">
        <v>McAnney</v>
      </c>
      <c r="C1114" s="92" t="str">
        <v>Joseph</v>
      </c>
      <c r="D1114" s="92" t="str">
        <v>Congress</v>
      </c>
      <c r="E1114" s="92">
        <v>85332</v>
      </c>
      <c r="F1114" s="137" t="str">
        <v>APS already charges exorbitant fees for poor quality services. We as consumers cannot afford higher prices</v>
      </c>
      <c r="G1114" s="93" t="str">
        <v>https://docket.images.azcc.gov/E000048921.pdf</v>
      </c>
      <c r="H1114" s="150" t="s">
        <v>6132</v>
      </c>
      <c r="I1114" s="114" t="str">
        <v>RCPw/RTOUE47</v>
      </c>
      <c r="J1114" s="94" t="str">
        <v>No</v>
      </c>
      <c r="K1114" s="94" t="str">
        <v>No</v>
      </c>
      <c r="L1114" s="137" t="str">
        <v>Yes</v>
      </c>
      <c r="M1114" s="94" t="str">
        <v>Yes</v>
      </c>
      <c r="N1114" s="134">
        <v>472.66</v>
      </c>
      <c r="O1114" s="119" t="str">
        <v>Yes</v>
      </c>
      <c r="P1114" s="92">
        <v>0</v>
      </c>
      <c r="Q1114" s="91">
        <v>46057</v>
      </c>
      <c r="R1114" s="140" t="str">
        <v>May need information for additional assistance programs?</v>
      </c>
      <c r="S1114" s="92">
        <v>0</v>
      </c>
      <c r="T1114" s="92">
        <v>0</v>
      </c>
      <c r="U1114" s="137">
        <v>0</v>
      </c>
      <c r="V1114" s="126" t="str">
        <f t="shared" si="34"/>
        <v>✅ On Best Plan</v>
      </c>
      <c r="W1114" s="130">
        <f>IFERROR(_xlfn.XLOOKUP(TEXT(H1114,"0000000000"),'📞 Call Tracker'!A$2:A$2000,'📞 Call Tracker'!B$2:B$2000,""),"")</f>
        <v>0</v>
      </c>
      <c r="X1114" s="96">
        <f>IFERROR(_xlfn.XLOOKUP(TEXT(H1114,"0000000000"),'📞 Call Tracker'!A$2:A$2000,'📞 Call Tracker'!C$2:C$2000,""),"")</f>
        <v>0</v>
      </c>
      <c r="Y1114" s="95">
        <f>IFERROR(_xlfn.XLOOKUP(TEXT(H1114,"0000000000"),'📞 Call Tracker'!A$2:A$2000,'📞 Call Tracker'!D$2:D$2000,""),"")</f>
        <v>0</v>
      </c>
      <c r="Z1114" s="95">
        <f>IFERROR(_xlfn.XLOOKUP(TEXT(H1114,"0000000000"),'📞 Call Tracker'!A$2:A$2000,'📞 Call Tracker'!E$2:E$2000,""),"")</f>
        <v>0</v>
      </c>
      <c r="AA1114" s="145">
        <f>IFERROR(_xlfn.XLOOKUP(TEXT(H1114,"0000000000"),'📞 Call Tracker'!A$2:A$2000,'📞 Call Tracker'!F$2:F$2000,""),"")</f>
        <v>0</v>
      </c>
      <c r="AB1114" s="132">
        <f t="shared" si="35"/>
        <v>99</v>
      </c>
      <c r="AC1114" s="79"/>
    </row>
    <row r="1115" spans="1:29" ht="20.100000000000001" customHeight="1">
      <c r="A1115" s="91">
        <v>46049</v>
      </c>
      <c r="B1115" s="92" t="str">
        <v>Dunne</v>
      </c>
      <c r="C1115" s="92" t="str">
        <v>James</v>
      </c>
      <c r="D1115" s="92" t="str">
        <v>Sun City</v>
      </c>
      <c r="E1115" s="92">
        <v>85373</v>
      </c>
      <c r="F1115" s="137" t="str">
        <v>Utility costs are already high, unaffordable energy costs will hurt our economy.</v>
      </c>
      <c r="G1115" s="93" t="str">
        <v>https://docket.images.azcc.gov/E000048921.pdf</v>
      </c>
      <c r="H1115" s="150" t="s">
        <v>4071</v>
      </c>
      <c r="I1115" s="114" t="str">
        <v>R-BASIC</v>
      </c>
      <c r="J1115" s="94" t="str">
        <v>Yes</v>
      </c>
      <c r="K1115" s="94" t="str">
        <v>No</v>
      </c>
      <c r="L1115" s="137" t="str">
        <v>???</v>
      </c>
      <c r="M1115" s="94" t="str">
        <v>No</v>
      </c>
      <c r="N1115" s="134" t="str">
        <v>No</v>
      </c>
      <c r="O1115" s="119" t="str">
        <v>Yes</v>
      </c>
      <c r="P1115" s="92">
        <v>0</v>
      </c>
      <c r="Q1115" s="91">
        <v>46057</v>
      </c>
      <c r="R1115" s="140">
        <v>0</v>
      </c>
      <c r="S1115" s="92">
        <v>0</v>
      </c>
      <c r="T1115" s="92">
        <v>0</v>
      </c>
      <c r="U1115" s="137">
        <v>0</v>
      </c>
      <c r="V1115" s="126" t="str">
        <f t="shared" si="34"/>
        <v>❌ Not on Best Plan</v>
      </c>
      <c r="W1115" s="130">
        <f>IFERROR(_xlfn.XLOOKUP(TEXT(H1115,"0000000000"),'📞 Call Tracker'!A$2:A$2000,'📞 Call Tracker'!B$2:B$2000,""),"")</f>
        <v>0</v>
      </c>
      <c r="X1115" s="96">
        <f>IFERROR(_xlfn.XLOOKUP(TEXT(H1115,"0000000000"),'📞 Call Tracker'!A$2:A$2000,'📞 Call Tracker'!C$2:C$2000,""),"")</f>
        <v>0</v>
      </c>
      <c r="Y1115" s="95">
        <f>IFERROR(_xlfn.XLOOKUP(TEXT(H1115,"0000000000"),'📞 Call Tracker'!A$2:A$2000,'📞 Call Tracker'!D$2:D$2000,""),"")</f>
        <v>0</v>
      </c>
      <c r="Z1115" s="95">
        <f>IFERROR(_xlfn.XLOOKUP(TEXT(H1115,"0000000000"),'📞 Call Tracker'!A$2:A$2000,'📞 Call Tracker'!E$2:E$2000,""),"")</f>
        <v>0</v>
      </c>
      <c r="AA1115" s="145">
        <f>IFERROR(_xlfn.XLOOKUP(TEXT(H1115,"0000000000"),'📞 Call Tracker'!A$2:A$2000,'📞 Call Tracker'!F$2:F$2000,""),"")</f>
        <v>0</v>
      </c>
      <c r="AB1115" s="132">
        <f t="shared" si="35"/>
        <v>99</v>
      </c>
      <c r="AC1115" s="79"/>
    </row>
    <row r="1116" spans="1:29" ht="20.100000000000001" customHeight="1">
      <c r="A1116" s="91">
        <v>46049</v>
      </c>
      <c r="B1116" s="92" t="str">
        <v>Harris</v>
      </c>
      <c r="C1116" s="92" t="str">
        <v>Wyndy</v>
      </c>
      <c r="D1116" s="92" t="str">
        <v>Camp Verde</v>
      </c>
      <c r="E1116" s="92">
        <v>86322</v>
      </c>
      <c r="F1116" s="137" t="str">
        <v>Enough is enough. People are at the limit, trying to make ends meet.</v>
      </c>
      <c r="G1116" s="93" t="str">
        <v>https://docket.images.azcc.gov/E000048921.pdf</v>
      </c>
      <c r="H1116" s="150" t="s">
        <v>4074</v>
      </c>
      <c r="I1116" s="114" t="str">
        <v>RCPw/RTOUE47</v>
      </c>
      <c r="J1116" s="94" t="str">
        <v>Yes</v>
      </c>
      <c r="K1116" s="94" t="str">
        <v>No</v>
      </c>
      <c r="L1116" s="137" t="str">
        <v>Yes</v>
      </c>
      <c r="M1116" s="94" t="str">
        <v>No</v>
      </c>
      <c r="N1116" s="134" t="str">
        <v>No</v>
      </c>
      <c r="O1116" s="119" t="str">
        <v>Yes</v>
      </c>
      <c r="P1116" s="92" t="str">
        <v>N</v>
      </c>
      <c r="Q1116" s="91">
        <v>46057</v>
      </c>
      <c r="R1116" s="140">
        <v>0</v>
      </c>
      <c r="S1116" s="92">
        <v>0</v>
      </c>
      <c r="T1116" s="92">
        <v>0</v>
      </c>
      <c r="U1116" s="137">
        <v>0</v>
      </c>
      <c r="V1116" s="126" t="str">
        <f t="shared" si="34"/>
        <v>✅ On Best Plan</v>
      </c>
      <c r="W1116" s="130">
        <f>IFERROR(_xlfn.XLOOKUP(TEXT(H1116,"0000000000"),'📞 Call Tracker'!A$2:A$2000,'📞 Call Tracker'!B$2:B$2000,""),"")</f>
        <v>0</v>
      </c>
      <c r="X1116" s="96">
        <f>IFERROR(_xlfn.XLOOKUP(TEXT(H1116,"0000000000"),'📞 Call Tracker'!A$2:A$2000,'📞 Call Tracker'!C$2:C$2000,""),"")</f>
        <v>0</v>
      </c>
      <c r="Y1116" s="95">
        <f>IFERROR(_xlfn.XLOOKUP(TEXT(H1116,"0000000000"),'📞 Call Tracker'!A$2:A$2000,'📞 Call Tracker'!D$2:D$2000,""),"")</f>
        <v>0</v>
      </c>
      <c r="Z1116" s="95">
        <f>IFERROR(_xlfn.XLOOKUP(TEXT(H1116,"0000000000"),'📞 Call Tracker'!A$2:A$2000,'📞 Call Tracker'!E$2:E$2000,""),"")</f>
        <v>0</v>
      </c>
      <c r="AA1116" s="145">
        <f>IFERROR(_xlfn.XLOOKUP(TEXT(H1116,"0000000000"),'📞 Call Tracker'!A$2:A$2000,'📞 Call Tracker'!F$2:F$2000,""),"")</f>
        <v>0</v>
      </c>
      <c r="AB1116" s="132">
        <f t="shared" si="35"/>
        <v>99</v>
      </c>
      <c r="AC1116" s="79"/>
    </row>
    <row r="1117" spans="1:29" ht="20.100000000000001" customHeight="1">
      <c r="A1117" s="91">
        <v>46049</v>
      </c>
      <c r="B1117" s="92" t="str">
        <v>Corlew</v>
      </c>
      <c r="C1117" s="92" t="str">
        <v>Rebecca</v>
      </c>
      <c r="D1117" s="92" t="str">
        <v>Phoenix</v>
      </c>
      <c r="E1117" s="92">
        <v>85020</v>
      </c>
      <c r="F1117" s="137" t="str">
        <v>We can no longer afford it I will need to sell and move if this continues Can you please give seniors a discount??</v>
      </c>
      <c r="G1117" s="93" t="str">
        <v>https://docket.images.azcc.gov/E000048921.pdf</v>
      </c>
      <c r="H1117" s="150" t="s">
        <v>4081</v>
      </c>
      <c r="I1117" s="114" t="str">
        <v>R3-47</v>
      </c>
      <c r="J1117" s="94" t="str">
        <v>No</v>
      </c>
      <c r="K1117" s="94" t="str">
        <v>No</v>
      </c>
      <c r="L1117" s="137" t="str">
        <v>Yes</v>
      </c>
      <c r="M1117" s="94" t="str">
        <v>Yes</v>
      </c>
      <c r="N1117" s="134">
        <v>178.5</v>
      </c>
      <c r="O1117" s="119" t="str">
        <v>Yes</v>
      </c>
      <c r="P1117" s="92">
        <v>0</v>
      </c>
      <c r="Q1117" s="91">
        <v>46057</v>
      </c>
      <c r="R1117" s="140" t="str">
        <v>May need information for additional assistance programs?</v>
      </c>
      <c r="S1117" s="92">
        <v>0</v>
      </c>
      <c r="T1117" s="92">
        <v>0</v>
      </c>
      <c r="U1117" s="137">
        <v>0</v>
      </c>
      <c r="V1117" s="126" t="str">
        <f t="shared" si="34"/>
        <v>✅ On Best Plan</v>
      </c>
      <c r="W1117" s="130">
        <f>IFERROR(_xlfn.XLOOKUP(TEXT(H1117,"0000000000"),'📞 Call Tracker'!A$2:A$2000,'📞 Call Tracker'!B$2:B$2000,""),"")</f>
        <v>0</v>
      </c>
      <c r="X1117" s="96">
        <f>IFERROR(_xlfn.XLOOKUP(TEXT(H1117,"0000000000"),'📞 Call Tracker'!A$2:A$2000,'📞 Call Tracker'!C$2:C$2000,""),"")</f>
        <v>0</v>
      </c>
      <c r="Y1117" s="95">
        <f>IFERROR(_xlfn.XLOOKUP(TEXT(H1117,"0000000000"),'📞 Call Tracker'!A$2:A$2000,'📞 Call Tracker'!D$2:D$2000,""),"")</f>
        <v>0</v>
      </c>
      <c r="Z1117" s="95">
        <f>IFERROR(_xlfn.XLOOKUP(TEXT(H1117,"0000000000"),'📞 Call Tracker'!A$2:A$2000,'📞 Call Tracker'!E$2:E$2000,""),"")</f>
        <v>0</v>
      </c>
      <c r="AA1117" s="145">
        <f>IFERROR(_xlfn.XLOOKUP(TEXT(H1117,"0000000000"),'📞 Call Tracker'!A$2:A$2000,'📞 Call Tracker'!F$2:F$2000,""),"")</f>
        <v>0</v>
      </c>
      <c r="AB1117" s="132">
        <f t="shared" si="35"/>
        <v>99</v>
      </c>
      <c r="AC1117" s="79"/>
    </row>
    <row r="1118" spans="1:29" ht="20.100000000000001" customHeight="1">
      <c r="A1118" s="91">
        <v>46049</v>
      </c>
      <c r="B1118" s="92" t="str">
        <v>Sadolfo</v>
      </c>
      <c r="C1118" s="92" t="str">
        <v>Anthony</v>
      </c>
      <c r="D1118" s="92" t="str">
        <v>Phoenix</v>
      </c>
      <c r="E1118" s="92">
        <v>85032</v>
      </c>
      <c r="F1118" s="137" t="str">
        <v>As a military veteran and current government employee, we only received a 1% raise for 2026</v>
      </c>
      <c r="G1118" s="93" t="str">
        <v>https://docket.images.azcc.gov/E000048921.pdf</v>
      </c>
      <c r="H1118" s="150" t="s">
        <v>4084</v>
      </c>
      <c r="I1118" s="114" t="str">
        <v>EPR6w/ET-2</v>
      </c>
      <c r="J1118" s="94" t="str">
        <v>No</v>
      </c>
      <c r="K1118" s="94" t="str">
        <v>No</v>
      </c>
      <c r="L1118" s="137" t="str">
        <v>Frozen Plan</v>
      </c>
      <c r="M1118" s="94" t="str">
        <v>No</v>
      </c>
      <c r="N1118" s="134" t="str">
        <v>No</v>
      </c>
      <c r="O1118" s="119" t="str">
        <v>Yes</v>
      </c>
      <c r="P1118" s="92" t="str">
        <v>N</v>
      </c>
      <c r="Q1118" s="91">
        <v>46057</v>
      </c>
      <c r="R1118" s="140">
        <v>0</v>
      </c>
      <c r="S1118" s="92">
        <v>0</v>
      </c>
      <c r="T1118" s="92">
        <v>0</v>
      </c>
      <c r="U1118" s="137">
        <v>0</v>
      </c>
      <c r="V1118" s="126" t="str">
        <f t="shared" si="34"/>
        <v>❄ Frozen Rate</v>
      </c>
      <c r="W1118" s="130">
        <f>IFERROR(_xlfn.XLOOKUP(TEXT(H1118,"0000000000"),'📞 Call Tracker'!A$2:A$2000,'📞 Call Tracker'!B$2:B$2000,""),"")</f>
        <v>0</v>
      </c>
      <c r="X1118" s="96">
        <f>IFERROR(_xlfn.XLOOKUP(TEXT(H1118,"0000000000"),'📞 Call Tracker'!A$2:A$2000,'📞 Call Tracker'!C$2:C$2000,""),"")</f>
        <v>0</v>
      </c>
      <c r="Y1118" s="95">
        <f>IFERROR(_xlfn.XLOOKUP(TEXT(H1118,"0000000000"),'📞 Call Tracker'!A$2:A$2000,'📞 Call Tracker'!D$2:D$2000,""),"")</f>
        <v>0</v>
      </c>
      <c r="Z1118" s="95">
        <f>IFERROR(_xlfn.XLOOKUP(TEXT(H1118,"0000000000"),'📞 Call Tracker'!A$2:A$2000,'📞 Call Tracker'!E$2:E$2000,""),"")</f>
        <v>0</v>
      </c>
      <c r="AA1118" s="145">
        <f>IFERROR(_xlfn.XLOOKUP(TEXT(H1118,"0000000000"),'📞 Call Tracker'!A$2:A$2000,'📞 Call Tracker'!F$2:F$2000,""),"")</f>
        <v>0</v>
      </c>
      <c r="AB1118" s="132">
        <f t="shared" si="35"/>
        <v>99</v>
      </c>
      <c r="AC1118" s="79"/>
    </row>
    <row r="1119" spans="1:29" ht="20.100000000000001" customHeight="1">
      <c r="A1119" s="91">
        <v>46049</v>
      </c>
      <c r="B1119" s="92" t="str">
        <v>Smith</v>
      </c>
      <c r="C1119" s="92" t="str">
        <v>Harlene</v>
      </c>
      <c r="D1119" s="92" t="str">
        <v>Sun City</v>
      </c>
      <c r="E1119" s="92">
        <v>85351</v>
      </c>
      <c r="F1119" s="137" t="str">
        <v xml:space="preserve">decide if I want heat or cool or or food and medicines. Using increases are going way over my head. Please help to keep them not going up. </v>
      </c>
      <c r="G1119" s="93" t="str">
        <v>https://docket.images.azcc.gov/E000048921.pdf</v>
      </c>
      <c r="H1119" s="150" t="s">
        <v>4090</v>
      </c>
      <c r="I1119" s="114" t="str">
        <v>RCPw/RTOUE47</v>
      </c>
      <c r="J1119" s="94" t="str">
        <v>Yes</v>
      </c>
      <c r="K1119" s="94" t="str">
        <v>No</v>
      </c>
      <c r="L1119" s="137" t="str">
        <v>No MEP R3-47 ($66.61)</v>
      </c>
      <c r="M1119" s="94" t="str">
        <v>No</v>
      </c>
      <c r="N1119" s="134" t="str">
        <v>No</v>
      </c>
      <c r="O1119" s="119" t="str">
        <v>Yes</v>
      </c>
      <c r="P1119" s="92" t="str">
        <v>N</v>
      </c>
      <c r="Q1119" s="91">
        <v>46057</v>
      </c>
      <c r="R1119" s="140">
        <v>0</v>
      </c>
      <c r="S1119" s="92">
        <v>0</v>
      </c>
      <c r="T1119" s="92">
        <v>0</v>
      </c>
      <c r="U1119" s="137">
        <v>0</v>
      </c>
      <c r="V1119" s="126" t="str">
        <f t="shared" si="34"/>
        <v>❌ Not on Best Plan</v>
      </c>
      <c r="W1119" s="130">
        <f>IFERROR(_xlfn.XLOOKUP(TEXT(H1119,"0000000000"),'📞 Call Tracker'!A$2:A$2000,'📞 Call Tracker'!B$2:B$2000,""),"")</f>
        <v>0</v>
      </c>
      <c r="X1119" s="96">
        <f>IFERROR(_xlfn.XLOOKUP(TEXT(H1119,"0000000000"),'📞 Call Tracker'!A$2:A$2000,'📞 Call Tracker'!C$2:C$2000,""),"")</f>
        <v>0</v>
      </c>
      <c r="Y1119" s="95">
        <f>IFERROR(_xlfn.XLOOKUP(TEXT(H1119,"0000000000"),'📞 Call Tracker'!A$2:A$2000,'📞 Call Tracker'!D$2:D$2000,""),"")</f>
        <v>0</v>
      </c>
      <c r="Z1119" s="95">
        <f>IFERROR(_xlfn.XLOOKUP(TEXT(H1119,"0000000000"),'📞 Call Tracker'!A$2:A$2000,'📞 Call Tracker'!E$2:E$2000,""),"")</f>
        <v>0</v>
      </c>
      <c r="AA1119" s="145">
        <f>IFERROR(_xlfn.XLOOKUP(TEXT(H1119,"0000000000"),'📞 Call Tracker'!A$2:A$2000,'📞 Call Tracker'!F$2:F$2000,""),"")</f>
        <v>0</v>
      </c>
      <c r="AB1119" s="132">
        <f t="shared" si="35"/>
        <v>99</v>
      </c>
      <c r="AC1119" s="79"/>
    </row>
    <row r="1120" spans="1:29" ht="20.100000000000001" customHeight="1">
      <c r="A1120" s="91">
        <v>46049</v>
      </c>
      <c r="B1120" s="92" t="str">
        <v>Busby</v>
      </c>
      <c r="C1120" s="92" t="str">
        <v>Eric</v>
      </c>
      <c r="D1120" s="92" t="str">
        <v>Phoenix</v>
      </c>
      <c r="E1120" s="92">
        <v>85009</v>
      </c>
      <c r="F1120" s="137" t="str">
        <v>Public utilities along with a mortgage and food are necessities. Controlling the cost of these things is a must.</v>
      </c>
      <c r="G1120" s="93" t="str">
        <v>https://docket.images.azcc.gov/E000048921.pdf</v>
      </c>
      <c r="H1120" s="150" t="s">
        <v>4093</v>
      </c>
      <c r="I1120" s="114" t="str">
        <v>R3-47</v>
      </c>
      <c r="J1120" s="94" t="str">
        <v>No</v>
      </c>
      <c r="K1120" s="94" t="str">
        <v>No</v>
      </c>
      <c r="L1120" s="137" t="str">
        <v>Yes</v>
      </c>
      <c r="M1120" s="94" t="str">
        <v>No</v>
      </c>
      <c r="N1120" s="134" t="str">
        <v>No</v>
      </c>
      <c r="O1120" s="119" t="str">
        <v>Yes</v>
      </c>
      <c r="P1120" s="92" t="str">
        <v>N</v>
      </c>
      <c r="Q1120" s="91">
        <v>46057</v>
      </c>
      <c r="R1120" s="140">
        <v>0</v>
      </c>
      <c r="S1120" s="92">
        <v>0</v>
      </c>
      <c r="T1120" s="92">
        <v>0</v>
      </c>
      <c r="U1120" s="137">
        <v>0</v>
      </c>
      <c r="V1120" s="126" t="str">
        <f t="shared" si="34"/>
        <v>✅ On Best Plan</v>
      </c>
      <c r="W1120" s="130">
        <f>IFERROR(_xlfn.XLOOKUP(TEXT(H1120,"0000000000"),'📞 Call Tracker'!A$2:A$2000,'📞 Call Tracker'!B$2:B$2000,""),"")</f>
        <v>0</v>
      </c>
      <c r="X1120" s="96">
        <f>IFERROR(_xlfn.XLOOKUP(TEXT(H1120,"0000000000"),'📞 Call Tracker'!A$2:A$2000,'📞 Call Tracker'!C$2:C$2000,""),"")</f>
        <v>0</v>
      </c>
      <c r="Y1120" s="95">
        <f>IFERROR(_xlfn.XLOOKUP(TEXT(H1120,"0000000000"),'📞 Call Tracker'!A$2:A$2000,'📞 Call Tracker'!D$2:D$2000,""),"")</f>
        <v>0</v>
      </c>
      <c r="Z1120" s="95">
        <f>IFERROR(_xlfn.XLOOKUP(TEXT(H1120,"0000000000"),'📞 Call Tracker'!A$2:A$2000,'📞 Call Tracker'!E$2:E$2000,""),"")</f>
        <v>0</v>
      </c>
      <c r="AA1120" s="145">
        <f>IFERROR(_xlfn.XLOOKUP(TEXT(H1120,"0000000000"),'📞 Call Tracker'!A$2:A$2000,'📞 Call Tracker'!F$2:F$2000,""),"")</f>
        <v>0</v>
      </c>
      <c r="AB1120" s="132">
        <f t="shared" si="35"/>
        <v>99</v>
      </c>
      <c r="AC1120" s="79"/>
    </row>
    <row r="1121" spans="1:29" ht="20.100000000000001" customHeight="1">
      <c r="A1121" s="91">
        <v>46049</v>
      </c>
      <c r="B1121" s="92" t="str">
        <v>Young</v>
      </c>
      <c r="C1121" s="92" t="str">
        <v>Steven</v>
      </c>
      <c r="D1121" s="92" t="str">
        <v>Surprise</v>
      </c>
      <c r="E1121" s="92">
        <v>85374</v>
      </c>
      <c r="F1121" s="137" t="str">
        <v>The 14% rate hike your company is asking for is uncalled for. You raised your rate last year.</v>
      </c>
      <c r="G1121" s="93" t="str">
        <v>https://docket.images.azcc.gov/E000048921.pdf</v>
      </c>
      <c r="H1121" s="150" t="s">
        <v>4097</v>
      </c>
      <c r="I1121" s="114" t="str">
        <v>R-XS</v>
      </c>
      <c r="J1121" s="94" t="str">
        <v>Yes</v>
      </c>
      <c r="K1121" s="94" t="str">
        <v>No</v>
      </c>
      <c r="L1121" s="137" t="str">
        <v>Yes</v>
      </c>
      <c r="M1121" s="94" t="str">
        <v>No</v>
      </c>
      <c r="N1121" s="134" t="str">
        <v>No</v>
      </c>
      <c r="O1121" s="119" t="str">
        <v>Yes</v>
      </c>
      <c r="P1121" s="92" t="str">
        <v>N</v>
      </c>
      <c r="Q1121" s="91">
        <v>46057</v>
      </c>
      <c r="R1121" s="140">
        <v>0</v>
      </c>
      <c r="S1121" s="92">
        <v>0</v>
      </c>
      <c r="T1121" s="92">
        <v>0</v>
      </c>
      <c r="U1121" s="137">
        <v>0</v>
      </c>
      <c r="V1121" s="126" t="str">
        <f t="shared" si="34"/>
        <v>✅ On Best Plan</v>
      </c>
      <c r="W1121" s="130">
        <f>IFERROR(_xlfn.XLOOKUP(TEXT(H1121,"0000000000"),'📞 Call Tracker'!A$2:A$2000,'📞 Call Tracker'!B$2:B$2000,""),"")</f>
        <v>0</v>
      </c>
      <c r="X1121" s="96">
        <f>IFERROR(_xlfn.XLOOKUP(TEXT(H1121,"0000000000"),'📞 Call Tracker'!A$2:A$2000,'📞 Call Tracker'!C$2:C$2000,""),"")</f>
        <v>0</v>
      </c>
      <c r="Y1121" s="95">
        <f>IFERROR(_xlfn.XLOOKUP(TEXT(H1121,"0000000000"),'📞 Call Tracker'!A$2:A$2000,'📞 Call Tracker'!D$2:D$2000,""),"")</f>
        <v>0</v>
      </c>
      <c r="Z1121" s="95">
        <f>IFERROR(_xlfn.XLOOKUP(TEXT(H1121,"0000000000"),'📞 Call Tracker'!A$2:A$2000,'📞 Call Tracker'!E$2:E$2000,""),"")</f>
        <v>0</v>
      </c>
      <c r="AA1121" s="145">
        <f>IFERROR(_xlfn.XLOOKUP(TEXT(H1121,"0000000000"),'📞 Call Tracker'!A$2:A$2000,'📞 Call Tracker'!F$2:F$2000,""),"")</f>
        <v>0</v>
      </c>
      <c r="AB1121" s="132">
        <f t="shared" si="35"/>
        <v>99</v>
      </c>
      <c r="AC1121" s="79"/>
    </row>
    <row r="1122" spans="1:29" ht="20.100000000000001" customHeight="1">
      <c r="A1122" s="91">
        <v>46049</v>
      </c>
      <c r="B1122" s="92" t="str">
        <v>Helie</v>
      </c>
      <c r="C1122" s="92" t="str">
        <v>Jay</v>
      </c>
      <c r="D1122" s="92" t="str">
        <v>Seligman</v>
      </c>
      <c r="E1122" s="92">
        <v>86337</v>
      </c>
      <c r="F1122" s="137" t="str">
        <v>Who in there right mind would vote Democrat and higher rates, there isn't any God nor the people in these price gougers</v>
      </c>
      <c r="G1122" s="93" t="str">
        <v>https://docket.images.azcc.gov/E000048921.pdf</v>
      </c>
      <c r="H1122" s="150" t="s">
        <v>4100</v>
      </c>
      <c r="I1122" s="114" t="str">
        <v>R3-47</v>
      </c>
      <c r="J1122" s="94" t="str">
        <v>No</v>
      </c>
      <c r="K1122" s="94" t="str">
        <v>No</v>
      </c>
      <c r="L1122" s="137" t="str">
        <v>Yes</v>
      </c>
      <c r="M1122" s="94" t="str">
        <v>No</v>
      </c>
      <c r="N1122" s="134" t="str">
        <v>No</v>
      </c>
      <c r="O1122" s="119" t="str">
        <v>Yes</v>
      </c>
      <c r="P1122" s="92" t="str">
        <v>N</v>
      </c>
      <c r="Q1122" s="91">
        <v>46057</v>
      </c>
      <c r="R1122" s="140">
        <v>0</v>
      </c>
      <c r="S1122" s="92">
        <v>0</v>
      </c>
      <c r="T1122" s="92">
        <v>0</v>
      </c>
      <c r="U1122" s="137">
        <v>0</v>
      </c>
      <c r="V1122" s="126" t="str">
        <f t="shared" si="34"/>
        <v>✅ On Best Plan</v>
      </c>
      <c r="W1122" s="130">
        <f>IFERROR(_xlfn.XLOOKUP(TEXT(H1122,"0000000000"),'📞 Call Tracker'!A$2:A$2000,'📞 Call Tracker'!B$2:B$2000,""),"")</f>
        <v>0</v>
      </c>
      <c r="X1122" s="96">
        <f>IFERROR(_xlfn.XLOOKUP(TEXT(H1122,"0000000000"),'📞 Call Tracker'!A$2:A$2000,'📞 Call Tracker'!C$2:C$2000,""),"")</f>
        <v>0</v>
      </c>
      <c r="Y1122" s="95">
        <f>IFERROR(_xlfn.XLOOKUP(TEXT(H1122,"0000000000"),'📞 Call Tracker'!A$2:A$2000,'📞 Call Tracker'!D$2:D$2000,""),"")</f>
        <v>0</v>
      </c>
      <c r="Z1122" s="95">
        <f>IFERROR(_xlfn.XLOOKUP(TEXT(H1122,"0000000000"),'📞 Call Tracker'!A$2:A$2000,'📞 Call Tracker'!E$2:E$2000,""),"")</f>
        <v>0</v>
      </c>
      <c r="AA1122" s="145">
        <f>IFERROR(_xlfn.XLOOKUP(TEXT(H1122,"0000000000"),'📞 Call Tracker'!A$2:A$2000,'📞 Call Tracker'!F$2:F$2000,""),"")</f>
        <v>0</v>
      </c>
      <c r="AB1122" s="132">
        <f t="shared" si="35"/>
        <v>99</v>
      </c>
      <c r="AC1122" s="79"/>
    </row>
    <row r="1123" spans="1:29" ht="20.100000000000001" customHeight="1">
      <c r="A1123" s="91">
        <v>46049</v>
      </c>
      <c r="B1123" s="92" t="str">
        <v>Hanlon</v>
      </c>
      <c r="C1123" s="92" t="str">
        <v>Debra</v>
      </c>
      <c r="D1123" s="92" t="str">
        <v>Rimrock</v>
      </c>
      <c r="E1123" s="92">
        <v>86335</v>
      </c>
      <c r="F1123" s="137" t="str">
        <v>I am a 71 year old senior and my Social security is $956.00 a month. I am having trouble keeping my electric bill paid now</v>
      </c>
      <c r="G1123" s="93" t="str">
        <v>https://docket.images.azcc.gov/E000048921.pdf</v>
      </c>
      <c r="H1123" s="150" t="s">
        <v>4106</v>
      </c>
      <c r="I1123" s="114" t="str">
        <v>R-XS</v>
      </c>
      <c r="J1123" s="94" t="str">
        <v>No</v>
      </c>
      <c r="K1123" s="94" t="str">
        <v>No</v>
      </c>
      <c r="L1123" s="137" t="str">
        <v>Yes</v>
      </c>
      <c r="M1123" s="94" t="str">
        <v>No</v>
      </c>
      <c r="N1123" s="134" t="str">
        <v>No</v>
      </c>
      <c r="O1123" s="119" t="str">
        <v>Yes</v>
      </c>
      <c r="P1123" s="92" t="str">
        <v>N</v>
      </c>
      <c r="Q1123" s="91">
        <v>46057</v>
      </c>
      <c r="R1123" s="140">
        <v>0</v>
      </c>
      <c r="S1123" s="92">
        <v>0</v>
      </c>
      <c r="T1123" s="92">
        <v>0</v>
      </c>
      <c r="U1123" s="137">
        <v>0</v>
      </c>
      <c r="V1123" s="126" t="str">
        <f t="shared" si="34"/>
        <v>✅ On Best Plan</v>
      </c>
      <c r="W1123" s="130">
        <f>IFERROR(_xlfn.XLOOKUP(TEXT(H1123,"0000000000"),'📞 Call Tracker'!A$2:A$2000,'📞 Call Tracker'!B$2:B$2000,""),"")</f>
        <v>0</v>
      </c>
      <c r="X1123" s="96">
        <f>IFERROR(_xlfn.XLOOKUP(TEXT(H1123,"0000000000"),'📞 Call Tracker'!A$2:A$2000,'📞 Call Tracker'!C$2:C$2000,""),"")</f>
        <v>0</v>
      </c>
      <c r="Y1123" s="95">
        <f>IFERROR(_xlfn.XLOOKUP(TEXT(H1123,"0000000000"),'📞 Call Tracker'!A$2:A$2000,'📞 Call Tracker'!D$2:D$2000,""),"")</f>
        <v>0</v>
      </c>
      <c r="Z1123" s="95">
        <f>IFERROR(_xlfn.XLOOKUP(TEXT(H1123,"0000000000"),'📞 Call Tracker'!A$2:A$2000,'📞 Call Tracker'!E$2:E$2000,""),"")</f>
        <v>0</v>
      </c>
      <c r="AA1123" s="145">
        <f>IFERROR(_xlfn.XLOOKUP(TEXT(H1123,"0000000000"),'📞 Call Tracker'!A$2:A$2000,'📞 Call Tracker'!F$2:F$2000,""),"")</f>
        <v>0</v>
      </c>
      <c r="AB1123" s="132">
        <f t="shared" si="35"/>
        <v>99</v>
      </c>
      <c r="AC1123" s="79"/>
    </row>
    <row r="1124" spans="1:29" ht="20.100000000000001" customHeight="1">
      <c r="A1124" s="91">
        <v>46049</v>
      </c>
      <c r="B1124" s="92" t="str">
        <v>Koukal</v>
      </c>
      <c r="C1124" s="92" t="str">
        <v>Autumn</v>
      </c>
      <c r="D1124" s="92" t="str">
        <v>Dewey</v>
      </c>
      <c r="E1124" s="92">
        <v>86327</v>
      </c>
      <c r="F1124" s="137" t="str">
        <v>ONE MILLION DOLLARS. ONE MILLION DOLLARS base pay is what Our APS CEO's salary is! That's Outrageous!</v>
      </c>
      <c r="G1124" s="93" t="str">
        <v>https://docket.images.azcc.gov/E000048921.pdf</v>
      </c>
      <c r="H1124" s="150" t="s">
        <v>4110</v>
      </c>
      <c r="I1124" s="114" t="str">
        <v>R3-47</v>
      </c>
      <c r="J1124" s="94" t="str">
        <v>No</v>
      </c>
      <c r="K1124" s="94" t="str">
        <v>No</v>
      </c>
      <c r="L1124" s="137" t="str">
        <v>No MEP R-BASIC ($213.65)</v>
      </c>
      <c r="M1124" s="94" t="str">
        <v>No</v>
      </c>
      <c r="N1124" s="134" t="str">
        <v>No</v>
      </c>
      <c r="O1124" s="119" t="str">
        <v>Yes</v>
      </c>
      <c r="P1124" s="92">
        <v>0</v>
      </c>
      <c r="Q1124" s="91">
        <v>46057</v>
      </c>
      <c r="R1124" s="140" t="str">
        <v>Please contact customer regarding plan options</v>
      </c>
      <c r="S1124" s="92">
        <v>0</v>
      </c>
      <c r="T1124" s="92">
        <v>0</v>
      </c>
      <c r="U1124" s="137">
        <v>0</v>
      </c>
      <c r="V1124" s="126" t="str">
        <f t="shared" si="34"/>
        <v>❌ Not on Best Plan</v>
      </c>
      <c r="W1124" s="130">
        <f>IFERROR(_xlfn.XLOOKUP(TEXT(H1124,"0000000000"),'📞 Call Tracker'!A$2:A$2000,'📞 Call Tracker'!B$2:B$2000,""),"")</f>
        <v>0</v>
      </c>
      <c r="X1124" s="96">
        <f>IFERROR(_xlfn.XLOOKUP(TEXT(H1124,"0000000000"),'📞 Call Tracker'!A$2:A$2000,'📞 Call Tracker'!C$2:C$2000,""),"")</f>
        <v>0</v>
      </c>
      <c r="Y1124" s="95">
        <f>IFERROR(_xlfn.XLOOKUP(TEXT(H1124,"0000000000"),'📞 Call Tracker'!A$2:A$2000,'📞 Call Tracker'!D$2:D$2000,""),"")</f>
        <v>0</v>
      </c>
      <c r="Z1124" s="95">
        <f>IFERROR(_xlfn.XLOOKUP(TEXT(H1124,"0000000000"),'📞 Call Tracker'!A$2:A$2000,'📞 Call Tracker'!E$2:E$2000,""),"")</f>
        <v>0</v>
      </c>
      <c r="AA1124" s="145">
        <f>IFERROR(_xlfn.XLOOKUP(TEXT(H1124,"0000000000"),'📞 Call Tracker'!A$2:A$2000,'📞 Call Tracker'!F$2:F$2000,""),"")</f>
        <v>0</v>
      </c>
      <c r="AB1124" s="132">
        <f t="shared" si="35"/>
        <v>99</v>
      </c>
      <c r="AC1124" s="79"/>
    </row>
    <row r="1125" spans="1:29" ht="20.100000000000001" customHeight="1">
      <c r="A1125" s="91">
        <v>46049</v>
      </c>
      <c r="B1125" s="92" t="str">
        <v>Chester</v>
      </c>
      <c r="C1125" s="92" t="str">
        <v>Lawrence</v>
      </c>
      <c r="D1125" s="92" t="str">
        <v>Goodyear</v>
      </c>
      <c r="E1125" s="92">
        <v>85338</v>
      </c>
      <c r="F1125" s="137" t="str">
        <v>When is enough enough ? The price is already at an all time high. No more increase</v>
      </c>
      <c r="G1125" s="93" t="str">
        <v>https://docket.images.azcc.gov/E000048921.pdf</v>
      </c>
      <c r="H1125" s="150" t="s">
        <v>4114</v>
      </c>
      <c r="I1125" s="114" t="str">
        <v>EPR6w/ECT-2</v>
      </c>
      <c r="J1125" s="94" t="str">
        <v>No</v>
      </c>
      <c r="K1125" s="94" t="str">
        <v>No</v>
      </c>
      <c r="L1125" s="137" t="str">
        <v>Frozen Plan</v>
      </c>
      <c r="M1125" s="94" t="str">
        <v>No</v>
      </c>
      <c r="N1125" s="134" t="str">
        <v>No</v>
      </c>
      <c r="O1125" s="119" t="str">
        <v>Yes</v>
      </c>
      <c r="P1125" s="92" t="str">
        <v>N</v>
      </c>
      <c r="Q1125" s="91">
        <v>46057</v>
      </c>
      <c r="R1125" s="140">
        <v>0</v>
      </c>
      <c r="S1125" s="92">
        <v>0</v>
      </c>
      <c r="T1125" s="92">
        <v>0</v>
      </c>
      <c r="U1125" s="137">
        <v>0</v>
      </c>
      <c r="V1125" s="126" t="str">
        <f t="shared" si="34"/>
        <v>❄ Frozen Rate</v>
      </c>
      <c r="W1125" s="130">
        <f>IFERROR(_xlfn.XLOOKUP(TEXT(H1125,"0000000000"),'📞 Call Tracker'!A$2:A$2000,'📞 Call Tracker'!B$2:B$2000,""),"")</f>
        <v>0</v>
      </c>
      <c r="X1125" s="96">
        <f>IFERROR(_xlfn.XLOOKUP(TEXT(H1125,"0000000000"),'📞 Call Tracker'!A$2:A$2000,'📞 Call Tracker'!C$2:C$2000,""),"")</f>
        <v>0</v>
      </c>
      <c r="Y1125" s="95">
        <f>IFERROR(_xlfn.XLOOKUP(TEXT(H1125,"0000000000"),'📞 Call Tracker'!A$2:A$2000,'📞 Call Tracker'!D$2:D$2000,""),"")</f>
        <v>0</v>
      </c>
      <c r="Z1125" s="95">
        <f>IFERROR(_xlfn.XLOOKUP(TEXT(H1125,"0000000000"),'📞 Call Tracker'!A$2:A$2000,'📞 Call Tracker'!E$2:E$2000,""),"")</f>
        <v>0</v>
      </c>
      <c r="AA1125" s="145">
        <f>IFERROR(_xlfn.XLOOKUP(TEXT(H1125,"0000000000"),'📞 Call Tracker'!A$2:A$2000,'📞 Call Tracker'!F$2:F$2000,""),"")</f>
        <v>0</v>
      </c>
      <c r="AB1125" s="132">
        <f t="shared" si="35"/>
        <v>99</v>
      </c>
      <c r="AC1125" s="79"/>
    </row>
    <row r="1126" spans="1:29" ht="20.100000000000001" customHeight="1">
      <c r="A1126" s="91">
        <v>46049</v>
      </c>
      <c r="B1126" s="92" t="str">
        <v>Davis</v>
      </c>
      <c r="C1126" s="92" t="str">
        <v>Andrea</v>
      </c>
      <c r="D1126" s="92" t="str">
        <v>Surprise</v>
      </c>
      <c r="E1126" s="92">
        <v>85379</v>
      </c>
      <c r="F1126" s="137" t="str">
        <v xml:space="preserve">we cannot lower the A/C enough to stay cool in the summer. Sleeping in temps above 70 are not optimal for our health and well being and feeling rested. </v>
      </c>
      <c r="G1126" s="93" t="str">
        <v>https://docket.images.azcc.gov/E000048921.pdf</v>
      </c>
      <c r="H1126" s="150" t="s">
        <v>4118</v>
      </c>
      <c r="I1126" s="114" t="str">
        <v>EPR6w/ECT-2</v>
      </c>
      <c r="J1126" s="94" t="str">
        <v>No</v>
      </c>
      <c r="K1126" s="94" t="str">
        <v>No</v>
      </c>
      <c r="L1126" s="137" t="str">
        <v>Frozen Plan</v>
      </c>
      <c r="M1126" s="94" t="str">
        <v>No</v>
      </c>
      <c r="N1126" s="134" t="str">
        <v>No</v>
      </c>
      <c r="O1126" s="119" t="str">
        <v>Yes</v>
      </c>
      <c r="P1126" s="92" t="str">
        <v>N</v>
      </c>
      <c r="Q1126" s="91">
        <v>46057</v>
      </c>
      <c r="R1126" s="140">
        <v>0</v>
      </c>
      <c r="S1126" s="92">
        <v>0</v>
      </c>
      <c r="T1126" s="92">
        <v>0</v>
      </c>
      <c r="U1126" s="137">
        <v>0</v>
      </c>
      <c r="V1126" s="126" t="str">
        <f t="shared" si="34"/>
        <v>❄ Frozen Rate</v>
      </c>
      <c r="W1126" s="130">
        <f>IFERROR(_xlfn.XLOOKUP(TEXT(H1126,"0000000000"),'📞 Call Tracker'!A$2:A$2000,'📞 Call Tracker'!B$2:B$2000,""),"")</f>
        <v>0</v>
      </c>
      <c r="X1126" s="96">
        <f>IFERROR(_xlfn.XLOOKUP(TEXT(H1126,"0000000000"),'📞 Call Tracker'!A$2:A$2000,'📞 Call Tracker'!C$2:C$2000,""),"")</f>
        <v>0</v>
      </c>
      <c r="Y1126" s="95">
        <f>IFERROR(_xlfn.XLOOKUP(TEXT(H1126,"0000000000"),'📞 Call Tracker'!A$2:A$2000,'📞 Call Tracker'!D$2:D$2000,""),"")</f>
        <v>0</v>
      </c>
      <c r="Z1126" s="95">
        <f>IFERROR(_xlfn.XLOOKUP(TEXT(H1126,"0000000000"),'📞 Call Tracker'!A$2:A$2000,'📞 Call Tracker'!E$2:E$2000,""),"")</f>
        <v>0</v>
      </c>
      <c r="AA1126" s="145">
        <f>IFERROR(_xlfn.XLOOKUP(TEXT(H1126,"0000000000"),'📞 Call Tracker'!A$2:A$2000,'📞 Call Tracker'!F$2:F$2000,""),"")</f>
        <v>0</v>
      </c>
      <c r="AB1126" s="132">
        <f t="shared" si="35"/>
        <v>99</v>
      </c>
      <c r="AC1126" s="79"/>
    </row>
    <row r="1127" spans="1:29" ht="20.100000000000001" customHeight="1">
      <c r="A1127" s="91">
        <v>46049</v>
      </c>
      <c r="B1127" s="92" t="str">
        <v>Andujar</v>
      </c>
      <c r="C1127" s="92" t="str">
        <v>Elizabeth</v>
      </c>
      <c r="D1127" s="92" t="str">
        <v>Phoenix</v>
      </c>
      <c r="E1127" s="92">
        <v>85032</v>
      </c>
      <c r="F1127" s="137" t="str">
        <v>I believe that aps should lower the cost because not all of us has the funds to keep paying a lot of money</v>
      </c>
      <c r="G1127" s="93" t="str">
        <v>https://docket.images.azcc.gov/E000048921.pdf</v>
      </c>
      <c r="H1127" s="150" t="s">
        <v>4121</v>
      </c>
      <c r="I1127" s="114" t="str">
        <v>R3-47</v>
      </c>
      <c r="J1127" s="94" t="str">
        <v>Yes</v>
      </c>
      <c r="K1127" s="94" t="str">
        <v>No</v>
      </c>
      <c r="L1127" s="137" t="str">
        <v>No MEP RTOUE47 ($64.15)</v>
      </c>
      <c r="M1127" s="94" t="str">
        <v>Yes</v>
      </c>
      <c r="N1127" s="134">
        <v>1183.6600000000001</v>
      </c>
      <c r="O1127" s="119" t="str">
        <v>Yes</v>
      </c>
      <c r="P1127" s="92">
        <v>0</v>
      </c>
      <c r="Q1127" s="91">
        <v>46057</v>
      </c>
      <c r="R1127" s="140" t="str">
        <v>May need information for additional assistance programs?</v>
      </c>
      <c r="S1127" s="92">
        <v>0</v>
      </c>
      <c r="T1127" s="92">
        <v>0</v>
      </c>
      <c r="U1127" s="137">
        <v>0</v>
      </c>
      <c r="V1127" s="126" t="str">
        <f t="shared" si="34"/>
        <v>❌ Not on Best Plan</v>
      </c>
      <c r="W1127" s="130">
        <f>IFERROR(_xlfn.XLOOKUP(TEXT(H1127,"0000000000"),'📞 Call Tracker'!A$2:A$2000,'📞 Call Tracker'!B$2:B$2000,""),"")</f>
        <v>0</v>
      </c>
      <c r="X1127" s="96">
        <f>IFERROR(_xlfn.XLOOKUP(TEXT(H1127,"0000000000"),'📞 Call Tracker'!A$2:A$2000,'📞 Call Tracker'!C$2:C$2000,""),"")</f>
        <v>0</v>
      </c>
      <c r="Y1127" s="95">
        <f>IFERROR(_xlfn.XLOOKUP(TEXT(H1127,"0000000000"),'📞 Call Tracker'!A$2:A$2000,'📞 Call Tracker'!D$2:D$2000,""),"")</f>
        <v>0</v>
      </c>
      <c r="Z1127" s="95">
        <f>IFERROR(_xlfn.XLOOKUP(TEXT(H1127,"0000000000"),'📞 Call Tracker'!A$2:A$2000,'📞 Call Tracker'!E$2:E$2000,""),"")</f>
        <v>0</v>
      </c>
      <c r="AA1127" s="145">
        <f>IFERROR(_xlfn.XLOOKUP(TEXT(H1127,"0000000000"),'📞 Call Tracker'!A$2:A$2000,'📞 Call Tracker'!F$2:F$2000,""),"")</f>
        <v>0</v>
      </c>
      <c r="AB1127" s="132">
        <f t="shared" si="35"/>
        <v>99</v>
      </c>
      <c r="AC1127" s="79"/>
    </row>
    <row r="1128" spans="1:29" ht="20.100000000000001" customHeight="1">
      <c r="A1128" s="91">
        <v>46049</v>
      </c>
      <c r="B1128" s="92" t="str">
        <v>Vallejo</v>
      </c>
      <c r="C1128" s="92" t="str">
        <v>David S</v>
      </c>
      <c r="D1128" s="92" t="str">
        <v>Yuma</v>
      </c>
      <c r="E1128" s="92">
        <v>85365</v>
      </c>
      <c r="F1128" s="137" t="str">
        <v>I could agree to a rate increase if the salaries of the highest paid were lessened and bonuses across the board were eliminated.</v>
      </c>
      <c r="G1128" s="93" t="str">
        <v>https://docket.images.azcc.gov/E000048921.pdf</v>
      </c>
      <c r="H1128" s="150" t="s">
        <v>4125</v>
      </c>
      <c r="I1128" s="114" t="str">
        <v>RCPw/R3-47</v>
      </c>
      <c r="J1128" s="94" t="str">
        <v>No</v>
      </c>
      <c r="K1128" s="94" t="str">
        <v>No</v>
      </c>
      <c r="L1128" s="137" t="str">
        <v>Yes</v>
      </c>
      <c r="M1128" s="94" t="str">
        <v>No</v>
      </c>
      <c r="N1128" s="134" t="str">
        <v>No</v>
      </c>
      <c r="O1128" s="119" t="str">
        <v>Yes</v>
      </c>
      <c r="P1128" s="92" t="str">
        <v>N</v>
      </c>
      <c r="Q1128" s="91">
        <v>46057</v>
      </c>
      <c r="R1128" s="140">
        <v>0</v>
      </c>
      <c r="S1128" s="92">
        <v>0</v>
      </c>
      <c r="T1128" s="92">
        <v>0</v>
      </c>
      <c r="U1128" s="137">
        <v>0</v>
      </c>
      <c r="V1128" s="126" t="str">
        <f t="shared" si="34"/>
        <v>✅ On Best Plan</v>
      </c>
      <c r="W1128" s="130">
        <f>IFERROR(_xlfn.XLOOKUP(TEXT(H1128,"0000000000"),'📞 Call Tracker'!A$2:A$2000,'📞 Call Tracker'!B$2:B$2000,""),"")</f>
        <v>0</v>
      </c>
      <c r="X1128" s="96">
        <f>IFERROR(_xlfn.XLOOKUP(TEXT(H1128,"0000000000"),'📞 Call Tracker'!A$2:A$2000,'📞 Call Tracker'!C$2:C$2000,""),"")</f>
        <v>0</v>
      </c>
      <c r="Y1128" s="95">
        <f>IFERROR(_xlfn.XLOOKUP(TEXT(H1128,"0000000000"),'📞 Call Tracker'!A$2:A$2000,'📞 Call Tracker'!D$2:D$2000,""),"")</f>
        <v>0</v>
      </c>
      <c r="Z1128" s="95">
        <f>IFERROR(_xlfn.XLOOKUP(TEXT(H1128,"0000000000"),'📞 Call Tracker'!A$2:A$2000,'📞 Call Tracker'!E$2:E$2000,""),"")</f>
        <v>0</v>
      </c>
      <c r="AA1128" s="145">
        <f>IFERROR(_xlfn.XLOOKUP(TEXT(H1128,"0000000000"),'📞 Call Tracker'!A$2:A$2000,'📞 Call Tracker'!F$2:F$2000,""),"")</f>
        <v>0</v>
      </c>
      <c r="AB1128" s="132">
        <f t="shared" si="35"/>
        <v>99</v>
      </c>
      <c r="AC1128" s="79"/>
    </row>
    <row r="1129" spans="1:29" ht="20.100000000000001" customHeight="1">
      <c r="A1129" s="91">
        <v>46049</v>
      </c>
      <c r="B1129" s="92" t="str">
        <v>Arends</v>
      </c>
      <c r="C1129" s="92" t="str">
        <v>TeNisha</v>
      </c>
      <c r="D1129" s="92" t="str">
        <v>Surprise</v>
      </c>
      <c r="E1129" s="92">
        <v>85387</v>
      </c>
      <c r="F1129" s="137" t="str">
        <v>We have the sun at our disposal. Why isn't APS taking advantage of that to help the consumers that need their services</v>
      </c>
      <c r="G1129" s="93" t="str">
        <v>https://docket.images.azcc.gov/E000048921.pdf</v>
      </c>
      <c r="H1129" s="150" t="s">
        <v>4134</v>
      </c>
      <c r="I1129" s="114" t="str">
        <v>R3-47</v>
      </c>
      <c r="J1129" s="94" t="str">
        <v>No</v>
      </c>
      <c r="K1129" s="94" t="str">
        <v>No</v>
      </c>
      <c r="L1129" s="137" t="str">
        <v>Not eligible yet</v>
      </c>
      <c r="M1129" s="94" t="str">
        <v>Yes</v>
      </c>
      <c r="N1129" s="134">
        <v>361.81</v>
      </c>
      <c r="O1129" s="119" t="str">
        <v>Yes</v>
      </c>
      <c r="P1129" s="92">
        <v>0</v>
      </c>
      <c r="Q1129" s="91">
        <v>46057</v>
      </c>
      <c r="R1129" s="140" t="str">
        <v>May need information for additional assistance programs?</v>
      </c>
      <c r="S1129" s="92">
        <v>0</v>
      </c>
      <c r="T1129" s="92">
        <v>0</v>
      </c>
      <c r="U1129" s="137">
        <v>0</v>
      </c>
      <c r="V1129" s="126" t="str">
        <f t="shared" si="34"/>
        <v>❌ Not on Best Plan</v>
      </c>
      <c r="W1129" s="130">
        <f>IFERROR(_xlfn.XLOOKUP(TEXT(H1129,"0000000000"),'📞 Call Tracker'!A$2:A$2000,'📞 Call Tracker'!B$2:B$2000,""),"")</f>
        <v>0</v>
      </c>
      <c r="X1129" s="96">
        <f>IFERROR(_xlfn.XLOOKUP(TEXT(H1129,"0000000000"),'📞 Call Tracker'!A$2:A$2000,'📞 Call Tracker'!C$2:C$2000,""),"")</f>
        <v>0</v>
      </c>
      <c r="Y1129" s="95">
        <f>IFERROR(_xlfn.XLOOKUP(TEXT(H1129,"0000000000"),'📞 Call Tracker'!A$2:A$2000,'📞 Call Tracker'!D$2:D$2000,""),"")</f>
        <v>0</v>
      </c>
      <c r="Z1129" s="95">
        <f>IFERROR(_xlfn.XLOOKUP(TEXT(H1129,"0000000000"),'📞 Call Tracker'!A$2:A$2000,'📞 Call Tracker'!E$2:E$2000,""),"")</f>
        <v>0</v>
      </c>
      <c r="AA1129" s="145">
        <f>IFERROR(_xlfn.XLOOKUP(TEXT(H1129,"0000000000"),'📞 Call Tracker'!A$2:A$2000,'📞 Call Tracker'!F$2:F$2000,""),"")</f>
        <v>0</v>
      </c>
      <c r="AB1129" s="132">
        <f t="shared" si="35"/>
        <v>99</v>
      </c>
      <c r="AC1129" s="79"/>
    </row>
    <row r="1130" spans="1:29" ht="20.100000000000001" customHeight="1">
      <c r="A1130" s="91">
        <v>46049</v>
      </c>
      <c r="B1130" s="92" t="str">
        <v>Kane</v>
      </c>
      <c r="C1130" s="92" t="str">
        <v>Michele</v>
      </c>
      <c r="D1130" s="92" t="str">
        <v>Phoenix</v>
      </c>
      <c r="E1130" s="92">
        <v>85022</v>
      </c>
      <c r="F1130" s="137" t="str">
        <v xml:space="preserve">I believe all the data centers you've allowed in our state are the biggest reason for the proposed increase. </v>
      </c>
      <c r="G1130" s="93" t="str">
        <v>https://docket.images.azcc.gov/E000048921.pdf</v>
      </c>
      <c r="H1130" s="150" t="s">
        <v>4137</v>
      </c>
      <c r="I1130" s="114" t="str">
        <v>R3-47</v>
      </c>
      <c r="J1130" s="94" t="str">
        <v>Yes</v>
      </c>
      <c r="K1130" s="94" t="str">
        <v>No</v>
      </c>
      <c r="L1130" s="137" t="str">
        <v>No MEP RTOUE47 ($37.10)</v>
      </c>
      <c r="M1130" s="94" t="str">
        <v>No</v>
      </c>
      <c r="N1130" s="134" t="str">
        <v>No</v>
      </c>
      <c r="O1130" s="119" t="str">
        <v>Yes</v>
      </c>
      <c r="P1130" s="92" t="str">
        <v>N</v>
      </c>
      <c r="Q1130" s="91">
        <v>46057</v>
      </c>
      <c r="R1130" s="140">
        <v>0</v>
      </c>
      <c r="S1130" s="92">
        <v>0</v>
      </c>
      <c r="T1130" s="92">
        <v>0</v>
      </c>
      <c r="U1130" s="137">
        <v>0</v>
      </c>
      <c r="V1130" s="126" t="str">
        <f t="shared" si="34"/>
        <v>❌ Not on Best Plan</v>
      </c>
      <c r="W1130" s="130">
        <f>IFERROR(_xlfn.XLOOKUP(TEXT(H1130,"0000000000"),'📞 Call Tracker'!A$2:A$2000,'📞 Call Tracker'!B$2:B$2000,""),"")</f>
        <v>0</v>
      </c>
      <c r="X1130" s="96">
        <f>IFERROR(_xlfn.XLOOKUP(TEXT(H1130,"0000000000"),'📞 Call Tracker'!A$2:A$2000,'📞 Call Tracker'!C$2:C$2000,""),"")</f>
        <v>0</v>
      </c>
      <c r="Y1130" s="95">
        <f>IFERROR(_xlfn.XLOOKUP(TEXT(H1130,"0000000000"),'📞 Call Tracker'!A$2:A$2000,'📞 Call Tracker'!D$2:D$2000,""),"")</f>
        <v>0</v>
      </c>
      <c r="Z1130" s="95">
        <f>IFERROR(_xlfn.XLOOKUP(TEXT(H1130,"0000000000"),'📞 Call Tracker'!A$2:A$2000,'📞 Call Tracker'!E$2:E$2000,""),"")</f>
        <v>0</v>
      </c>
      <c r="AA1130" s="145">
        <f>IFERROR(_xlfn.XLOOKUP(TEXT(H1130,"0000000000"),'📞 Call Tracker'!A$2:A$2000,'📞 Call Tracker'!F$2:F$2000,""),"")</f>
        <v>0</v>
      </c>
      <c r="AB1130" s="132">
        <f t="shared" si="35"/>
        <v>99</v>
      </c>
      <c r="AC1130" s="79"/>
    </row>
    <row r="1131" spans="1:29" ht="20.100000000000001" customHeight="1">
      <c r="A1131" s="91">
        <v>46049</v>
      </c>
      <c r="B1131" s="92" t="str">
        <v>Kleiner</v>
      </c>
      <c r="C1131" s="92" t="str">
        <v>Jay</v>
      </c>
      <c r="D1131" s="92" t="str">
        <v>Surprise</v>
      </c>
      <c r="E1131" s="92">
        <v>85387</v>
      </c>
      <c r="F1131" s="137" t="str">
        <v>I am sick and tired of APS ripping me off every time you turn around the rates are going up because they can't manage their business</v>
      </c>
      <c r="G1131" s="93" t="str">
        <v>https://docket.images.azcc.gov/E000048921.pdf</v>
      </c>
      <c r="H1131" s="150" t="s">
        <v>4140</v>
      </c>
      <c r="I1131" s="114" t="str">
        <v>R3-47</v>
      </c>
      <c r="J1131" s="94" t="str">
        <v>Yes</v>
      </c>
      <c r="K1131" s="94" t="str">
        <v>No</v>
      </c>
      <c r="L1131" s="137" t="str">
        <v>Yes</v>
      </c>
      <c r="M1131" s="94" t="str">
        <v>Yes</v>
      </c>
      <c r="N1131" s="134">
        <v>563.04</v>
      </c>
      <c r="O1131" s="119" t="str">
        <v>Yes</v>
      </c>
      <c r="P1131" s="92">
        <v>0</v>
      </c>
      <c r="Q1131" s="91">
        <v>46057</v>
      </c>
      <c r="R1131" s="140" t="str">
        <v>May need information for additional assistance programs?</v>
      </c>
      <c r="S1131" s="92">
        <v>0</v>
      </c>
      <c r="T1131" s="92">
        <v>0</v>
      </c>
      <c r="U1131" s="137">
        <v>0</v>
      </c>
      <c r="V1131" s="126" t="str">
        <f t="shared" si="34"/>
        <v>✅ On Best Plan</v>
      </c>
      <c r="W1131" s="130">
        <f>IFERROR(_xlfn.XLOOKUP(TEXT(H1131,"0000000000"),'📞 Call Tracker'!A$2:A$2000,'📞 Call Tracker'!B$2:B$2000,""),"")</f>
        <v>0</v>
      </c>
      <c r="X1131" s="96">
        <f>IFERROR(_xlfn.XLOOKUP(TEXT(H1131,"0000000000"),'📞 Call Tracker'!A$2:A$2000,'📞 Call Tracker'!C$2:C$2000,""),"")</f>
        <v>0</v>
      </c>
      <c r="Y1131" s="95">
        <f>IFERROR(_xlfn.XLOOKUP(TEXT(H1131,"0000000000"),'📞 Call Tracker'!A$2:A$2000,'📞 Call Tracker'!D$2:D$2000,""),"")</f>
        <v>0</v>
      </c>
      <c r="Z1131" s="95">
        <f>IFERROR(_xlfn.XLOOKUP(TEXT(H1131,"0000000000"),'📞 Call Tracker'!A$2:A$2000,'📞 Call Tracker'!E$2:E$2000,""),"")</f>
        <v>0</v>
      </c>
      <c r="AA1131" s="145">
        <f>IFERROR(_xlfn.XLOOKUP(TEXT(H1131,"0000000000"),'📞 Call Tracker'!A$2:A$2000,'📞 Call Tracker'!F$2:F$2000,""),"")</f>
        <v>0</v>
      </c>
      <c r="AB1131" s="132">
        <f t="shared" si="35"/>
        <v>99</v>
      </c>
      <c r="AC1131" s="79"/>
    </row>
    <row r="1132" spans="1:29" ht="20.100000000000001" customHeight="1">
      <c r="A1132" s="91">
        <v>46049</v>
      </c>
      <c r="B1132" s="92" t="str">
        <v>Benge</v>
      </c>
      <c r="C1132" s="92" t="str">
        <v>Robert E</v>
      </c>
      <c r="D1132" s="92" t="str">
        <v>Surprise</v>
      </c>
      <c r="E1132" s="92">
        <v>85387</v>
      </c>
      <c r="F1132" s="137" t="str">
        <v>Power is hi enough</v>
      </c>
      <c r="G1132" s="93" t="str">
        <v>https://docket.images.azcc.gov/E000048921.pdf</v>
      </c>
      <c r="H1132" s="150" t="s">
        <v>4143</v>
      </c>
      <c r="I1132" s="114" t="str">
        <v>R3-47</v>
      </c>
      <c r="J1132" s="94" t="str">
        <v>No</v>
      </c>
      <c r="K1132" s="94" t="str">
        <v>No</v>
      </c>
      <c r="L1132" s="137" t="str">
        <v>Yes</v>
      </c>
      <c r="M1132" s="94" t="str">
        <v>No</v>
      </c>
      <c r="N1132" s="134" t="str">
        <v>No</v>
      </c>
      <c r="O1132" s="119" t="str">
        <v>Yes</v>
      </c>
      <c r="P1132" s="92" t="str">
        <v>N</v>
      </c>
      <c r="Q1132" s="91">
        <v>46057</v>
      </c>
      <c r="R1132" s="140">
        <v>0</v>
      </c>
      <c r="S1132" s="92">
        <v>0</v>
      </c>
      <c r="T1132" s="92">
        <v>0</v>
      </c>
      <c r="U1132" s="137">
        <v>0</v>
      </c>
      <c r="V1132" s="126" t="str">
        <f t="shared" si="34"/>
        <v>✅ On Best Plan</v>
      </c>
      <c r="W1132" s="130">
        <f>IFERROR(_xlfn.XLOOKUP(TEXT(H1132,"0000000000"),'📞 Call Tracker'!A$2:A$2000,'📞 Call Tracker'!B$2:B$2000,""),"")</f>
        <v>0</v>
      </c>
      <c r="X1132" s="96">
        <f>IFERROR(_xlfn.XLOOKUP(TEXT(H1132,"0000000000"),'📞 Call Tracker'!A$2:A$2000,'📞 Call Tracker'!C$2:C$2000,""),"")</f>
        <v>0</v>
      </c>
      <c r="Y1132" s="95">
        <f>IFERROR(_xlfn.XLOOKUP(TEXT(H1132,"0000000000"),'📞 Call Tracker'!A$2:A$2000,'📞 Call Tracker'!D$2:D$2000,""),"")</f>
        <v>0</v>
      </c>
      <c r="Z1132" s="95">
        <f>IFERROR(_xlfn.XLOOKUP(TEXT(H1132,"0000000000"),'📞 Call Tracker'!A$2:A$2000,'📞 Call Tracker'!E$2:E$2000,""),"")</f>
        <v>0</v>
      </c>
      <c r="AA1132" s="145">
        <f>IFERROR(_xlfn.XLOOKUP(TEXT(H1132,"0000000000"),'📞 Call Tracker'!A$2:A$2000,'📞 Call Tracker'!F$2:F$2000,""),"")</f>
        <v>0</v>
      </c>
      <c r="AB1132" s="132">
        <f t="shared" si="35"/>
        <v>99</v>
      </c>
      <c r="AC1132" s="79"/>
    </row>
    <row r="1133" spans="1:29" ht="20.100000000000001" customHeight="1">
      <c r="A1133" s="91">
        <v>46049</v>
      </c>
      <c r="B1133" s="92" t="str">
        <v>Gonzales</v>
      </c>
      <c r="C1133" s="92" t="str">
        <v>Debra</v>
      </c>
      <c r="D1133" s="92" t="str">
        <v>Glendale</v>
      </c>
      <c r="E1133" s="92">
        <v>85304</v>
      </c>
      <c r="F1133" s="137" t="str">
        <v>Senior on a fixed income... I will petition to not pass the rate hike. How much more do you need? Will blood be enough?</v>
      </c>
      <c r="G1133" s="93" t="str">
        <v>https://docket.images.azcc.gov/E000048921.pdf</v>
      </c>
      <c r="H1133" s="150" t="s">
        <v>4147</v>
      </c>
      <c r="I1133" s="114" t="str">
        <v>RCPw/RTOUE</v>
      </c>
      <c r="J1133" s="94" t="str">
        <v>No</v>
      </c>
      <c r="K1133" s="94" t="str">
        <v>No</v>
      </c>
      <c r="L1133" s="137" t="str">
        <v>Yes</v>
      </c>
      <c r="M1133" s="94" t="str">
        <v>No</v>
      </c>
      <c r="N1133" s="134" t="str">
        <v>No</v>
      </c>
      <c r="O1133" s="119" t="str">
        <v>Yes</v>
      </c>
      <c r="P1133" s="92" t="str">
        <v>N</v>
      </c>
      <c r="Q1133" s="91">
        <v>46057</v>
      </c>
      <c r="R1133" s="140">
        <v>0</v>
      </c>
      <c r="S1133" s="92">
        <v>0</v>
      </c>
      <c r="T1133" s="92">
        <v>0</v>
      </c>
      <c r="U1133" s="137">
        <v>0</v>
      </c>
      <c r="V1133" s="126" t="str">
        <f t="shared" si="34"/>
        <v>✅ On Best Plan</v>
      </c>
      <c r="W1133" s="130">
        <f>IFERROR(_xlfn.XLOOKUP(TEXT(H1133,"0000000000"),'📞 Call Tracker'!A$2:A$2000,'📞 Call Tracker'!B$2:B$2000,""),"")</f>
        <v>0</v>
      </c>
      <c r="X1133" s="96">
        <f>IFERROR(_xlfn.XLOOKUP(TEXT(H1133,"0000000000"),'📞 Call Tracker'!A$2:A$2000,'📞 Call Tracker'!C$2:C$2000,""),"")</f>
        <v>0</v>
      </c>
      <c r="Y1133" s="95">
        <f>IFERROR(_xlfn.XLOOKUP(TEXT(H1133,"0000000000"),'📞 Call Tracker'!A$2:A$2000,'📞 Call Tracker'!D$2:D$2000,""),"")</f>
        <v>0</v>
      </c>
      <c r="Z1133" s="95">
        <f>IFERROR(_xlfn.XLOOKUP(TEXT(H1133,"0000000000"),'📞 Call Tracker'!A$2:A$2000,'📞 Call Tracker'!E$2:E$2000,""),"")</f>
        <v>0</v>
      </c>
      <c r="AA1133" s="145">
        <f>IFERROR(_xlfn.XLOOKUP(TEXT(H1133,"0000000000"),'📞 Call Tracker'!A$2:A$2000,'📞 Call Tracker'!F$2:F$2000,""),"")</f>
        <v>0</v>
      </c>
      <c r="AB1133" s="132">
        <f t="shared" si="35"/>
        <v>99</v>
      </c>
      <c r="AC1133" s="79"/>
    </row>
    <row r="1134" spans="1:29" ht="20.100000000000001" customHeight="1">
      <c r="A1134" s="91">
        <v>46049</v>
      </c>
      <c r="B1134" s="92" t="str">
        <v>Krukovsky</v>
      </c>
      <c r="C1134" s="92" t="str">
        <v>Carol</v>
      </c>
      <c r="D1134" s="92" t="str">
        <v>Show Low</v>
      </c>
      <c r="E1134" s="92">
        <v>85901</v>
      </c>
      <c r="F1134" s="137" t="str">
        <v xml:space="preserve">Aps has raised our bills enough they need to be stopped people on social security can't afford it </v>
      </c>
      <c r="G1134" s="93" t="str">
        <v>https://docket.images.azcc.gov/E000048921.pdf</v>
      </c>
      <c r="H1134" s="150" t="s">
        <v>4156</v>
      </c>
      <c r="I1134" s="114" t="str">
        <v>R3-47</v>
      </c>
      <c r="J1134" s="94" t="str">
        <v>No</v>
      </c>
      <c r="K1134" s="94" t="str">
        <v>No</v>
      </c>
      <c r="L1134" s="137" t="str">
        <v>Yes</v>
      </c>
      <c r="M1134" s="94" t="str">
        <v>No</v>
      </c>
      <c r="N1134" s="134" t="str">
        <v>No</v>
      </c>
      <c r="O1134" s="119" t="str">
        <v>Yes</v>
      </c>
      <c r="P1134" s="92" t="str">
        <v>N</v>
      </c>
      <c r="Q1134" s="91">
        <v>46057</v>
      </c>
      <c r="R1134" s="140">
        <v>0</v>
      </c>
      <c r="S1134" s="92">
        <v>0</v>
      </c>
      <c r="T1134" s="92">
        <v>0</v>
      </c>
      <c r="U1134" s="137">
        <v>0</v>
      </c>
      <c r="V1134" s="126" t="str">
        <f t="shared" si="34"/>
        <v>✅ On Best Plan</v>
      </c>
      <c r="W1134" s="130">
        <f>IFERROR(_xlfn.XLOOKUP(TEXT(H1134,"0000000000"),'📞 Call Tracker'!A$2:A$2000,'📞 Call Tracker'!B$2:B$2000,""),"")</f>
        <v>0</v>
      </c>
      <c r="X1134" s="96">
        <f>IFERROR(_xlfn.XLOOKUP(TEXT(H1134,"0000000000"),'📞 Call Tracker'!A$2:A$2000,'📞 Call Tracker'!C$2:C$2000,""),"")</f>
        <v>0</v>
      </c>
      <c r="Y1134" s="95">
        <f>IFERROR(_xlfn.XLOOKUP(TEXT(H1134,"0000000000"),'📞 Call Tracker'!A$2:A$2000,'📞 Call Tracker'!D$2:D$2000,""),"")</f>
        <v>0</v>
      </c>
      <c r="Z1134" s="95">
        <f>IFERROR(_xlfn.XLOOKUP(TEXT(H1134,"0000000000"),'📞 Call Tracker'!A$2:A$2000,'📞 Call Tracker'!E$2:E$2000,""),"")</f>
        <v>0</v>
      </c>
      <c r="AA1134" s="145">
        <f>IFERROR(_xlfn.XLOOKUP(TEXT(H1134,"0000000000"),'📞 Call Tracker'!A$2:A$2000,'📞 Call Tracker'!F$2:F$2000,""),"")</f>
        <v>0</v>
      </c>
      <c r="AB1134" s="132">
        <f t="shared" si="35"/>
        <v>99</v>
      </c>
      <c r="AC1134" s="79"/>
    </row>
    <row r="1135" spans="1:29" ht="20.100000000000001" customHeight="1">
      <c r="A1135" s="91">
        <v>46049</v>
      </c>
      <c r="B1135" s="92" t="str">
        <v>Taylor</v>
      </c>
      <c r="C1135" s="92" t="str">
        <v>Danica</v>
      </c>
      <c r="D1135" s="92" t="str">
        <v>Surprise</v>
      </c>
      <c r="E1135" s="92">
        <v>85388</v>
      </c>
      <c r="F1135" s="137" t="str">
        <v>Utility prices are high enough and your profit margin is also high enough.</v>
      </c>
      <c r="G1135" s="93" t="str">
        <v>https://docket.images.azcc.gov/E000048921.pdf</v>
      </c>
      <c r="H1135" s="150" t="s">
        <v>4160</v>
      </c>
      <c r="I1135" s="114" t="str">
        <v>R3-47</v>
      </c>
      <c r="J1135" s="94" t="str">
        <v>No</v>
      </c>
      <c r="K1135" s="94" t="str">
        <v>No</v>
      </c>
      <c r="L1135" s="137" t="str">
        <v>Yes</v>
      </c>
      <c r="M1135" s="94" t="str">
        <v>No</v>
      </c>
      <c r="N1135" s="134" t="str">
        <v>No</v>
      </c>
      <c r="O1135" s="119" t="str">
        <v>Yes</v>
      </c>
      <c r="P1135" s="92" t="str">
        <v>N</v>
      </c>
      <c r="Q1135" s="91">
        <v>46057</v>
      </c>
      <c r="R1135" s="140">
        <v>0</v>
      </c>
      <c r="S1135" s="92">
        <v>0</v>
      </c>
      <c r="T1135" s="92">
        <v>0</v>
      </c>
      <c r="U1135" s="137">
        <v>0</v>
      </c>
      <c r="V1135" s="126" t="str">
        <f t="shared" si="34"/>
        <v>✅ On Best Plan</v>
      </c>
      <c r="W1135" s="130">
        <f>IFERROR(_xlfn.XLOOKUP(TEXT(H1135,"0000000000"),'📞 Call Tracker'!A$2:A$2000,'📞 Call Tracker'!B$2:B$2000,""),"")</f>
        <v>0</v>
      </c>
      <c r="X1135" s="96">
        <f>IFERROR(_xlfn.XLOOKUP(TEXT(H1135,"0000000000"),'📞 Call Tracker'!A$2:A$2000,'📞 Call Tracker'!C$2:C$2000,""),"")</f>
        <v>0</v>
      </c>
      <c r="Y1135" s="95">
        <f>IFERROR(_xlfn.XLOOKUP(TEXT(H1135,"0000000000"),'📞 Call Tracker'!A$2:A$2000,'📞 Call Tracker'!D$2:D$2000,""),"")</f>
        <v>0</v>
      </c>
      <c r="Z1135" s="95">
        <f>IFERROR(_xlfn.XLOOKUP(TEXT(H1135,"0000000000"),'📞 Call Tracker'!A$2:A$2000,'📞 Call Tracker'!E$2:E$2000,""),"")</f>
        <v>0</v>
      </c>
      <c r="AA1135" s="145">
        <f>IFERROR(_xlfn.XLOOKUP(TEXT(H1135,"0000000000"),'📞 Call Tracker'!A$2:A$2000,'📞 Call Tracker'!F$2:F$2000,""),"")</f>
        <v>0</v>
      </c>
      <c r="AB1135" s="132">
        <f t="shared" si="35"/>
        <v>99</v>
      </c>
      <c r="AC1135" s="79"/>
    </row>
    <row r="1136" spans="1:29" ht="20.100000000000001" customHeight="1">
      <c r="A1136" s="91">
        <v>46049</v>
      </c>
      <c r="B1136" s="92" t="str">
        <v>Foutch</v>
      </c>
      <c r="C1136" s="92" t="str">
        <v>William</v>
      </c>
      <c r="D1136" s="92" t="str">
        <v>Glendale</v>
      </c>
      <c r="E1136" s="92">
        <v>85308</v>
      </c>
      <c r="F1136" s="137" t="str">
        <v xml:space="preserve"> Everytime we turn around our rates go up. Enough is enough</v>
      </c>
      <c r="G1136" s="93" t="str">
        <v>https://docket.images.azcc.gov/E000048921.pdf</v>
      </c>
      <c r="H1136" s="150" t="s">
        <v>4167</v>
      </c>
      <c r="I1136" s="114" t="str">
        <v>R3-47</v>
      </c>
      <c r="J1136" s="94" t="str">
        <v>No</v>
      </c>
      <c r="K1136" s="94" t="str">
        <v>No</v>
      </c>
      <c r="L1136" s="137" t="str">
        <v>Yes</v>
      </c>
      <c r="M1136" s="94" t="str">
        <v>No</v>
      </c>
      <c r="N1136" s="134" t="str">
        <v>No</v>
      </c>
      <c r="O1136" s="119" t="str">
        <v>Yes</v>
      </c>
      <c r="P1136" s="92" t="str">
        <v>N</v>
      </c>
      <c r="Q1136" s="91">
        <v>46057</v>
      </c>
      <c r="R1136" s="140">
        <v>0</v>
      </c>
      <c r="S1136" s="92">
        <v>0</v>
      </c>
      <c r="T1136" s="92">
        <v>0</v>
      </c>
      <c r="U1136" s="137">
        <v>0</v>
      </c>
      <c r="V1136" s="126" t="str">
        <f t="shared" si="34"/>
        <v>✅ On Best Plan</v>
      </c>
      <c r="W1136" s="130">
        <f>IFERROR(_xlfn.XLOOKUP(TEXT(H1136,"0000000000"),'📞 Call Tracker'!A$2:A$2000,'📞 Call Tracker'!B$2:B$2000,""),"")</f>
        <v>0</v>
      </c>
      <c r="X1136" s="96">
        <f>IFERROR(_xlfn.XLOOKUP(TEXT(H1136,"0000000000"),'📞 Call Tracker'!A$2:A$2000,'📞 Call Tracker'!C$2:C$2000,""),"")</f>
        <v>0</v>
      </c>
      <c r="Y1136" s="95">
        <f>IFERROR(_xlfn.XLOOKUP(TEXT(H1136,"0000000000"),'📞 Call Tracker'!A$2:A$2000,'📞 Call Tracker'!D$2:D$2000,""),"")</f>
        <v>0</v>
      </c>
      <c r="Z1136" s="95">
        <f>IFERROR(_xlfn.XLOOKUP(TEXT(H1136,"0000000000"),'📞 Call Tracker'!A$2:A$2000,'📞 Call Tracker'!E$2:E$2000,""),"")</f>
        <v>0</v>
      </c>
      <c r="AA1136" s="145">
        <f>IFERROR(_xlfn.XLOOKUP(TEXT(H1136,"0000000000"),'📞 Call Tracker'!A$2:A$2000,'📞 Call Tracker'!F$2:F$2000,""),"")</f>
        <v>0</v>
      </c>
      <c r="AB1136" s="132">
        <f t="shared" si="35"/>
        <v>99</v>
      </c>
      <c r="AC1136" s="79"/>
    </row>
    <row r="1137" spans="1:29" ht="20.100000000000001" customHeight="1">
      <c r="A1137" s="91">
        <v>46049</v>
      </c>
      <c r="B1137" s="92" t="str">
        <v>Cassidy</v>
      </c>
      <c r="C1137" s="92" t="str">
        <v>James</v>
      </c>
      <c r="D1137" s="92" t="str">
        <v>Phoenix</v>
      </c>
      <c r="E1137" s="92">
        <v>85053</v>
      </c>
      <c r="F1137" s="137" t="str">
        <v>In my opinion APS rates are already crippling high for a lot of people</v>
      </c>
      <c r="G1137" s="93" t="str">
        <v>https://docket.images.azcc.gov/E000048921.pdf</v>
      </c>
      <c r="H1137" s="150" t="s">
        <v>4171</v>
      </c>
      <c r="I1137" s="114" t="str">
        <v>RTOUE47</v>
      </c>
      <c r="J1137" s="94" t="str">
        <v>Yes</v>
      </c>
      <c r="K1137" s="94" t="str">
        <v>No</v>
      </c>
      <c r="L1137" s="137" t="str">
        <v>Yes</v>
      </c>
      <c r="M1137" s="94" t="str">
        <v>Yes</v>
      </c>
      <c r="N1137" s="134">
        <v>4114.0200000000004</v>
      </c>
      <c r="O1137" s="119" t="str">
        <v>Yes</v>
      </c>
      <c r="P1137" s="92">
        <v>0</v>
      </c>
      <c r="Q1137" s="91">
        <v>46057</v>
      </c>
      <c r="R1137" s="140" t="str">
        <v>May need information for additional assistance programs?</v>
      </c>
      <c r="S1137" s="92">
        <v>0</v>
      </c>
      <c r="T1137" s="92">
        <v>0</v>
      </c>
      <c r="U1137" s="137">
        <v>0</v>
      </c>
      <c r="V1137" s="126" t="str">
        <f t="shared" si="34"/>
        <v>✅ On Best Plan</v>
      </c>
      <c r="W1137" s="130">
        <f>IFERROR(_xlfn.XLOOKUP(TEXT(H1137,"0000000000"),'📞 Call Tracker'!A$2:A$2000,'📞 Call Tracker'!B$2:B$2000,""),"")</f>
        <v>0</v>
      </c>
      <c r="X1137" s="96">
        <f>IFERROR(_xlfn.XLOOKUP(TEXT(H1137,"0000000000"),'📞 Call Tracker'!A$2:A$2000,'📞 Call Tracker'!C$2:C$2000,""),"")</f>
        <v>0</v>
      </c>
      <c r="Y1137" s="95">
        <f>IFERROR(_xlfn.XLOOKUP(TEXT(H1137,"0000000000"),'📞 Call Tracker'!A$2:A$2000,'📞 Call Tracker'!D$2:D$2000,""),"")</f>
        <v>0</v>
      </c>
      <c r="Z1137" s="95">
        <f>IFERROR(_xlfn.XLOOKUP(TEXT(H1137,"0000000000"),'📞 Call Tracker'!A$2:A$2000,'📞 Call Tracker'!E$2:E$2000,""),"")</f>
        <v>0</v>
      </c>
      <c r="AA1137" s="145">
        <f>IFERROR(_xlfn.XLOOKUP(TEXT(H1137,"0000000000"),'📞 Call Tracker'!A$2:A$2000,'📞 Call Tracker'!F$2:F$2000,""),"")</f>
        <v>0</v>
      </c>
      <c r="AB1137" s="132">
        <f t="shared" si="35"/>
        <v>99</v>
      </c>
      <c r="AC1137" s="79"/>
    </row>
    <row r="1138" spans="1:29" ht="20.100000000000001" customHeight="1">
      <c r="A1138" s="91">
        <v>46049</v>
      </c>
      <c r="B1138" s="92" t="str">
        <v>Klaus</v>
      </c>
      <c r="C1138" s="92" t="str">
        <v>Wayne</v>
      </c>
      <c r="D1138" s="92" t="str">
        <v>Sun City</v>
      </c>
      <c r="E1138" s="92">
        <v>85351</v>
      </c>
      <c r="F1138" s="137" t="str">
        <v>Don't raise rates!</v>
      </c>
      <c r="G1138" s="93" t="str">
        <v>https://docket.images.azcc.gov/E000048921.pdf</v>
      </c>
      <c r="H1138" s="150" t="s">
        <v>4174</v>
      </c>
      <c r="I1138" s="114" t="str">
        <v>R-2</v>
      </c>
      <c r="J1138" s="94" t="str">
        <v>No</v>
      </c>
      <c r="K1138" s="94" t="str">
        <v>No</v>
      </c>
      <c r="L1138" s="137" t="str">
        <v>Frozen Plan</v>
      </c>
      <c r="M1138" s="94" t="str">
        <v>No</v>
      </c>
      <c r="N1138" s="134" t="str">
        <v>No</v>
      </c>
      <c r="O1138" s="119" t="str">
        <v>Yes</v>
      </c>
      <c r="P1138" s="92" t="str">
        <v>N</v>
      </c>
      <c r="Q1138" s="91">
        <v>46057</v>
      </c>
      <c r="R1138" s="140">
        <v>0</v>
      </c>
      <c r="S1138" s="92">
        <v>0</v>
      </c>
      <c r="T1138" s="92">
        <v>0</v>
      </c>
      <c r="U1138" s="137">
        <v>0</v>
      </c>
      <c r="V1138" s="126" t="str">
        <f t="shared" si="34"/>
        <v>❄ Frozen Rate</v>
      </c>
      <c r="W1138" s="130">
        <f>IFERROR(_xlfn.XLOOKUP(TEXT(H1138,"0000000000"),'📞 Call Tracker'!A$2:A$2000,'📞 Call Tracker'!B$2:B$2000,""),"")</f>
        <v>0</v>
      </c>
      <c r="X1138" s="96">
        <f>IFERROR(_xlfn.XLOOKUP(TEXT(H1138,"0000000000"),'📞 Call Tracker'!A$2:A$2000,'📞 Call Tracker'!C$2:C$2000,""),"")</f>
        <v>0</v>
      </c>
      <c r="Y1138" s="95">
        <f>IFERROR(_xlfn.XLOOKUP(TEXT(H1138,"0000000000"),'📞 Call Tracker'!A$2:A$2000,'📞 Call Tracker'!D$2:D$2000,""),"")</f>
        <v>0</v>
      </c>
      <c r="Z1138" s="95">
        <f>IFERROR(_xlfn.XLOOKUP(TEXT(H1138,"0000000000"),'📞 Call Tracker'!A$2:A$2000,'📞 Call Tracker'!E$2:E$2000,""),"")</f>
        <v>0</v>
      </c>
      <c r="AA1138" s="145">
        <f>IFERROR(_xlfn.XLOOKUP(TEXT(H1138,"0000000000"),'📞 Call Tracker'!A$2:A$2000,'📞 Call Tracker'!F$2:F$2000,""),"")</f>
        <v>0</v>
      </c>
      <c r="AB1138" s="132">
        <f t="shared" si="35"/>
        <v>99</v>
      </c>
      <c r="AC1138" s="79"/>
    </row>
    <row r="1139" spans="1:29" ht="20.100000000000001" customHeight="1">
      <c r="A1139" s="91">
        <v>46049</v>
      </c>
      <c r="B1139" s="92" t="str">
        <v>Bugenski</v>
      </c>
      <c r="C1139" s="92" t="str">
        <v>Jennifer</v>
      </c>
      <c r="D1139" s="92" t="str">
        <v>Flagstaff</v>
      </c>
      <c r="E1139" s="92">
        <v>86004</v>
      </c>
      <c r="F1139" s="137" t="str">
        <v>I'm against the rate hike we are expensive enough</v>
      </c>
      <c r="G1139" s="93" t="str">
        <v>https://docket.images.azcc.gov/E000048921.pdf</v>
      </c>
      <c r="H1139" s="150" t="s">
        <v>4180</v>
      </c>
      <c r="I1139" s="114" t="str">
        <v>RTOUE47</v>
      </c>
      <c r="J1139" s="94" t="str">
        <v>Yes</v>
      </c>
      <c r="K1139" s="94" t="str">
        <v>No</v>
      </c>
      <c r="L1139" s="137" t="str">
        <v>???</v>
      </c>
      <c r="M1139" s="94" t="str">
        <v>Yes</v>
      </c>
      <c r="N1139" s="134">
        <v>325</v>
      </c>
      <c r="O1139" s="119" t="str">
        <v>Yes</v>
      </c>
      <c r="P1139" s="92">
        <v>0</v>
      </c>
      <c r="Q1139" s="91">
        <v>46057</v>
      </c>
      <c r="R1139" s="140" t="str">
        <v>May need information for additional assistance programs?</v>
      </c>
      <c r="S1139" s="92">
        <v>0</v>
      </c>
      <c r="T1139" s="92">
        <v>0</v>
      </c>
      <c r="U1139" s="137">
        <v>0</v>
      </c>
      <c r="V1139" s="126" t="str">
        <f t="shared" si="34"/>
        <v>❌ Not on Best Plan</v>
      </c>
      <c r="W1139" s="130">
        <f>IFERROR(_xlfn.XLOOKUP(TEXT(H1139,"0000000000"),'📞 Call Tracker'!A$2:A$2000,'📞 Call Tracker'!B$2:B$2000,""),"")</f>
        <v>0</v>
      </c>
      <c r="X1139" s="96">
        <f>IFERROR(_xlfn.XLOOKUP(TEXT(H1139,"0000000000"),'📞 Call Tracker'!A$2:A$2000,'📞 Call Tracker'!C$2:C$2000,""),"")</f>
        <v>0</v>
      </c>
      <c r="Y1139" s="95">
        <f>IFERROR(_xlfn.XLOOKUP(TEXT(H1139,"0000000000"),'📞 Call Tracker'!A$2:A$2000,'📞 Call Tracker'!D$2:D$2000,""),"")</f>
        <v>0</v>
      </c>
      <c r="Z1139" s="95">
        <f>IFERROR(_xlfn.XLOOKUP(TEXT(H1139,"0000000000"),'📞 Call Tracker'!A$2:A$2000,'📞 Call Tracker'!E$2:E$2000,""),"")</f>
        <v>0</v>
      </c>
      <c r="AA1139" s="145">
        <f>IFERROR(_xlfn.XLOOKUP(TEXT(H1139,"0000000000"),'📞 Call Tracker'!A$2:A$2000,'📞 Call Tracker'!F$2:F$2000,""),"")</f>
        <v>0</v>
      </c>
      <c r="AB1139" s="132">
        <f t="shared" si="35"/>
        <v>99</v>
      </c>
      <c r="AC1139" s="79"/>
    </row>
    <row r="1140" spans="1:29" ht="20.100000000000001" customHeight="1">
      <c r="A1140" s="91">
        <v>46049</v>
      </c>
      <c r="B1140" s="92" t="str">
        <v>Brewer</v>
      </c>
      <c r="C1140" s="92" t="str">
        <v>Kelly</v>
      </c>
      <c r="D1140" s="92" t="str">
        <v>Prescott</v>
      </c>
      <c r="E1140" s="92">
        <v>86303</v>
      </c>
      <c r="F1140" s="137" t="str">
        <v>No price increase. APS is price gauging. They spent millions to keep solar energy out of Arizona.</v>
      </c>
      <c r="G1140" s="93" t="str">
        <v>https://docket.images.azcc.gov/E000048921.pdf</v>
      </c>
      <c r="H1140" s="150" t="s">
        <v>4183</v>
      </c>
      <c r="I1140" s="114" t="str">
        <v>R-XS</v>
      </c>
      <c r="J1140" s="94" t="str">
        <v>No</v>
      </c>
      <c r="K1140" s="94" t="str">
        <v>No</v>
      </c>
      <c r="L1140" s="137" t="str">
        <v>Yes</v>
      </c>
      <c r="M1140" s="94" t="str">
        <v>No</v>
      </c>
      <c r="N1140" s="134" t="str">
        <v>No</v>
      </c>
      <c r="O1140" s="119" t="str">
        <v>Yes</v>
      </c>
      <c r="P1140" s="92" t="str">
        <v>N</v>
      </c>
      <c r="Q1140" s="91">
        <v>46057</v>
      </c>
      <c r="R1140" s="140">
        <v>0</v>
      </c>
      <c r="S1140" s="92">
        <v>0</v>
      </c>
      <c r="T1140" s="92">
        <v>0</v>
      </c>
      <c r="U1140" s="137">
        <v>0</v>
      </c>
      <c r="V1140" s="126" t="str">
        <f t="shared" si="34"/>
        <v>✅ On Best Plan</v>
      </c>
      <c r="W1140" s="130">
        <f>IFERROR(_xlfn.XLOOKUP(TEXT(H1140,"0000000000"),'📞 Call Tracker'!A$2:A$2000,'📞 Call Tracker'!B$2:B$2000,""),"")</f>
        <v>0</v>
      </c>
      <c r="X1140" s="96">
        <f>IFERROR(_xlfn.XLOOKUP(TEXT(H1140,"0000000000"),'📞 Call Tracker'!A$2:A$2000,'📞 Call Tracker'!C$2:C$2000,""),"")</f>
        <v>0</v>
      </c>
      <c r="Y1140" s="95">
        <f>IFERROR(_xlfn.XLOOKUP(TEXT(H1140,"0000000000"),'📞 Call Tracker'!A$2:A$2000,'📞 Call Tracker'!D$2:D$2000,""),"")</f>
        <v>0</v>
      </c>
      <c r="Z1140" s="95">
        <f>IFERROR(_xlfn.XLOOKUP(TEXT(H1140,"0000000000"),'📞 Call Tracker'!A$2:A$2000,'📞 Call Tracker'!E$2:E$2000,""),"")</f>
        <v>0</v>
      </c>
      <c r="AA1140" s="145">
        <f>IFERROR(_xlfn.XLOOKUP(TEXT(H1140,"0000000000"),'📞 Call Tracker'!A$2:A$2000,'📞 Call Tracker'!F$2:F$2000,""),"")</f>
        <v>0</v>
      </c>
      <c r="AB1140" s="132">
        <f t="shared" si="35"/>
        <v>99</v>
      </c>
      <c r="AC1140" s="79"/>
    </row>
    <row r="1141" spans="1:29" ht="20.100000000000001" customHeight="1">
      <c r="A1141" s="91">
        <v>46049</v>
      </c>
      <c r="B1141" s="92" t="str">
        <v>Jones</v>
      </c>
      <c r="C1141" s="92" t="str">
        <v>Tracy</v>
      </c>
      <c r="D1141" s="92" t="str">
        <v>Phoenix</v>
      </c>
      <c r="E1141" s="92">
        <v>85032</v>
      </c>
      <c r="F1141" s="137" t="str">
        <v>Stop this current rate hike</v>
      </c>
      <c r="G1141" s="93" t="str">
        <v>https://docket.images.azcc.gov/E000048921.pdf</v>
      </c>
      <c r="H1141" s="150" t="s">
        <v>4186</v>
      </c>
      <c r="I1141" s="114" t="str">
        <v>R3-47</v>
      </c>
      <c r="J1141" s="94" t="str">
        <v>Yes</v>
      </c>
      <c r="K1141" s="94" t="str">
        <v>No</v>
      </c>
      <c r="L1141" s="137" t="str">
        <v>Yes</v>
      </c>
      <c r="M1141" s="94" t="str">
        <v>No</v>
      </c>
      <c r="N1141" s="134" t="str">
        <v>No</v>
      </c>
      <c r="O1141" s="119" t="str">
        <v>Yes</v>
      </c>
      <c r="P1141" s="92" t="str">
        <v>N</v>
      </c>
      <c r="Q1141" s="91">
        <v>46057</v>
      </c>
      <c r="R1141" s="140" t="str">
        <v>Past account has write off balance</v>
      </c>
      <c r="S1141" s="92">
        <v>0</v>
      </c>
      <c r="T1141" s="92">
        <v>0</v>
      </c>
      <c r="U1141" s="137">
        <v>0</v>
      </c>
      <c r="V1141" s="126" t="str">
        <f t="shared" si="34"/>
        <v>✅ On Best Plan</v>
      </c>
      <c r="W1141" s="130">
        <f>IFERROR(_xlfn.XLOOKUP(TEXT(H1141,"0000000000"),'📞 Call Tracker'!A$2:A$2000,'📞 Call Tracker'!B$2:B$2000,""),"")</f>
        <v>0</v>
      </c>
      <c r="X1141" s="96">
        <f>IFERROR(_xlfn.XLOOKUP(TEXT(H1141,"0000000000"),'📞 Call Tracker'!A$2:A$2000,'📞 Call Tracker'!C$2:C$2000,""),"")</f>
        <v>0</v>
      </c>
      <c r="Y1141" s="95">
        <f>IFERROR(_xlfn.XLOOKUP(TEXT(H1141,"0000000000"),'📞 Call Tracker'!A$2:A$2000,'📞 Call Tracker'!D$2:D$2000,""),"")</f>
        <v>0</v>
      </c>
      <c r="Z1141" s="95">
        <f>IFERROR(_xlfn.XLOOKUP(TEXT(H1141,"0000000000"),'📞 Call Tracker'!A$2:A$2000,'📞 Call Tracker'!E$2:E$2000,""),"")</f>
        <v>0</v>
      </c>
      <c r="AA1141" s="145">
        <f>IFERROR(_xlfn.XLOOKUP(TEXT(H1141,"0000000000"),'📞 Call Tracker'!A$2:A$2000,'📞 Call Tracker'!F$2:F$2000,""),"")</f>
        <v>0</v>
      </c>
      <c r="AB1141" s="132">
        <f t="shared" si="35"/>
        <v>99</v>
      </c>
      <c r="AC1141" s="79"/>
    </row>
    <row r="1142" spans="1:29" ht="20.100000000000001" customHeight="1">
      <c r="A1142" s="91">
        <v>46049</v>
      </c>
      <c r="B1142" s="92" t="str">
        <v>Masingale</v>
      </c>
      <c r="C1142" s="92" t="str">
        <v>Drayanna</v>
      </c>
      <c r="D1142" s="92" t="str">
        <v>Phoenix</v>
      </c>
      <c r="E1142" s="92">
        <v>85029</v>
      </c>
      <c r="F1142" s="137" t="str">
        <v>Seniors; We are already down to remen daily if we want our Rx or no meds if we eat a roast.</v>
      </c>
      <c r="G1142" s="93" t="str">
        <v>https://docket.images.azcc.gov/E000048921.pdf</v>
      </c>
      <c r="H1142" s="150" t="s">
        <v>4196</v>
      </c>
      <c r="I1142" s="114" t="str">
        <v>R-XS</v>
      </c>
      <c r="J1142" s="94" t="str">
        <v>No</v>
      </c>
      <c r="K1142" s="94" t="str">
        <v>No</v>
      </c>
      <c r="L1142" s="137" t="str">
        <v>Yes</v>
      </c>
      <c r="M1142" s="94" t="str">
        <v>No</v>
      </c>
      <c r="N1142" s="134" t="str">
        <v>No</v>
      </c>
      <c r="O1142" s="119" t="str">
        <v>Yes</v>
      </c>
      <c r="P1142" s="92" t="str">
        <v>N</v>
      </c>
      <c r="Q1142" s="91">
        <v>46057</v>
      </c>
      <c r="R1142" s="140">
        <v>0</v>
      </c>
      <c r="S1142" s="92">
        <v>0</v>
      </c>
      <c r="T1142" s="92">
        <v>0</v>
      </c>
      <c r="U1142" s="137">
        <v>0</v>
      </c>
      <c r="V1142" s="126" t="str">
        <f t="shared" si="34"/>
        <v>✅ On Best Plan</v>
      </c>
      <c r="W1142" s="130">
        <f>IFERROR(_xlfn.XLOOKUP(TEXT(H1142,"0000000000"),'📞 Call Tracker'!A$2:A$2000,'📞 Call Tracker'!B$2:B$2000,""),"")</f>
        <v>0</v>
      </c>
      <c r="X1142" s="96">
        <f>IFERROR(_xlfn.XLOOKUP(TEXT(H1142,"0000000000"),'📞 Call Tracker'!A$2:A$2000,'📞 Call Tracker'!C$2:C$2000,""),"")</f>
        <v>0</v>
      </c>
      <c r="Y1142" s="95">
        <f>IFERROR(_xlfn.XLOOKUP(TEXT(H1142,"0000000000"),'📞 Call Tracker'!A$2:A$2000,'📞 Call Tracker'!D$2:D$2000,""),"")</f>
        <v>0</v>
      </c>
      <c r="Z1142" s="95">
        <f>IFERROR(_xlfn.XLOOKUP(TEXT(H1142,"0000000000"),'📞 Call Tracker'!A$2:A$2000,'📞 Call Tracker'!E$2:E$2000,""),"")</f>
        <v>0</v>
      </c>
      <c r="AA1142" s="145">
        <f>IFERROR(_xlfn.XLOOKUP(TEXT(H1142,"0000000000"),'📞 Call Tracker'!A$2:A$2000,'📞 Call Tracker'!F$2:F$2000,""),"")</f>
        <v>0</v>
      </c>
      <c r="AB1142" s="132">
        <f t="shared" si="35"/>
        <v>99</v>
      </c>
      <c r="AC1142" s="79"/>
    </row>
    <row r="1143" spans="1:29" ht="20.100000000000001" customHeight="1">
      <c r="A1143" s="91">
        <v>46049</v>
      </c>
      <c r="B1143" s="92" t="str">
        <v>Rasor</v>
      </c>
      <c r="C1143" s="92" t="str">
        <v>Nikki</v>
      </c>
      <c r="D1143" s="92" t="str">
        <v>Goodyear</v>
      </c>
      <c r="E1143" s="92">
        <v>85395</v>
      </c>
      <c r="F1143" s="137" t="str">
        <v>Against yet ANOTHER rate increase.</v>
      </c>
      <c r="G1143" s="93" t="str">
        <v>https://docket.images.azcc.gov/E000048921.pdf</v>
      </c>
      <c r="H1143" s="150" t="s">
        <v>4201</v>
      </c>
      <c r="I1143" s="114" t="str">
        <v>R-2</v>
      </c>
      <c r="J1143" s="94" t="str">
        <v>No</v>
      </c>
      <c r="K1143" s="94" t="str">
        <v>No</v>
      </c>
      <c r="L1143" s="137" t="str">
        <v>Frozen Plan</v>
      </c>
      <c r="M1143" s="94" t="str">
        <v>Noe</v>
      </c>
      <c r="N1143" s="134" t="str">
        <v>No</v>
      </c>
      <c r="O1143" s="119" t="str">
        <v>Yes</v>
      </c>
      <c r="P1143" s="92" t="str">
        <v>N</v>
      </c>
      <c r="Q1143" s="91">
        <v>45692</v>
      </c>
      <c r="R1143" s="140">
        <v>0</v>
      </c>
      <c r="S1143" s="92">
        <v>0</v>
      </c>
      <c r="T1143" s="92">
        <v>0</v>
      </c>
      <c r="U1143" s="137">
        <v>0</v>
      </c>
      <c r="V1143" s="126" t="str">
        <f t="shared" si="34"/>
        <v>❄ Frozen Rate</v>
      </c>
      <c r="W1143" s="130">
        <f>IFERROR(_xlfn.XLOOKUP(TEXT(H1143,"0000000000"),'📞 Call Tracker'!A$2:A$2000,'📞 Call Tracker'!B$2:B$2000,""),"")</f>
        <v>0</v>
      </c>
      <c r="X1143" s="96">
        <f>IFERROR(_xlfn.XLOOKUP(TEXT(H1143,"0000000000"),'📞 Call Tracker'!A$2:A$2000,'📞 Call Tracker'!C$2:C$2000,""),"")</f>
        <v>0</v>
      </c>
      <c r="Y1143" s="95">
        <f>IFERROR(_xlfn.XLOOKUP(TEXT(H1143,"0000000000"),'📞 Call Tracker'!A$2:A$2000,'📞 Call Tracker'!D$2:D$2000,""),"")</f>
        <v>0</v>
      </c>
      <c r="Z1143" s="95">
        <f>IFERROR(_xlfn.XLOOKUP(TEXT(H1143,"0000000000"),'📞 Call Tracker'!A$2:A$2000,'📞 Call Tracker'!E$2:E$2000,""),"")</f>
        <v>0</v>
      </c>
      <c r="AA1143" s="145">
        <f>IFERROR(_xlfn.XLOOKUP(TEXT(H1143,"0000000000"),'📞 Call Tracker'!A$2:A$2000,'📞 Call Tracker'!F$2:F$2000,""),"")</f>
        <v>0</v>
      </c>
      <c r="AB1143" s="132">
        <f t="shared" si="35"/>
        <v>99</v>
      </c>
      <c r="AC1143" s="79"/>
    </row>
    <row r="1144" spans="1:29" ht="20.100000000000001" customHeight="1">
      <c r="A1144" s="91">
        <v>46049</v>
      </c>
      <c r="B1144" s="92" t="str">
        <v>Harris</v>
      </c>
      <c r="C1144" s="92" t="str">
        <v>Kelli</v>
      </c>
      <c r="D1144" s="92" t="str">
        <v>Goodyear</v>
      </c>
      <c r="E1144" s="92">
        <v>85395</v>
      </c>
      <c r="F1144" s="137" t="str">
        <v>APS is receiving over millions of dollars and this price increase would negatively affect our families</v>
      </c>
      <c r="G1144" s="93" t="str">
        <v>https://docket.images.azcc.gov/E000048921.pdf</v>
      </c>
      <c r="H1144" s="150" t="s">
        <v>4207</v>
      </c>
      <c r="I1144" s="114" t="str">
        <v>RTOUE47</v>
      </c>
      <c r="J1144" s="94" t="str">
        <v>No</v>
      </c>
      <c r="K1144" s="94" t="str">
        <v>No</v>
      </c>
      <c r="L1144" s="137" t="str">
        <v>Yes</v>
      </c>
      <c r="M1144" s="94" t="str">
        <v>No</v>
      </c>
      <c r="N1144" s="134" t="str">
        <v>No</v>
      </c>
      <c r="O1144" s="119" t="str">
        <v>Yes</v>
      </c>
      <c r="P1144" s="92" t="str">
        <v>N</v>
      </c>
      <c r="Q1144" s="91">
        <v>46057</v>
      </c>
      <c r="R1144" s="140">
        <v>0</v>
      </c>
      <c r="S1144" s="92">
        <v>0</v>
      </c>
      <c r="T1144" s="92">
        <v>0</v>
      </c>
      <c r="U1144" s="137">
        <v>0</v>
      </c>
      <c r="V1144" s="126" t="str">
        <f t="shared" si="34"/>
        <v>✅ On Best Plan</v>
      </c>
      <c r="W1144" s="130">
        <f>IFERROR(_xlfn.XLOOKUP(TEXT(H1144,"0000000000"),'📞 Call Tracker'!A$2:A$2000,'📞 Call Tracker'!B$2:B$2000,""),"")</f>
        <v>0</v>
      </c>
      <c r="X1144" s="96">
        <f>IFERROR(_xlfn.XLOOKUP(TEXT(H1144,"0000000000"),'📞 Call Tracker'!A$2:A$2000,'📞 Call Tracker'!C$2:C$2000,""),"")</f>
        <v>0</v>
      </c>
      <c r="Y1144" s="95">
        <f>IFERROR(_xlfn.XLOOKUP(TEXT(H1144,"0000000000"),'📞 Call Tracker'!A$2:A$2000,'📞 Call Tracker'!D$2:D$2000,""),"")</f>
        <v>0</v>
      </c>
      <c r="Z1144" s="95">
        <f>IFERROR(_xlfn.XLOOKUP(TEXT(H1144,"0000000000"),'📞 Call Tracker'!A$2:A$2000,'📞 Call Tracker'!E$2:E$2000,""),"")</f>
        <v>0</v>
      </c>
      <c r="AA1144" s="145">
        <f>IFERROR(_xlfn.XLOOKUP(TEXT(H1144,"0000000000"),'📞 Call Tracker'!A$2:A$2000,'📞 Call Tracker'!F$2:F$2000,""),"")</f>
        <v>0</v>
      </c>
      <c r="AB1144" s="132">
        <f t="shared" si="35"/>
        <v>99</v>
      </c>
      <c r="AC1144" s="79"/>
    </row>
    <row r="1145" spans="1:29" ht="20.100000000000001" customHeight="1">
      <c r="A1145" s="91">
        <v>46049</v>
      </c>
      <c r="B1145" s="92" t="str">
        <v>Guerena</v>
      </c>
      <c r="C1145" s="92" t="str">
        <v>Dan</v>
      </c>
      <c r="D1145" s="92" t="str">
        <v>Globe</v>
      </c>
      <c r="E1145" s="92">
        <v>85501</v>
      </c>
      <c r="F1145" s="137" t="str">
        <v>We don't need a rate increase. We pay enough as is. We have other things to pay for as well.</v>
      </c>
      <c r="G1145" s="93" t="str">
        <v>https://docket.images.azcc.gov/E000048921.pdf</v>
      </c>
      <c r="H1145" s="150" t="s">
        <v>4210</v>
      </c>
      <c r="I1145" s="114" t="str">
        <v>R-XS</v>
      </c>
      <c r="J1145" s="94" t="str">
        <v>No</v>
      </c>
      <c r="K1145" s="94" t="str">
        <v>No</v>
      </c>
      <c r="L1145" s="137" t="str">
        <v>Yes</v>
      </c>
      <c r="M1145" s="94" t="str">
        <v>No</v>
      </c>
      <c r="N1145" s="134" t="str">
        <v>No</v>
      </c>
      <c r="O1145" s="119" t="str">
        <v>Yes</v>
      </c>
      <c r="P1145" s="92" t="str">
        <v>N</v>
      </c>
      <c r="Q1145" s="91">
        <v>46057</v>
      </c>
      <c r="R1145" s="140">
        <v>0</v>
      </c>
      <c r="S1145" s="92">
        <v>0</v>
      </c>
      <c r="T1145" s="92">
        <v>0</v>
      </c>
      <c r="U1145" s="137">
        <v>0</v>
      </c>
      <c r="V1145" s="126" t="str">
        <f t="shared" si="34"/>
        <v>✅ On Best Plan</v>
      </c>
      <c r="W1145" s="130">
        <f>IFERROR(_xlfn.XLOOKUP(TEXT(H1145,"0000000000"),'📞 Call Tracker'!A$2:A$2000,'📞 Call Tracker'!B$2:B$2000,""),"")</f>
        <v>0</v>
      </c>
      <c r="X1145" s="96">
        <f>IFERROR(_xlfn.XLOOKUP(TEXT(H1145,"0000000000"),'📞 Call Tracker'!A$2:A$2000,'📞 Call Tracker'!C$2:C$2000,""),"")</f>
        <v>0</v>
      </c>
      <c r="Y1145" s="95">
        <f>IFERROR(_xlfn.XLOOKUP(TEXT(H1145,"0000000000"),'📞 Call Tracker'!A$2:A$2000,'📞 Call Tracker'!D$2:D$2000,""),"")</f>
        <v>0</v>
      </c>
      <c r="Z1145" s="95">
        <f>IFERROR(_xlfn.XLOOKUP(TEXT(H1145,"0000000000"),'📞 Call Tracker'!A$2:A$2000,'📞 Call Tracker'!E$2:E$2000,""),"")</f>
        <v>0</v>
      </c>
      <c r="AA1145" s="145">
        <f>IFERROR(_xlfn.XLOOKUP(TEXT(H1145,"0000000000"),'📞 Call Tracker'!A$2:A$2000,'📞 Call Tracker'!F$2:F$2000,""),"")</f>
        <v>0</v>
      </c>
      <c r="AB1145" s="132">
        <f t="shared" si="35"/>
        <v>99</v>
      </c>
      <c r="AC1145" s="79"/>
    </row>
    <row r="1146" spans="1:29" ht="20.100000000000001" customHeight="1">
      <c r="A1146" s="91">
        <v>46049</v>
      </c>
      <c r="B1146" s="92" t="str">
        <v>Martin</v>
      </c>
      <c r="C1146" s="92" t="str">
        <v>James</v>
      </c>
      <c r="D1146" s="92" t="str">
        <v>Glendale</v>
      </c>
      <c r="E1146" s="92">
        <v>85304</v>
      </c>
      <c r="F1146" s="137" t="str">
        <v xml:space="preserve"> l'm a senior citizen on a fixed income and they are already profiting millions of dollars a year</v>
      </c>
      <c r="G1146" s="93" t="str">
        <v>https://docket.images.azcc.gov/E000048921.pdf</v>
      </c>
      <c r="H1146" s="150" t="s">
        <v>4214</v>
      </c>
      <c r="I1146" s="114" t="str">
        <v>EPR6w/ET-2</v>
      </c>
      <c r="J1146" s="94" t="str">
        <v>Yes</v>
      </c>
      <c r="K1146" s="94" t="str">
        <v>No</v>
      </c>
      <c r="L1146" s="137" t="str">
        <v>Frozen Plan</v>
      </c>
      <c r="M1146" s="94" t="str">
        <v>No</v>
      </c>
      <c r="N1146" s="134" t="str">
        <v>No</v>
      </c>
      <c r="O1146" s="119" t="str">
        <v>Yes</v>
      </c>
      <c r="P1146" s="92" t="str">
        <v>N</v>
      </c>
      <c r="Q1146" s="91">
        <v>46057</v>
      </c>
      <c r="R1146" s="140">
        <v>0</v>
      </c>
      <c r="S1146" s="92">
        <v>0</v>
      </c>
      <c r="T1146" s="92">
        <v>0</v>
      </c>
      <c r="U1146" s="137">
        <v>0</v>
      </c>
      <c r="V1146" s="126" t="str">
        <f t="shared" si="34"/>
        <v>❄ Frozen Rate</v>
      </c>
      <c r="W1146" s="130">
        <f>IFERROR(_xlfn.XLOOKUP(TEXT(H1146,"0000000000"),'📞 Call Tracker'!A$2:A$2000,'📞 Call Tracker'!B$2:B$2000,""),"")</f>
        <v>0</v>
      </c>
      <c r="X1146" s="96">
        <f>IFERROR(_xlfn.XLOOKUP(TEXT(H1146,"0000000000"),'📞 Call Tracker'!A$2:A$2000,'📞 Call Tracker'!C$2:C$2000,""),"")</f>
        <v>0</v>
      </c>
      <c r="Y1146" s="95">
        <f>IFERROR(_xlfn.XLOOKUP(TEXT(H1146,"0000000000"),'📞 Call Tracker'!A$2:A$2000,'📞 Call Tracker'!D$2:D$2000,""),"")</f>
        <v>0</v>
      </c>
      <c r="Z1146" s="95">
        <f>IFERROR(_xlfn.XLOOKUP(TEXT(H1146,"0000000000"),'📞 Call Tracker'!A$2:A$2000,'📞 Call Tracker'!E$2:E$2000,""),"")</f>
        <v>0</v>
      </c>
      <c r="AA1146" s="145">
        <f>IFERROR(_xlfn.XLOOKUP(TEXT(H1146,"0000000000"),'📞 Call Tracker'!A$2:A$2000,'📞 Call Tracker'!F$2:F$2000,""),"")</f>
        <v>0</v>
      </c>
      <c r="AB1146" s="132">
        <f t="shared" si="35"/>
        <v>99</v>
      </c>
      <c r="AC1146" s="79"/>
    </row>
    <row r="1147" spans="1:29" ht="20.100000000000001" customHeight="1">
      <c r="A1147" s="91">
        <v>46049</v>
      </c>
      <c r="B1147" s="92" t="str">
        <v>Richardson</v>
      </c>
      <c r="C1147" s="92" t="str">
        <v>Danielle</v>
      </c>
      <c r="D1147" s="92" t="str">
        <v>Scottsdale</v>
      </c>
      <c r="E1147" s="92">
        <v>85254</v>
      </c>
      <c r="F1147" s="137" t="str">
        <v>This hike will hurt me and make me choose food or electricity. We do everything we can to conserve energy</v>
      </c>
      <c r="G1147" s="93" t="str">
        <v>https://docket.images.azcc.gov/E000048921.pdf</v>
      </c>
      <c r="H1147" s="150" t="s">
        <v>4223</v>
      </c>
      <c r="I1147" s="114" t="str">
        <v>RTOUE47</v>
      </c>
      <c r="J1147" s="94" t="str">
        <v>No</v>
      </c>
      <c r="K1147" s="94" t="str">
        <v>No</v>
      </c>
      <c r="L1147" s="137" t="str">
        <v>No MEP R3-47 ($239.72)</v>
      </c>
      <c r="M1147" s="94" t="str">
        <v>No</v>
      </c>
      <c r="N1147" s="134" t="str">
        <v>No</v>
      </c>
      <c r="O1147" s="119" t="str">
        <v>Yes</v>
      </c>
      <c r="P1147" s="92">
        <v>0</v>
      </c>
      <c r="Q1147" s="91">
        <v>46057</v>
      </c>
      <c r="R1147" s="140" t="str">
        <v>Please contact customer regarding plan options</v>
      </c>
      <c r="S1147" s="92">
        <v>0</v>
      </c>
      <c r="T1147" s="92">
        <v>0</v>
      </c>
      <c r="U1147" s="137">
        <v>0</v>
      </c>
      <c r="V1147" s="126" t="str">
        <f t="shared" si="34"/>
        <v>❌ Not on Best Plan</v>
      </c>
      <c r="W1147" s="130">
        <f>IFERROR(_xlfn.XLOOKUP(TEXT(H1147,"0000000000"),'📞 Call Tracker'!A$2:A$2000,'📞 Call Tracker'!B$2:B$2000,""),"")</f>
        <v>0</v>
      </c>
      <c r="X1147" s="96">
        <f>IFERROR(_xlfn.XLOOKUP(TEXT(H1147,"0000000000"),'📞 Call Tracker'!A$2:A$2000,'📞 Call Tracker'!C$2:C$2000,""),"")</f>
        <v>0</v>
      </c>
      <c r="Y1147" s="95">
        <f>IFERROR(_xlfn.XLOOKUP(TEXT(H1147,"0000000000"),'📞 Call Tracker'!A$2:A$2000,'📞 Call Tracker'!D$2:D$2000,""),"")</f>
        <v>0</v>
      </c>
      <c r="Z1147" s="95">
        <f>IFERROR(_xlfn.XLOOKUP(TEXT(H1147,"0000000000"),'📞 Call Tracker'!A$2:A$2000,'📞 Call Tracker'!E$2:E$2000,""),"")</f>
        <v>0</v>
      </c>
      <c r="AA1147" s="145">
        <f>IFERROR(_xlfn.XLOOKUP(TEXT(H1147,"0000000000"),'📞 Call Tracker'!A$2:A$2000,'📞 Call Tracker'!F$2:F$2000,""),"")</f>
        <v>0</v>
      </c>
      <c r="AB1147" s="132">
        <f t="shared" si="35"/>
        <v>99</v>
      </c>
      <c r="AC1147" s="79"/>
    </row>
    <row r="1148" spans="1:29" ht="20.100000000000001" customHeight="1">
      <c r="A1148" s="97">
        <v>46049</v>
      </c>
      <c r="B1148" s="98" t="str">
        <v>Terrones</v>
      </c>
      <c r="C1148" s="98" t="str">
        <v>Sharice</v>
      </c>
      <c r="D1148" s="98" t="str">
        <v>Peoria</v>
      </c>
      <c r="E1148" s="99">
        <v>85345</v>
      </c>
      <c r="F1148" s="138" t="str">
        <v>I urge the commission and APS to consider alternative solutions that do not disproportionately impact customers</v>
      </c>
      <c r="G1148" s="100" t="str">
        <v>https://docket.images.azcc.gov/E000048921.pdf</v>
      </c>
      <c r="H1148" s="151" t="s">
        <v>4230</v>
      </c>
      <c r="I1148" s="115" t="str">
        <v>R-2</v>
      </c>
      <c r="J1148" s="110" t="str">
        <v>No</v>
      </c>
      <c r="K1148" s="101" t="str">
        <v>No</v>
      </c>
      <c r="L1148" s="138" t="str">
        <v>Frozen Plan</v>
      </c>
      <c r="M1148" s="101" t="str">
        <v>No</v>
      </c>
      <c r="N1148" s="135" t="str">
        <v>No</v>
      </c>
      <c r="O1148" s="120" t="str">
        <v>Yes</v>
      </c>
      <c r="P1148" s="102" t="str">
        <v>N</v>
      </c>
      <c r="Q1148" s="123">
        <v>46057</v>
      </c>
      <c r="R1148" s="141">
        <v>0</v>
      </c>
      <c r="S1148" s="98">
        <v>0</v>
      </c>
      <c r="T1148" s="98">
        <v>0</v>
      </c>
      <c r="U1148" s="143">
        <v>0</v>
      </c>
      <c r="V1148" s="126" t="str">
        <f t="shared" si="34"/>
        <v>❄ Frozen Rate</v>
      </c>
      <c r="W1148" s="130">
        <f>IFERROR(_xlfn.XLOOKUP(TEXT(H1148,"0000000000"),'📞 Call Tracker'!A$2:A$2000,'📞 Call Tracker'!B$2:B$2000,""),"")</f>
        <v>0</v>
      </c>
      <c r="X1148" s="96">
        <f>IFERROR(_xlfn.XLOOKUP(TEXT(H1148,"0000000000"),'📞 Call Tracker'!A$2:A$2000,'📞 Call Tracker'!C$2:C$2000,""),"")</f>
        <v>0</v>
      </c>
      <c r="Y1148" s="95">
        <f>IFERROR(_xlfn.XLOOKUP(TEXT(H1148,"0000000000"),'📞 Call Tracker'!A$2:A$2000,'📞 Call Tracker'!D$2:D$2000,""),"")</f>
        <v>0</v>
      </c>
      <c r="Z1148" s="95">
        <f>IFERROR(_xlfn.XLOOKUP(TEXT(H1148,"0000000000"),'📞 Call Tracker'!A$2:A$2000,'📞 Call Tracker'!E$2:E$2000,""),"")</f>
        <v>0</v>
      </c>
      <c r="AA1148" s="145">
        <f>IFERROR(_xlfn.XLOOKUP(TEXT(H1148,"0000000000"),'📞 Call Tracker'!A$2:A$2000,'📞 Call Tracker'!F$2:F$2000,""),"")</f>
        <v>0</v>
      </c>
      <c r="AB1148" s="132">
        <f t="shared" si="35"/>
        <v>99</v>
      </c>
      <c r="AC1148" s="79"/>
    </row>
    <row r="1149" spans="1:29" ht="20.100000000000001" customHeight="1">
      <c r="A1149" s="97">
        <v>46049</v>
      </c>
      <c r="B1149" s="98" t="str">
        <v>Lawhead</v>
      </c>
      <c r="C1149" s="98" t="str">
        <v>Jon</v>
      </c>
      <c r="D1149" s="98" t="str">
        <v>Rimrock</v>
      </c>
      <c r="E1149" s="99">
        <v>86335</v>
      </c>
      <c r="F1149" s="138" t="str">
        <v>l'll not pay more. l'II go off the grid</v>
      </c>
      <c r="G1149" s="100" t="str">
        <v>https://docket.images.azcc.gov/E000048921.pdf</v>
      </c>
      <c r="H1149" s="151" t="s">
        <v>4233</v>
      </c>
      <c r="I1149" s="115" t="str">
        <v>RTOUE47</v>
      </c>
      <c r="J1149" s="110" t="str">
        <v>No</v>
      </c>
      <c r="K1149" s="101" t="str">
        <v>No</v>
      </c>
      <c r="L1149" s="138" t="str">
        <v>No MEP R-BASIC ($73.44)</v>
      </c>
      <c r="M1149" s="101" t="str">
        <v>No</v>
      </c>
      <c r="N1149" s="135" t="str">
        <v>No</v>
      </c>
      <c r="O1149" s="120" t="str">
        <v>Yes</v>
      </c>
      <c r="P1149" s="102" t="str">
        <v>N</v>
      </c>
      <c r="Q1149" s="123">
        <v>46057</v>
      </c>
      <c r="R1149" s="141">
        <v>0</v>
      </c>
      <c r="S1149" s="98">
        <v>0</v>
      </c>
      <c r="T1149" s="98">
        <v>0</v>
      </c>
      <c r="U1149" s="143">
        <v>0</v>
      </c>
      <c r="V1149" s="126" t="str">
        <f t="shared" si="34"/>
        <v>❌ Not on Best Plan</v>
      </c>
      <c r="W1149" s="130">
        <f>IFERROR(_xlfn.XLOOKUP(TEXT(H1149,"0000000000"),'📞 Call Tracker'!A$2:A$2000,'📞 Call Tracker'!B$2:B$2000,""),"")</f>
        <v>0</v>
      </c>
      <c r="X1149" s="96">
        <f>IFERROR(_xlfn.XLOOKUP(TEXT(H1149,"0000000000"),'📞 Call Tracker'!A$2:A$2000,'📞 Call Tracker'!C$2:C$2000,""),"")</f>
        <v>0</v>
      </c>
      <c r="Y1149" s="95">
        <f>IFERROR(_xlfn.XLOOKUP(TEXT(H1149,"0000000000"),'📞 Call Tracker'!A$2:A$2000,'📞 Call Tracker'!D$2:D$2000,""),"")</f>
        <v>0</v>
      </c>
      <c r="Z1149" s="95">
        <f>IFERROR(_xlfn.XLOOKUP(TEXT(H1149,"0000000000"),'📞 Call Tracker'!A$2:A$2000,'📞 Call Tracker'!E$2:E$2000,""),"")</f>
        <v>0</v>
      </c>
      <c r="AA1149" s="145">
        <f>IFERROR(_xlfn.XLOOKUP(TEXT(H1149,"0000000000"),'📞 Call Tracker'!A$2:A$2000,'📞 Call Tracker'!F$2:F$2000,""),"")</f>
        <v>0</v>
      </c>
      <c r="AB1149" s="132">
        <f t="shared" si="35"/>
        <v>99</v>
      </c>
      <c r="AC1149" s="79"/>
    </row>
    <row r="1150" spans="1:29" ht="20.100000000000001" customHeight="1">
      <c r="A1150" s="97">
        <v>46049</v>
      </c>
      <c r="B1150" s="98" t="str">
        <v>Colcord</v>
      </c>
      <c r="C1150" s="98" t="str">
        <v>Lisa</v>
      </c>
      <c r="D1150" s="98" t="str">
        <v>Phoenix</v>
      </c>
      <c r="E1150" s="99">
        <v>85022</v>
      </c>
      <c r="F1150" s="138" t="str">
        <v>APS already makes millions off of us. Corporate greed is a pox on society and the people deserve better.</v>
      </c>
      <c r="G1150" s="100" t="str">
        <v>https://docket.images.azcc.gov/E000048921.pdf</v>
      </c>
      <c r="H1150" s="151" t="s">
        <v>4238</v>
      </c>
      <c r="I1150" s="115" t="str">
        <v>EPR6w/ET-2</v>
      </c>
      <c r="J1150" s="110" t="str">
        <v>No</v>
      </c>
      <c r="K1150" s="101" t="str">
        <v>No</v>
      </c>
      <c r="L1150" s="138" t="str">
        <v>Frozen Plan</v>
      </c>
      <c r="M1150" s="101" t="str">
        <v>No</v>
      </c>
      <c r="N1150" s="135" t="str">
        <v>No</v>
      </c>
      <c r="O1150" s="120" t="str">
        <v>Yes</v>
      </c>
      <c r="P1150" s="102" t="str">
        <v>N</v>
      </c>
      <c r="Q1150" s="123">
        <v>46057</v>
      </c>
      <c r="R1150" s="141">
        <v>0</v>
      </c>
      <c r="S1150" s="98">
        <v>0</v>
      </c>
      <c r="T1150" s="98">
        <v>0</v>
      </c>
      <c r="U1150" s="143">
        <v>0</v>
      </c>
      <c r="V1150" s="126" t="str">
        <f t="shared" si="34"/>
        <v>❄ Frozen Rate</v>
      </c>
      <c r="W1150" s="130">
        <f>IFERROR(_xlfn.XLOOKUP(TEXT(H1150,"0000000000"),'📞 Call Tracker'!A$2:A$2000,'📞 Call Tracker'!B$2:B$2000,""),"")</f>
        <v>0</v>
      </c>
      <c r="X1150" s="96">
        <f>IFERROR(_xlfn.XLOOKUP(TEXT(H1150,"0000000000"),'📞 Call Tracker'!A$2:A$2000,'📞 Call Tracker'!C$2:C$2000,""),"")</f>
        <v>0</v>
      </c>
      <c r="Y1150" s="95">
        <f>IFERROR(_xlfn.XLOOKUP(TEXT(H1150,"0000000000"),'📞 Call Tracker'!A$2:A$2000,'📞 Call Tracker'!D$2:D$2000,""),"")</f>
        <v>0</v>
      </c>
      <c r="Z1150" s="95">
        <f>IFERROR(_xlfn.XLOOKUP(TEXT(H1150,"0000000000"),'📞 Call Tracker'!A$2:A$2000,'📞 Call Tracker'!E$2:E$2000,""),"")</f>
        <v>0</v>
      </c>
      <c r="AA1150" s="145">
        <f>IFERROR(_xlfn.XLOOKUP(TEXT(H1150,"0000000000"),'📞 Call Tracker'!A$2:A$2000,'📞 Call Tracker'!F$2:F$2000,""),"")</f>
        <v>0</v>
      </c>
      <c r="AB1150" s="132">
        <f t="shared" si="35"/>
        <v>99</v>
      </c>
      <c r="AC1150" s="79"/>
    </row>
    <row r="1151" spans="1:29" ht="20.100000000000001" customHeight="1">
      <c r="A1151" s="97">
        <v>46049</v>
      </c>
      <c r="B1151" s="98" t="str">
        <v>Wade</v>
      </c>
      <c r="C1151" s="98" t="str">
        <v>George</v>
      </c>
      <c r="D1151" s="98" t="str">
        <v>Payson</v>
      </c>
      <c r="E1151" s="99">
        <v>85541</v>
      </c>
      <c r="F1151" s="138" t="str">
        <v>please take a minute or two and try to remember what it was like to get through the day when you don't have all the money in the world</v>
      </c>
      <c r="G1151" s="100" t="str">
        <v>https://docket.images.azcc.gov/E000048921.pdf</v>
      </c>
      <c r="H1151" s="151" t="s">
        <v>4242</v>
      </c>
      <c r="I1151" s="115" t="str">
        <v>RTOUE47</v>
      </c>
      <c r="J1151" s="110" t="str">
        <v>No</v>
      </c>
      <c r="K1151" s="101" t="str">
        <v>No</v>
      </c>
      <c r="L1151" s="138" t="str">
        <v>No MEP R-XS ($159.52)</v>
      </c>
      <c r="M1151" s="101" t="str">
        <v>No</v>
      </c>
      <c r="N1151" s="135" t="str">
        <v>No</v>
      </c>
      <c r="O1151" s="120" t="str">
        <v>Yes</v>
      </c>
      <c r="P1151" s="102">
        <v>0</v>
      </c>
      <c r="Q1151" s="123">
        <v>46057</v>
      </c>
      <c r="R1151" s="141" t="str">
        <v>Please contact customer regarding plan options</v>
      </c>
      <c r="S1151" s="98">
        <v>0</v>
      </c>
      <c r="T1151" s="98">
        <v>0</v>
      </c>
      <c r="U1151" s="143">
        <v>0</v>
      </c>
      <c r="V1151" s="126" t="str">
        <f t="shared" si="34"/>
        <v>❌ Not on Best Plan</v>
      </c>
      <c r="W1151" s="130">
        <f>IFERROR(_xlfn.XLOOKUP(TEXT(H1151,"0000000000"),'📞 Call Tracker'!A$2:A$2000,'📞 Call Tracker'!B$2:B$2000,""),"")</f>
        <v>0</v>
      </c>
      <c r="X1151" s="96">
        <f>IFERROR(_xlfn.XLOOKUP(TEXT(H1151,"0000000000"),'📞 Call Tracker'!A$2:A$2000,'📞 Call Tracker'!C$2:C$2000,""),"")</f>
        <v>0</v>
      </c>
      <c r="Y1151" s="95">
        <f>IFERROR(_xlfn.XLOOKUP(TEXT(H1151,"0000000000"),'📞 Call Tracker'!A$2:A$2000,'📞 Call Tracker'!D$2:D$2000,""),"")</f>
        <v>0</v>
      </c>
      <c r="Z1151" s="95">
        <f>IFERROR(_xlfn.XLOOKUP(TEXT(H1151,"0000000000"),'📞 Call Tracker'!A$2:A$2000,'📞 Call Tracker'!E$2:E$2000,""),"")</f>
        <v>0</v>
      </c>
      <c r="AA1151" s="145">
        <f>IFERROR(_xlfn.XLOOKUP(TEXT(H1151,"0000000000"),'📞 Call Tracker'!A$2:A$2000,'📞 Call Tracker'!F$2:F$2000,""),"")</f>
        <v>0</v>
      </c>
      <c r="AB1151" s="132">
        <f t="shared" si="35"/>
        <v>99</v>
      </c>
      <c r="AC1151" s="79"/>
    </row>
    <row r="1152" spans="1:29" ht="20.100000000000001" customHeight="1">
      <c r="A1152" s="97">
        <v>46049</v>
      </c>
      <c r="B1152" s="98" t="str">
        <v>Rothanburg</v>
      </c>
      <c r="C1152" s="98" t="str">
        <v>Laura</v>
      </c>
      <c r="D1152" s="98" t="str">
        <v>Phoenix</v>
      </c>
      <c r="E1152" s="99">
        <v>85053</v>
      </c>
      <c r="F1152" s="138" t="str">
        <v>I have not turned my heat on this winter because I can't afford it. Yet their pockets and those of stockholders get fatter</v>
      </c>
      <c r="G1152" s="100" t="str">
        <v>https://docket.images.azcc.gov/E000048921.pdf</v>
      </c>
      <c r="H1152" s="151" t="s">
        <v>4244</v>
      </c>
      <c r="I1152" s="115" t="str">
        <v>RCPw/RTOUE47</v>
      </c>
      <c r="J1152" s="110" t="str">
        <v>No</v>
      </c>
      <c r="K1152" s="101" t="str">
        <v>No</v>
      </c>
      <c r="L1152" s="138" t="str">
        <v>Yes</v>
      </c>
      <c r="M1152" s="101" t="str">
        <v>No</v>
      </c>
      <c r="N1152" s="135" t="str">
        <v>No</v>
      </c>
      <c r="O1152" s="120" t="str">
        <v>Yes</v>
      </c>
      <c r="P1152" s="102" t="str">
        <v>N</v>
      </c>
      <c r="Q1152" s="123">
        <v>46057</v>
      </c>
      <c r="R1152" s="141">
        <v>0</v>
      </c>
      <c r="S1152" s="98">
        <v>0</v>
      </c>
      <c r="T1152" s="98">
        <v>0</v>
      </c>
      <c r="U1152" s="143">
        <v>0</v>
      </c>
      <c r="V1152" s="126" t="str">
        <f t="shared" si="34"/>
        <v>✅ On Best Plan</v>
      </c>
      <c r="W1152" s="130">
        <f>IFERROR(_xlfn.XLOOKUP(TEXT(H1152,"0000000000"),'📞 Call Tracker'!A$2:A$2000,'📞 Call Tracker'!B$2:B$2000,""),"")</f>
        <v>0</v>
      </c>
      <c r="X1152" s="96">
        <f>IFERROR(_xlfn.XLOOKUP(TEXT(H1152,"0000000000"),'📞 Call Tracker'!A$2:A$2000,'📞 Call Tracker'!C$2:C$2000,""),"")</f>
        <v>0</v>
      </c>
      <c r="Y1152" s="95">
        <f>IFERROR(_xlfn.XLOOKUP(TEXT(H1152,"0000000000"),'📞 Call Tracker'!A$2:A$2000,'📞 Call Tracker'!D$2:D$2000,""),"")</f>
        <v>0</v>
      </c>
      <c r="Z1152" s="95">
        <f>IFERROR(_xlfn.XLOOKUP(TEXT(H1152,"0000000000"),'📞 Call Tracker'!A$2:A$2000,'📞 Call Tracker'!E$2:E$2000,""),"")</f>
        <v>0</v>
      </c>
      <c r="AA1152" s="145">
        <f>IFERROR(_xlfn.XLOOKUP(TEXT(H1152,"0000000000"),'📞 Call Tracker'!A$2:A$2000,'📞 Call Tracker'!F$2:F$2000,""),"")</f>
        <v>0</v>
      </c>
      <c r="AB1152" s="132">
        <f t="shared" si="35"/>
        <v>99</v>
      </c>
      <c r="AC1152" s="79"/>
    </row>
    <row r="1153" spans="1:29" ht="20.100000000000001" customHeight="1">
      <c r="A1153" s="97">
        <v>46049</v>
      </c>
      <c r="B1153" s="98" t="str">
        <v>Sisco</v>
      </c>
      <c r="C1153" s="98" t="str">
        <v>Christina</v>
      </c>
      <c r="D1153" s="98" t="str">
        <v>Peoria</v>
      </c>
      <c r="E1153" s="99">
        <v>85345</v>
      </c>
      <c r="F1153" s="138" t="str">
        <v xml:space="preserve">My husband and I are retired. We can barely pay for our utilities, food, mortgage and meds. </v>
      </c>
      <c r="G1153" s="100" t="str">
        <v>https://docket.images.azcc.gov/E000048921.pdf</v>
      </c>
      <c r="H1153" s="151" t="s">
        <v>4248</v>
      </c>
      <c r="I1153" s="115" t="str">
        <v>EPR6w/ET-2</v>
      </c>
      <c r="J1153" s="110" t="str">
        <v>No</v>
      </c>
      <c r="K1153" s="101" t="str">
        <v>No</v>
      </c>
      <c r="L1153" s="138" t="str">
        <v>Frozen Plan</v>
      </c>
      <c r="M1153" s="101" t="str">
        <v>No</v>
      </c>
      <c r="N1153" s="135" t="str">
        <v>No</v>
      </c>
      <c r="O1153" s="120" t="str">
        <v>Yes</v>
      </c>
      <c r="P1153" s="102" t="str">
        <v>N</v>
      </c>
      <c r="Q1153" s="123">
        <v>46057</v>
      </c>
      <c r="R1153" s="141">
        <v>0</v>
      </c>
      <c r="S1153" s="98">
        <v>0</v>
      </c>
      <c r="T1153" s="98">
        <v>0</v>
      </c>
      <c r="U1153" s="143">
        <v>0</v>
      </c>
      <c r="V1153" s="126" t="str">
        <f t="shared" si="34"/>
        <v>❄ Frozen Rate</v>
      </c>
      <c r="W1153" s="130">
        <f>IFERROR(_xlfn.XLOOKUP(TEXT(H1153,"0000000000"),'📞 Call Tracker'!A$2:A$2000,'📞 Call Tracker'!B$2:B$2000,""),"")</f>
        <v>0</v>
      </c>
      <c r="X1153" s="96">
        <f>IFERROR(_xlfn.XLOOKUP(TEXT(H1153,"0000000000"),'📞 Call Tracker'!A$2:A$2000,'📞 Call Tracker'!C$2:C$2000,""),"")</f>
        <v>0</v>
      </c>
      <c r="Y1153" s="95">
        <f>IFERROR(_xlfn.XLOOKUP(TEXT(H1153,"0000000000"),'📞 Call Tracker'!A$2:A$2000,'📞 Call Tracker'!D$2:D$2000,""),"")</f>
        <v>0</v>
      </c>
      <c r="Z1153" s="95">
        <f>IFERROR(_xlfn.XLOOKUP(TEXT(H1153,"0000000000"),'📞 Call Tracker'!A$2:A$2000,'📞 Call Tracker'!E$2:E$2000,""),"")</f>
        <v>0</v>
      </c>
      <c r="AA1153" s="145">
        <f>IFERROR(_xlfn.XLOOKUP(TEXT(H1153,"0000000000"),'📞 Call Tracker'!A$2:A$2000,'📞 Call Tracker'!F$2:F$2000,""),"")</f>
        <v>0</v>
      </c>
      <c r="AB1153" s="132">
        <f t="shared" si="35"/>
        <v>99</v>
      </c>
      <c r="AC1153" s="79"/>
    </row>
    <row r="1154" spans="1:29" ht="20.100000000000001" customHeight="1">
      <c r="A1154" s="97">
        <v>46049</v>
      </c>
      <c r="B1154" s="98" t="str">
        <v>Perryman</v>
      </c>
      <c r="C1154" s="98" t="str">
        <v>Michelle</v>
      </c>
      <c r="D1154" s="98" t="str">
        <v>Phoenix</v>
      </c>
      <c r="E1154" s="99">
        <v>85032</v>
      </c>
      <c r="F1154" s="138" t="str">
        <v xml:space="preserve">I also believe the higher cost of electricity is caused by electric car use. The country was not prepared for this at all. The grid is too small so APS... make prices higher. </v>
      </c>
      <c r="G1154" s="100" t="str">
        <v>https://docket.images.azcc.gov/E000048921.pdf</v>
      </c>
      <c r="H1154" s="151" t="s">
        <v>4252</v>
      </c>
      <c r="I1154" s="115" t="str">
        <v>R3-47</v>
      </c>
      <c r="J1154" s="110" t="str">
        <v>No</v>
      </c>
      <c r="K1154" s="101" t="str">
        <v>No</v>
      </c>
      <c r="L1154" s="138" t="str">
        <v>Yes</v>
      </c>
      <c r="M1154" s="101" t="str">
        <v>No</v>
      </c>
      <c r="N1154" s="135" t="str">
        <v>No</v>
      </c>
      <c r="O1154" s="120" t="str">
        <v>Yes</v>
      </c>
      <c r="P1154" s="102" t="str">
        <v>N</v>
      </c>
      <c r="Q1154" s="123">
        <v>46057</v>
      </c>
      <c r="R1154" s="141">
        <v>0</v>
      </c>
      <c r="S1154" s="98">
        <v>0</v>
      </c>
      <c r="T1154" s="98">
        <v>0</v>
      </c>
      <c r="U1154" s="143">
        <v>0</v>
      </c>
      <c r="V1154" s="126" t="str">
        <f t="shared" si="34"/>
        <v>✅ On Best Plan</v>
      </c>
      <c r="W1154" s="130">
        <f>IFERROR(_xlfn.XLOOKUP(TEXT(H1154,"0000000000"),'📞 Call Tracker'!A$2:A$2000,'📞 Call Tracker'!B$2:B$2000,""),"")</f>
        <v>0</v>
      </c>
      <c r="X1154" s="96">
        <f>IFERROR(_xlfn.XLOOKUP(TEXT(H1154,"0000000000"),'📞 Call Tracker'!A$2:A$2000,'📞 Call Tracker'!C$2:C$2000,""),"")</f>
        <v>0</v>
      </c>
      <c r="Y1154" s="95">
        <f>IFERROR(_xlfn.XLOOKUP(TEXT(H1154,"0000000000"),'📞 Call Tracker'!A$2:A$2000,'📞 Call Tracker'!D$2:D$2000,""),"")</f>
        <v>0</v>
      </c>
      <c r="Z1154" s="95">
        <f>IFERROR(_xlfn.XLOOKUP(TEXT(H1154,"0000000000"),'📞 Call Tracker'!A$2:A$2000,'📞 Call Tracker'!E$2:E$2000,""),"")</f>
        <v>0</v>
      </c>
      <c r="AA1154" s="145">
        <f>IFERROR(_xlfn.XLOOKUP(TEXT(H1154,"0000000000"),'📞 Call Tracker'!A$2:A$2000,'📞 Call Tracker'!F$2:F$2000,""),"")</f>
        <v>0</v>
      </c>
      <c r="AB1154" s="132">
        <f t="shared" si="35"/>
        <v>99</v>
      </c>
      <c r="AC1154" s="79"/>
    </row>
    <row r="1155" spans="1:29" ht="20.100000000000001" customHeight="1">
      <c r="A1155" s="97">
        <v>46049</v>
      </c>
      <c r="B1155" s="98" t="str">
        <v>Saliba</v>
      </c>
      <c r="C1155" s="98" t="str">
        <v>Ricci</v>
      </c>
      <c r="D1155" s="98" t="str">
        <v>El Mirage</v>
      </c>
      <c r="E1155" s="99">
        <v>85335</v>
      </c>
      <c r="F1155" s="138" t="str">
        <v>(APS) already profits millions, but they're trying to raise our prices even more</v>
      </c>
      <c r="G1155" s="100" t="str">
        <v>https://docket.images.azcc.gov/E000048921.pdf</v>
      </c>
      <c r="H1155" s="151" t="s">
        <v>4254</v>
      </c>
      <c r="I1155" s="115" t="str">
        <v>RCPw/RTOUE</v>
      </c>
      <c r="J1155" s="110" t="str">
        <v>Yes</v>
      </c>
      <c r="K1155" s="101" t="str">
        <v>No</v>
      </c>
      <c r="L1155" s="138" t="str">
        <v>Yes</v>
      </c>
      <c r="M1155" s="101" t="str">
        <v>No</v>
      </c>
      <c r="N1155" s="135" t="str">
        <v>No</v>
      </c>
      <c r="O1155" s="120" t="str">
        <v>Yes</v>
      </c>
      <c r="P1155" s="102" t="str">
        <v>N</v>
      </c>
      <c r="Q1155" s="123">
        <v>46057</v>
      </c>
      <c r="R1155" s="141">
        <v>0</v>
      </c>
      <c r="S1155" s="98">
        <v>0</v>
      </c>
      <c r="T1155" s="98">
        <v>0</v>
      </c>
      <c r="U1155" s="143">
        <v>0</v>
      </c>
      <c r="V1155" s="126" t="str">
        <f t="shared" ref="V1155:V1218" si="36">IF(OR(LEFT(TRIM(L1155),3)="Yes",TRIM(L1155)="Y"),"✅ On Best Plan",IF(OR(L1155="Frozen Rate",L1155="Frozen Plan"),"❄ Frozen Rate",IF(OR(L1155="Not able to Compare",L1155="Info Not Avail",L1155="NA",L1155=""),"⚠ Unknown","❌ Not on Best Plan")))</f>
        <v>✅ On Best Plan</v>
      </c>
      <c r="W1155" s="130">
        <f>IFERROR(_xlfn.XLOOKUP(TEXT(H1155,"0000000000"),'📞 Call Tracker'!A$2:A$2000,'📞 Call Tracker'!B$2:B$2000,""),"")</f>
        <v>0</v>
      </c>
      <c r="X1155" s="96">
        <f>IFERROR(_xlfn.XLOOKUP(TEXT(H1155,"0000000000"),'📞 Call Tracker'!A$2:A$2000,'📞 Call Tracker'!C$2:C$2000,""),"")</f>
        <v>0</v>
      </c>
      <c r="Y1155" s="95">
        <f>IFERROR(_xlfn.XLOOKUP(TEXT(H1155,"0000000000"),'📞 Call Tracker'!A$2:A$2000,'📞 Call Tracker'!D$2:D$2000,""),"")</f>
        <v>0</v>
      </c>
      <c r="Z1155" s="95">
        <f>IFERROR(_xlfn.XLOOKUP(TEXT(H1155,"0000000000"),'📞 Call Tracker'!A$2:A$2000,'📞 Call Tracker'!E$2:E$2000,""),"")</f>
        <v>0</v>
      </c>
      <c r="AA1155" s="145">
        <f>IFERROR(_xlfn.XLOOKUP(TEXT(H1155,"0000000000"),'📞 Call Tracker'!A$2:A$2000,'📞 Call Tracker'!F$2:F$2000,""),"")</f>
        <v>0</v>
      </c>
      <c r="AB1155" s="132">
        <f t="shared" ref="AB1155:AB1218" si="37">IF(OR(H1155="",X1155&lt;&gt;""),99,IF(AND(NOT(OR(LEFT(TRIM(L1155),3)="Yes",TRIM(L1155)="Y",L1155="Frozen Rate",L1155="Frozen Plan",L1155="Not able to Compare",L1155="Info Not Avail",L1155="NA",L1155="")),AND(N1155&lt;&gt;"No",N1155&lt;&gt;"")),1,IF(NOT(OR(LEFT(TRIM(L1155),3)="Yes",TRIM(L1155)="Y",L1155="Frozen Rate",L1155="Frozen Plan",L1155="Not able to Compare",L1155="Info Not Avail",L1155="NA",L1155="")),2,IF(AND(N1155&lt;&gt;"No",N1155&lt;&gt;""),3,4))))</f>
        <v>99</v>
      </c>
      <c r="AC1155" s="79"/>
    </row>
    <row r="1156" spans="1:29" ht="20.100000000000001" customHeight="1">
      <c r="A1156" s="97">
        <v>46049</v>
      </c>
      <c r="B1156" s="98" t="str">
        <v>Carson</v>
      </c>
      <c r="C1156" s="98" t="str">
        <v>Tim</v>
      </c>
      <c r="D1156" s="98" t="str">
        <v>Yuma</v>
      </c>
      <c r="E1156" s="99">
        <v>85367</v>
      </c>
      <c r="F1156" s="138" t="str">
        <v>You people keep raising prices having no concern for the customers and are only focused on your shareholders</v>
      </c>
      <c r="G1156" s="100" t="str">
        <v>https://docket.images.azcc.gov/E000048921.pdf</v>
      </c>
      <c r="H1156" s="151" t="s">
        <v>4258</v>
      </c>
      <c r="I1156" s="115" t="str">
        <v>RCPw/RTOUE47</v>
      </c>
      <c r="J1156" s="110" t="str">
        <v>No</v>
      </c>
      <c r="K1156" s="101" t="str">
        <v>No</v>
      </c>
      <c r="L1156" s="138" t="str">
        <v>Yes</v>
      </c>
      <c r="M1156" s="101" t="str">
        <v>No</v>
      </c>
      <c r="N1156" s="135" t="str">
        <v>No</v>
      </c>
      <c r="O1156" s="120" t="str">
        <v>Yes</v>
      </c>
      <c r="P1156" s="102" t="str">
        <v>N</v>
      </c>
      <c r="Q1156" s="123">
        <v>46057</v>
      </c>
      <c r="R1156" s="141">
        <v>0</v>
      </c>
      <c r="S1156" s="98">
        <v>0</v>
      </c>
      <c r="T1156" s="98">
        <v>0</v>
      </c>
      <c r="U1156" s="143">
        <v>0</v>
      </c>
      <c r="V1156" s="126" t="str">
        <f t="shared" si="36"/>
        <v>✅ On Best Plan</v>
      </c>
      <c r="W1156" s="130">
        <f>IFERROR(_xlfn.XLOOKUP(TEXT(H1156,"0000000000"),'📞 Call Tracker'!A$2:A$2000,'📞 Call Tracker'!B$2:B$2000,""),"")</f>
        <v>0</v>
      </c>
      <c r="X1156" s="96">
        <f>IFERROR(_xlfn.XLOOKUP(TEXT(H1156,"0000000000"),'📞 Call Tracker'!A$2:A$2000,'📞 Call Tracker'!C$2:C$2000,""),"")</f>
        <v>0</v>
      </c>
      <c r="Y1156" s="95">
        <f>IFERROR(_xlfn.XLOOKUP(TEXT(H1156,"0000000000"),'📞 Call Tracker'!A$2:A$2000,'📞 Call Tracker'!D$2:D$2000,""),"")</f>
        <v>0</v>
      </c>
      <c r="Z1156" s="95">
        <f>IFERROR(_xlfn.XLOOKUP(TEXT(H1156,"0000000000"),'📞 Call Tracker'!A$2:A$2000,'📞 Call Tracker'!E$2:E$2000,""),"")</f>
        <v>0</v>
      </c>
      <c r="AA1156" s="145">
        <f>IFERROR(_xlfn.XLOOKUP(TEXT(H1156,"0000000000"),'📞 Call Tracker'!A$2:A$2000,'📞 Call Tracker'!F$2:F$2000,""),"")</f>
        <v>0</v>
      </c>
      <c r="AB1156" s="132">
        <f t="shared" si="37"/>
        <v>99</v>
      </c>
      <c r="AC1156" s="79"/>
    </row>
    <row r="1157" spans="1:29" ht="20.100000000000001" customHeight="1">
      <c r="A1157" s="97">
        <v>46049</v>
      </c>
      <c r="B1157" s="98" t="str">
        <v>Sours</v>
      </c>
      <c r="C1157" s="98" t="str">
        <v>Trisha</v>
      </c>
      <c r="D1157" s="98" t="str">
        <v>Sun City West</v>
      </c>
      <c r="E1157" s="99">
        <v>85375</v>
      </c>
      <c r="F1157" s="138" t="str">
        <v>No NetZero... Keep energy cheap and affordable and reliable!! Nobody wants blackouts when it's 114 at night time!</v>
      </c>
      <c r="G1157" s="100" t="str">
        <v>https://docket.images.azcc.gov/E000048921.pdf</v>
      </c>
      <c r="H1157" s="151" t="s">
        <v>4261</v>
      </c>
      <c r="I1157" s="115" t="str">
        <v>RCPw/RTOUE47</v>
      </c>
      <c r="J1157" s="110" t="str">
        <v>No</v>
      </c>
      <c r="K1157" s="101" t="str">
        <v>No</v>
      </c>
      <c r="L1157" s="138" t="str">
        <v>Yes</v>
      </c>
      <c r="M1157" s="101" t="str">
        <v>No</v>
      </c>
      <c r="N1157" s="135" t="str">
        <v>No</v>
      </c>
      <c r="O1157" s="120" t="str">
        <v>Yes</v>
      </c>
      <c r="P1157" s="102" t="str">
        <v>N</v>
      </c>
      <c r="Q1157" s="123">
        <v>46057</v>
      </c>
      <c r="R1157" s="141">
        <v>0</v>
      </c>
      <c r="S1157" s="98">
        <v>0</v>
      </c>
      <c r="T1157" s="98">
        <v>0</v>
      </c>
      <c r="U1157" s="143">
        <v>0</v>
      </c>
      <c r="V1157" s="126" t="str">
        <f t="shared" si="36"/>
        <v>✅ On Best Plan</v>
      </c>
      <c r="W1157" s="130">
        <f>IFERROR(_xlfn.XLOOKUP(TEXT(H1157,"0000000000"),'📞 Call Tracker'!A$2:A$2000,'📞 Call Tracker'!B$2:B$2000,""),"")</f>
        <v>0</v>
      </c>
      <c r="X1157" s="96">
        <f>IFERROR(_xlfn.XLOOKUP(TEXT(H1157,"0000000000"),'📞 Call Tracker'!A$2:A$2000,'📞 Call Tracker'!C$2:C$2000,""),"")</f>
        <v>0</v>
      </c>
      <c r="Y1157" s="95">
        <f>IFERROR(_xlfn.XLOOKUP(TEXT(H1157,"0000000000"),'📞 Call Tracker'!A$2:A$2000,'📞 Call Tracker'!D$2:D$2000,""),"")</f>
        <v>0</v>
      </c>
      <c r="Z1157" s="95">
        <f>IFERROR(_xlfn.XLOOKUP(TEXT(H1157,"0000000000"),'📞 Call Tracker'!A$2:A$2000,'📞 Call Tracker'!E$2:E$2000,""),"")</f>
        <v>0</v>
      </c>
      <c r="AA1157" s="145">
        <f>IFERROR(_xlfn.XLOOKUP(TEXT(H1157,"0000000000"),'📞 Call Tracker'!A$2:A$2000,'📞 Call Tracker'!F$2:F$2000,""),"")</f>
        <v>0</v>
      </c>
      <c r="AB1157" s="132">
        <f t="shared" si="37"/>
        <v>99</v>
      </c>
      <c r="AC1157" s="79"/>
    </row>
    <row r="1158" spans="1:29" ht="20.100000000000001" customHeight="1">
      <c r="A1158" s="97">
        <v>46049</v>
      </c>
      <c r="B1158" s="98" t="str">
        <v>Kasten</v>
      </c>
      <c r="C1158" s="98" t="str">
        <v>Nancy</v>
      </c>
      <c r="D1158" s="98" t="str">
        <v>Surpsie</v>
      </c>
      <c r="E1158" s="99">
        <v>85379</v>
      </c>
      <c r="F1158" s="138" t="str">
        <v>No other company in the world gets to increase rates over 20% in a years time. If you make record profits</v>
      </c>
      <c r="G1158" s="100" t="str">
        <v>https://docket.images.azcc.gov/E000048921.pdf</v>
      </c>
      <c r="H1158" s="151" t="s">
        <v>4268</v>
      </c>
      <c r="I1158" s="115" t="str">
        <v>R3-47</v>
      </c>
      <c r="J1158" s="110" t="str">
        <v>No</v>
      </c>
      <c r="K1158" s="101" t="str">
        <v>No</v>
      </c>
      <c r="L1158" s="138" t="str">
        <v>Yes</v>
      </c>
      <c r="M1158" s="101" t="str">
        <v>No</v>
      </c>
      <c r="N1158" s="135" t="str">
        <v>No</v>
      </c>
      <c r="O1158" s="120" t="str">
        <v>Yes</v>
      </c>
      <c r="P1158" s="102" t="str">
        <v>N</v>
      </c>
      <c r="Q1158" s="123">
        <v>46057</v>
      </c>
      <c r="R1158" s="141">
        <v>0</v>
      </c>
      <c r="S1158" s="98">
        <v>0</v>
      </c>
      <c r="T1158" s="98">
        <v>0</v>
      </c>
      <c r="U1158" s="143">
        <v>0</v>
      </c>
      <c r="V1158" s="126" t="str">
        <f t="shared" si="36"/>
        <v>✅ On Best Plan</v>
      </c>
      <c r="W1158" s="130">
        <f>IFERROR(_xlfn.XLOOKUP(TEXT(H1158,"0000000000"),'📞 Call Tracker'!A$2:A$2000,'📞 Call Tracker'!B$2:B$2000,""),"")</f>
        <v>0</v>
      </c>
      <c r="X1158" s="96">
        <f>IFERROR(_xlfn.XLOOKUP(TEXT(H1158,"0000000000"),'📞 Call Tracker'!A$2:A$2000,'📞 Call Tracker'!C$2:C$2000,""),"")</f>
        <v>0</v>
      </c>
      <c r="Y1158" s="95">
        <f>IFERROR(_xlfn.XLOOKUP(TEXT(H1158,"0000000000"),'📞 Call Tracker'!A$2:A$2000,'📞 Call Tracker'!D$2:D$2000,""),"")</f>
        <v>0</v>
      </c>
      <c r="Z1158" s="95">
        <f>IFERROR(_xlfn.XLOOKUP(TEXT(H1158,"0000000000"),'📞 Call Tracker'!A$2:A$2000,'📞 Call Tracker'!E$2:E$2000,""),"")</f>
        <v>0</v>
      </c>
      <c r="AA1158" s="145">
        <f>IFERROR(_xlfn.XLOOKUP(TEXT(H1158,"0000000000"),'📞 Call Tracker'!A$2:A$2000,'📞 Call Tracker'!F$2:F$2000,""),"")</f>
        <v>0</v>
      </c>
      <c r="AB1158" s="132">
        <f t="shared" si="37"/>
        <v>99</v>
      </c>
      <c r="AC1158" s="79"/>
    </row>
    <row r="1159" spans="1:29" ht="20.100000000000001" customHeight="1">
      <c r="A1159" s="97">
        <v>46049</v>
      </c>
      <c r="B1159" s="98" t="str">
        <v>Hatfield</v>
      </c>
      <c r="C1159" s="98" t="str">
        <v>Thomas</v>
      </c>
      <c r="D1159" s="98" t="str">
        <v>Payson</v>
      </c>
      <c r="E1159" s="99">
        <v>85541</v>
      </c>
      <c r="F1159" s="138" t="str">
        <v>lm a handicapped senior with medical problems and I live on sandi so I have no money for a increase</v>
      </c>
      <c r="G1159" s="100" t="str">
        <v>https://docket.images.azcc.gov/E000048921.pdf</v>
      </c>
      <c r="H1159" s="151" t="s">
        <v>4275</v>
      </c>
      <c r="I1159" s="115" t="str">
        <v>R3-47</v>
      </c>
      <c r="J1159" s="110" t="str">
        <v>Yes</v>
      </c>
      <c r="K1159" s="101" t="str">
        <v>No</v>
      </c>
      <c r="L1159" s="138" t="str">
        <v>Yes</v>
      </c>
      <c r="M1159" s="101" t="str">
        <v>Yes</v>
      </c>
      <c r="N1159" s="135">
        <v>502.83</v>
      </c>
      <c r="O1159" s="120" t="str">
        <v>Yes</v>
      </c>
      <c r="P1159" s="102">
        <v>0</v>
      </c>
      <c r="Q1159" s="123">
        <v>46057</v>
      </c>
      <c r="R1159" s="141" t="str">
        <v>May need information for additional assistance programs?</v>
      </c>
      <c r="S1159" s="98">
        <v>0</v>
      </c>
      <c r="T1159" s="98">
        <v>0</v>
      </c>
      <c r="U1159" s="143">
        <v>0</v>
      </c>
      <c r="V1159" s="126" t="str">
        <f t="shared" si="36"/>
        <v>✅ On Best Plan</v>
      </c>
      <c r="W1159" s="130">
        <f>IFERROR(_xlfn.XLOOKUP(TEXT(H1159,"0000000000"),'📞 Call Tracker'!A$2:A$2000,'📞 Call Tracker'!B$2:B$2000,""),"")</f>
        <v>0</v>
      </c>
      <c r="X1159" s="96">
        <f>IFERROR(_xlfn.XLOOKUP(TEXT(H1159,"0000000000"),'📞 Call Tracker'!A$2:A$2000,'📞 Call Tracker'!C$2:C$2000,""),"")</f>
        <v>0</v>
      </c>
      <c r="Y1159" s="95">
        <f>IFERROR(_xlfn.XLOOKUP(TEXT(H1159,"0000000000"),'📞 Call Tracker'!A$2:A$2000,'📞 Call Tracker'!D$2:D$2000,""),"")</f>
        <v>0</v>
      </c>
      <c r="Z1159" s="95">
        <f>IFERROR(_xlfn.XLOOKUP(TEXT(H1159,"0000000000"),'📞 Call Tracker'!A$2:A$2000,'📞 Call Tracker'!E$2:E$2000,""),"")</f>
        <v>0</v>
      </c>
      <c r="AA1159" s="145">
        <f>IFERROR(_xlfn.XLOOKUP(TEXT(H1159,"0000000000"),'📞 Call Tracker'!A$2:A$2000,'📞 Call Tracker'!F$2:F$2000,""),"")</f>
        <v>0</v>
      </c>
      <c r="AB1159" s="132">
        <f t="shared" si="37"/>
        <v>99</v>
      </c>
      <c r="AC1159" s="79"/>
    </row>
    <row r="1160" spans="1:29" ht="20.100000000000001" customHeight="1">
      <c r="A1160" s="97">
        <v>46049</v>
      </c>
      <c r="B1160" s="98" t="str">
        <v>Zazzi</v>
      </c>
      <c r="C1160" s="98" t="str">
        <v>Kimberly</v>
      </c>
      <c r="D1160" s="98" t="str">
        <v>Surprise</v>
      </c>
      <c r="E1160" s="99">
        <v>85374</v>
      </c>
      <c r="F1160" s="138" t="str">
        <v>My APS bill is so high . I struggle every month just to get it paid.</v>
      </c>
      <c r="G1160" s="100" t="str">
        <v>https://docket.images.azcc.gov/E000048921.pdf</v>
      </c>
      <c r="H1160" s="151" t="s">
        <v>4277</v>
      </c>
      <c r="I1160" s="115" t="str">
        <v>R3-47</v>
      </c>
      <c r="J1160" s="110" t="str">
        <v>Yes</v>
      </c>
      <c r="K1160" s="101" t="str">
        <v>No</v>
      </c>
      <c r="L1160" s="138" t="str">
        <v>Yes</v>
      </c>
      <c r="M1160" s="101" t="str">
        <v>Yes</v>
      </c>
      <c r="N1160" s="135">
        <v>2005.59</v>
      </c>
      <c r="O1160" s="120" t="str">
        <v>Yes</v>
      </c>
      <c r="P1160" s="102">
        <v>0</v>
      </c>
      <c r="Q1160" s="123">
        <v>46057</v>
      </c>
      <c r="R1160" s="141" t="str">
        <v>May need information for additional assistance programs?</v>
      </c>
      <c r="S1160" s="98">
        <v>0</v>
      </c>
      <c r="T1160" s="98">
        <v>0</v>
      </c>
      <c r="U1160" s="143">
        <v>0</v>
      </c>
      <c r="V1160" s="126" t="str">
        <f t="shared" si="36"/>
        <v>✅ On Best Plan</v>
      </c>
      <c r="W1160" s="130">
        <f>IFERROR(_xlfn.XLOOKUP(TEXT(H1160,"0000000000"),'📞 Call Tracker'!A$2:A$2000,'📞 Call Tracker'!B$2:B$2000,""),"")</f>
        <v>0</v>
      </c>
      <c r="X1160" s="96">
        <f>IFERROR(_xlfn.XLOOKUP(TEXT(H1160,"0000000000"),'📞 Call Tracker'!A$2:A$2000,'📞 Call Tracker'!C$2:C$2000,""),"")</f>
        <v>0</v>
      </c>
      <c r="Y1160" s="95">
        <f>IFERROR(_xlfn.XLOOKUP(TEXT(H1160,"0000000000"),'📞 Call Tracker'!A$2:A$2000,'📞 Call Tracker'!D$2:D$2000,""),"")</f>
        <v>0</v>
      </c>
      <c r="Z1160" s="95">
        <f>IFERROR(_xlfn.XLOOKUP(TEXT(H1160,"0000000000"),'📞 Call Tracker'!A$2:A$2000,'📞 Call Tracker'!E$2:E$2000,""),"")</f>
        <v>0</v>
      </c>
      <c r="AA1160" s="145">
        <f>IFERROR(_xlfn.XLOOKUP(TEXT(H1160,"0000000000"),'📞 Call Tracker'!A$2:A$2000,'📞 Call Tracker'!F$2:F$2000,""),"")</f>
        <v>0</v>
      </c>
      <c r="AB1160" s="132">
        <f t="shared" si="37"/>
        <v>99</v>
      </c>
      <c r="AC1160" s="79"/>
    </row>
    <row r="1161" spans="1:29" ht="20.100000000000001" customHeight="1">
      <c r="A1161" s="97">
        <v>46049</v>
      </c>
      <c r="B1161" s="98" t="str">
        <v>Mark</v>
      </c>
      <c r="C1161" s="98" t="str">
        <v>Paul</v>
      </c>
      <c r="D1161" s="98" t="str">
        <v>El Mirage</v>
      </c>
      <c r="E1161" s="99">
        <v>85335</v>
      </c>
      <c r="F1161" s="138" t="str">
        <v>Rates have risen every year up to 5% We even have solar and are still paying over 200.00</v>
      </c>
      <c r="G1161" s="100" t="str">
        <v>https://docket.images.azcc.gov/E000048921.pdf</v>
      </c>
      <c r="H1161" s="151" t="s">
        <v>4282</v>
      </c>
      <c r="I1161" s="115" t="str">
        <v>RCPw/RTOUE47</v>
      </c>
      <c r="J1161" s="110" t="str">
        <v>Yes</v>
      </c>
      <c r="K1161" s="101" t="str">
        <v>No</v>
      </c>
      <c r="L1161" s="138" t="str">
        <v>Yes</v>
      </c>
      <c r="M1161" s="101" t="str">
        <v>No</v>
      </c>
      <c r="N1161" s="135" t="str">
        <v>No</v>
      </c>
      <c r="O1161" s="120" t="str">
        <v>Yes</v>
      </c>
      <c r="P1161" s="102" t="str">
        <v>N</v>
      </c>
      <c r="Q1161" s="123">
        <v>46057</v>
      </c>
      <c r="R1161" s="141">
        <v>0</v>
      </c>
      <c r="S1161" s="98">
        <v>0</v>
      </c>
      <c r="T1161" s="98">
        <v>0</v>
      </c>
      <c r="U1161" s="143">
        <v>0</v>
      </c>
      <c r="V1161" s="126" t="str">
        <f t="shared" si="36"/>
        <v>✅ On Best Plan</v>
      </c>
      <c r="W1161" s="130">
        <f>IFERROR(_xlfn.XLOOKUP(TEXT(H1161,"0000000000"),'📞 Call Tracker'!A$2:A$2000,'📞 Call Tracker'!B$2:B$2000,""),"")</f>
        <v>0</v>
      </c>
      <c r="X1161" s="96">
        <f>IFERROR(_xlfn.XLOOKUP(TEXT(H1161,"0000000000"),'📞 Call Tracker'!A$2:A$2000,'📞 Call Tracker'!C$2:C$2000,""),"")</f>
        <v>0</v>
      </c>
      <c r="Y1161" s="95">
        <f>IFERROR(_xlfn.XLOOKUP(TEXT(H1161,"0000000000"),'📞 Call Tracker'!A$2:A$2000,'📞 Call Tracker'!D$2:D$2000,""),"")</f>
        <v>0</v>
      </c>
      <c r="Z1161" s="95">
        <f>IFERROR(_xlfn.XLOOKUP(TEXT(H1161,"0000000000"),'📞 Call Tracker'!A$2:A$2000,'📞 Call Tracker'!E$2:E$2000,""),"")</f>
        <v>0</v>
      </c>
      <c r="AA1161" s="145">
        <f>IFERROR(_xlfn.XLOOKUP(TEXT(H1161,"0000000000"),'📞 Call Tracker'!A$2:A$2000,'📞 Call Tracker'!F$2:F$2000,""),"")</f>
        <v>0</v>
      </c>
      <c r="AB1161" s="132">
        <f t="shared" si="37"/>
        <v>99</v>
      </c>
      <c r="AC1161" s="79"/>
    </row>
    <row r="1162" spans="1:29" ht="20.100000000000001" customHeight="1">
      <c r="A1162" s="97">
        <v>46049</v>
      </c>
      <c r="B1162" s="98" t="str">
        <v>Jones</v>
      </c>
      <c r="C1162" s="98" t="str">
        <v>Shauna</v>
      </c>
      <c r="D1162" s="98" t="str">
        <v>Rimrock</v>
      </c>
      <c r="E1162" s="99">
        <v>86335</v>
      </c>
      <c r="F1162" s="138" t="str">
        <v>Please don't raise prices I'm already trying my hardest at 64 years old and working restaurants</v>
      </c>
      <c r="G1162" s="100" t="str">
        <v>https://docket.images.azcc.gov/E000048921.pdf</v>
      </c>
      <c r="H1162" s="151" t="s">
        <v>4286</v>
      </c>
      <c r="I1162" s="115" t="str">
        <v>RTOUE47</v>
      </c>
      <c r="J1162" s="110" t="str">
        <v>No</v>
      </c>
      <c r="K1162" s="101" t="str">
        <v>No</v>
      </c>
      <c r="L1162" s="138" t="str">
        <v>Yes</v>
      </c>
      <c r="M1162" s="101" t="str">
        <v>No</v>
      </c>
      <c r="N1162" s="135" t="str">
        <v>No</v>
      </c>
      <c r="O1162" s="120" t="str">
        <v>Yes</v>
      </c>
      <c r="P1162" s="102" t="str">
        <v>N</v>
      </c>
      <c r="Q1162" s="123">
        <v>46057</v>
      </c>
      <c r="R1162" s="141">
        <v>0</v>
      </c>
      <c r="S1162" s="98">
        <v>0</v>
      </c>
      <c r="T1162" s="98">
        <v>0</v>
      </c>
      <c r="U1162" s="143">
        <v>0</v>
      </c>
      <c r="V1162" s="126" t="str">
        <f t="shared" si="36"/>
        <v>✅ On Best Plan</v>
      </c>
      <c r="W1162" s="130">
        <f>IFERROR(_xlfn.XLOOKUP(TEXT(H1162,"0000000000"),'📞 Call Tracker'!A$2:A$2000,'📞 Call Tracker'!B$2:B$2000,""),"")</f>
        <v>0</v>
      </c>
      <c r="X1162" s="96">
        <f>IFERROR(_xlfn.XLOOKUP(TEXT(H1162,"0000000000"),'📞 Call Tracker'!A$2:A$2000,'📞 Call Tracker'!C$2:C$2000,""),"")</f>
        <v>0</v>
      </c>
      <c r="Y1162" s="95">
        <f>IFERROR(_xlfn.XLOOKUP(TEXT(H1162,"0000000000"),'📞 Call Tracker'!A$2:A$2000,'📞 Call Tracker'!D$2:D$2000,""),"")</f>
        <v>0</v>
      </c>
      <c r="Z1162" s="95">
        <f>IFERROR(_xlfn.XLOOKUP(TEXT(H1162,"0000000000"),'📞 Call Tracker'!A$2:A$2000,'📞 Call Tracker'!E$2:E$2000,""),"")</f>
        <v>0</v>
      </c>
      <c r="AA1162" s="145">
        <f>IFERROR(_xlfn.XLOOKUP(TEXT(H1162,"0000000000"),'📞 Call Tracker'!A$2:A$2000,'📞 Call Tracker'!F$2:F$2000,""),"")</f>
        <v>0</v>
      </c>
      <c r="AB1162" s="132">
        <f t="shared" si="37"/>
        <v>99</v>
      </c>
      <c r="AC1162" s="79"/>
    </row>
    <row r="1163" spans="1:29" ht="20.100000000000001" customHeight="1">
      <c r="A1163" s="97">
        <v>46049</v>
      </c>
      <c r="B1163" s="98" t="str">
        <v>Viggiani</v>
      </c>
      <c r="C1163" s="98" t="str">
        <v>Karineh</v>
      </c>
      <c r="D1163" s="98" t="str">
        <v>Phoenix</v>
      </c>
      <c r="E1163" s="99">
        <v>85024</v>
      </c>
      <c r="F1163" s="138" t="str">
        <v>My bill is already high and for single seniors that are living off of social security it will be almost impossible</v>
      </c>
      <c r="G1163" s="100" t="str">
        <v>https://docket.images.azcc.gov/E000048921.pdf</v>
      </c>
      <c r="H1163" s="151" t="s">
        <v>4289</v>
      </c>
      <c r="I1163" s="115" t="str">
        <v>R3-47</v>
      </c>
      <c r="J1163" s="110" t="str">
        <v>No</v>
      </c>
      <c r="K1163" s="101" t="str">
        <v>No</v>
      </c>
      <c r="L1163" s="138" t="str">
        <v>Yes</v>
      </c>
      <c r="M1163" s="101" t="str">
        <v>No</v>
      </c>
      <c r="N1163" s="135" t="str">
        <v>No</v>
      </c>
      <c r="O1163" s="120" t="str">
        <v>Yes</v>
      </c>
      <c r="P1163" s="102" t="str">
        <v>N</v>
      </c>
      <c r="Q1163" s="123">
        <v>46057</v>
      </c>
      <c r="R1163" s="141">
        <v>0</v>
      </c>
      <c r="S1163" s="98">
        <v>0</v>
      </c>
      <c r="T1163" s="98">
        <v>0</v>
      </c>
      <c r="U1163" s="143">
        <v>0</v>
      </c>
      <c r="V1163" s="126" t="str">
        <f t="shared" si="36"/>
        <v>✅ On Best Plan</v>
      </c>
      <c r="W1163" s="130">
        <f>IFERROR(_xlfn.XLOOKUP(TEXT(H1163,"0000000000"),'📞 Call Tracker'!A$2:A$2000,'📞 Call Tracker'!B$2:B$2000,""),"")</f>
        <v>0</v>
      </c>
      <c r="X1163" s="96">
        <f>IFERROR(_xlfn.XLOOKUP(TEXT(H1163,"0000000000"),'📞 Call Tracker'!A$2:A$2000,'📞 Call Tracker'!C$2:C$2000,""),"")</f>
        <v>0</v>
      </c>
      <c r="Y1163" s="95">
        <f>IFERROR(_xlfn.XLOOKUP(TEXT(H1163,"0000000000"),'📞 Call Tracker'!A$2:A$2000,'📞 Call Tracker'!D$2:D$2000,""),"")</f>
        <v>0</v>
      </c>
      <c r="Z1163" s="95">
        <f>IFERROR(_xlfn.XLOOKUP(TEXT(H1163,"0000000000"),'📞 Call Tracker'!A$2:A$2000,'📞 Call Tracker'!E$2:E$2000,""),"")</f>
        <v>0</v>
      </c>
      <c r="AA1163" s="145">
        <f>IFERROR(_xlfn.XLOOKUP(TEXT(H1163,"0000000000"),'📞 Call Tracker'!A$2:A$2000,'📞 Call Tracker'!F$2:F$2000,""),"")</f>
        <v>0</v>
      </c>
      <c r="AB1163" s="132">
        <f t="shared" si="37"/>
        <v>99</v>
      </c>
      <c r="AC1163" s="79"/>
    </row>
    <row r="1164" spans="1:29" ht="20.100000000000001" customHeight="1">
      <c r="A1164" s="97">
        <v>46049</v>
      </c>
      <c r="B1164" s="98" t="str">
        <v>Bell</v>
      </c>
      <c r="C1164" s="98" t="str">
        <v>Esther</v>
      </c>
      <c r="D1164" s="98" t="str">
        <v>Winslow</v>
      </c>
      <c r="E1164" s="99">
        <v>86047</v>
      </c>
      <c r="F1164" s="138" t="str">
        <v>Prices are too high already being on a fixed income it will hurt</v>
      </c>
      <c r="G1164" s="100" t="str">
        <v>https://docket.images.azcc.gov/E000048921.pdf</v>
      </c>
      <c r="H1164" s="151" t="s">
        <v>4296</v>
      </c>
      <c r="I1164" s="115" t="str">
        <v>R-XS</v>
      </c>
      <c r="J1164" s="110" t="str">
        <v>No</v>
      </c>
      <c r="K1164" s="101" t="str">
        <v>No</v>
      </c>
      <c r="L1164" s="138" t="str">
        <v>No MEP R3-47 ($97.32)</v>
      </c>
      <c r="M1164" s="101" t="str">
        <v>No</v>
      </c>
      <c r="N1164" s="135" t="str">
        <v>No</v>
      </c>
      <c r="O1164" s="120" t="str">
        <v>Yes</v>
      </c>
      <c r="P1164" s="102">
        <v>0</v>
      </c>
      <c r="Q1164" s="123">
        <v>46057</v>
      </c>
      <c r="R1164" s="141" t="str">
        <v>Please contact customer regarding plan options</v>
      </c>
      <c r="S1164" s="98">
        <v>0</v>
      </c>
      <c r="T1164" s="98">
        <v>0</v>
      </c>
      <c r="U1164" s="143">
        <v>0</v>
      </c>
      <c r="V1164" s="126" t="str">
        <f t="shared" si="36"/>
        <v>❌ Not on Best Plan</v>
      </c>
      <c r="W1164" s="130">
        <f>IFERROR(_xlfn.XLOOKUP(TEXT(H1164,"0000000000"),'📞 Call Tracker'!A$2:A$2000,'📞 Call Tracker'!B$2:B$2000,""),"")</f>
        <v>0</v>
      </c>
      <c r="X1164" s="96">
        <f>IFERROR(_xlfn.XLOOKUP(TEXT(H1164,"0000000000"),'📞 Call Tracker'!A$2:A$2000,'📞 Call Tracker'!C$2:C$2000,""),"")</f>
        <v>0</v>
      </c>
      <c r="Y1164" s="95">
        <f>IFERROR(_xlfn.XLOOKUP(TEXT(H1164,"0000000000"),'📞 Call Tracker'!A$2:A$2000,'📞 Call Tracker'!D$2:D$2000,""),"")</f>
        <v>0</v>
      </c>
      <c r="Z1164" s="95">
        <f>IFERROR(_xlfn.XLOOKUP(TEXT(H1164,"0000000000"),'📞 Call Tracker'!A$2:A$2000,'📞 Call Tracker'!E$2:E$2000,""),"")</f>
        <v>0</v>
      </c>
      <c r="AA1164" s="145">
        <f>IFERROR(_xlfn.XLOOKUP(TEXT(H1164,"0000000000"),'📞 Call Tracker'!A$2:A$2000,'📞 Call Tracker'!F$2:F$2000,""),"")</f>
        <v>0</v>
      </c>
      <c r="AB1164" s="132">
        <f t="shared" si="37"/>
        <v>99</v>
      </c>
      <c r="AC1164" s="79"/>
    </row>
    <row r="1165" spans="1:29" ht="20.100000000000001" customHeight="1">
      <c r="A1165" s="97">
        <v>46049</v>
      </c>
      <c r="B1165" s="98" t="str">
        <v>Weiss</v>
      </c>
      <c r="C1165" s="98" t="str">
        <v>Elizabeth</v>
      </c>
      <c r="D1165" s="98" t="str">
        <v>Goodyear</v>
      </c>
      <c r="E1165" s="99">
        <v>85338</v>
      </c>
      <c r="F1165" s="138" t="str">
        <v>Please stop raising our electric bills no one can afford this . Plus the big shots are getting very rich</v>
      </c>
      <c r="G1165" s="100" t="str">
        <v>https://docket.images.azcc.gov/E000048921.pdf</v>
      </c>
      <c r="H1165" s="151" t="s">
        <v>4301</v>
      </c>
      <c r="I1165" s="115" t="str">
        <v>R3-47</v>
      </c>
      <c r="J1165" s="110" t="str">
        <v>No</v>
      </c>
      <c r="K1165" s="101" t="str">
        <v>No</v>
      </c>
      <c r="L1165" s="138" t="str">
        <v>Yes</v>
      </c>
      <c r="M1165" s="101" t="str">
        <v>No</v>
      </c>
      <c r="N1165" s="135" t="str">
        <v>No</v>
      </c>
      <c r="O1165" s="120" t="str">
        <v>Yes</v>
      </c>
      <c r="P1165" s="102" t="str">
        <v>N</v>
      </c>
      <c r="Q1165" s="123">
        <v>46058</v>
      </c>
      <c r="R1165" s="141">
        <v>0</v>
      </c>
      <c r="S1165" s="98">
        <v>0</v>
      </c>
      <c r="T1165" s="98">
        <v>0</v>
      </c>
      <c r="U1165" s="143">
        <v>0</v>
      </c>
      <c r="V1165" s="126" t="str">
        <f t="shared" si="36"/>
        <v>✅ On Best Plan</v>
      </c>
      <c r="W1165" s="130">
        <f>IFERROR(_xlfn.XLOOKUP(TEXT(H1165,"0000000000"),'📞 Call Tracker'!A$2:A$2000,'📞 Call Tracker'!B$2:B$2000,""),"")</f>
        <v>0</v>
      </c>
      <c r="X1165" s="96">
        <f>IFERROR(_xlfn.XLOOKUP(TEXT(H1165,"0000000000"),'📞 Call Tracker'!A$2:A$2000,'📞 Call Tracker'!C$2:C$2000,""),"")</f>
        <v>0</v>
      </c>
      <c r="Y1165" s="95">
        <f>IFERROR(_xlfn.XLOOKUP(TEXT(H1165,"0000000000"),'📞 Call Tracker'!A$2:A$2000,'📞 Call Tracker'!D$2:D$2000,""),"")</f>
        <v>0</v>
      </c>
      <c r="Z1165" s="95">
        <f>IFERROR(_xlfn.XLOOKUP(TEXT(H1165,"0000000000"),'📞 Call Tracker'!A$2:A$2000,'📞 Call Tracker'!E$2:E$2000,""),"")</f>
        <v>0</v>
      </c>
      <c r="AA1165" s="145">
        <f>IFERROR(_xlfn.XLOOKUP(TEXT(H1165,"0000000000"),'📞 Call Tracker'!A$2:A$2000,'📞 Call Tracker'!F$2:F$2000,""),"")</f>
        <v>0</v>
      </c>
      <c r="AB1165" s="132">
        <f t="shared" si="37"/>
        <v>99</v>
      </c>
      <c r="AC1165" s="79"/>
    </row>
    <row r="1166" spans="1:29" ht="20.100000000000001" customHeight="1">
      <c r="A1166" s="97">
        <v>46049</v>
      </c>
      <c r="B1166" s="98" t="str">
        <v xml:space="preserve">Bradley </v>
      </c>
      <c r="C1166" s="98" t="str">
        <v>Virginia</v>
      </c>
      <c r="D1166" s="98" t="str">
        <v>Scottsdale</v>
      </c>
      <c r="E1166" s="99">
        <v>85254</v>
      </c>
      <c r="F1166" s="138" t="str">
        <v xml:space="preserve">The company is already making so much and instead of working to reduce costs, they just go for price increases. </v>
      </c>
      <c r="G1166" s="100" t="str">
        <v>https://docket.images.azcc.gov/E000048921.pdf</v>
      </c>
      <c r="H1166" s="151" t="s">
        <v>4305</v>
      </c>
      <c r="I1166" s="115" t="str">
        <v>R3-47</v>
      </c>
      <c r="J1166" s="110" t="str">
        <v>No</v>
      </c>
      <c r="K1166" s="101" t="str">
        <v>No</v>
      </c>
      <c r="L1166" s="138" t="str">
        <v>Yes</v>
      </c>
      <c r="M1166" s="101" t="str">
        <v>No</v>
      </c>
      <c r="N1166" s="135" t="str">
        <v>No</v>
      </c>
      <c r="O1166" s="120" t="str">
        <v>Yes</v>
      </c>
      <c r="P1166" s="102" t="str">
        <v>N</v>
      </c>
      <c r="Q1166" s="123">
        <v>46058</v>
      </c>
      <c r="R1166" s="141">
        <v>0</v>
      </c>
      <c r="S1166" s="98">
        <v>0</v>
      </c>
      <c r="T1166" s="98">
        <v>0</v>
      </c>
      <c r="U1166" s="143">
        <v>0</v>
      </c>
      <c r="V1166" s="126" t="str">
        <f t="shared" si="36"/>
        <v>✅ On Best Plan</v>
      </c>
      <c r="W1166" s="130">
        <f>IFERROR(_xlfn.XLOOKUP(TEXT(H1166,"0000000000"),'📞 Call Tracker'!A$2:A$2000,'📞 Call Tracker'!B$2:B$2000,""),"")</f>
        <v>0</v>
      </c>
      <c r="X1166" s="96">
        <f>IFERROR(_xlfn.XLOOKUP(TEXT(H1166,"0000000000"),'📞 Call Tracker'!A$2:A$2000,'📞 Call Tracker'!C$2:C$2000,""),"")</f>
        <v>0</v>
      </c>
      <c r="Y1166" s="95">
        <f>IFERROR(_xlfn.XLOOKUP(TEXT(H1166,"0000000000"),'📞 Call Tracker'!A$2:A$2000,'📞 Call Tracker'!D$2:D$2000,""),"")</f>
        <v>0</v>
      </c>
      <c r="Z1166" s="95">
        <f>IFERROR(_xlfn.XLOOKUP(TEXT(H1166,"0000000000"),'📞 Call Tracker'!A$2:A$2000,'📞 Call Tracker'!E$2:E$2000,""),"")</f>
        <v>0</v>
      </c>
      <c r="AA1166" s="145">
        <f>IFERROR(_xlfn.XLOOKUP(TEXT(H1166,"0000000000"),'📞 Call Tracker'!A$2:A$2000,'📞 Call Tracker'!F$2:F$2000,""),"")</f>
        <v>0</v>
      </c>
      <c r="AB1166" s="132">
        <f t="shared" si="37"/>
        <v>99</v>
      </c>
      <c r="AC1166" s="79"/>
    </row>
    <row r="1167" spans="1:29" ht="20.100000000000001" customHeight="1">
      <c r="A1167" s="97">
        <v>46049</v>
      </c>
      <c r="B1167" s="98" t="str">
        <v>Zavala</v>
      </c>
      <c r="C1167" s="98" t="str">
        <v>Rosario</v>
      </c>
      <c r="D1167" s="98" t="str">
        <v>Yuma</v>
      </c>
      <c r="E1167" s="99">
        <v>85364</v>
      </c>
      <c r="F1167" s="138" t="str">
        <v>everything is so expensive we can't no longer are able to support ourselves on the income we receive from social security</v>
      </c>
      <c r="G1167" s="100" t="str">
        <v>https://docket.images.azcc.gov/E000048921.pdf</v>
      </c>
      <c r="H1167" s="151" t="s">
        <v>4308</v>
      </c>
      <c r="I1167" s="115" t="str">
        <v>R-2</v>
      </c>
      <c r="J1167" s="110" t="str">
        <v>No</v>
      </c>
      <c r="K1167" s="101" t="str">
        <v>No</v>
      </c>
      <c r="L1167" s="138" t="str">
        <v>Frozen Plan</v>
      </c>
      <c r="M1167" s="101" t="str">
        <v>No</v>
      </c>
      <c r="N1167" s="135" t="str">
        <v>No</v>
      </c>
      <c r="O1167" s="120" t="str">
        <v>Yes</v>
      </c>
      <c r="P1167" s="102" t="str">
        <v>N</v>
      </c>
      <c r="Q1167" s="123">
        <v>46058</v>
      </c>
      <c r="R1167" s="141">
        <v>0</v>
      </c>
      <c r="S1167" s="98">
        <v>0</v>
      </c>
      <c r="T1167" s="98">
        <v>0</v>
      </c>
      <c r="U1167" s="143">
        <v>0</v>
      </c>
      <c r="V1167" s="126" t="str">
        <f t="shared" si="36"/>
        <v>❄ Frozen Rate</v>
      </c>
      <c r="W1167" s="130">
        <f>IFERROR(_xlfn.XLOOKUP(TEXT(H1167,"0000000000"),'📞 Call Tracker'!A$2:A$2000,'📞 Call Tracker'!B$2:B$2000,""),"")</f>
        <v>0</v>
      </c>
      <c r="X1167" s="96">
        <f>IFERROR(_xlfn.XLOOKUP(TEXT(H1167,"0000000000"),'📞 Call Tracker'!A$2:A$2000,'📞 Call Tracker'!C$2:C$2000,""),"")</f>
        <v>0</v>
      </c>
      <c r="Y1167" s="95">
        <f>IFERROR(_xlfn.XLOOKUP(TEXT(H1167,"0000000000"),'📞 Call Tracker'!A$2:A$2000,'📞 Call Tracker'!D$2:D$2000,""),"")</f>
        <v>0</v>
      </c>
      <c r="Z1167" s="95">
        <f>IFERROR(_xlfn.XLOOKUP(TEXT(H1167,"0000000000"),'📞 Call Tracker'!A$2:A$2000,'📞 Call Tracker'!E$2:E$2000,""),"")</f>
        <v>0</v>
      </c>
      <c r="AA1167" s="145">
        <f>IFERROR(_xlfn.XLOOKUP(TEXT(H1167,"0000000000"),'📞 Call Tracker'!A$2:A$2000,'📞 Call Tracker'!F$2:F$2000,""),"")</f>
        <v>0</v>
      </c>
      <c r="AB1167" s="132">
        <f t="shared" si="37"/>
        <v>99</v>
      </c>
      <c r="AC1167" s="79"/>
    </row>
    <row r="1168" spans="1:29" ht="20.100000000000001" customHeight="1">
      <c r="A1168" s="97">
        <v>46049</v>
      </c>
      <c r="B1168" s="98" t="str">
        <v>Brown</v>
      </c>
      <c r="C1168" s="98" t="str">
        <v>Lorrie</v>
      </c>
      <c r="D1168" s="98" t="str">
        <v>Glendale</v>
      </c>
      <c r="E1168" s="99">
        <v>85304</v>
      </c>
      <c r="F1168" s="138" t="str">
        <v>Do not support increase for APS Please!!!!!!</v>
      </c>
      <c r="G1168" s="100" t="str">
        <v>https://docket.images.azcc.gov/E000048921.pdf</v>
      </c>
      <c r="H1168" s="151" t="s">
        <v>4310</v>
      </c>
      <c r="I1168" s="115" t="str">
        <v>R3-47</v>
      </c>
      <c r="J1168" s="110" t="str">
        <v>No</v>
      </c>
      <c r="K1168" s="101" t="str">
        <v>No</v>
      </c>
      <c r="L1168" s="138" t="str">
        <v>Yes</v>
      </c>
      <c r="M1168" s="101" t="str">
        <v>No</v>
      </c>
      <c r="N1168" s="135" t="str">
        <v>No</v>
      </c>
      <c r="O1168" s="120" t="str">
        <v>Yes</v>
      </c>
      <c r="P1168" s="102" t="str">
        <v>N</v>
      </c>
      <c r="Q1168" s="123">
        <v>46058</v>
      </c>
      <c r="R1168" s="141">
        <v>0</v>
      </c>
      <c r="S1168" s="98">
        <v>0</v>
      </c>
      <c r="T1168" s="98">
        <v>0</v>
      </c>
      <c r="U1168" s="143">
        <v>0</v>
      </c>
      <c r="V1168" s="126" t="str">
        <f t="shared" si="36"/>
        <v>✅ On Best Plan</v>
      </c>
      <c r="W1168" s="130">
        <f>IFERROR(_xlfn.XLOOKUP(TEXT(H1168,"0000000000"),'📞 Call Tracker'!A$2:A$2000,'📞 Call Tracker'!B$2:B$2000,""),"")</f>
        <v>0</v>
      </c>
      <c r="X1168" s="96">
        <f>IFERROR(_xlfn.XLOOKUP(TEXT(H1168,"0000000000"),'📞 Call Tracker'!A$2:A$2000,'📞 Call Tracker'!C$2:C$2000,""),"")</f>
        <v>0</v>
      </c>
      <c r="Y1168" s="95">
        <f>IFERROR(_xlfn.XLOOKUP(TEXT(H1168,"0000000000"),'📞 Call Tracker'!A$2:A$2000,'📞 Call Tracker'!D$2:D$2000,""),"")</f>
        <v>0</v>
      </c>
      <c r="Z1168" s="95">
        <f>IFERROR(_xlfn.XLOOKUP(TEXT(H1168,"0000000000"),'📞 Call Tracker'!A$2:A$2000,'📞 Call Tracker'!E$2:E$2000,""),"")</f>
        <v>0</v>
      </c>
      <c r="AA1168" s="145">
        <f>IFERROR(_xlfn.XLOOKUP(TEXT(H1168,"0000000000"),'📞 Call Tracker'!A$2:A$2000,'📞 Call Tracker'!F$2:F$2000,""),"")</f>
        <v>0</v>
      </c>
      <c r="AB1168" s="132">
        <f t="shared" si="37"/>
        <v>99</v>
      </c>
      <c r="AC1168" s="79"/>
    </row>
    <row r="1169" spans="1:29" ht="20.100000000000001" customHeight="1">
      <c r="A1169" s="97">
        <v>46049</v>
      </c>
      <c r="B1169" s="98" t="str">
        <v>Stewart</v>
      </c>
      <c r="C1169" s="98" t="str">
        <v>Heather</v>
      </c>
      <c r="D1169" s="98" t="str">
        <v>Phoenix</v>
      </c>
      <c r="E1169" s="99">
        <v>85020</v>
      </c>
      <c r="F1169" s="138" t="str">
        <v>They dent need a rate increase. They make millions in profits. Consumers deserve a rate cut!</v>
      </c>
      <c r="G1169" s="100" t="str">
        <v>https://docket.images.azcc.gov/E000048921.pdf</v>
      </c>
      <c r="H1169" s="151" t="s">
        <v>4315</v>
      </c>
      <c r="I1169" s="115" t="str">
        <v>R3-47</v>
      </c>
      <c r="J1169" s="110" t="str">
        <v>No</v>
      </c>
      <c r="K1169" s="101" t="str">
        <v>No</v>
      </c>
      <c r="L1169" s="138" t="str">
        <v>Yes</v>
      </c>
      <c r="M1169" s="101" t="str">
        <v>Yes</v>
      </c>
      <c r="N1169" s="135">
        <v>393.41</v>
      </c>
      <c r="O1169" s="120" t="str">
        <v>Yes</v>
      </c>
      <c r="P1169" s="102">
        <v>0</v>
      </c>
      <c r="Q1169" s="123">
        <v>46058</v>
      </c>
      <c r="R1169" s="141" t="str">
        <v>May need information for additional assistance programs?</v>
      </c>
      <c r="S1169" s="98">
        <v>0</v>
      </c>
      <c r="T1169" s="98">
        <v>0</v>
      </c>
      <c r="U1169" s="143">
        <v>0</v>
      </c>
      <c r="V1169" s="126" t="str">
        <f t="shared" si="36"/>
        <v>✅ On Best Plan</v>
      </c>
      <c r="W1169" s="130">
        <f>IFERROR(_xlfn.XLOOKUP(TEXT(H1169,"0000000000"),'📞 Call Tracker'!A$2:A$2000,'📞 Call Tracker'!B$2:B$2000,""),"")</f>
        <v>0</v>
      </c>
      <c r="X1169" s="96">
        <f>IFERROR(_xlfn.XLOOKUP(TEXT(H1169,"0000000000"),'📞 Call Tracker'!A$2:A$2000,'📞 Call Tracker'!C$2:C$2000,""),"")</f>
        <v>0</v>
      </c>
      <c r="Y1169" s="95">
        <f>IFERROR(_xlfn.XLOOKUP(TEXT(H1169,"0000000000"),'📞 Call Tracker'!A$2:A$2000,'📞 Call Tracker'!D$2:D$2000,""),"")</f>
        <v>0</v>
      </c>
      <c r="Z1169" s="95">
        <f>IFERROR(_xlfn.XLOOKUP(TEXT(H1169,"0000000000"),'📞 Call Tracker'!A$2:A$2000,'📞 Call Tracker'!E$2:E$2000,""),"")</f>
        <v>0</v>
      </c>
      <c r="AA1169" s="145">
        <f>IFERROR(_xlfn.XLOOKUP(TEXT(H1169,"0000000000"),'📞 Call Tracker'!A$2:A$2000,'📞 Call Tracker'!F$2:F$2000,""),"")</f>
        <v>0</v>
      </c>
      <c r="AB1169" s="132">
        <f t="shared" si="37"/>
        <v>99</v>
      </c>
      <c r="AC1169" s="79"/>
    </row>
    <row r="1170" spans="1:29" ht="20.100000000000001" customHeight="1">
      <c r="A1170" s="97">
        <v>46049</v>
      </c>
      <c r="B1170" s="98" t="str">
        <v>Ong</v>
      </c>
      <c r="C1170" s="98" t="str">
        <v>Addison</v>
      </c>
      <c r="D1170" s="98" t="str">
        <v>Phoenix</v>
      </c>
      <c r="E1170" s="99">
        <v>85028</v>
      </c>
      <c r="F1170" s="138" t="str">
        <v>Please do not approve this, many of us are already living paycheck to paycheck for these billionaires to line their pockets</v>
      </c>
      <c r="G1170" s="100" t="str">
        <v>https://docket.images.azcc.gov/E000048921.pdf</v>
      </c>
      <c r="H1170" s="151" t="s">
        <v>4320</v>
      </c>
      <c r="I1170" s="115" t="str">
        <v>R3-47</v>
      </c>
      <c r="J1170" s="110" t="str">
        <v>No</v>
      </c>
      <c r="K1170" s="101" t="str">
        <v>No</v>
      </c>
      <c r="L1170" s="138" t="str">
        <v>Yes</v>
      </c>
      <c r="M1170" s="101" t="str">
        <v>No</v>
      </c>
      <c r="N1170" s="135" t="str">
        <v>No</v>
      </c>
      <c r="O1170" s="120" t="str">
        <v>Yes</v>
      </c>
      <c r="P1170" s="102" t="str">
        <v>N</v>
      </c>
      <c r="Q1170" s="123">
        <v>46058</v>
      </c>
      <c r="R1170" s="141">
        <v>0</v>
      </c>
      <c r="S1170" s="98">
        <v>0</v>
      </c>
      <c r="T1170" s="98">
        <v>0</v>
      </c>
      <c r="U1170" s="143">
        <v>0</v>
      </c>
      <c r="V1170" s="126" t="str">
        <f t="shared" si="36"/>
        <v>✅ On Best Plan</v>
      </c>
      <c r="W1170" s="130">
        <f>IFERROR(_xlfn.XLOOKUP(TEXT(H1170,"0000000000"),'📞 Call Tracker'!A$2:A$2000,'📞 Call Tracker'!B$2:B$2000,""),"")</f>
        <v>0</v>
      </c>
      <c r="X1170" s="96">
        <f>IFERROR(_xlfn.XLOOKUP(TEXT(H1170,"0000000000"),'📞 Call Tracker'!A$2:A$2000,'📞 Call Tracker'!C$2:C$2000,""),"")</f>
        <v>0</v>
      </c>
      <c r="Y1170" s="95">
        <f>IFERROR(_xlfn.XLOOKUP(TEXT(H1170,"0000000000"),'📞 Call Tracker'!A$2:A$2000,'📞 Call Tracker'!D$2:D$2000,""),"")</f>
        <v>0</v>
      </c>
      <c r="Z1170" s="95">
        <f>IFERROR(_xlfn.XLOOKUP(TEXT(H1170,"0000000000"),'📞 Call Tracker'!A$2:A$2000,'📞 Call Tracker'!E$2:E$2000,""),"")</f>
        <v>0</v>
      </c>
      <c r="AA1170" s="145">
        <f>IFERROR(_xlfn.XLOOKUP(TEXT(H1170,"0000000000"),'📞 Call Tracker'!A$2:A$2000,'📞 Call Tracker'!F$2:F$2000,""),"")</f>
        <v>0</v>
      </c>
      <c r="AB1170" s="132">
        <f t="shared" si="37"/>
        <v>99</v>
      </c>
      <c r="AC1170" s="79"/>
    </row>
    <row r="1171" spans="1:29" ht="20.100000000000001" customHeight="1">
      <c r="A1171" s="97">
        <v>46049</v>
      </c>
      <c r="B1171" s="98" t="str">
        <v>Carter</v>
      </c>
      <c r="C1171" s="98" t="str">
        <v>John</v>
      </c>
      <c r="D1171" s="98" t="str">
        <v>Prescott Valley</v>
      </c>
      <c r="E1171" s="99">
        <v>86315</v>
      </c>
      <c r="F1171" s="138" t="str">
        <v>In today's improved economy (just ask Trump) and with the help from AI, APS should be able to figure out how to keep expenses down</v>
      </c>
      <c r="G1171" s="100" t="str">
        <v>https://docket.images.azcc.gov/E000048921.pdf</v>
      </c>
      <c r="H1171" s="151" t="s">
        <v>4327</v>
      </c>
      <c r="I1171" s="115" t="str">
        <v>R-XS</v>
      </c>
      <c r="J1171" s="110" t="str">
        <v>No</v>
      </c>
      <c r="K1171" s="101" t="str">
        <v>No</v>
      </c>
      <c r="L1171" s="138" t="str">
        <v>Yes</v>
      </c>
      <c r="M1171" s="101" t="str">
        <v>No</v>
      </c>
      <c r="N1171" s="135" t="str">
        <v>No</v>
      </c>
      <c r="O1171" s="120" t="str">
        <v>Yes</v>
      </c>
      <c r="P1171" s="102" t="str">
        <v>N</v>
      </c>
      <c r="Q1171" s="123">
        <v>46058</v>
      </c>
      <c r="R1171" s="141">
        <v>0</v>
      </c>
      <c r="S1171" s="98">
        <v>0</v>
      </c>
      <c r="T1171" s="98">
        <v>0</v>
      </c>
      <c r="U1171" s="143">
        <v>0</v>
      </c>
      <c r="V1171" s="126" t="str">
        <f t="shared" si="36"/>
        <v>✅ On Best Plan</v>
      </c>
      <c r="W1171" s="130">
        <f>IFERROR(_xlfn.XLOOKUP(TEXT(H1171,"0000000000"),'📞 Call Tracker'!A$2:A$2000,'📞 Call Tracker'!B$2:B$2000,""),"")</f>
        <v>0</v>
      </c>
      <c r="X1171" s="96">
        <f>IFERROR(_xlfn.XLOOKUP(TEXT(H1171,"0000000000"),'📞 Call Tracker'!A$2:A$2000,'📞 Call Tracker'!C$2:C$2000,""),"")</f>
        <v>0</v>
      </c>
      <c r="Y1171" s="95">
        <f>IFERROR(_xlfn.XLOOKUP(TEXT(H1171,"0000000000"),'📞 Call Tracker'!A$2:A$2000,'📞 Call Tracker'!D$2:D$2000,""),"")</f>
        <v>0</v>
      </c>
      <c r="Z1171" s="95">
        <f>IFERROR(_xlfn.XLOOKUP(TEXT(H1171,"0000000000"),'📞 Call Tracker'!A$2:A$2000,'📞 Call Tracker'!E$2:E$2000,""),"")</f>
        <v>0</v>
      </c>
      <c r="AA1171" s="145">
        <f>IFERROR(_xlfn.XLOOKUP(TEXT(H1171,"0000000000"),'📞 Call Tracker'!A$2:A$2000,'📞 Call Tracker'!F$2:F$2000,""),"")</f>
        <v>0</v>
      </c>
      <c r="AB1171" s="132">
        <f t="shared" si="37"/>
        <v>99</v>
      </c>
      <c r="AC1171" s="79"/>
    </row>
    <row r="1172" spans="1:29" ht="20.100000000000001" customHeight="1">
      <c r="A1172" s="97">
        <v>46049</v>
      </c>
      <c r="B1172" s="98" t="str">
        <v>Smith</v>
      </c>
      <c r="C1172" s="98" t="str">
        <v>Heather</v>
      </c>
      <c r="D1172" s="98" t="str">
        <v>Yuma</v>
      </c>
      <c r="E1172" s="99">
        <v>85365</v>
      </c>
      <c r="F1172" s="138" t="str">
        <v>Use least amount of electricity, best plan, hard time now paying my bill</v>
      </c>
      <c r="G1172" s="100" t="str">
        <v>https://docket.images.azcc.gov/E000048921.pdf</v>
      </c>
      <c r="H1172" s="151" t="s">
        <v>4331</v>
      </c>
      <c r="I1172" s="115" t="str">
        <v>R3-47</v>
      </c>
      <c r="J1172" s="110" t="str">
        <v>Yes</v>
      </c>
      <c r="K1172" s="101" t="str">
        <v>No</v>
      </c>
      <c r="L1172" s="138" t="str">
        <v>Yes</v>
      </c>
      <c r="M1172" s="101" t="str">
        <v>No</v>
      </c>
      <c r="N1172" s="135" t="str">
        <v>No</v>
      </c>
      <c r="O1172" s="120" t="str">
        <v>Yes</v>
      </c>
      <c r="P1172" s="102" t="str">
        <v>N</v>
      </c>
      <c r="Q1172" s="123">
        <v>46058</v>
      </c>
      <c r="R1172" s="141">
        <v>0</v>
      </c>
      <c r="S1172" s="98">
        <v>0</v>
      </c>
      <c r="T1172" s="98">
        <v>0</v>
      </c>
      <c r="U1172" s="143">
        <v>0</v>
      </c>
      <c r="V1172" s="126" t="str">
        <f t="shared" si="36"/>
        <v>✅ On Best Plan</v>
      </c>
      <c r="W1172" s="130">
        <f>IFERROR(_xlfn.XLOOKUP(TEXT(H1172,"0000000000"),'📞 Call Tracker'!A$2:A$2000,'📞 Call Tracker'!B$2:B$2000,""),"")</f>
        <v>0</v>
      </c>
      <c r="X1172" s="96">
        <f>IFERROR(_xlfn.XLOOKUP(TEXT(H1172,"0000000000"),'📞 Call Tracker'!A$2:A$2000,'📞 Call Tracker'!C$2:C$2000,""),"")</f>
        <v>0</v>
      </c>
      <c r="Y1172" s="95">
        <f>IFERROR(_xlfn.XLOOKUP(TEXT(H1172,"0000000000"),'📞 Call Tracker'!A$2:A$2000,'📞 Call Tracker'!D$2:D$2000,""),"")</f>
        <v>0</v>
      </c>
      <c r="Z1172" s="95">
        <f>IFERROR(_xlfn.XLOOKUP(TEXT(H1172,"0000000000"),'📞 Call Tracker'!A$2:A$2000,'📞 Call Tracker'!E$2:E$2000,""),"")</f>
        <v>0</v>
      </c>
      <c r="AA1172" s="145">
        <f>IFERROR(_xlfn.XLOOKUP(TEXT(H1172,"0000000000"),'📞 Call Tracker'!A$2:A$2000,'📞 Call Tracker'!F$2:F$2000,""),"")</f>
        <v>0</v>
      </c>
      <c r="AB1172" s="132">
        <f t="shared" si="37"/>
        <v>99</v>
      </c>
      <c r="AC1172" s="79"/>
    </row>
    <row r="1173" spans="1:29" ht="20.100000000000001" customHeight="1">
      <c r="A1173" s="97">
        <v>46049</v>
      </c>
      <c r="B1173" s="98" t="str">
        <v>Jackson</v>
      </c>
      <c r="C1173" s="98" t="str">
        <v>Marilyn</v>
      </c>
      <c r="D1173" s="98" t="str">
        <v>Ajo</v>
      </c>
      <c r="E1173" s="99">
        <v>85321</v>
      </c>
      <c r="F1173" s="138" t="str">
        <v>The Corporation Commission has burdened the rate payers of Arizona for years.</v>
      </c>
      <c r="G1173" s="100" t="str">
        <v>https://docket.images.azcc.gov/E000048921.pdf</v>
      </c>
      <c r="H1173" s="151" t="s">
        <v>4333</v>
      </c>
      <c r="I1173" s="115" t="str">
        <v>R-XS</v>
      </c>
      <c r="J1173" s="110" t="str">
        <v>No</v>
      </c>
      <c r="K1173" s="101" t="str">
        <v>No</v>
      </c>
      <c r="L1173" s="138" t="str">
        <v>Yes</v>
      </c>
      <c r="M1173" s="101" t="str">
        <v>No</v>
      </c>
      <c r="N1173" s="135" t="str">
        <v>No</v>
      </c>
      <c r="O1173" s="120" t="str">
        <v>Yes</v>
      </c>
      <c r="P1173" s="102" t="str">
        <v>N</v>
      </c>
      <c r="Q1173" s="123">
        <v>46058</v>
      </c>
      <c r="R1173" s="141">
        <v>0</v>
      </c>
      <c r="S1173" s="98">
        <v>0</v>
      </c>
      <c r="T1173" s="98">
        <v>0</v>
      </c>
      <c r="U1173" s="143">
        <v>0</v>
      </c>
      <c r="V1173" s="126" t="str">
        <f t="shared" si="36"/>
        <v>✅ On Best Plan</v>
      </c>
      <c r="W1173" s="130">
        <f>IFERROR(_xlfn.XLOOKUP(TEXT(H1173,"0000000000"),'📞 Call Tracker'!A$2:A$2000,'📞 Call Tracker'!B$2:B$2000,""),"")</f>
        <v>0</v>
      </c>
      <c r="X1173" s="96">
        <f>IFERROR(_xlfn.XLOOKUP(TEXT(H1173,"0000000000"),'📞 Call Tracker'!A$2:A$2000,'📞 Call Tracker'!C$2:C$2000,""),"")</f>
        <v>0</v>
      </c>
      <c r="Y1173" s="95">
        <f>IFERROR(_xlfn.XLOOKUP(TEXT(H1173,"0000000000"),'📞 Call Tracker'!A$2:A$2000,'📞 Call Tracker'!D$2:D$2000,""),"")</f>
        <v>0</v>
      </c>
      <c r="Z1173" s="95">
        <f>IFERROR(_xlfn.XLOOKUP(TEXT(H1173,"0000000000"),'📞 Call Tracker'!A$2:A$2000,'📞 Call Tracker'!E$2:E$2000,""),"")</f>
        <v>0</v>
      </c>
      <c r="AA1173" s="145">
        <f>IFERROR(_xlfn.XLOOKUP(TEXT(H1173,"0000000000"),'📞 Call Tracker'!A$2:A$2000,'📞 Call Tracker'!F$2:F$2000,""),"")</f>
        <v>0</v>
      </c>
      <c r="AB1173" s="132">
        <f t="shared" si="37"/>
        <v>99</v>
      </c>
      <c r="AC1173" s="79"/>
    </row>
    <row r="1174" spans="1:29" ht="20.100000000000001" customHeight="1">
      <c r="A1174" s="97">
        <v>46049</v>
      </c>
      <c r="B1174" s="98" t="str">
        <v>Heller Walstra</v>
      </c>
      <c r="C1174" s="98" t="str">
        <v>Alison</v>
      </c>
      <c r="D1174" s="98" t="str">
        <v>Arizona City</v>
      </c>
      <c r="E1174" s="99">
        <v>85123</v>
      </c>
      <c r="F1174" s="138" t="str">
        <v>MORE hardship than already has been committed, I want to use harsher language, but am restraining myself</v>
      </c>
      <c r="G1174" s="100" t="str">
        <v>https://docket.images.azcc.gov/E000048921.pdf</v>
      </c>
      <c r="H1174" s="151" t="s">
        <v>4337</v>
      </c>
      <c r="I1174" s="115" t="str">
        <v>R3-47</v>
      </c>
      <c r="J1174" s="110" t="str">
        <v>No</v>
      </c>
      <c r="K1174" s="101" t="str">
        <v>No</v>
      </c>
      <c r="L1174" s="138" t="str">
        <v>Yes</v>
      </c>
      <c r="M1174" s="101" t="str">
        <v>No</v>
      </c>
      <c r="N1174" s="135" t="str">
        <v>No</v>
      </c>
      <c r="O1174" s="120" t="str">
        <v>Yes</v>
      </c>
      <c r="P1174" s="102" t="str">
        <v>N</v>
      </c>
      <c r="Q1174" s="123">
        <v>46058</v>
      </c>
      <c r="R1174" s="141">
        <v>0</v>
      </c>
      <c r="S1174" s="98">
        <v>0</v>
      </c>
      <c r="T1174" s="98">
        <v>0</v>
      </c>
      <c r="U1174" s="143">
        <v>0</v>
      </c>
      <c r="V1174" s="126" t="str">
        <f t="shared" si="36"/>
        <v>✅ On Best Plan</v>
      </c>
      <c r="W1174" s="130">
        <f>IFERROR(_xlfn.XLOOKUP(TEXT(H1174,"0000000000"),'📞 Call Tracker'!A$2:A$2000,'📞 Call Tracker'!B$2:B$2000,""),"")</f>
        <v>0</v>
      </c>
      <c r="X1174" s="96">
        <f>IFERROR(_xlfn.XLOOKUP(TEXT(H1174,"0000000000"),'📞 Call Tracker'!A$2:A$2000,'📞 Call Tracker'!C$2:C$2000,""),"")</f>
        <v>0</v>
      </c>
      <c r="Y1174" s="95">
        <f>IFERROR(_xlfn.XLOOKUP(TEXT(H1174,"0000000000"),'📞 Call Tracker'!A$2:A$2000,'📞 Call Tracker'!D$2:D$2000,""),"")</f>
        <v>0</v>
      </c>
      <c r="Z1174" s="95">
        <f>IFERROR(_xlfn.XLOOKUP(TEXT(H1174,"0000000000"),'📞 Call Tracker'!A$2:A$2000,'📞 Call Tracker'!E$2:E$2000,""),"")</f>
        <v>0</v>
      </c>
      <c r="AA1174" s="145">
        <f>IFERROR(_xlfn.XLOOKUP(TEXT(H1174,"0000000000"),'📞 Call Tracker'!A$2:A$2000,'📞 Call Tracker'!F$2:F$2000,""),"")</f>
        <v>0</v>
      </c>
      <c r="AB1174" s="132">
        <f t="shared" si="37"/>
        <v>99</v>
      </c>
      <c r="AC1174" s="79"/>
    </row>
    <row r="1175" spans="1:29" ht="20.100000000000001" customHeight="1">
      <c r="A1175" s="97">
        <v>46049</v>
      </c>
      <c r="B1175" s="98" t="str">
        <v>Brown</v>
      </c>
      <c r="C1175" s="98" t="str">
        <v>Nancy</v>
      </c>
      <c r="D1175" s="98" t="str">
        <v>Surprise</v>
      </c>
      <c r="E1175" s="99">
        <v>85379</v>
      </c>
      <c r="F1175" s="138" t="str">
        <v>I am widowed, on a fixed income. My income dropped in half after my husband passed away. My income pretty much stays the same</v>
      </c>
      <c r="G1175" s="100" t="str">
        <v>https://docket.images.azcc.gov/E000048921.pdf</v>
      </c>
      <c r="H1175" s="151" t="s">
        <v>4341</v>
      </c>
      <c r="I1175" s="115" t="str">
        <v>R3-47</v>
      </c>
      <c r="J1175" s="110" t="str">
        <v>No</v>
      </c>
      <c r="K1175" s="101" t="str">
        <v>No</v>
      </c>
      <c r="L1175" s="138" t="str">
        <v>Yes</v>
      </c>
      <c r="M1175" s="101" t="str">
        <v>No</v>
      </c>
      <c r="N1175" s="135" t="str">
        <v>No</v>
      </c>
      <c r="O1175" s="120" t="str">
        <v>Yes</v>
      </c>
      <c r="P1175" s="102" t="str">
        <v>N</v>
      </c>
      <c r="Q1175" s="123">
        <v>46058</v>
      </c>
      <c r="R1175" s="141">
        <v>0</v>
      </c>
      <c r="S1175" s="98">
        <v>0</v>
      </c>
      <c r="T1175" s="98">
        <v>0</v>
      </c>
      <c r="U1175" s="143">
        <v>0</v>
      </c>
      <c r="V1175" s="126" t="str">
        <f t="shared" si="36"/>
        <v>✅ On Best Plan</v>
      </c>
      <c r="W1175" s="130">
        <f>IFERROR(_xlfn.XLOOKUP(TEXT(H1175,"0000000000"),'📞 Call Tracker'!A$2:A$2000,'📞 Call Tracker'!B$2:B$2000,""),"")</f>
        <v>0</v>
      </c>
      <c r="X1175" s="96">
        <f>IFERROR(_xlfn.XLOOKUP(TEXT(H1175,"0000000000"),'📞 Call Tracker'!A$2:A$2000,'📞 Call Tracker'!C$2:C$2000,""),"")</f>
        <v>0</v>
      </c>
      <c r="Y1175" s="95">
        <f>IFERROR(_xlfn.XLOOKUP(TEXT(H1175,"0000000000"),'📞 Call Tracker'!A$2:A$2000,'📞 Call Tracker'!D$2:D$2000,""),"")</f>
        <v>0</v>
      </c>
      <c r="Z1175" s="95">
        <f>IFERROR(_xlfn.XLOOKUP(TEXT(H1175,"0000000000"),'📞 Call Tracker'!A$2:A$2000,'📞 Call Tracker'!E$2:E$2000,""),"")</f>
        <v>0</v>
      </c>
      <c r="AA1175" s="145">
        <f>IFERROR(_xlfn.XLOOKUP(TEXT(H1175,"0000000000"),'📞 Call Tracker'!A$2:A$2000,'📞 Call Tracker'!F$2:F$2000,""),"")</f>
        <v>0</v>
      </c>
      <c r="AB1175" s="132">
        <f t="shared" si="37"/>
        <v>99</v>
      </c>
      <c r="AC1175" s="79"/>
    </row>
    <row r="1176" spans="1:29" ht="20.100000000000001" customHeight="1">
      <c r="A1176" s="97">
        <v>46049</v>
      </c>
      <c r="B1176" s="98" t="str">
        <v>Thompson</v>
      </c>
      <c r="C1176" s="98" t="str">
        <v>Craig</v>
      </c>
      <c r="D1176" s="98" t="str">
        <v>Paulden</v>
      </c>
      <c r="E1176" s="99">
        <v>86334</v>
      </c>
      <c r="F1176" s="138" t="str">
        <v xml:space="preserve">The current rates are high enough and any increase would put an unfair burden on those of us in the lower income bracket. </v>
      </c>
      <c r="G1176" s="100" t="str">
        <v>https://docket.images.azcc.gov/E000048921.pdf</v>
      </c>
      <c r="H1176" s="151" t="s">
        <v>6480</v>
      </c>
      <c r="I1176" s="115" t="str">
        <v>RCPw/RTOUE47</v>
      </c>
      <c r="J1176" s="110" t="str">
        <v>No</v>
      </c>
      <c r="K1176" s="101" t="str">
        <v>No</v>
      </c>
      <c r="L1176" s="138" t="str">
        <v>Yes</v>
      </c>
      <c r="M1176" s="101" t="str">
        <v>No</v>
      </c>
      <c r="N1176" s="135" t="str">
        <v>No</v>
      </c>
      <c r="O1176" s="120" t="str">
        <v>Yes</v>
      </c>
      <c r="P1176" s="102" t="str">
        <v>N</v>
      </c>
      <c r="Q1176" s="123">
        <v>46058</v>
      </c>
      <c r="R1176" s="141">
        <v>0</v>
      </c>
      <c r="S1176" s="98">
        <v>0</v>
      </c>
      <c r="T1176" s="98">
        <v>0</v>
      </c>
      <c r="U1176" s="143">
        <v>0</v>
      </c>
      <c r="V1176" s="126" t="str">
        <f t="shared" si="36"/>
        <v>✅ On Best Plan</v>
      </c>
      <c r="W1176" s="130">
        <f>IFERROR(_xlfn.XLOOKUP(TEXT(H1176,"0000000000"),'📞 Call Tracker'!A$2:A$2000,'📞 Call Tracker'!B$2:B$2000,""),"")</f>
        <v>0</v>
      </c>
      <c r="X1176" s="96">
        <f>IFERROR(_xlfn.XLOOKUP(TEXT(H1176,"0000000000"),'📞 Call Tracker'!A$2:A$2000,'📞 Call Tracker'!C$2:C$2000,""),"")</f>
        <v>0</v>
      </c>
      <c r="Y1176" s="95">
        <f>IFERROR(_xlfn.XLOOKUP(TEXT(H1176,"0000000000"),'📞 Call Tracker'!A$2:A$2000,'📞 Call Tracker'!D$2:D$2000,""),"")</f>
        <v>0</v>
      </c>
      <c r="Z1176" s="95">
        <f>IFERROR(_xlfn.XLOOKUP(TEXT(H1176,"0000000000"),'📞 Call Tracker'!A$2:A$2000,'📞 Call Tracker'!E$2:E$2000,""),"")</f>
        <v>0</v>
      </c>
      <c r="AA1176" s="145">
        <f>IFERROR(_xlfn.XLOOKUP(TEXT(H1176,"0000000000"),'📞 Call Tracker'!A$2:A$2000,'📞 Call Tracker'!F$2:F$2000,""),"")</f>
        <v>0</v>
      </c>
      <c r="AB1176" s="132">
        <f t="shared" si="37"/>
        <v>99</v>
      </c>
      <c r="AC1176" s="79"/>
    </row>
    <row r="1177" spans="1:29" ht="20.100000000000001" customHeight="1">
      <c r="A1177" s="97">
        <v>46049</v>
      </c>
      <c r="B1177" s="98" t="str">
        <v>Walker</v>
      </c>
      <c r="C1177" s="98" t="str">
        <v>Delores</v>
      </c>
      <c r="D1177" s="98" t="str">
        <v>Phoenix</v>
      </c>
      <c r="E1177" s="99">
        <v>85023</v>
      </c>
      <c r="F1177" s="138" t="str">
        <v>Senior on a fixed income with UTILITIES CONSTANTLY GOING UP..CAN WE PLEASE GET A BREAK...PLEASE.. THANK YOU AND</v>
      </c>
      <c r="G1177" s="100" t="str">
        <v>https://docket.images.azcc.gov/E000048921.pdf</v>
      </c>
      <c r="H1177" s="151" t="s">
        <v>4346</v>
      </c>
      <c r="I1177" s="115" t="str">
        <v>R3-47</v>
      </c>
      <c r="J1177" s="110" t="str">
        <v>Yes</v>
      </c>
      <c r="K1177" s="101" t="str">
        <v>No</v>
      </c>
      <c r="L1177" s="138" t="str">
        <v>Yes</v>
      </c>
      <c r="M1177" s="101" t="str">
        <v>No</v>
      </c>
      <c r="N1177" s="135" t="str">
        <v>No</v>
      </c>
      <c r="O1177" s="120" t="str">
        <v>Yes</v>
      </c>
      <c r="P1177" s="102" t="str">
        <v>N</v>
      </c>
      <c r="Q1177" s="123">
        <v>46058</v>
      </c>
      <c r="R1177" s="141">
        <v>0</v>
      </c>
      <c r="S1177" s="98">
        <v>0</v>
      </c>
      <c r="T1177" s="98">
        <v>0</v>
      </c>
      <c r="U1177" s="143">
        <v>0</v>
      </c>
      <c r="V1177" s="126" t="str">
        <f t="shared" si="36"/>
        <v>✅ On Best Plan</v>
      </c>
      <c r="W1177" s="130">
        <f>IFERROR(_xlfn.XLOOKUP(TEXT(H1177,"0000000000"),'📞 Call Tracker'!A$2:A$2000,'📞 Call Tracker'!B$2:B$2000,""),"")</f>
        <v>0</v>
      </c>
      <c r="X1177" s="96">
        <f>IFERROR(_xlfn.XLOOKUP(TEXT(H1177,"0000000000"),'📞 Call Tracker'!A$2:A$2000,'📞 Call Tracker'!C$2:C$2000,""),"")</f>
        <v>0</v>
      </c>
      <c r="Y1177" s="95">
        <f>IFERROR(_xlfn.XLOOKUP(TEXT(H1177,"0000000000"),'📞 Call Tracker'!A$2:A$2000,'📞 Call Tracker'!D$2:D$2000,""),"")</f>
        <v>0</v>
      </c>
      <c r="Z1177" s="95">
        <f>IFERROR(_xlfn.XLOOKUP(TEXT(H1177,"0000000000"),'📞 Call Tracker'!A$2:A$2000,'📞 Call Tracker'!E$2:E$2000,""),"")</f>
        <v>0</v>
      </c>
      <c r="AA1177" s="145">
        <f>IFERROR(_xlfn.XLOOKUP(TEXT(H1177,"0000000000"),'📞 Call Tracker'!A$2:A$2000,'📞 Call Tracker'!F$2:F$2000,""),"")</f>
        <v>0</v>
      </c>
      <c r="AB1177" s="132">
        <f t="shared" si="37"/>
        <v>99</v>
      </c>
      <c r="AC1177" s="79"/>
    </row>
    <row r="1178" spans="1:29" ht="20.100000000000001" customHeight="1">
      <c r="A1178" s="97">
        <v>46049</v>
      </c>
      <c r="B1178" s="98" t="str">
        <v>Buglione</v>
      </c>
      <c r="C1178" s="98" t="str">
        <v>Jerald</v>
      </c>
      <c r="D1178" s="98" t="str">
        <v>Surprise</v>
      </c>
      <c r="E1178" s="99">
        <v>85388</v>
      </c>
      <c r="F1178" s="138" t="str">
        <v xml:space="preserve">Once the economy is better we can talk about it. Everything right now is in a up wing. So please wait. </v>
      </c>
      <c r="G1178" s="100" t="str">
        <v>https://docket.images.azcc.gov/E000048921.pdf</v>
      </c>
      <c r="H1178" s="151" t="s">
        <v>4350</v>
      </c>
      <c r="I1178" s="115" t="str">
        <v>R3-47</v>
      </c>
      <c r="J1178" s="110" t="str">
        <v>No</v>
      </c>
      <c r="K1178" s="101" t="str">
        <v>No</v>
      </c>
      <c r="L1178" s="138" t="str">
        <v>Yes</v>
      </c>
      <c r="M1178" s="101" t="str">
        <v>No</v>
      </c>
      <c r="N1178" s="135" t="str">
        <v>No</v>
      </c>
      <c r="O1178" s="120" t="str">
        <v>Yes</v>
      </c>
      <c r="P1178" s="102" t="str">
        <v>N</v>
      </c>
      <c r="Q1178" s="123">
        <v>46058</v>
      </c>
      <c r="R1178" s="141">
        <v>0</v>
      </c>
      <c r="S1178" s="98">
        <v>0</v>
      </c>
      <c r="T1178" s="98">
        <v>0</v>
      </c>
      <c r="U1178" s="143">
        <v>0</v>
      </c>
      <c r="V1178" s="126" t="str">
        <f t="shared" si="36"/>
        <v>✅ On Best Plan</v>
      </c>
      <c r="W1178" s="130">
        <f>IFERROR(_xlfn.XLOOKUP(TEXT(H1178,"0000000000"),'📞 Call Tracker'!A$2:A$2000,'📞 Call Tracker'!B$2:B$2000,""),"")</f>
        <v>0</v>
      </c>
      <c r="X1178" s="96">
        <f>IFERROR(_xlfn.XLOOKUP(TEXT(H1178,"0000000000"),'📞 Call Tracker'!A$2:A$2000,'📞 Call Tracker'!C$2:C$2000,""),"")</f>
        <v>0</v>
      </c>
      <c r="Y1178" s="95">
        <f>IFERROR(_xlfn.XLOOKUP(TEXT(H1178,"0000000000"),'📞 Call Tracker'!A$2:A$2000,'📞 Call Tracker'!D$2:D$2000,""),"")</f>
        <v>0</v>
      </c>
      <c r="Z1178" s="95">
        <f>IFERROR(_xlfn.XLOOKUP(TEXT(H1178,"0000000000"),'📞 Call Tracker'!A$2:A$2000,'📞 Call Tracker'!E$2:E$2000,""),"")</f>
        <v>0</v>
      </c>
      <c r="AA1178" s="145">
        <f>IFERROR(_xlfn.XLOOKUP(TEXT(H1178,"0000000000"),'📞 Call Tracker'!A$2:A$2000,'📞 Call Tracker'!F$2:F$2000,""),"")</f>
        <v>0</v>
      </c>
      <c r="AB1178" s="132">
        <f t="shared" si="37"/>
        <v>99</v>
      </c>
      <c r="AC1178" s="79"/>
    </row>
    <row r="1179" spans="1:29" ht="20.100000000000001" customHeight="1">
      <c r="A1179" s="97">
        <v>46049</v>
      </c>
      <c r="B1179" s="98" t="str">
        <v>Adams</v>
      </c>
      <c r="C1179" s="98" t="str">
        <v>Karla</v>
      </c>
      <c r="D1179" s="98" t="str">
        <v>Sun City</v>
      </c>
      <c r="E1179" s="99">
        <v>85351</v>
      </c>
      <c r="F1179" s="138" t="str">
        <v>No More Rate hikes. We are paying for their upgrades without them having to spend from their bottom line.</v>
      </c>
      <c r="G1179" s="100" t="str">
        <v>https://docket.images.azcc.gov/E000048921.pdf</v>
      </c>
      <c r="H1179" s="151" t="s">
        <v>4353</v>
      </c>
      <c r="I1179" s="115" t="str">
        <v>EPR6w/ET-2</v>
      </c>
      <c r="J1179" s="110" t="str">
        <v>No</v>
      </c>
      <c r="K1179" s="101" t="str">
        <v>No</v>
      </c>
      <c r="L1179" s="138" t="str">
        <v>Frozen Plan</v>
      </c>
      <c r="M1179" s="101" t="str">
        <v>No</v>
      </c>
      <c r="N1179" s="135" t="str">
        <v>No</v>
      </c>
      <c r="O1179" s="120" t="str">
        <v>Yes</v>
      </c>
      <c r="P1179" s="102" t="str">
        <v>N</v>
      </c>
      <c r="Q1179" s="123">
        <v>46058</v>
      </c>
      <c r="R1179" s="141">
        <v>0</v>
      </c>
      <c r="S1179" s="98">
        <v>0</v>
      </c>
      <c r="T1179" s="98">
        <v>0</v>
      </c>
      <c r="U1179" s="143">
        <v>0</v>
      </c>
      <c r="V1179" s="126" t="str">
        <f t="shared" si="36"/>
        <v>❄ Frozen Rate</v>
      </c>
      <c r="W1179" s="130">
        <f>IFERROR(_xlfn.XLOOKUP(TEXT(H1179,"0000000000"),'📞 Call Tracker'!A$2:A$2000,'📞 Call Tracker'!B$2:B$2000,""),"")</f>
        <v>0</v>
      </c>
      <c r="X1179" s="96">
        <f>IFERROR(_xlfn.XLOOKUP(TEXT(H1179,"0000000000"),'📞 Call Tracker'!A$2:A$2000,'📞 Call Tracker'!C$2:C$2000,""),"")</f>
        <v>0</v>
      </c>
      <c r="Y1179" s="95">
        <f>IFERROR(_xlfn.XLOOKUP(TEXT(H1179,"0000000000"),'📞 Call Tracker'!A$2:A$2000,'📞 Call Tracker'!D$2:D$2000,""),"")</f>
        <v>0</v>
      </c>
      <c r="Z1179" s="95">
        <f>IFERROR(_xlfn.XLOOKUP(TEXT(H1179,"0000000000"),'📞 Call Tracker'!A$2:A$2000,'📞 Call Tracker'!E$2:E$2000,""),"")</f>
        <v>0</v>
      </c>
      <c r="AA1179" s="145">
        <f>IFERROR(_xlfn.XLOOKUP(TEXT(H1179,"0000000000"),'📞 Call Tracker'!A$2:A$2000,'📞 Call Tracker'!F$2:F$2000,""),"")</f>
        <v>0</v>
      </c>
      <c r="AB1179" s="132">
        <f t="shared" si="37"/>
        <v>99</v>
      </c>
      <c r="AC1179" s="79"/>
    </row>
    <row r="1180" spans="1:29" ht="20.100000000000001" customHeight="1">
      <c r="A1180" s="97">
        <v>46049</v>
      </c>
      <c r="B1180" s="98" t="str">
        <v>Shirk</v>
      </c>
      <c r="C1180" s="98" t="str">
        <v>Dan</v>
      </c>
      <c r="D1180" s="98" t="str">
        <v xml:space="preserve">Phoenix </v>
      </c>
      <c r="E1180" s="99">
        <v>85086</v>
      </c>
      <c r="F1180" s="138" t="str">
        <v>There presently no justification for an increase in utility rates. The present profit level meets their operating needs</v>
      </c>
      <c r="G1180" s="100" t="str">
        <v>https://docket.images.azcc.gov/E000048921.pdf</v>
      </c>
      <c r="H1180" s="151" t="s">
        <v>4357</v>
      </c>
      <c r="I1180" s="115" t="str">
        <v>R3-47</v>
      </c>
      <c r="J1180" s="110" t="str">
        <v>No</v>
      </c>
      <c r="K1180" s="101" t="str">
        <v>No</v>
      </c>
      <c r="L1180" s="138" t="str">
        <v>Yes</v>
      </c>
      <c r="M1180" s="101" t="str">
        <v>No</v>
      </c>
      <c r="N1180" s="135" t="str">
        <v>No</v>
      </c>
      <c r="O1180" s="120" t="str">
        <v>Yes</v>
      </c>
      <c r="P1180" s="102" t="str">
        <v>N</v>
      </c>
      <c r="Q1180" s="123">
        <v>46058</v>
      </c>
      <c r="R1180" s="141">
        <v>0</v>
      </c>
      <c r="S1180" s="98">
        <v>0</v>
      </c>
      <c r="T1180" s="98">
        <v>0</v>
      </c>
      <c r="U1180" s="143">
        <v>0</v>
      </c>
      <c r="V1180" s="126" t="str">
        <f t="shared" si="36"/>
        <v>✅ On Best Plan</v>
      </c>
      <c r="W1180" s="130">
        <f>IFERROR(_xlfn.XLOOKUP(TEXT(H1180,"0000000000"),'📞 Call Tracker'!A$2:A$2000,'📞 Call Tracker'!B$2:B$2000,""),"")</f>
        <v>0</v>
      </c>
      <c r="X1180" s="96">
        <f>IFERROR(_xlfn.XLOOKUP(TEXT(H1180,"0000000000"),'📞 Call Tracker'!A$2:A$2000,'📞 Call Tracker'!C$2:C$2000,""),"")</f>
        <v>0</v>
      </c>
      <c r="Y1180" s="95">
        <f>IFERROR(_xlfn.XLOOKUP(TEXT(H1180,"0000000000"),'📞 Call Tracker'!A$2:A$2000,'📞 Call Tracker'!D$2:D$2000,""),"")</f>
        <v>0</v>
      </c>
      <c r="Z1180" s="95">
        <f>IFERROR(_xlfn.XLOOKUP(TEXT(H1180,"0000000000"),'📞 Call Tracker'!A$2:A$2000,'📞 Call Tracker'!E$2:E$2000,""),"")</f>
        <v>0</v>
      </c>
      <c r="AA1180" s="145">
        <f>IFERROR(_xlfn.XLOOKUP(TEXT(H1180,"0000000000"),'📞 Call Tracker'!A$2:A$2000,'📞 Call Tracker'!F$2:F$2000,""),"")</f>
        <v>0</v>
      </c>
      <c r="AB1180" s="132">
        <f t="shared" si="37"/>
        <v>99</v>
      </c>
      <c r="AC1180" s="79"/>
    </row>
    <row r="1181" spans="1:29" ht="20.100000000000001" customHeight="1">
      <c r="A1181" s="97">
        <v>46049</v>
      </c>
      <c r="B1181" s="98" t="str">
        <v>Morris</v>
      </c>
      <c r="C1181" s="98" t="str">
        <v>Corinne</v>
      </c>
      <c r="D1181" s="98" t="str">
        <v>Flagstaff</v>
      </c>
      <c r="E1181" s="99">
        <v>86004</v>
      </c>
      <c r="F1181" s="138" t="str">
        <v xml:space="preserve">Proces on everything has increased enough and wages for my work aren't changing with it. </v>
      </c>
      <c r="G1181" s="100" t="str">
        <v>https://docket.images.azcc.gov/E000048921.pdf</v>
      </c>
      <c r="H1181" s="151" t="s">
        <v>4360</v>
      </c>
      <c r="I1181" s="115" t="str">
        <v>R-XS</v>
      </c>
      <c r="J1181" s="110" t="str">
        <v>Yes</v>
      </c>
      <c r="K1181" s="101" t="str">
        <v>No</v>
      </c>
      <c r="L1181" s="138" t="str">
        <v>Yes</v>
      </c>
      <c r="M1181" s="101" t="str">
        <v>No</v>
      </c>
      <c r="N1181" s="135" t="str">
        <v>No</v>
      </c>
      <c r="O1181" s="120" t="str">
        <v>Yes</v>
      </c>
      <c r="P1181" s="102" t="str">
        <v>N</v>
      </c>
      <c r="Q1181" s="123">
        <v>46058</v>
      </c>
      <c r="R1181" s="141">
        <v>0</v>
      </c>
      <c r="S1181" s="98">
        <v>0</v>
      </c>
      <c r="T1181" s="98">
        <v>0</v>
      </c>
      <c r="U1181" s="143">
        <v>0</v>
      </c>
      <c r="V1181" s="126" t="str">
        <f t="shared" si="36"/>
        <v>✅ On Best Plan</v>
      </c>
      <c r="W1181" s="130">
        <f>IFERROR(_xlfn.XLOOKUP(TEXT(H1181,"0000000000"),'📞 Call Tracker'!A$2:A$2000,'📞 Call Tracker'!B$2:B$2000,""),"")</f>
        <v>0</v>
      </c>
      <c r="X1181" s="96">
        <f>IFERROR(_xlfn.XLOOKUP(TEXT(H1181,"0000000000"),'📞 Call Tracker'!A$2:A$2000,'📞 Call Tracker'!C$2:C$2000,""),"")</f>
        <v>0</v>
      </c>
      <c r="Y1181" s="95">
        <f>IFERROR(_xlfn.XLOOKUP(TEXT(H1181,"0000000000"),'📞 Call Tracker'!A$2:A$2000,'📞 Call Tracker'!D$2:D$2000,""),"")</f>
        <v>0</v>
      </c>
      <c r="Z1181" s="95">
        <f>IFERROR(_xlfn.XLOOKUP(TEXT(H1181,"0000000000"),'📞 Call Tracker'!A$2:A$2000,'📞 Call Tracker'!E$2:E$2000,""),"")</f>
        <v>0</v>
      </c>
      <c r="AA1181" s="145">
        <f>IFERROR(_xlfn.XLOOKUP(TEXT(H1181,"0000000000"),'📞 Call Tracker'!A$2:A$2000,'📞 Call Tracker'!F$2:F$2000,""),"")</f>
        <v>0</v>
      </c>
      <c r="AB1181" s="132">
        <f t="shared" si="37"/>
        <v>99</v>
      </c>
      <c r="AC1181" s="79"/>
    </row>
    <row r="1182" spans="1:29" ht="20.100000000000001" customHeight="1">
      <c r="A1182" s="97">
        <v>46049</v>
      </c>
      <c r="B1182" s="98" t="str">
        <v>Pittenridge</v>
      </c>
      <c r="C1182" s="98" t="str">
        <v>Craig</v>
      </c>
      <c r="D1182" s="98" t="str">
        <v>Sun City</v>
      </c>
      <c r="E1182" s="99">
        <v>85373</v>
      </c>
      <c r="F1182" s="138" t="str">
        <v>My summer bills are already between $500-$600, I have solar (another $110) that APS buys for pennies on the dollar</v>
      </c>
      <c r="G1182" s="100" t="str">
        <v>https://docket.images.azcc.gov/E000048921.pdf</v>
      </c>
      <c r="H1182" s="151" t="s">
        <v>4363</v>
      </c>
      <c r="I1182" s="115" t="str">
        <v>EPR6w/ET-1</v>
      </c>
      <c r="J1182" s="110" t="str">
        <v>Yes</v>
      </c>
      <c r="K1182" s="101" t="str">
        <v>No</v>
      </c>
      <c r="L1182" s="138" t="str">
        <v>Frozen Plan</v>
      </c>
      <c r="M1182" s="101" t="str">
        <v>No</v>
      </c>
      <c r="N1182" s="135" t="str">
        <v>No</v>
      </c>
      <c r="O1182" s="120" t="str">
        <v>Yes</v>
      </c>
      <c r="P1182" s="102" t="str">
        <v>N</v>
      </c>
      <c r="Q1182" s="123">
        <v>46058</v>
      </c>
      <c r="R1182" s="141">
        <v>0</v>
      </c>
      <c r="S1182" s="98">
        <v>0</v>
      </c>
      <c r="T1182" s="98">
        <v>0</v>
      </c>
      <c r="U1182" s="143">
        <v>0</v>
      </c>
      <c r="V1182" s="126" t="str">
        <f t="shared" si="36"/>
        <v>❄ Frozen Rate</v>
      </c>
      <c r="W1182" s="130">
        <f>IFERROR(_xlfn.XLOOKUP(TEXT(H1182,"0000000000"),'📞 Call Tracker'!A$2:A$2000,'📞 Call Tracker'!B$2:B$2000,""),"")</f>
        <v>0</v>
      </c>
      <c r="X1182" s="96">
        <f>IFERROR(_xlfn.XLOOKUP(TEXT(H1182,"0000000000"),'📞 Call Tracker'!A$2:A$2000,'📞 Call Tracker'!C$2:C$2000,""),"")</f>
        <v>0</v>
      </c>
      <c r="Y1182" s="95">
        <f>IFERROR(_xlfn.XLOOKUP(TEXT(H1182,"0000000000"),'📞 Call Tracker'!A$2:A$2000,'📞 Call Tracker'!D$2:D$2000,""),"")</f>
        <v>0</v>
      </c>
      <c r="Z1182" s="95">
        <f>IFERROR(_xlfn.XLOOKUP(TEXT(H1182,"0000000000"),'📞 Call Tracker'!A$2:A$2000,'📞 Call Tracker'!E$2:E$2000,""),"")</f>
        <v>0</v>
      </c>
      <c r="AA1182" s="145">
        <f>IFERROR(_xlfn.XLOOKUP(TEXT(H1182,"0000000000"),'📞 Call Tracker'!A$2:A$2000,'📞 Call Tracker'!F$2:F$2000,""),"")</f>
        <v>0</v>
      </c>
      <c r="AB1182" s="132">
        <f t="shared" si="37"/>
        <v>99</v>
      </c>
      <c r="AC1182" s="79"/>
    </row>
    <row r="1183" spans="1:29" ht="20.100000000000001" customHeight="1">
      <c r="A1183" s="97">
        <v>46049</v>
      </c>
      <c r="B1183" s="98" t="str">
        <v>Denning</v>
      </c>
      <c r="C1183" s="98" t="str">
        <v>Charlene (Mark)</v>
      </c>
      <c r="D1183" s="98" t="str">
        <v>Chino Valley</v>
      </c>
      <c r="E1183" s="99">
        <v>86323</v>
      </c>
      <c r="F1183" s="138" t="str">
        <v>HAVE NO MONEY TO LIVE ON. An a.p.s. keep sucking and sucking more money out of us elderly and disable.</v>
      </c>
      <c r="G1183" s="100" t="str">
        <v>https://docket.images.azcc.gov/E000048921.pdf</v>
      </c>
      <c r="H1183" s="151" t="s">
        <v>4366</v>
      </c>
      <c r="I1183" s="115" t="str">
        <v>R3-47</v>
      </c>
      <c r="J1183" s="110" t="str">
        <v>Yes</v>
      </c>
      <c r="K1183" s="101" t="str">
        <v>No</v>
      </c>
      <c r="L1183" s="138" t="str">
        <v>Yes</v>
      </c>
      <c r="M1183" s="101" t="str">
        <v>Yes</v>
      </c>
      <c r="N1183" s="135">
        <v>1048.1600000000001</v>
      </c>
      <c r="O1183" s="120" t="str">
        <v>Yes</v>
      </c>
      <c r="P1183" s="102">
        <v>0</v>
      </c>
      <c r="Q1183" s="123">
        <v>46058</v>
      </c>
      <c r="R1183" s="141" t="str">
        <v>May need information for additional assistance programs? COR filed ACC complaint 3/26/2025</v>
      </c>
      <c r="S1183" s="98">
        <v>0</v>
      </c>
      <c r="T1183" s="98">
        <v>0</v>
      </c>
      <c r="U1183" s="143">
        <v>0</v>
      </c>
      <c r="V1183" s="126" t="str">
        <f t="shared" si="36"/>
        <v>✅ On Best Plan</v>
      </c>
      <c r="W1183" s="130">
        <f>IFERROR(_xlfn.XLOOKUP(TEXT(H1183,"0000000000"),'📞 Call Tracker'!A$2:A$2000,'📞 Call Tracker'!B$2:B$2000,""),"")</f>
        <v>0</v>
      </c>
      <c r="X1183" s="96">
        <f>IFERROR(_xlfn.XLOOKUP(TEXT(H1183,"0000000000"),'📞 Call Tracker'!A$2:A$2000,'📞 Call Tracker'!C$2:C$2000,""),"")</f>
        <v>0</v>
      </c>
      <c r="Y1183" s="95">
        <f>IFERROR(_xlfn.XLOOKUP(TEXT(H1183,"0000000000"),'📞 Call Tracker'!A$2:A$2000,'📞 Call Tracker'!D$2:D$2000,""),"")</f>
        <v>0</v>
      </c>
      <c r="Z1183" s="95">
        <f>IFERROR(_xlfn.XLOOKUP(TEXT(H1183,"0000000000"),'📞 Call Tracker'!A$2:A$2000,'📞 Call Tracker'!E$2:E$2000,""),"")</f>
        <v>0</v>
      </c>
      <c r="AA1183" s="145">
        <f>IFERROR(_xlfn.XLOOKUP(TEXT(H1183,"0000000000"),'📞 Call Tracker'!A$2:A$2000,'📞 Call Tracker'!F$2:F$2000,""),"")</f>
        <v>0</v>
      </c>
      <c r="AB1183" s="132">
        <f t="shared" si="37"/>
        <v>99</v>
      </c>
      <c r="AC1183" s="79"/>
    </row>
    <row r="1184" spans="1:29" ht="20.100000000000001" customHeight="1">
      <c r="A1184" s="97">
        <v>46049</v>
      </c>
      <c r="B1184" s="98" t="str">
        <v>Taylor</v>
      </c>
      <c r="C1184" s="98" t="str">
        <v>Brian</v>
      </c>
      <c r="D1184" s="98" t="str">
        <v>Surprise</v>
      </c>
      <c r="E1184" s="99">
        <v>85388</v>
      </c>
      <c r="F1184" s="138" t="str">
        <v>What we need is more reliable service before we ever discuss rate increases</v>
      </c>
      <c r="G1184" s="100" t="str">
        <v>https://docket.images.azcc.gov/E000048921.pdf</v>
      </c>
      <c r="H1184" s="151" t="s">
        <v>4370</v>
      </c>
      <c r="I1184" s="115" t="str">
        <v>R3-47</v>
      </c>
      <c r="J1184" s="110" t="str">
        <v>No</v>
      </c>
      <c r="K1184" s="101" t="str">
        <v>No</v>
      </c>
      <c r="L1184" s="138" t="str">
        <v>Yes</v>
      </c>
      <c r="M1184" s="101" t="str">
        <v>No</v>
      </c>
      <c r="N1184" s="135" t="str">
        <v>No</v>
      </c>
      <c r="O1184" s="120" t="str">
        <v>Yes</v>
      </c>
      <c r="P1184" s="102" t="str">
        <v>N</v>
      </c>
      <c r="Q1184" s="123">
        <v>46058</v>
      </c>
      <c r="R1184" s="141" t="str">
        <v>Multiple accts</v>
      </c>
      <c r="S1184" s="98">
        <v>0</v>
      </c>
      <c r="T1184" s="98">
        <v>0</v>
      </c>
      <c r="U1184" s="143">
        <v>0</v>
      </c>
      <c r="V1184" s="126" t="str">
        <f t="shared" si="36"/>
        <v>✅ On Best Plan</v>
      </c>
      <c r="W1184" s="130">
        <f>IFERROR(_xlfn.XLOOKUP(TEXT(H1184,"0000000000"),'📞 Call Tracker'!A$2:A$2000,'📞 Call Tracker'!B$2:B$2000,""),"")</f>
        <v>0</v>
      </c>
      <c r="X1184" s="96">
        <f>IFERROR(_xlfn.XLOOKUP(TEXT(H1184,"0000000000"),'📞 Call Tracker'!A$2:A$2000,'📞 Call Tracker'!C$2:C$2000,""),"")</f>
        <v>0</v>
      </c>
      <c r="Y1184" s="95">
        <f>IFERROR(_xlfn.XLOOKUP(TEXT(H1184,"0000000000"),'📞 Call Tracker'!A$2:A$2000,'📞 Call Tracker'!D$2:D$2000,""),"")</f>
        <v>0</v>
      </c>
      <c r="Z1184" s="95">
        <f>IFERROR(_xlfn.XLOOKUP(TEXT(H1184,"0000000000"),'📞 Call Tracker'!A$2:A$2000,'📞 Call Tracker'!E$2:E$2000,""),"")</f>
        <v>0</v>
      </c>
      <c r="AA1184" s="145">
        <f>IFERROR(_xlfn.XLOOKUP(TEXT(H1184,"0000000000"),'📞 Call Tracker'!A$2:A$2000,'📞 Call Tracker'!F$2:F$2000,""),"")</f>
        <v>0</v>
      </c>
      <c r="AB1184" s="132">
        <f t="shared" si="37"/>
        <v>99</v>
      </c>
      <c r="AC1184" s="79"/>
    </row>
    <row r="1185" spans="1:29" ht="20.100000000000001" customHeight="1">
      <c r="A1185" s="97">
        <v>46049</v>
      </c>
      <c r="B1185" s="98" t="str">
        <v>Hunt</v>
      </c>
      <c r="C1185" s="98" t="str">
        <v>Peter</v>
      </c>
      <c r="D1185" s="98" t="str">
        <v>Buckeye</v>
      </c>
      <c r="E1185" s="99">
        <v>85396</v>
      </c>
      <c r="F1185" s="138" t="str">
        <v>I'm begging you to freeze the price increase. We simply can't afford to be squeezed any more,</v>
      </c>
      <c r="G1185" s="100" t="str">
        <v>https://docket.images.azcc.gov/E000048921.pdf</v>
      </c>
      <c r="H1185" s="151" t="s">
        <v>4374</v>
      </c>
      <c r="I1185" s="115" t="str">
        <v>EPR6w/ET-2</v>
      </c>
      <c r="J1185" s="110" t="str">
        <v>No</v>
      </c>
      <c r="K1185" s="101" t="str">
        <v>No</v>
      </c>
      <c r="L1185" s="138" t="str">
        <v>Frozen Plan</v>
      </c>
      <c r="M1185" s="101" t="str">
        <v>No</v>
      </c>
      <c r="N1185" s="135" t="str">
        <v>No</v>
      </c>
      <c r="O1185" s="120" t="str">
        <v>Yes</v>
      </c>
      <c r="P1185" s="102" t="str">
        <v>N</v>
      </c>
      <c r="Q1185" s="123">
        <v>46058</v>
      </c>
      <c r="R1185" s="141">
        <v>0</v>
      </c>
      <c r="S1185" s="98">
        <v>0</v>
      </c>
      <c r="T1185" s="98">
        <v>0</v>
      </c>
      <c r="U1185" s="143">
        <v>0</v>
      </c>
      <c r="V1185" s="126" t="str">
        <f t="shared" si="36"/>
        <v>❄ Frozen Rate</v>
      </c>
      <c r="W1185" s="130">
        <f>IFERROR(_xlfn.XLOOKUP(TEXT(H1185,"0000000000"),'📞 Call Tracker'!A$2:A$2000,'📞 Call Tracker'!B$2:B$2000,""),"")</f>
        <v>0</v>
      </c>
      <c r="X1185" s="96">
        <f>IFERROR(_xlfn.XLOOKUP(TEXT(H1185,"0000000000"),'📞 Call Tracker'!A$2:A$2000,'📞 Call Tracker'!C$2:C$2000,""),"")</f>
        <v>0</v>
      </c>
      <c r="Y1185" s="95">
        <f>IFERROR(_xlfn.XLOOKUP(TEXT(H1185,"0000000000"),'📞 Call Tracker'!A$2:A$2000,'📞 Call Tracker'!D$2:D$2000,""),"")</f>
        <v>0</v>
      </c>
      <c r="Z1185" s="95">
        <f>IFERROR(_xlfn.XLOOKUP(TEXT(H1185,"0000000000"),'📞 Call Tracker'!A$2:A$2000,'📞 Call Tracker'!E$2:E$2000,""),"")</f>
        <v>0</v>
      </c>
      <c r="AA1185" s="145">
        <f>IFERROR(_xlfn.XLOOKUP(TEXT(H1185,"0000000000"),'📞 Call Tracker'!A$2:A$2000,'📞 Call Tracker'!F$2:F$2000,""),"")</f>
        <v>0</v>
      </c>
      <c r="AB1185" s="132">
        <f t="shared" si="37"/>
        <v>99</v>
      </c>
      <c r="AC1185" s="79"/>
    </row>
    <row r="1186" spans="1:29" ht="20.100000000000001" customHeight="1">
      <c r="A1186" s="97">
        <v>46049</v>
      </c>
      <c r="B1186" s="98" t="str">
        <v>Weston</v>
      </c>
      <c r="C1186" s="98" t="str">
        <v>Tina</v>
      </c>
      <c r="D1186" s="98" t="str">
        <v>Surprise</v>
      </c>
      <c r="E1186" s="99">
        <v>85374</v>
      </c>
      <c r="F1186" s="138" t="str">
        <v>Your CEO and CFO and all the top executives are making a fortune off of us! Please think of the average Arizonans.</v>
      </c>
      <c r="G1186" s="100" t="str">
        <v>https://docket.images.azcc.gov/E000048921.pdf</v>
      </c>
      <c r="H1186" s="151" t="s">
        <v>4379</v>
      </c>
      <c r="I1186" s="115" t="str">
        <v>RCPw/RTOUE47</v>
      </c>
      <c r="J1186" s="110" t="str">
        <v>No</v>
      </c>
      <c r="K1186" s="101" t="str">
        <v>No</v>
      </c>
      <c r="L1186" s="138" t="str">
        <v>Yes</v>
      </c>
      <c r="M1186" s="101" t="str">
        <v>No</v>
      </c>
      <c r="N1186" s="135" t="str">
        <v>No</v>
      </c>
      <c r="O1186" s="120" t="str">
        <v>Yes</v>
      </c>
      <c r="P1186" s="102" t="str">
        <v>N</v>
      </c>
      <c r="Q1186" s="123">
        <v>46058</v>
      </c>
      <c r="R1186" s="141">
        <v>0</v>
      </c>
      <c r="S1186" s="98">
        <v>0</v>
      </c>
      <c r="T1186" s="98">
        <v>0</v>
      </c>
      <c r="U1186" s="143">
        <v>0</v>
      </c>
      <c r="V1186" s="126" t="str">
        <f t="shared" si="36"/>
        <v>✅ On Best Plan</v>
      </c>
      <c r="W1186" s="130">
        <f>IFERROR(_xlfn.XLOOKUP(TEXT(H1186,"0000000000"),'📞 Call Tracker'!A$2:A$2000,'📞 Call Tracker'!B$2:B$2000,""),"")</f>
        <v>0</v>
      </c>
      <c r="X1186" s="96">
        <f>IFERROR(_xlfn.XLOOKUP(TEXT(H1186,"0000000000"),'📞 Call Tracker'!A$2:A$2000,'📞 Call Tracker'!C$2:C$2000,""),"")</f>
        <v>0</v>
      </c>
      <c r="Y1186" s="95">
        <f>IFERROR(_xlfn.XLOOKUP(TEXT(H1186,"0000000000"),'📞 Call Tracker'!A$2:A$2000,'📞 Call Tracker'!D$2:D$2000,""),"")</f>
        <v>0</v>
      </c>
      <c r="Z1186" s="95">
        <f>IFERROR(_xlfn.XLOOKUP(TEXT(H1186,"0000000000"),'📞 Call Tracker'!A$2:A$2000,'📞 Call Tracker'!E$2:E$2000,""),"")</f>
        <v>0</v>
      </c>
      <c r="AA1186" s="145">
        <f>IFERROR(_xlfn.XLOOKUP(TEXT(H1186,"0000000000"),'📞 Call Tracker'!A$2:A$2000,'📞 Call Tracker'!F$2:F$2000,""),"")</f>
        <v>0</v>
      </c>
      <c r="AB1186" s="132">
        <f t="shared" si="37"/>
        <v>99</v>
      </c>
      <c r="AC1186" s="79"/>
    </row>
    <row r="1187" spans="1:29" ht="20.100000000000001" customHeight="1">
      <c r="A1187" s="97">
        <v>46049</v>
      </c>
      <c r="B1187" s="98" t="str">
        <v>Gunderson</v>
      </c>
      <c r="C1187" s="98" t="str">
        <v>Daryl</v>
      </c>
      <c r="D1187" s="98" t="str">
        <v>Phoenix</v>
      </c>
      <c r="E1187" s="99">
        <v>85032</v>
      </c>
      <c r="F1187" s="138" t="str">
        <v>Please stop raising the utility rates</v>
      </c>
      <c r="G1187" s="100" t="str">
        <v>https://docket.images.azcc.gov/E000048921.pdf</v>
      </c>
      <c r="H1187" s="151" t="s">
        <v>4383</v>
      </c>
      <c r="I1187" s="115" t="str">
        <v>R-XS</v>
      </c>
      <c r="J1187" s="110" t="str">
        <v>No</v>
      </c>
      <c r="K1187" s="101" t="str">
        <v>No</v>
      </c>
      <c r="L1187" s="138" t="str">
        <v>Yes</v>
      </c>
      <c r="M1187" s="101" t="str">
        <v>No</v>
      </c>
      <c r="N1187" s="135" t="str">
        <v>No</v>
      </c>
      <c r="O1187" s="120" t="str">
        <v>Yes</v>
      </c>
      <c r="P1187" s="102" t="str">
        <v>N</v>
      </c>
      <c r="Q1187" s="123">
        <v>46058</v>
      </c>
      <c r="R1187" s="141">
        <v>0</v>
      </c>
      <c r="S1187" s="98">
        <v>0</v>
      </c>
      <c r="T1187" s="98">
        <v>0</v>
      </c>
      <c r="U1187" s="143">
        <v>0</v>
      </c>
      <c r="V1187" s="126" t="str">
        <f t="shared" si="36"/>
        <v>✅ On Best Plan</v>
      </c>
      <c r="W1187" s="130">
        <f>IFERROR(_xlfn.XLOOKUP(TEXT(H1187,"0000000000"),'📞 Call Tracker'!A$2:A$2000,'📞 Call Tracker'!B$2:B$2000,""),"")</f>
        <v>0</v>
      </c>
      <c r="X1187" s="96">
        <f>IFERROR(_xlfn.XLOOKUP(TEXT(H1187,"0000000000"),'📞 Call Tracker'!A$2:A$2000,'📞 Call Tracker'!C$2:C$2000,""),"")</f>
        <v>0</v>
      </c>
      <c r="Y1187" s="95">
        <f>IFERROR(_xlfn.XLOOKUP(TEXT(H1187,"0000000000"),'📞 Call Tracker'!A$2:A$2000,'📞 Call Tracker'!D$2:D$2000,""),"")</f>
        <v>0</v>
      </c>
      <c r="Z1187" s="95">
        <f>IFERROR(_xlfn.XLOOKUP(TEXT(H1187,"0000000000"),'📞 Call Tracker'!A$2:A$2000,'📞 Call Tracker'!E$2:E$2000,""),"")</f>
        <v>0</v>
      </c>
      <c r="AA1187" s="145">
        <f>IFERROR(_xlfn.XLOOKUP(TEXT(H1187,"0000000000"),'📞 Call Tracker'!A$2:A$2000,'📞 Call Tracker'!F$2:F$2000,""),"")</f>
        <v>0</v>
      </c>
      <c r="AB1187" s="132">
        <f t="shared" si="37"/>
        <v>99</v>
      </c>
      <c r="AC1187" s="79"/>
    </row>
    <row r="1188" spans="1:29" ht="20.100000000000001" customHeight="1">
      <c r="A1188" s="97">
        <v>46049</v>
      </c>
      <c r="B1188" s="98" t="str">
        <v>King</v>
      </c>
      <c r="C1188" s="98" t="str">
        <v>Melvinna</v>
      </c>
      <c r="D1188" s="98" t="str">
        <v>Avondale</v>
      </c>
      <c r="E1188" s="99">
        <v>85323</v>
      </c>
      <c r="F1188" s="138" t="str">
        <v xml:space="preserve"> it's time to humble oneself because God is coming to humble those who feel they are in control</v>
      </c>
      <c r="G1188" s="100" t="str">
        <v>https://docket.images.azcc.gov/E000048921.pdf</v>
      </c>
      <c r="H1188" s="151" t="s">
        <v>4386</v>
      </c>
      <c r="I1188" s="115">
        <v>0</v>
      </c>
      <c r="J1188" s="110">
        <v>0</v>
      </c>
      <c r="K1188" s="101">
        <v>0</v>
      </c>
      <c r="L1188" s="138">
        <v>0</v>
      </c>
      <c r="M1188" s="101">
        <v>0</v>
      </c>
      <c r="N1188" s="135">
        <v>0</v>
      </c>
      <c r="O1188" s="120">
        <v>0</v>
      </c>
      <c r="P1188" s="102">
        <v>0</v>
      </c>
      <c r="Q1188" s="123">
        <v>0</v>
      </c>
      <c r="R1188" s="141" t="str">
        <v>Past account has write off balance</v>
      </c>
      <c r="S1188" s="98">
        <v>0</v>
      </c>
      <c r="T1188" s="98">
        <v>0</v>
      </c>
      <c r="U1188" s="143">
        <v>0</v>
      </c>
      <c r="V1188" s="126" t="str">
        <f t="shared" si="36"/>
        <v>❌ Not on Best Plan</v>
      </c>
      <c r="W1188" s="130">
        <f>IFERROR(_xlfn.XLOOKUP(TEXT(H1188,"0000000000"),'📞 Call Tracker'!A$2:A$2000,'📞 Call Tracker'!B$2:B$2000,""),"")</f>
        <v>0</v>
      </c>
      <c r="X1188" s="96">
        <f>IFERROR(_xlfn.XLOOKUP(TEXT(H1188,"0000000000"),'📞 Call Tracker'!A$2:A$2000,'📞 Call Tracker'!C$2:C$2000,""),"")</f>
        <v>0</v>
      </c>
      <c r="Y1188" s="95">
        <f>IFERROR(_xlfn.XLOOKUP(TEXT(H1188,"0000000000"),'📞 Call Tracker'!A$2:A$2000,'📞 Call Tracker'!D$2:D$2000,""),"")</f>
        <v>0</v>
      </c>
      <c r="Z1188" s="95">
        <f>IFERROR(_xlfn.XLOOKUP(TEXT(H1188,"0000000000"),'📞 Call Tracker'!A$2:A$2000,'📞 Call Tracker'!E$2:E$2000,""),"")</f>
        <v>0</v>
      </c>
      <c r="AA1188" s="145">
        <f>IFERROR(_xlfn.XLOOKUP(TEXT(H1188,"0000000000"),'📞 Call Tracker'!A$2:A$2000,'📞 Call Tracker'!F$2:F$2000,""),"")</f>
        <v>0</v>
      </c>
      <c r="AB1188" s="132">
        <f t="shared" si="37"/>
        <v>99</v>
      </c>
      <c r="AC1188" s="79"/>
    </row>
    <row r="1189" spans="1:29" ht="20.100000000000001" customHeight="1">
      <c r="A1189" s="97">
        <v>46049</v>
      </c>
      <c r="B1189" s="98" t="str">
        <v>Corrales</v>
      </c>
      <c r="C1189" s="98" t="str">
        <v>Brenda</v>
      </c>
      <c r="D1189" s="98" t="str">
        <v>Phoenix</v>
      </c>
      <c r="E1189" s="99">
        <v>85017</v>
      </c>
      <c r="F1189" s="138" t="str">
        <v>please don't let asp rise the price on our electric bill and l don't find it fair</v>
      </c>
      <c r="G1189" s="100" t="str">
        <v>https://docket.images.azcc.gov/E000048921.pdf</v>
      </c>
      <c r="H1189" s="151" t="s">
        <v>4389</v>
      </c>
      <c r="I1189" s="115" t="str">
        <v>R-BASIC</v>
      </c>
      <c r="J1189" s="110" t="str">
        <v>No</v>
      </c>
      <c r="K1189" s="101" t="str">
        <v>No</v>
      </c>
      <c r="L1189" s="138" t="str">
        <v>No MEP R3-47 ($170.72)</v>
      </c>
      <c r="M1189" s="101" t="str">
        <v>No</v>
      </c>
      <c r="N1189" s="135" t="str">
        <v>No</v>
      </c>
      <c r="O1189" s="120" t="str">
        <v>Yes</v>
      </c>
      <c r="P1189" s="102" t="str">
        <v>N</v>
      </c>
      <c r="Q1189" s="123">
        <v>46058</v>
      </c>
      <c r="R1189" s="141">
        <v>0</v>
      </c>
      <c r="S1189" s="98">
        <v>0</v>
      </c>
      <c r="T1189" s="98">
        <v>0</v>
      </c>
      <c r="U1189" s="143">
        <v>0</v>
      </c>
      <c r="V1189" s="126" t="str">
        <f t="shared" si="36"/>
        <v>❌ Not on Best Plan</v>
      </c>
      <c r="W1189" s="130">
        <f>IFERROR(_xlfn.XLOOKUP(TEXT(H1189,"0000000000"),'📞 Call Tracker'!A$2:A$2000,'📞 Call Tracker'!B$2:B$2000,""),"")</f>
        <v>0</v>
      </c>
      <c r="X1189" s="96">
        <f>IFERROR(_xlfn.XLOOKUP(TEXT(H1189,"0000000000"),'📞 Call Tracker'!A$2:A$2000,'📞 Call Tracker'!C$2:C$2000,""),"")</f>
        <v>0</v>
      </c>
      <c r="Y1189" s="95">
        <f>IFERROR(_xlfn.XLOOKUP(TEXT(H1189,"0000000000"),'📞 Call Tracker'!A$2:A$2000,'📞 Call Tracker'!D$2:D$2000,""),"")</f>
        <v>0</v>
      </c>
      <c r="Z1189" s="95">
        <f>IFERROR(_xlfn.XLOOKUP(TEXT(H1189,"0000000000"),'📞 Call Tracker'!A$2:A$2000,'📞 Call Tracker'!E$2:E$2000,""),"")</f>
        <v>0</v>
      </c>
      <c r="AA1189" s="145">
        <f>IFERROR(_xlfn.XLOOKUP(TEXT(H1189,"0000000000"),'📞 Call Tracker'!A$2:A$2000,'📞 Call Tracker'!F$2:F$2000,""),"")</f>
        <v>0</v>
      </c>
      <c r="AB1189" s="132">
        <f t="shared" si="37"/>
        <v>99</v>
      </c>
      <c r="AC1189" s="79"/>
    </row>
    <row r="1190" spans="1:29" ht="20.100000000000001" customHeight="1">
      <c r="A1190" s="97">
        <v>46049</v>
      </c>
      <c r="B1190" s="98" t="str">
        <v>DeMarco</v>
      </c>
      <c r="C1190" s="98" t="str">
        <v>Audrey</v>
      </c>
      <c r="D1190" s="98" t="str">
        <v>Phoenix</v>
      </c>
      <c r="E1190" s="99">
        <v>85032</v>
      </c>
      <c r="F1190" s="138" t="str">
        <v>As it is as a senior it is hard enough to pay the electric bill now without a raise. Enough is enough.</v>
      </c>
      <c r="G1190" s="100" t="str">
        <v>https://docket.images.azcc.gov/E000048921.pdf</v>
      </c>
      <c r="H1190" s="151" t="s">
        <v>4392</v>
      </c>
      <c r="I1190" s="115" t="str">
        <v>R-BASIC</v>
      </c>
      <c r="J1190" s="110" t="str">
        <v>No</v>
      </c>
      <c r="K1190" s="101" t="str">
        <v>No</v>
      </c>
      <c r="L1190" s="138" t="str">
        <v>Yes</v>
      </c>
      <c r="M1190" s="101" t="str">
        <v>No</v>
      </c>
      <c r="N1190" s="135" t="str">
        <v>No</v>
      </c>
      <c r="O1190" s="120" t="str">
        <v>Yes</v>
      </c>
      <c r="P1190" s="102" t="str">
        <v>N</v>
      </c>
      <c r="Q1190" s="123">
        <v>46058</v>
      </c>
      <c r="R1190" s="141">
        <v>0</v>
      </c>
      <c r="S1190" s="98">
        <v>0</v>
      </c>
      <c r="T1190" s="98">
        <v>0</v>
      </c>
      <c r="U1190" s="143">
        <v>0</v>
      </c>
      <c r="V1190" s="126" t="str">
        <f t="shared" si="36"/>
        <v>✅ On Best Plan</v>
      </c>
      <c r="W1190" s="130">
        <f>IFERROR(_xlfn.XLOOKUP(TEXT(H1190,"0000000000"),'📞 Call Tracker'!A$2:A$2000,'📞 Call Tracker'!B$2:B$2000,""),"")</f>
        <v>0</v>
      </c>
      <c r="X1190" s="96">
        <f>IFERROR(_xlfn.XLOOKUP(TEXT(H1190,"0000000000"),'📞 Call Tracker'!A$2:A$2000,'📞 Call Tracker'!C$2:C$2000,""),"")</f>
        <v>0</v>
      </c>
      <c r="Y1190" s="95">
        <f>IFERROR(_xlfn.XLOOKUP(TEXT(H1190,"0000000000"),'📞 Call Tracker'!A$2:A$2000,'📞 Call Tracker'!D$2:D$2000,""),"")</f>
        <v>0</v>
      </c>
      <c r="Z1190" s="95">
        <f>IFERROR(_xlfn.XLOOKUP(TEXT(H1190,"0000000000"),'📞 Call Tracker'!A$2:A$2000,'📞 Call Tracker'!E$2:E$2000,""),"")</f>
        <v>0</v>
      </c>
      <c r="AA1190" s="145">
        <f>IFERROR(_xlfn.XLOOKUP(TEXT(H1190,"0000000000"),'📞 Call Tracker'!A$2:A$2000,'📞 Call Tracker'!F$2:F$2000,""),"")</f>
        <v>0</v>
      </c>
      <c r="AB1190" s="132">
        <f t="shared" si="37"/>
        <v>99</v>
      </c>
      <c r="AC1190" s="79"/>
    </row>
    <row r="1191" spans="1:29" ht="20.100000000000001" customHeight="1">
      <c r="A1191" s="97">
        <v>46049</v>
      </c>
      <c r="B1191" s="98" t="str">
        <v>Sluis</v>
      </c>
      <c r="C1191" s="98" t="str">
        <v>Amy</v>
      </c>
      <c r="D1191" s="98" t="str">
        <v>Payson</v>
      </c>
      <c r="E1191" s="99">
        <v>85541</v>
      </c>
      <c r="F1191" s="138" t="str">
        <v xml:space="preserve">I think the service fees are already very high. It is hard enough to pay the bills. </v>
      </c>
      <c r="G1191" s="100" t="str">
        <v>https://docket.images.azcc.gov/E000048921.pdf</v>
      </c>
      <c r="H1191" s="151" t="s">
        <v>4398</v>
      </c>
      <c r="I1191" s="115" t="str">
        <v>R-XS</v>
      </c>
      <c r="J1191" s="110" t="str">
        <v>No</v>
      </c>
      <c r="K1191" s="101" t="str">
        <v>No</v>
      </c>
      <c r="L1191" s="138" t="str">
        <v>Yes</v>
      </c>
      <c r="M1191" s="101" t="str">
        <v>No</v>
      </c>
      <c r="N1191" s="135" t="str">
        <v>No</v>
      </c>
      <c r="O1191" s="120" t="str">
        <v>Yes</v>
      </c>
      <c r="P1191" s="102" t="str">
        <v>N</v>
      </c>
      <c r="Q1191" s="123">
        <v>46058</v>
      </c>
      <c r="R1191" s="141">
        <v>0</v>
      </c>
      <c r="S1191" s="98">
        <v>0</v>
      </c>
      <c r="T1191" s="98">
        <v>0</v>
      </c>
      <c r="U1191" s="143">
        <v>0</v>
      </c>
      <c r="V1191" s="126" t="str">
        <f t="shared" si="36"/>
        <v>✅ On Best Plan</v>
      </c>
      <c r="W1191" s="130">
        <f>IFERROR(_xlfn.XLOOKUP(TEXT(H1191,"0000000000"),'📞 Call Tracker'!A$2:A$2000,'📞 Call Tracker'!B$2:B$2000,""),"")</f>
        <v>0</v>
      </c>
      <c r="X1191" s="96">
        <f>IFERROR(_xlfn.XLOOKUP(TEXT(H1191,"0000000000"),'📞 Call Tracker'!A$2:A$2000,'📞 Call Tracker'!C$2:C$2000,""),"")</f>
        <v>0</v>
      </c>
      <c r="Y1191" s="95">
        <f>IFERROR(_xlfn.XLOOKUP(TEXT(H1191,"0000000000"),'📞 Call Tracker'!A$2:A$2000,'📞 Call Tracker'!D$2:D$2000,""),"")</f>
        <v>0</v>
      </c>
      <c r="Z1191" s="95">
        <f>IFERROR(_xlfn.XLOOKUP(TEXT(H1191,"0000000000"),'📞 Call Tracker'!A$2:A$2000,'📞 Call Tracker'!E$2:E$2000,""),"")</f>
        <v>0</v>
      </c>
      <c r="AA1191" s="145">
        <f>IFERROR(_xlfn.XLOOKUP(TEXT(H1191,"0000000000"),'📞 Call Tracker'!A$2:A$2000,'📞 Call Tracker'!F$2:F$2000,""),"")</f>
        <v>0</v>
      </c>
      <c r="AB1191" s="132">
        <f t="shared" si="37"/>
        <v>99</v>
      </c>
      <c r="AC1191" s="79"/>
    </row>
    <row r="1192" spans="1:29" ht="20.100000000000001" customHeight="1">
      <c r="A1192" s="97">
        <v>46049</v>
      </c>
      <c r="B1192" s="98" t="str">
        <v>Gier</v>
      </c>
      <c r="C1192" s="98" t="str">
        <v>Sandye</v>
      </c>
      <c r="D1192" s="98" t="str">
        <v>Pine</v>
      </c>
      <c r="E1192" s="99">
        <v>85544</v>
      </c>
      <c r="F1192" s="138" t="str">
        <v>Make it STOP please! Enough is enough. The burden is too much. These constant rate hikes are breaking us</v>
      </c>
      <c r="G1192" s="100" t="str">
        <v>https://docket.images.azcc.gov/E000048921.pdf</v>
      </c>
      <c r="H1192" s="151" t="s">
        <v>4403</v>
      </c>
      <c r="I1192" s="115" t="str">
        <v>R3-47</v>
      </c>
      <c r="J1192" s="110" t="str">
        <v>Yes</v>
      </c>
      <c r="K1192" s="101" t="str">
        <v>No</v>
      </c>
      <c r="L1192" s="138" t="str">
        <v>Not Eligible - Non-AMI Analog</v>
      </c>
      <c r="M1192" s="101" t="str">
        <v>No</v>
      </c>
      <c r="N1192" s="135" t="str">
        <v>No</v>
      </c>
      <c r="O1192" s="120" t="str">
        <v>Yes</v>
      </c>
      <c r="P1192" s="102" t="str">
        <v>N</v>
      </c>
      <c r="Q1192" s="123">
        <v>46058</v>
      </c>
      <c r="R1192" s="141">
        <v>0</v>
      </c>
      <c r="S1192" s="98">
        <v>0</v>
      </c>
      <c r="T1192" s="98">
        <v>0</v>
      </c>
      <c r="U1192" s="143">
        <v>0</v>
      </c>
      <c r="V1192" s="126" t="str">
        <f t="shared" si="36"/>
        <v>❌ Not on Best Plan</v>
      </c>
      <c r="W1192" s="130">
        <f>IFERROR(_xlfn.XLOOKUP(TEXT(H1192,"0000000000"),'📞 Call Tracker'!A$2:A$2000,'📞 Call Tracker'!B$2:B$2000,""),"")</f>
        <v>0</v>
      </c>
      <c r="X1192" s="96">
        <f>IFERROR(_xlfn.XLOOKUP(TEXT(H1192,"0000000000"),'📞 Call Tracker'!A$2:A$2000,'📞 Call Tracker'!C$2:C$2000,""),"")</f>
        <v>0</v>
      </c>
      <c r="Y1192" s="95">
        <f>IFERROR(_xlfn.XLOOKUP(TEXT(H1192,"0000000000"),'📞 Call Tracker'!A$2:A$2000,'📞 Call Tracker'!D$2:D$2000,""),"")</f>
        <v>0</v>
      </c>
      <c r="Z1192" s="95">
        <f>IFERROR(_xlfn.XLOOKUP(TEXT(H1192,"0000000000"),'📞 Call Tracker'!A$2:A$2000,'📞 Call Tracker'!E$2:E$2000,""),"")</f>
        <v>0</v>
      </c>
      <c r="AA1192" s="145">
        <f>IFERROR(_xlfn.XLOOKUP(TEXT(H1192,"0000000000"),'📞 Call Tracker'!A$2:A$2000,'📞 Call Tracker'!F$2:F$2000,""),"")</f>
        <v>0</v>
      </c>
      <c r="AB1192" s="132">
        <f t="shared" si="37"/>
        <v>99</v>
      </c>
      <c r="AC1192" s="79"/>
    </row>
    <row r="1193" spans="1:29" ht="20.100000000000001" customHeight="1">
      <c r="A1193" s="97">
        <v>46049</v>
      </c>
      <c r="B1193" s="98" t="str">
        <v>Boyle</v>
      </c>
      <c r="C1193" s="98" t="str">
        <v>Debbie</v>
      </c>
      <c r="D1193" s="98" t="str">
        <v>Buckeye</v>
      </c>
      <c r="E1193" s="99">
        <v>85326</v>
      </c>
      <c r="F1193" s="138" t="str">
        <v>nothing to do with improving services. They are pricing consumers right out of living.</v>
      </c>
      <c r="G1193" s="100" t="str">
        <v>https://docket.images.azcc.gov/E000048921.pdf</v>
      </c>
      <c r="H1193" s="151" t="s">
        <v>6481</v>
      </c>
      <c r="I1193" s="115" t="str">
        <v>R3-47</v>
      </c>
      <c r="J1193" s="110" t="str">
        <v>No</v>
      </c>
      <c r="K1193" s="101" t="str">
        <v>No</v>
      </c>
      <c r="L1193" s="138" t="str">
        <v>Yes</v>
      </c>
      <c r="M1193" s="101" t="str">
        <v>No</v>
      </c>
      <c r="N1193" s="135" t="str">
        <v>No</v>
      </c>
      <c r="O1193" s="120" t="str">
        <v>Yes</v>
      </c>
      <c r="P1193" s="102" t="str">
        <v>N</v>
      </c>
      <c r="Q1193" s="123">
        <v>46058</v>
      </c>
      <c r="R1193" s="141">
        <v>0</v>
      </c>
      <c r="S1193" s="98">
        <v>0</v>
      </c>
      <c r="T1193" s="98">
        <v>0</v>
      </c>
      <c r="U1193" s="143">
        <v>0</v>
      </c>
      <c r="V1193" s="126" t="str">
        <f t="shared" si="36"/>
        <v>✅ On Best Plan</v>
      </c>
      <c r="W1193" s="130">
        <f>IFERROR(_xlfn.XLOOKUP(TEXT(H1193,"0000000000"),'📞 Call Tracker'!A$2:A$2000,'📞 Call Tracker'!B$2:B$2000,""),"")</f>
        <v>0</v>
      </c>
      <c r="X1193" s="96">
        <f>IFERROR(_xlfn.XLOOKUP(TEXT(H1193,"0000000000"),'📞 Call Tracker'!A$2:A$2000,'📞 Call Tracker'!C$2:C$2000,""),"")</f>
        <v>0</v>
      </c>
      <c r="Y1193" s="95">
        <f>IFERROR(_xlfn.XLOOKUP(TEXT(H1193,"0000000000"),'📞 Call Tracker'!A$2:A$2000,'📞 Call Tracker'!D$2:D$2000,""),"")</f>
        <v>0</v>
      </c>
      <c r="Z1193" s="95">
        <f>IFERROR(_xlfn.XLOOKUP(TEXT(H1193,"0000000000"),'📞 Call Tracker'!A$2:A$2000,'📞 Call Tracker'!E$2:E$2000,""),"")</f>
        <v>0</v>
      </c>
      <c r="AA1193" s="145">
        <f>IFERROR(_xlfn.XLOOKUP(TEXT(H1193,"0000000000"),'📞 Call Tracker'!A$2:A$2000,'📞 Call Tracker'!F$2:F$2000,""),"")</f>
        <v>0</v>
      </c>
      <c r="AB1193" s="132">
        <f t="shared" si="37"/>
        <v>99</v>
      </c>
      <c r="AC1193" s="79"/>
    </row>
    <row r="1194" spans="1:29" ht="20.100000000000001" customHeight="1">
      <c r="A1194" s="97">
        <v>46049</v>
      </c>
      <c r="B1194" s="98" t="str">
        <v>Anderson</v>
      </c>
      <c r="C1194" s="98" t="str">
        <v>Gayle</v>
      </c>
      <c r="D1194" s="98" t="str">
        <v>Sun City West</v>
      </c>
      <c r="E1194" s="99">
        <v>85375</v>
      </c>
      <c r="F1194" s="138" t="str">
        <v>APS is raping the customers! The educated have not forgotten the APS &amp; Republicans scandal just a few years ago! It's time to stop the corruption.</v>
      </c>
      <c r="G1194" s="100" t="str">
        <v>https://docket.images.azcc.gov/E000048921.pdf</v>
      </c>
      <c r="H1194" s="151" t="s">
        <v>4408</v>
      </c>
      <c r="I1194" s="115" t="str">
        <v>R-2</v>
      </c>
      <c r="J1194" s="110" t="str">
        <v>No</v>
      </c>
      <c r="K1194" s="101" t="str">
        <v>No</v>
      </c>
      <c r="L1194" s="138" t="str">
        <v>Frozen Plan</v>
      </c>
      <c r="M1194" s="101" t="str">
        <v>No</v>
      </c>
      <c r="N1194" s="135" t="str">
        <v>No</v>
      </c>
      <c r="O1194" s="120" t="str">
        <v>Yes</v>
      </c>
      <c r="P1194" s="102" t="str">
        <v>N</v>
      </c>
      <c r="Q1194" s="123">
        <v>46058</v>
      </c>
      <c r="R1194" s="141">
        <v>0</v>
      </c>
      <c r="S1194" s="98">
        <v>0</v>
      </c>
      <c r="T1194" s="98">
        <v>0</v>
      </c>
      <c r="U1194" s="143">
        <v>0</v>
      </c>
      <c r="V1194" s="126" t="str">
        <f t="shared" si="36"/>
        <v>❄ Frozen Rate</v>
      </c>
      <c r="W1194" s="130">
        <f>IFERROR(_xlfn.XLOOKUP(TEXT(H1194,"0000000000"),'📞 Call Tracker'!A$2:A$2000,'📞 Call Tracker'!B$2:B$2000,""),"")</f>
        <v>0</v>
      </c>
      <c r="X1194" s="96">
        <f>IFERROR(_xlfn.XLOOKUP(TEXT(H1194,"0000000000"),'📞 Call Tracker'!A$2:A$2000,'📞 Call Tracker'!C$2:C$2000,""),"")</f>
        <v>0</v>
      </c>
      <c r="Y1194" s="95">
        <f>IFERROR(_xlfn.XLOOKUP(TEXT(H1194,"0000000000"),'📞 Call Tracker'!A$2:A$2000,'📞 Call Tracker'!D$2:D$2000,""),"")</f>
        <v>0</v>
      </c>
      <c r="Z1194" s="95">
        <f>IFERROR(_xlfn.XLOOKUP(TEXT(H1194,"0000000000"),'📞 Call Tracker'!A$2:A$2000,'📞 Call Tracker'!E$2:E$2000,""),"")</f>
        <v>0</v>
      </c>
      <c r="AA1194" s="145">
        <f>IFERROR(_xlfn.XLOOKUP(TEXT(H1194,"0000000000"),'📞 Call Tracker'!A$2:A$2000,'📞 Call Tracker'!F$2:F$2000,""),"")</f>
        <v>0</v>
      </c>
      <c r="AB1194" s="132">
        <f t="shared" si="37"/>
        <v>99</v>
      </c>
      <c r="AC1194" s="79"/>
    </row>
    <row r="1195" spans="1:29" ht="20.100000000000001" customHeight="1">
      <c r="A1195" s="97">
        <v>46049</v>
      </c>
      <c r="B1195" s="98" t="str">
        <v>Luchini</v>
      </c>
      <c r="C1195" s="98" t="str">
        <v>Jessica</v>
      </c>
      <c r="D1195" s="98" t="str">
        <v>Phoenix</v>
      </c>
      <c r="E1195" s="99">
        <v>85032</v>
      </c>
      <c r="F1195" s="138" t="str">
        <v>Lining the pockets of the people at the top, but if there's no substantial change in infrastructure, there's no reason to increase our bills</v>
      </c>
      <c r="G1195" s="100" t="str">
        <v>https://docket.images.azcc.gov/E000048921.pdf</v>
      </c>
      <c r="H1195" s="151" t="s">
        <v>4414</v>
      </c>
      <c r="I1195" s="115" t="str">
        <v>R-BASICL</v>
      </c>
      <c r="J1195" s="110" t="str">
        <v>No</v>
      </c>
      <c r="K1195" s="101" t="str">
        <v>No</v>
      </c>
      <c r="L1195" s="138" t="str">
        <v>Not eligible yet</v>
      </c>
      <c r="M1195" s="101" t="str">
        <v>No</v>
      </c>
      <c r="N1195" s="135" t="str">
        <v>No</v>
      </c>
      <c r="O1195" s="120" t="str">
        <v>Yes</v>
      </c>
      <c r="P1195" s="102" t="str">
        <v>N</v>
      </c>
      <c r="Q1195" s="123">
        <v>46058</v>
      </c>
      <c r="R1195" s="141">
        <v>0</v>
      </c>
      <c r="S1195" s="98">
        <v>0</v>
      </c>
      <c r="T1195" s="98">
        <v>0</v>
      </c>
      <c r="U1195" s="143">
        <v>0</v>
      </c>
      <c r="V1195" s="126" t="str">
        <f t="shared" si="36"/>
        <v>❌ Not on Best Plan</v>
      </c>
      <c r="W1195" s="130">
        <f>IFERROR(_xlfn.XLOOKUP(TEXT(H1195,"0000000000"),'📞 Call Tracker'!A$2:A$2000,'📞 Call Tracker'!B$2:B$2000,""),"")</f>
        <v>0</v>
      </c>
      <c r="X1195" s="96">
        <f>IFERROR(_xlfn.XLOOKUP(TEXT(H1195,"0000000000"),'📞 Call Tracker'!A$2:A$2000,'📞 Call Tracker'!C$2:C$2000,""),"")</f>
        <v>0</v>
      </c>
      <c r="Y1195" s="95">
        <f>IFERROR(_xlfn.XLOOKUP(TEXT(H1195,"0000000000"),'📞 Call Tracker'!A$2:A$2000,'📞 Call Tracker'!D$2:D$2000,""),"")</f>
        <v>0</v>
      </c>
      <c r="Z1195" s="95">
        <f>IFERROR(_xlfn.XLOOKUP(TEXT(H1195,"0000000000"),'📞 Call Tracker'!A$2:A$2000,'📞 Call Tracker'!E$2:E$2000,""),"")</f>
        <v>0</v>
      </c>
      <c r="AA1195" s="145">
        <f>IFERROR(_xlfn.XLOOKUP(TEXT(H1195,"0000000000"),'📞 Call Tracker'!A$2:A$2000,'📞 Call Tracker'!F$2:F$2000,""),"")</f>
        <v>0</v>
      </c>
      <c r="AB1195" s="132">
        <f t="shared" si="37"/>
        <v>99</v>
      </c>
      <c r="AC1195" s="79"/>
    </row>
    <row r="1196" spans="1:29" ht="20.100000000000001" customHeight="1">
      <c r="A1196" s="97">
        <v>46049</v>
      </c>
      <c r="B1196" s="98" t="str">
        <v>Vago</v>
      </c>
      <c r="C1196" s="98" t="str">
        <v>Susan</v>
      </c>
      <c r="D1196" s="98" t="str">
        <v>Phoenix</v>
      </c>
      <c r="E1196" s="99">
        <v>85024</v>
      </c>
      <c r="F1196" s="138" t="str">
        <v>Most of us are going to have to pay around 50.00 more per month than 2 years ago. When is the public going to get a break.</v>
      </c>
      <c r="G1196" s="100" t="str">
        <v>https://docket.images.azcc.gov/E000048921.pdf</v>
      </c>
      <c r="H1196" s="151" t="s">
        <v>6482</v>
      </c>
      <c r="I1196" s="115" t="str">
        <v>R3-47</v>
      </c>
      <c r="J1196" s="110" t="str">
        <v>No</v>
      </c>
      <c r="K1196" s="101" t="str">
        <v>No</v>
      </c>
      <c r="L1196" s="138" t="str">
        <v>Yes</v>
      </c>
      <c r="M1196" s="101" t="str">
        <v>No</v>
      </c>
      <c r="N1196" s="135" t="str">
        <v>No</v>
      </c>
      <c r="O1196" s="120" t="str">
        <v>Yes</v>
      </c>
      <c r="P1196" s="102" t="str">
        <v>N</v>
      </c>
      <c r="Q1196" s="123">
        <v>46058</v>
      </c>
      <c r="R1196" s="141">
        <v>0</v>
      </c>
      <c r="S1196" s="98">
        <v>0</v>
      </c>
      <c r="T1196" s="98">
        <v>0</v>
      </c>
      <c r="U1196" s="143">
        <v>0</v>
      </c>
      <c r="V1196" s="126" t="str">
        <f t="shared" si="36"/>
        <v>✅ On Best Plan</v>
      </c>
      <c r="W1196" s="130">
        <f>IFERROR(_xlfn.XLOOKUP(TEXT(H1196,"0000000000"),'📞 Call Tracker'!A$2:A$2000,'📞 Call Tracker'!B$2:B$2000,""),"")</f>
        <v>0</v>
      </c>
      <c r="X1196" s="96">
        <f>IFERROR(_xlfn.XLOOKUP(TEXT(H1196,"0000000000"),'📞 Call Tracker'!A$2:A$2000,'📞 Call Tracker'!C$2:C$2000,""),"")</f>
        <v>0</v>
      </c>
      <c r="Y1196" s="95">
        <f>IFERROR(_xlfn.XLOOKUP(TEXT(H1196,"0000000000"),'📞 Call Tracker'!A$2:A$2000,'📞 Call Tracker'!D$2:D$2000,""),"")</f>
        <v>0</v>
      </c>
      <c r="Z1196" s="95">
        <f>IFERROR(_xlfn.XLOOKUP(TEXT(H1196,"0000000000"),'📞 Call Tracker'!A$2:A$2000,'📞 Call Tracker'!E$2:E$2000,""),"")</f>
        <v>0</v>
      </c>
      <c r="AA1196" s="145">
        <f>IFERROR(_xlfn.XLOOKUP(TEXT(H1196,"0000000000"),'📞 Call Tracker'!A$2:A$2000,'📞 Call Tracker'!F$2:F$2000,""),"")</f>
        <v>0</v>
      </c>
      <c r="AB1196" s="132">
        <f t="shared" si="37"/>
        <v>99</v>
      </c>
      <c r="AC1196" s="79"/>
    </row>
    <row r="1197" spans="1:29" ht="20.100000000000001" customHeight="1">
      <c r="A1197" s="97">
        <v>46049</v>
      </c>
      <c r="B1197" s="98" t="str">
        <v>Dannen</v>
      </c>
      <c r="C1197" s="98" t="str">
        <v>Scott</v>
      </c>
      <c r="D1197" s="98" t="str">
        <v>Sun City West</v>
      </c>
      <c r="E1197" s="99">
        <v>85375</v>
      </c>
      <c r="F1197" s="138" t="str">
        <v xml:space="preserve">APS needs to start cutting costs just like the rest of us... instead of running a poor business model and coming running to the Corporation Commission. </v>
      </c>
      <c r="G1197" s="100" t="str">
        <v>https://docket.images.azcc.gov/E000048921.pdf</v>
      </c>
      <c r="H1197" s="151" t="s">
        <v>4418</v>
      </c>
      <c r="I1197" s="115" t="str">
        <v>RCPw/RTOUE47</v>
      </c>
      <c r="J1197" s="110" t="str">
        <v>Yes</v>
      </c>
      <c r="K1197" s="101" t="str">
        <v>No</v>
      </c>
      <c r="L1197" s="138" t="str">
        <v>Yes</v>
      </c>
      <c r="M1197" s="101" t="str">
        <v>No</v>
      </c>
      <c r="N1197" s="135" t="str">
        <v>No</v>
      </c>
      <c r="O1197" s="120" t="str">
        <v>Yes</v>
      </c>
      <c r="P1197" s="102" t="str">
        <v>N</v>
      </c>
      <c r="Q1197" s="123">
        <v>46058</v>
      </c>
      <c r="R1197" s="141">
        <v>0</v>
      </c>
      <c r="S1197" s="98">
        <v>0</v>
      </c>
      <c r="T1197" s="98">
        <v>0</v>
      </c>
      <c r="U1197" s="143">
        <v>0</v>
      </c>
      <c r="V1197" s="126" t="str">
        <f t="shared" si="36"/>
        <v>✅ On Best Plan</v>
      </c>
      <c r="W1197" s="130">
        <f>IFERROR(_xlfn.XLOOKUP(TEXT(H1197,"0000000000"),'📞 Call Tracker'!A$2:A$2000,'📞 Call Tracker'!B$2:B$2000,""),"")</f>
        <v>0</v>
      </c>
      <c r="X1197" s="96">
        <f>IFERROR(_xlfn.XLOOKUP(TEXT(H1197,"0000000000"),'📞 Call Tracker'!A$2:A$2000,'📞 Call Tracker'!C$2:C$2000,""),"")</f>
        <v>0</v>
      </c>
      <c r="Y1197" s="95">
        <f>IFERROR(_xlfn.XLOOKUP(TEXT(H1197,"0000000000"),'📞 Call Tracker'!A$2:A$2000,'📞 Call Tracker'!D$2:D$2000,""),"")</f>
        <v>0</v>
      </c>
      <c r="Z1197" s="95">
        <f>IFERROR(_xlfn.XLOOKUP(TEXT(H1197,"0000000000"),'📞 Call Tracker'!A$2:A$2000,'📞 Call Tracker'!E$2:E$2000,""),"")</f>
        <v>0</v>
      </c>
      <c r="AA1197" s="145">
        <f>IFERROR(_xlfn.XLOOKUP(TEXT(H1197,"0000000000"),'📞 Call Tracker'!A$2:A$2000,'📞 Call Tracker'!F$2:F$2000,""),"")</f>
        <v>0</v>
      </c>
      <c r="AB1197" s="132">
        <f t="shared" si="37"/>
        <v>99</v>
      </c>
      <c r="AC1197" s="79"/>
    </row>
    <row r="1198" spans="1:29" ht="20.100000000000001" customHeight="1">
      <c r="A1198" s="97">
        <v>46049</v>
      </c>
      <c r="B1198" s="98" t="str">
        <v>Bapst</v>
      </c>
      <c r="C1198" s="98" t="str">
        <v>Heather</v>
      </c>
      <c r="D1198" s="98" t="str">
        <v>Chino Valley</v>
      </c>
      <c r="E1198" s="99">
        <v>86323</v>
      </c>
      <c r="F1198" s="138" t="str">
        <v xml:space="preserve">I'm a single mom - I can't even afford internet let alone an increase in one of my normal costs. </v>
      </c>
      <c r="G1198" s="100" t="str">
        <v>https://docket.images.azcc.gov/E000048921.pdf</v>
      </c>
      <c r="H1198" s="151" t="s">
        <v>4421</v>
      </c>
      <c r="I1198" s="115" t="str">
        <v>R-XS</v>
      </c>
      <c r="J1198" s="110" t="str">
        <v>Yes</v>
      </c>
      <c r="K1198" s="101" t="str">
        <v>No</v>
      </c>
      <c r="L1198" s="138" t="str">
        <v>Yes</v>
      </c>
      <c r="M1198" s="101" t="str">
        <v>No</v>
      </c>
      <c r="N1198" s="135" t="str">
        <v>No</v>
      </c>
      <c r="O1198" s="120" t="str">
        <v>Yes</v>
      </c>
      <c r="P1198" s="102" t="str">
        <v>N</v>
      </c>
      <c r="Q1198" s="123">
        <v>46058</v>
      </c>
      <c r="R1198" s="141">
        <v>0</v>
      </c>
      <c r="S1198" s="98">
        <v>0</v>
      </c>
      <c r="T1198" s="98">
        <v>0</v>
      </c>
      <c r="U1198" s="143">
        <v>0</v>
      </c>
      <c r="V1198" s="126" t="str">
        <f t="shared" si="36"/>
        <v>✅ On Best Plan</v>
      </c>
      <c r="W1198" s="130">
        <f>IFERROR(_xlfn.XLOOKUP(TEXT(H1198,"0000000000"),'📞 Call Tracker'!A$2:A$2000,'📞 Call Tracker'!B$2:B$2000,""),"")</f>
        <v>0</v>
      </c>
      <c r="X1198" s="96">
        <f>IFERROR(_xlfn.XLOOKUP(TEXT(H1198,"0000000000"),'📞 Call Tracker'!A$2:A$2000,'📞 Call Tracker'!C$2:C$2000,""),"")</f>
        <v>0</v>
      </c>
      <c r="Y1198" s="95">
        <f>IFERROR(_xlfn.XLOOKUP(TEXT(H1198,"0000000000"),'📞 Call Tracker'!A$2:A$2000,'📞 Call Tracker'!D$2:D$2000,""),"")</f>
        <v>0</v>
      </c>
      <c r="Z1198" s="95">
        <f>IFERROR(_xlfn.XLOOKUP(TEXT(H1198,"0000000000"),'📞 Call Tracker'!A$2:A$2000,'📞 Call Tracker'!E$2:E$2000,""),"")</f>
        <v>0</v>
      </c>
      <c r="AA1198" s="145">
        <f>IFERROR(_xlfn.XLOOKUP(TEXT(H1198,"0000000000"),'📞 Call Tracker'!A$2:A$2000,'📞 Call Tracker'!F$2:F$2000,""),"")</f>
        <v>0</v>
      </c>
      <c r="AB1198" s="132">
        <f t="shared" si="37"/>
        <v>99</v>
      </c>
      <c r="AC1198" s="79"/>
    </row>
    <row r="1199" spans="1:29" ht="20.100000000000001" customHeight="1">
      <c r="A1199" s="97">
        <v>46049</v>
      </c>
      <c r="B1199" s="98" t="str">
        <v>Kamb</v>
      </c>
      <c r="C1199" s="98" t="str">
        <v>James</v>
      </c>
      <c r="D1199" s="98" t="str">
        <v>Gilbert</v>
      </c>
      <c r="E1199" s="99">
        <v>85233</v>
      </c>
      <c r="F1199" s="138" t="str">
        <v>If the parent company is unable to run the utility without requiring huge profits from the public need, perhaps they should sell to the State of Arizona</v>
      </c>
      <c r="G1199" s="100" t="str">
        <v>https://docket.images.azcc.gov/E000048921.pdf</v>
      </c>
      <c r="H1199" s="151" t="s">
        <v>4424</v>
      </c>
      <c r="I1199" s="115" t="str">
        <v>R-2</v>
      </c>
      <c r="J1199" s="110" t="str">
        <v>No</v>
      </c>
      <c r="K1199" s="101" t="str">
        <v>No</v>
      </c>
      <c r="L1199" s="138" t="str">
        <v>Frozen Plan</v>
      </c>
      <c r="M1199" s="101" t="str">
        <v>No</v>
      </c>
      <c r="N1199" s="135" t="str">
        <v>No</v>
      </c>
      <c r="O1199" s="120" t="str">
        <v>Yes</v>
      </c>
      <c r="P1199" s="102" t="str">
        <v>N</v>
      </c>
      <c r="Q1199" s="123">
        <v>46058</v>
      </c>
      <c r="R1199" s="141">
        <v>0</v>
      </c>
      <c r="S1199" s="98">
        <v>0</v>
      </c>
      <c r="T1199" s="98">
        <v>0</v>
      </c>
      <c r="U1199" s="143">
        <v>0</v>
      </c>
      <c r="V1199" s="126" t="str">
        <f t="shared" si="36"/>
        <v>❄ Frozen Rate</v>
      </c>
      <c r="W1199" s="130">
        <f>IFERROR(_xlfn.XLOOKUP(TEXT(H1199,"0000000000"),'📞 Call Tracker'!A$2:A$2000,'📞 Call Tracker'!B$2:B$2000,""),"")</f>
        <v>0</v>
      </c>
      <c r="X1199" s="96">
        <f>IFERROR(_xlfn.XLOOKUP(TEXT(H1199,"0000000000"),'📞 Call Tracker'!A$2:A$2000,'📞 Call Tracker'!C$2:C$2000,""),"")</f>
        <v>0</v>
      </c>
      <c r="Y1199" s="95">
        <f>IFERROR(_xlfn.XLOOKUP(TEXT(H1199,"0000000000"),'📞 Call Tracker'!A$2:A$2000,'📞 Call Tracker'!D$2:D$2000,""),"")</f>
        <v>0</v>
      </c>
      <c r="Z1199" s="95">
        <f>IFERROR(_xlfn.XLOOKUP(TEXT(H1199,"0000000000"),'📞 Call Tracker'!A$2:A$2000,'📞 Call Tracker'!E$2:E$2000,""),"")</f>
        <v>0</v>
      </c>
      <c r="AA1199" s="145">
        <f>IFERROR(_xlfn.XLOOKUP(TEXT(H1199,"0000000000"),'📞 Call Tracker'!A$2:A$2000,'📞 Call Tracker'!F$2:F$2000,""),"")</f>
        <v>0</v>
      </c>
      <c r="AB1199" s="132">
        <f t="shared" si="37"/>
        <v>99</v>
      </c>
      <c r="AC1199" s="79"/>
    </row>
    <row r="1200" spans="1:29" ht="20.100000000000001" customHeight="1">
      <c r="A1200" s="97">
        <v>46049</v>
      </c>
      <c r="B1200" s="98" t="str">
        <v>Mikles</v>
      </c>
      <c r="C1200" s="98" t="str">
        <v>Merry</v>
      </c>
      <c r="D1200" s="98" t="str">
        <v>Coolidge</v>
      </c>
      <c r="E1200" s="99">
        <v>85128</v>
      </c>
      <c r="F1200" s="138" t="str">
        <v>I invested in solar and they still charge excessive amounts in the summer when it's high usage in Arizona</v>
      </c>
      <c r="G1200" s="100" t="str">
        <v>https://docket.images.azcc.gov/E000048921.pdf</v>
      </c>
      <c r="H1200" s="151" t="s">
        <v>4432</v>
      </c>
      <c r="I1200" s="115" t="str">
        <v>RCPw/RTOUE47</v>
      </c>
      <c r="J1200" s="110" t="str">
        <v>No</v>
      </c>
      <c r="K1200" s="101" t="str">
        <v>No</v>
      </c>
      <c r="L1200" s="138" t="str">
        <v>Yes</v>
      </c>
      <c r="M1200" s="101" t="str">
        <v>No</v>
      </c>
      <c r="N1200" s="135" t="str">
        <v>No</v>
      </c>
      <c r="O1200" s="120" t="str">
        <v>Yes</v>
      </c>
      <c r="P1200" s="102" t="str">
        <v>N</v>
      </c>
      <c r="Q1200" s="123">
        <v>46058</v>
      </c>
      <c r="R1200" s="141">
        <v>0</v>
      </c>
      <c r="S1200" s="98">
        <v>0</v>
      </c>
      <c r="T1200" s="98">
        <v>0</v>
      </c>
      <c r="U1200" s="143">
        <v>0</v>
      </c>
      <c r="V1200" s="126" t="str">
        <f t="shared" si="36"/>
        <v>✅ On Best Plan</v>
      </c>
      <c r="W1200" s="130">
        <f>IFERROR(_xlfn.XLOOKUP(TEXT(H1200,"0000000000"),'📞 Call Tracker'!A$2:A$2000,'📞 Call Tracker'!B$2:B$2000,""),"")</f>
        <v>0</v>
      </c>
      <c r="X1200" s="96">
        <f>IFERROR(_xlfn.XLOOKUP(TEXT(H1200,"0000000000"),'📞 Call Tracker'!A$2:A$2000,'📞 Call Tracker'!C$2:C$2000,""),"")</f>
        <v>0</v>
      </c>
      <c r="Y1200" s="95">
        <f>IFERROR(_xlfn.XLOOKUP(TEXT(H1200,"0000000000"),'📞 Call Tracker'!A$2:A$2000,'📞 Call Tracker'!D$2:D$2000,""),"")</f>
        <v>0</v>
      </c>
      <c r="Z1200" s="95">
        <f>IFERROR(_xlfn.XLOOKUP(TEXT(H1200,"0000000000"),'📞 Call Tracker'!A$2:A$2000,'📞 Call Tracker'!E$2:E$2000,""),"")</f>
        <v>0</v>
      </c>
      <c r="AA1200" s="145">
        <f>IFERROR(_xlfn.XLOOKUP(TEXT(H1200,"0000000000"),'📞 Call Tracker'!A$2:A$2000,'📞 Call Tracker'!F$2:F$2000,""),"")</f>
        <v>0</v>
      </c>
      <c r="AB1200" s="132">
        <f t="shared" si="37"/>
        <v>99</v>
      </c>
      <c r="AC1200" s="79"/>
    </row>
    <row r="1201" spans="1:29" ht="20.100000000000001" customHeight="1">
      <c r="A1201" s="97">
        <v>46048</v>
      </c>
      <c r="B1201" s="98" t="str">
        <v>Jorgensen</v>
      </c>
      <c r="C1201" s="98" t="str">
        <v>Faith</v>
      </c>
      <c r="D1201" s="98" t="str">
        <v>Arizona City</v>
      </c>
      <c r="E1201" s="99">
        <v>85123</v>
      </c>
      <c r="F1201" s="138" t="str">
        <v>We already pay incredibly high energy prices in the summer. I do not approve of any increases in prices.</v>
      </c>
      <c r="G1201" s="100" t="str">
        <v>https://docket.images.azcc.gov/E000048921.pdf</v>
      </c>
      <c r="H1201" s="151" t="s">
        <v>4441</v>
      </c>
      <c r="I1201" s="115" t="str">
        <v>R3-47</v>
      </c>
      <c r="J1201" s="110" t="str">
        <v>No</v>
      </c>
      <c r="K1201" s="101" t="str">
        <v>No</v>
      </c>
      <c r="L1201" s="138" t="str">
        <v>Yes</v>
      </c>
      <c r="M1201" s="101" t="str">
        <v>No</v>
      </c>
      <c r="N1201" s="135" t="str">
        <v>No</v>
      </c>
      <c r="O1201" s="120" t="str">
        <v>Yes</v>
      </c>
      <c r="P1201" s="102" t="str">
        <v>N</v>
      </c>
      <c r="Q1201" s="123">
        <v>46058</v>
      </c>
      <c r="R1201" s="141">
        <v>0</v>
      </c>
      <c r="S1201" s="98">
        <v>0</v>
      </c>
      <c r="T1201" s="98">
        <v>0</v>
      </c>
      <c r="U1201" s="143">
        <v>0</v>
      </c>
      <c r="V1201" s="126" t="str">
        <f t="shared" si="36"/>
        <v>✅ On Best Plan</v>
      </c>
      <c r="W1201" s="130">
        <f>IFERROR(_xlfn.XLOOKUP(TEXT(H1201,"0000000000"),'📞 Call Tracker'!A$2:A$2000,'📞 Call Tracker'!B$2:B$2000,""),"")</f>
        <v>0</v>
      </c>
      <c r="X1201" s="96">
        <f>IFERROR(_xlfn.XLOOKUP(TEXT(H1201,"0000000000"),'📞 Call Tracker'!A$2:A$2000,'📞 Call Tracker'!C$2:C$2000,""),"")</f>
        <v>0</v>
      </c>
      <c r="Y1201" s="95">
        <f>IFERROR(_xlfn.XLOOKUP(TEXT(H1201,"0000000000"),'📞 Call Tracker'!A$2:A$2000,'📞 Call Tracker'!D$2:D$2000,""),"")</f>
        <v>0</v>
      </c>
      <c r="Z1201" s="95">
        <f>IFERROR(_xlfn.XLOOKUP(TEXT(H1201,"0000000000"),'📞 Call Tracker'!A$2:A$2000,'📞 Call Tracker'!E$2:E$2000,""),"")</f>
        <v>0</v>
      </c>
      <c r="AA1201" s="145">
        <f>IFERROR(_xlfn.XLOOKUP(TEXT(H1201,"0000000000"),'📞 Call Tracker'!A$2:A$2000,'📞 Call Tracker'!F$2:F$2000,""),"")</f>
        <v>0</v>
      </c>
      <c r="AB1201" s="132">
        <f t="shared" si="37"/>
        <v>99</v>
      </c>
      <c r="AC1201" s="79"/>
    </row>
    <row r="1202" spans="1:29" ht="20.100000000000001" customHeight="1">
      <c r="A1202" s="97">
        <v>46055</v>
      </c>
      <c r="B1202" s="98" t="str">
        <v>Thomas</v>
      </c>
      <c r="C1202" s="98" t="str">
        <v>Jason</v>
      </c>
      <c r="D1202" s="98" t="str">
        <v>Phoenix</v>
      </c>
      <c r="E1202" s="99">
        <v>85023</v>
      </c>
      <c r="F1202" s="138" t="str">
        <v>My experience with APS has been defined by a total lack of transparency and poor service</v>
      </c>
      <c r="G1202" s="100" t="str">
        <v>https://docket.images.azcc.gov/E000049100.pdf</v>
      </c>
      <c r="H1202" s="151" t="s">
        <v>4444</v>
      </c>
      <c r="I1202" s="115" t="str">
        <v>R3-47</v>
      </c>
      <c r="J1202" s="110" t="str">
        <v>No</v>
      </c>
      <c r="K1202" s="101" t="str">
        <v>No</v>
      </c>
      <c r="L1202" s="138" t="str">
        <v>Yes</v>
      </c>
      <c r="M1202" s="101" t="str">
        <v>No</v>
      </c>
      <c r="N1202" s="135" t="str">
        <v>No</v>
      </c>
      <c r="O1202" s="120" t="str">
        <v>Yes</v>
      </c>
      <c r="P1202" s="102" t="str">
        <v>N</v>
      </c>
      <c r="Q1202" s="123">
        <v>46058</v>
      </c>
      <c r="R1202" s="141">
        <v>0</v>
      </c>
      <c r="S1202" s="98">
        <v>0</v>
      </c>
      <c r="T1202" s="98">
        <v>0</v>
      </c>
      <c r="U1202" s="143">
        <v>0</v>
      </c>
      <c r="V1202" s="126" t="str">
        <f t="shared" si="36"/>
        <v>✅ On Best Plan</v>
      </c>
      <c r="W1202" s="130">
        <f>IFERROR(_xlfn.XLOOKUP(TEXT(H1202,"0000000000"),'📞 Call Tracker'!A$2:A$2000,'📞 Call Tracker'!B$2:B$2000,""),"")</f>
        <v>0</v>
      </c>
      <c r="X1202" s="96">
        <f>IFERROR(_xlfn.XLOOKUP(TEXT(H1202,"0000000000"),'📞 Call Tracker'!A$2:A$2000,'📞 Call Tracker'!C$2:C$2000,""),"")</f>
        <v>0</v>
      </c>
      <c r="Y1202" s="95">
        <f>IFERROR(_xlfn.XLOOKUP(TEXT(H1202,"0000000000"),'📞 Call Tracker'!A$2:A$2000,'📞 Call Tracker'!D$2:D$2000,""),"")</f>
        <v>0</v>
      </c>
      <c r="Z1202" s="95">
        <f>IFERROR(_xlfn.XLOOKUP(TEXT(H1202,"0000000000"),'📞 Call Tracker'!A$2:A$2000,'📞 Call Tracker'!E$2:E$2000,""),"")</f>
        <v>0</v>
      </c>
      <c r="AA1202" s="145">
        <f>IFERROR(_xlfn.XLOOKUP(TEXT(H1202,"0000000000"),'📞 Call Tracker'!A$2:A$2000,'📞 Call Tracker'!F$2:F$2000,""),"")</f>
        <v>0</v>
      </c>
      <c r="AB1202" s="132">
        <f t="shared" si="37"/>
        <v>99</v>
      </c>
      <c r="AC1202" s="79"/>
    </row>
    <row r="1203" spans="1:29" ht="20.100000000000001" customHeight="1">
      <c r="A1203" s="97">
        <v>46055</v>
      </c>
      <c r="B1203" s="98" t="str">
        <v>Gajon</v>
      </c>
      <c r="C1203" s="98" t="str">
        <v>Anaisabel</v>
      </c>
      <c r="D1203" s="98" t="str">
        <v>Yuma</v>
      </c>
      <c r="E1203" s="99">
        <v>85364</v>
      </c>
      <c r="F1203" s="138" t="str">
        <v>Everything is too expensive. It is impossible to afford electricity in this heat as is,</v>
      </c>
      <c r="G1203" s="100" t="str">
        <v>https://docket.images.azcc.gov/E000049100.pdf</v>
      </c>
      <c r="H1203" s="151" t="s">
        <v>6483</v>
      </c>
      <c r="I1203" s="115" t="str">
        <v>RTOUE47</v>
      </c>
      <c r="J1203" s="110" t="str">
        <v>Yes</v>
      </c>
      <c r="K1203" s="101" t="str">
        <v>No</v>
      </c>
      <c r="L1203" s="138" t="str">
        <v>No MEP R3-47 ($107.12)</v>
      </c>
      <c r="M1203" s="101" t="str">
        <v>Yes</v>
      </c>
      <c r="N1203" s="135">
        <v>163.08000000000001</v>
      </c>
      <c r="O1203" s="120" t="str">
        <v>Yes</v>
      </c>
      <c r="P1203" s="102">
        <v>0</v>
      </c>
      <c r="Q1203" s="123">
        <v>46058</v>
      </c>
      <c r="R1203" s="141" t="str">
        <v>Please contact customer regarding plan options and additional assistance programs?</v>
      </c>
      <c r="S1203" s="98">
        <v>0</v>
      </c>
      <c r="T1203" s="98">
        <v>0</v>
      </c>
      <c r="U1203" s="143">
        <v>0</v>
      </c>
      <c r="V1203" s="126" t="str">
        <f t="shared" si="36"/>
        <v>❌ Not on Best Plan</v>
      </c>
      <c r="W1203" s="130">
        <f>IFERROR(_xlfn.XLOOKUP(TEXT(H1203,"0000000000"),'📞 Call Tracker'!A$2:A$2000,'📞 Call Tracker'!B$2:B$2000,""),"")</f>
        <v>0</v>
      </c>
      <c r="X1203" s="96">
        <f>IFERROR(_xlfn.XLOOKUP(TEXT(H1203,"0000000000"),'📞 Call Tracker'!A$2:A$2000,'📞 Call Tracker'!C$2:C$2000,""),"")</f>
        <v>0</v>
      </c>
      <c r="Y1203" s="95">
        <f>IFERROR(_xlfn.XLOOKUP(TEXT(H1203,"0000000000"),'📞 Call Tracker'!A$2:A$2000,'📞 Call Tracker'!D$2:D$2000,""),"")</f>
        <v>0</v>
      </c>
      <c r="Z1203" s="95">
        <f>IFERROR(_xlfn.XLOOKUP(TEXT(H1203,"0000000000"),'📞 Call Tracker'!A$2:A$2000,'📞 Call Tracker'!E$2:E$2000,""),"")</f>
        <v>0</v>
      </c>
      <c r="AA1203" s="145">
        <f>IFERROR(_xlfn.XLOOKUP(TEXT(H1203,"0000000000"),'📞 Call Tracker'!A$2:A$2000,'📞 Call Tracker'!F$2:F$2000,""),"")</f>
        <v>0</v>
      </c>
      <c r="AB1203" s="132">
        <f t="shared" si="37"/>
        <v>99</v>
      </c>
      <c r="AC1203" s="79"/>
    </row>
    <row r="1204" spans="1:29" ht="20.100000000000001" customHeight="1">
      <c r="A1204" s="97">
        <v>46055</v>
      </c>
      <c r="B1204" s="98" t="str">
        <v>Pittman</v>
      </c>
      <c r="C1204" s="98" t="str">
        <v>Christian</v>
      </c>
      <c r="D1204" s="98" t="str">
        <v>Flagstaff</v>
      </c>
      <c r="E1204" s="99">
        <v>86001</v>
      </c>
      <c r="F1204" s="138" t="str">
        <v>you've supported everything the federal government has done in the last year. Eat your costs, provide your public service</v>
      </c>
      <c r="G1204" s="100" t="str">
        <v>https://docket.images.azcc.gov/E000049100.pdf</v>
      </c>
      <c r="H1204" s="151" t="s">
        <v>4452</v>
      </c>
      <c r="I1204" s="115" t="str">
        <v>RTOUE47</v>
      </c>
      <c r="J1204" s="110" t="str">
        <v>No</v>
      </c>
      <c r="K1204" s="101" t="str">
        <v>No</v>
      </c>
      <c r="L1204" s="138" t="str">
        <v>Yes</v>
      </c>
      <c r="M1204" s="101" t="str">
        <v>No</v>
      </c>
      <c r="N1204" s="135" t="str">
        <v>No</v>
      </c>
      <c r="O1204" s="120" t="str">
        <v>Yes</v>
      </c>
      <c r="P1204" s="102" t="str">
        <v>N</v>
      </c>
      <c r="Q1204" s="123">
        <v>46058</v>
      </c>
      <c r="R1204" s="141">
        <v>0</v>
      </c>
      <c r="S1204" s="98">
        <v>0</v>
      </c>
      <c r="T1204" s="98">
        <v>0</v>
      </c>
      <c r="U1204" s="143">
        <v>0</v>
      </c>
      <c r="V1204" s="126" t="str">
        <f t="shared" si="36"/>
        <v>✅ On Best Plan</v>
      </c>
      <c r="W1204" s="130">
        <f>IFERROR(_xlfn.XLOOKUP(TEXT(H1204,"0000000000"),'📞 Call Tracker'!A$2:A$2000,'📞 Call Tracker'!B$2:B$2000,""),"")</f>
        <v>0</v>
      </c>
      <c r="X1204" s="96">
        <f>IFERROR(_xlfn.XLOOKUP(TEXT(H1204,"0000000000"),'📞 Call Tracker'!A$2:A$2000,'📞 Call Tracker'!C$2:C$2000,""),"")</f>
        <v>0</v>
      </c>
      <c r="Y1204" s="95">
        <f>IFERROR(_xlfn.XLOOKUP(TEXT(H1204,"0000000000"),'📞 Call Tracker'!A$2:A$2000,'📞 Call Tracker'!D$2:D$2000,""),"")</f>
        <v>0</v>
      </c>
      <c r="Z1204" s="95">
        <f>IFERROR(_xlfn.XLOOKUP(TEXT(H1204,"0000000000"),'📞 Call Tracker'!A$2:A$2000,'📞 Call Tracker'!E$2:E$2000,""),"")</f>
        <v>0</v>
      </c>
      <c r="AA1204" s="145">
        <f>IFERROR(_xlfn.XLOOKUP(TEXT(H1204,"0000000000"),'📞 Call Tracker'!A$2:A$2000,'📞 Call Tracker'!F$2:F$2000,""),"")</f>
        <v>0</v>
      </c>
      <c r="AB1204" s="132">
        <f t="shared" si="37"/>
        <v>99</v>
      </c>
      <c r="AC1204" s="79"/>
    </row>
    <row r="1205" spans="1:29" ht="20.100000000000001" customHeight="1">
      <c r="A1205" s="97">
        <v>46055</v>
      </c>
      <c r="B1205" s="98" t="str">
        <v>Vega</v>
      </c>
      <c r="C1205" s="98" t="str">
        <v>Daniel</v>
      </c>
      <c r="D1205" s="98" t="str">
        <v>Phoenix</v>
      </c>
      <c r="E1205" s="99">
        <v>85009</v>
      </c>
      <c r="F1205" s="138" t="str">
        <v xml:space="preserve">My fiance and I are raising two kids as a middle-class household, but with these increasing costs, it doesn't even feel like we are middle class anymore. </v>
      </c>
      <c r="G1205" s="100" t="str">
        <v>https://docket.images.azcc.gov/E000049100.pdf</v>
      </c>
      <c r="H1205" s="151" t="s">
        <v>4456</v>
      </c>
      <c r="I1205" s="115" t="str">
        <v>R-XS</v>
      </c>
      <c r="J1205" s="110" t="str">
        <v>Yes</v>
      </c>
      <c r="K1205" s="101" t="str">
        <v>No</v>
      </c>
      <c r="L1205" s="138" t="str">
        <v>Yes</v>
      </c>
      <c r="M1205" s="101" t="str">
        <v>No</v>
      </c>
      <c r="N1205" s="135" t="str">
        <v>No</v>
      </c>
      <c r="O1205" s="120" t="str">
        <v>Yes</v>
      </c>
      <c r="P1205" s="102" t="str">
        <v>N</v>
      </c>
      <c r="Q1205" s="123">
        <v>46058</v>
      </c>
      <c r="R1205" s="141">
        <v>0</v>
      </c>
      <c r="S1205" s="98">
        <v>0</v>
      </c>
      <c r="T1205" s="98">
        <v>0</v>
      </c>
      <c r="U1205" s="143">
        <v>0</v>
      </c>
      <c r="V1205" s="126" t="str">
        <f t="shared" si="36"/>
        <v>✅ On Best Plan</v>
      </c>
      <c r="W1205" s="130">
        <f>IFERROR(_xlfn.XLOOKUP(TEXT(H1205,"0000000000"),'📞 Call Tracker'!A$2:A$2000,'📞 Call Tracker'!B$2:B$2000,""),"")</f>
        <v>0</v>
      </c>
      <c r="X1205" s="96">
        <f>IFERROR(_xlfn.XLOOKUP(TEXT(H1205,"0000000000"),'📞 Call Tracker'!A$2:A$2000,'📞 Call Tracker'!C$2:C$2000,""),"")</f>
        <v>0</v>
      </c>
      <c r="Y1205" s="95">
        <f>IFERROR(_xlfn.XLOOKUP(TEXT(H1205,"0000000000"),'📞 Call Tracker'!A$2:A$2000,'📞 Call Tracker'!D$2:D$2000,""),"")</f>
        <v>0</v>
      </c>
      <c r="Z1205" s="95">
        <f>IFERROR(_xlfn.XLOOKUP(TEXT(H1205,"0000000000"),'📞 Call Tracker'!A$2:A$2000,'📞 Call Tracker'!E$2:E$2000,""),"")</f>
        <v>0</v>
      </c>
      <c r="AA1205" s="145">
        <f>IFERROR(_xlfn.XLOOKUP(TEXT(H1205,"0000000000"),'📞 Call Tracker'!A$2:A$2000,'📞 Call Tracker'!F$2:F$2000,""),"")</f>
        <v>0</v>
      </c>
      <c r="AB1205" s="132">
        <f t="shared" si="37"/>
        <v>99</v>
      </c>
      <c r="AC1205" s="79"/>
    </row>
    <row r="1206" spans="1:29" ht="20.100000000000001" customHeight="1">
      <c r="A1206" s="97">
        <v>46055</v>
      </c>
      <c r="B1206" s="98" t="str">
        <v>Crozier</v>
      </c>
      <c r="C1206" s="98" t="str">
        <v>Virginia</v>
      </c>
      <c r="D1206" s="98" t="str">
        <v>Chino Valley</v>
      </c>
      <c r="E1206" s="99">
        <v>86323</v>
      </c>
      <c r="F1206" s="138" t="str">
        <v xml:space="preserve">We are living paycheck to paycheck, but it's just over the limit for help with our utilities. We live in a small trailer in a RV park. </v>
      </c>
      <c r="G1206" s="100" t="str">
        <v>https://docket.images.azcc.gov/E000049100.pdf</v>
      </c>
      <c r="H1206" s="151" t="s">
        <v>4459</v>
      </c>
      <c r="I1206" s="115" t="str">
        <v>R-XS</v>
      </c>
      <c r="J1206" s="110" t="str">
        <v>No</v>
      </c>
      <c r="K1206" s="101" t="str">
        <v>No</v>
      </c>
      <c r="L1206" s="138" t="str">
        <v>Yes</v>
      </c>
      <c r="M1206" s="101" t="str">
        <v>No</v>
      </c>
      <c r="N1206" s="135" t="str">
        <v>No</v>
      </c>
      <c r="O1206" s="120" t="str">
        <v>Yes</v>
      </c>
      <c r="P1206" s="102" t="str">
        <v>N</v>
      </c>
      <c r="Q1206" s="123">
        <v>46058</v>
      </c>
      <c r="R1206" s="141">
        <v>0</v>
      </c>
      <c r="S1206" s="98">
        <v>0</v>
      </c>
      <c r="T1206" s="98">
        <v>0</v>
      </c>
      <c r="U1206" s="143">
        <v>0</v>
      </c>
      <c r="V1206" s="126" t="str">
        <f t="shared" si="36"/>
        <v>✅ On Best Plan</v>
      </c>
      <c r="W1206" s="130">
        <f>IFERROR(_xlfn.XLOOKUP(TEXT(H1206,"0000000000"),'📞 Call Tracker'!A$2:A$2000,'📞 Call Tracker'!B$2:B$2000,""),"")</f>
        <v>0</v>
      </c>
      <c r="X1206" s="96">
        <f>IFERROR(_xlfn.XLOOKUP(TEXT(H1206,"0000000000"),'📞 Call Tracker'!A$2:A$2000,'📞 Call Tracker'!C$2:C$2000,""),"")</f>
        <v>0</v>
      </c>
      <c r="Y1206" s="95">
        <f>IFERROR(_xlfn.XLOOKUP(TEXT(H1206,"0000000000"),'📞 Call Tracker'!A$2:A$2000,'📞 Call Tracker'!D$2:D$2000,""),"")</f>
        <v>0</v>
      </c>
      <c r="Z1206" s="95">
        <f>IFERROR(_xlfn.XLOOKUP(TEXT(H1206,"0000000000"),'📞 Call Tracker'!A$2:A$2000,'📞 Call Tracker'!E$2:E$2000,""),"")</f>
        <v>0</v>
      </c>
      <c r="AA1206" s="145">
        <f>IFERROR(_xlfn.XLOOKUP(TEXT(H1206,"0000000000"),'📞 Call Tracker'!A$2:A$2000,'📞 Call Tracker'!F$2:F$2000,""),"")</f>
        <v>0</v>
      </c>
      <c r="AB1206" s="132">
        <f t="shared" si="37"/>
        <v>99</v>
      </c>
      <c r="AC1206" s="79"/>
    </row>
    <row r="1207" spans="1:29" ht="20.100000000000001" customHeight="1">
      <c r="A1207" s="97">
        <v>46055</v>
      </c>
      <c r="B1207" s="98" t="str">
        <v>Kolodinsky</v>
      </c>
      <c r="C1207" s="98" t="str">
        <v>Jennifer</v>
      </c>
      <c r="D1207" s="98" t="str">
        <v>Flagstaff</v>
      </c>
      <c r="E1207" s="99">
        <v>86001</v>
      </c>
      <c r="F1207" s="138" t="str">
        <v>seeking to skirt the historical process of public comment and rate making procedure. Particularly in light of the fact that APS has not followed through with prior commitment to clean energy</v>
      </c>
      <c r="G1207" s="100" t="str">
        <v>https://docket.images.azcc.gov/E000049100.pdf</v>
      </c>
      <c r="H1207" s="151" t="s">
        <v>4462</v>
      </c>
      <c r="I1207" s="115" t="str">
        <v>R-XS</v>
      </c>
      <c r="J1207" s="110" t="str">
        <v>No</v>
      </c>
      <c r="K1207" s="101" t="str">
        <v>No</v>
      </c>
      <c r="L1207" s="138" t="str">
        <v>Yes</v>
      </c>
      <c r="M1207" s="101" t="str">
        <v>No</v>
      </c>
      <c r="N1207" s="135" t="str">
        <v>No</v>
      </c>
      <c r="O1207" s="120" t="str">
        <v>Yes</v>
      </c>
      <c r="P1207" s="102" t="str">
        <v>N</v>
      </c>
      <c r="Q1207" s="123">
        <v>46058</v>
      </c>
      <c r="R1207" s="141">
        <v>0</v>
      </c>
      <c r="S1207" s="98">
        <v>0</v>
      </c>
      <c r="T1207" s="98">
        <v>0</v>
      </c>
      <c r="U1207" s="143">
        <v>0</v>
      </c>
      <c r="V1207" s="126" t="str">
        <f t="shared" si="36"/>
        <v>✅ On Best Plan</v>
      </c>
      <c r="W1207" s="130">
        <f>IFERROR(_xlfn.XLOOKUP(TEXT(H1207,"0000000000"),'📞 Call Tracker'!A$2:A$2000,'📞 Call Tracker'!B$2:B$2000,""),"")</f>
        <v>0</v>
      </c>
      <c r="X1207" s="96">
        <f>IFERROR(_xlfn.XLOOKUP(TEXT(H1207,"0000000000"),'📞 Call Tracker'!A$2:A$2000,'📞 Call Tracker'!C$2:C$2000,""),"")</f>
        <v>0</v>
      </c>
      <c r="Y1207" s="95">
        <f>IFERROR(_xlfn.XLOOKUP(TEXT(H1207,"0000000000"),'📞 Call Tracker'!A$2:A$2000,'📞 Call Tracker'!D$2:D$2000,""),"")</f>
        <v>0</v>
      </c>
      <c r="Z1207" s="95">
        <f>IFERROR(_xlfn.XLOOKUP(TEXT(H1207,"0000000000"),'📞 Call Tracker'!A$2:A$2000,'📞 Call Tracker'!E$2:E$2000,""),"")</f>
        <v>0</v>
      </c>
      <c r="AA1207" s="145">
        <f>IFERROR(_xlfn.XLOOKUP(TEXT(H1207,"0000000000"),'📞 Call Tracker'!A$2:A$2000,'📞 Call Tracker'!F$2:F$2000,""),"")</f>
        <v>0</v>
      </c>
      <c r="AB1207" s="132">
        <f t="shared" si="37"/>
        <v>99</v>
      </c>
      <c r="AC1207" s="79"/>
    </row>
    <row r="1208" spans="1:29" ht="20.100000000000001" customHeight="1">
      <c r="A1208" s="97">
        <v>46055</v>
      </c>
      <c r="B1208" s="98" t="str">
        <v>Alsbrook</v>
      </c>
      <c r="C1208" s="98" t="str">
        <v>Darlene</v>
      </c>
      <c r="D1208" s="98" t="str">
        <v>Scottsdale</v>
      </c>
      <c r="E1208" s="99">
        <v>85258</v>
      </c>
      <c r="F1208" s="138" t="str">
        <v>The  mental &amp; emotional impact of rising costs in each of these areas is contributing to the decline in mental health and directly to the riots &amp; civil unrest</v>
      </c>
      <c r="G1208" s="100" t="str">
        <v>https://docket.images.azcc.gov/E000049100.pdf</v>
      </c>
      <c r="H1208" s="151" t="s">
        <v>4470</v>
      </c>
      <c r="I1208" s="115" t="str">
        <v>RTOUE47</v>
      </c>
      <c r="J1208" s="110" t="str">
        <v>No</v>
      </c>
      <c r="K1208" s="101" t="str">
        <v>No</v>
      </c>
      <c r="L1208" s="138" t="str">
        <v>Yes</v>
      </c>
      <c r="M1208" s="101" t="str">
        <v>No</v>
      </c>
      <c r="N1208" s="135" t="str">
        <v>No</v>
      </c>
      <c r="O1208" s="120" t="str">
        <v>Yes</v>
      </c>
      <c r="P1208" s="102" t="str">
        <v>N</v>
      </c>
      <c r="Q1208" s="123">
        <v>46058</v>
      </c>
      <c r="R1208" s="141">
        <v>0</v>
      </c>
      <c r="S1208" s="98">
        <v>0</v>
      </c>
      <c r="T1208" s="98">
        <v>0</v>
      </c>
      <c r="U1208" s="143">
        <v>0</v>
      </c>
      <c r="V1208" s="126" t="str">
        <f t="shared" si="36"/>
        <v>✅ On Best Plan</v>
      </c>
      <c r="W1208" s="130">
        <f>IFERROR(_xlfn.XLOOKUP(TEXT(H1208,"0000000000"),'📞 Call Tracker'!A$2:A$2000,'📞 Call Tracker'!B$2:B$2000,""),"")</f>
        <v>0</v>
      </c>
      <c r="X1208" s="96">
        <f>IFERROR(_xlfn.XLOOKUP(TEXT(H1208,"0000000000"),'📞 Call Tracker'!A$2:A$2000,'📞 Call Tracker'!C$2:C$2000,""),"")</f>
        <v>0</v>
      </c>
      <c r="Y1208" s="95">
        <f>IFERROR(_xlfn.XLOOKUP(TEXT(H1208,"0000000000"),'📞 Call Tracker'!A$2:A$2000,'📞 Call Tracker'!D$2:D$2000,""),"")</f>
        <v>0</v>
      </c>
      <c r="Z1208" s="95">
        <f>IFERROR(_xlfn.XLOOKUP(TEXT(H1208,"0000000000"),'📞 Call Tracker'!A$2:A$2000,'📞 Call Tracker'!E$2:E$2000,""),"")</f>
        <v>0</v>
      </c>
      <c r="AA1208" s="145">
        <f>IFERROR(_xlfn.XLOOKUP(TEXT(H1208,"0000000000"),'📞 Call Tracker'!A$2:A$2000,'📞 Call Tracker'!F$2:F$2000,""),"")</f>
        <v>0</v>
      </c>
      <c r="AB1208" s="132">
        <f t="shared" si="37"/>
        <v>99</v>
      </c>
      <c r="AC1208" s="79"/>
    </row>
    <row r="1209" spans="1:29" ht="20.100000000000001" customHeight="1">
      <c r="A1209" s="97">
        <v>46055</v>
      </c>
      <c r="B1209" s="98" t="str">
        <v>Tolmachoff</v>
      </c>
      <c r="C1209" s="98" t="str">
        <v>Hollie</v>
      </c>
      <c r="D1209" s="98" t="str">
        <v>Waddell</v>
      </c>
      <c r="E1209" s="99">
        <v>85355</v>
      </c>
      <c r="F1209" s="138" t="str">
        <v>As a mom helping to support a family of six, our electricity costs are already overwhelming</v>
      </c>
      <c r="G1209" s="100" t="str">
        <v>https://docket.images.azcc.gov/E000049142.pdf</v>
      </c>
      <c r="H1209" s="151" t="s">
        <v>4476</v>
      </c>
      <c r="I1209" s="115" t="str">
        <v>R3-47</v>
      </c>
      <c r="J1209" s="110" t="str">
        <v>No</v>
      </c>
      <c r="K1209" s="101" t="str">
        <v>No</v>
      </c>
      <c r="L1209" s="138" t="str">
        <v>Yes</v>
      </c>
      <c r="M1209" s="101" t="str">
        <v>No</v>
      </c>
      <c r="N1209" s="135" t="str">
        <v>No</v>
      </c>
      <c r="O1209" s="120" t="str">
        <v>Yes</v>
      </c>
      <c r="P1209" s="102" t="str">
        <v>N</v>
      </c>
      <c r="Q1209" s="123">
        <v>46058</v>
      </c>
      <c r="R1209" s="141">
        <v>0</v>
      </c>
      <c r="S1209" s="98">
        <v>0</v>
      </c>
      <c r="T1209" s="98">
        <v>0</v>
      </c>
      <c r="U1209" s="143">
        <v>0</v>
      </c>
      <c r="V1209" s="126" t="str">
        <f t="shared" si="36"/>
        <v>✅ On Best Plan</v>
      </c>
      <c r="W1209" s="130">
        <f>IFERROR(_xlfn.XLOOKUP(TEXT(H1209,"0000000000"),'📞 Call Tracker'!A$2:A$2000,'📞 Call Tracker'!B$2:B$2000,""),"")</f>
        <v>0</v>
      </c>
      <c r="X1209" s="96">
        <f>IFERROR(_xlfn.XLOOKUP(TEXT(H1209,"0000000000"),'📞 Call Tracker'!A$2:A$2000,'📞 Call Tracker'!C$2:C$2000,""),"")</f>
        <v>0</v>
      </c>
      <c r="Y1209" s="95">
        <f>IFERROR(_xlfn.XLOOKUP(TEXT(H1209,"0000000000"),'📞 Call Tracker'!A$2:A$2000,'📞 Call Tracker'!D$2:D$2000,""),"")</f>
        <v>0</v>
      </c>
      <c r="Z1209" s="95">
        <f>IFERROR(_xlfn.XLOOKUP(TEXT(H1209,"0000000000"),'📞 Call Tracker'!A$2:A$2000,'📞 Call Tracker'!E$2:E$2000,""),"")</f>
        <v>0</v>
      </c>
      <c r="AA1209" s="145">
        <f>IFERROR(_xlfn.XLOOKUP(TEXT(H1209,"0000000000"),'📞 Call Tracker'!A$2:A$2000,'📞 Call Tracker'!F$2:F$2000,""),"")</f>
        <v>0</v>
      </c>
      <c r="AB1209" s="132">
        <f t="shared" si="37"/>
        <v>99</v>
      </c>
      <c r="AC1209" s="79"/>
    </row>
    <row r="1210" spans="1:29" ht="20.100000000000001" customHeight="1">
      <c r="A1210" s="97">
        <v>46055</v>
      </c>
      <c r="B1210" s="98" t="str">
        <v>Gorski</v>
      </c>
      <c r="C1210" s="98" t="str">
        <v>Keith</v>
      </c>
      <c r="D1210" s="98" t="str">
        <v>Arizona City</v>
      </c>
      <c r="E1210" s="99">
        <v>85123</v>
      </c>
      <c r="F1210" s="138" t="str">
        <v>Rates continue rising every year without any protection for consumers. We need help lowering rates.</v>
      </c>
      <c r="G1210" s="100" t="str">
        <v>https://docket.images.azcc.gov/E000049142.pdf</v>
      </c>
      <c r="H1210" s="151" t="s">
        <v>4479</v>
      </c>
      <c r="I1210" s="115" t="str">
        <v>R-BASICL</v>
      </c>
      <c r="J1210" s="110" t="str">
        <v>No</v>
      </c>
      <c r="K1210" s="101" t="str">
        <v>No</v>
      </c>
      <c r="L1210" s="138" t="str">
        <v>No MEP R3-47 ($106.33)</v>
      </c>
      <c r="M1210" s="101" t="str">
        <v>No</v>
      </c>
      <c r="N1210" s="135" t="str">
        <v>No</v>
      </c>
      <c r="O1210" s="120" t="str">
        <v>Yes</v>
      </c>
      <c r="P1210" s="102">
        <v>0</v>
      </c>
      <c r="Q1210" s="123">
        <v>46058</v>
      </c>
      <c r="R1210" s="141" t="str">
        <v>Please contact customer regarding plan options</v>
      </c>
      <c r="S1210" s="98">
        <v>0</v>
      </c>
      <c r="T1210" s="98">
        <v>0</v>
      </c>
      <c r="U1210" s="143">
        <v>0</v>
      </c>
      <c r="V1210" s="126" t="str">
        <f t="shared" si="36"/>
        <v>❌ Not on Best Plan</v>
      </c>
      <c r="W1210" s="130">
        <f>IFERROR(_xlfn.XLOOKUP(TEXT(H1210,"0000000000"),'📞 Call Tracker'!A$2:A$2000,'📞 Call Tracker'!B$2:B$2000,""),"")</f>
        <v>0</v>
      </c>
      <c r="X1210" s="96">
        <f>IFERROR(_xlfn.XLOOKUP(TEXT(H1210,"0000000000"),'📞 Call Tracker'!A$2:A$2000,'📞 Call Tracker'!C$2:C$2000,""),"")</f>
        <v>0</v>
      </c>
      <c r="Y1210" s="95">
        <f>IFERROR(_xlfn.XLOOKUP(TEXT(H1210,"0000000000"),'📞 Call Tracker'!A$2:A$2000,'📞 Call Tracker'!D$2:D$2000,""),"")</f>
        <v>0</v>
      </c>
      <c r="Z1210" s="95">
        <f>IFERROR(_xlfn.XLOOKUP(TEXT(H1210,"0000000000"),'📞 Call Tracker'!A$2:A$2000,'📞 Call Tracker'!E$2:E$2000,""),"")</f>
        <v>0</v>
      </c>
      <c r="AA1210" s="145">
        <f>IFERROR(_xlfn.XLOOKUP(TEXT(H1210,"0000000000"),'📞 Call Tracker'!A$2:A$2000,'📞 Call Tracker'!F$2:F$2000,""),"")</f>
        <v>0</v>
      </c>
      <c r="AB1210" s="132">
        <f t="shared" si="37"/>
        <v>99</v>
      </c>
      <c r="AC1210" s="79"/>
    </row>
    <row r="1211" spans="1:29" ht="20.100000000000001" customHeight="1">
      <c r="A1211" s="97">
        <v>46055</v>
      </c>
      <c r="B1211" s="98" t="str">
        <v>Ulreich-Power</v>
      </c>
      <c r="C1211" s="98" t="str">
        <v>Siobhan</v>
      </c>
      <c r="D1211" s="98" t="str">
        <v>Scottsdale</v>
      </c>
      <c r="E1211" s="99">
        <v>85258</v>
      </c>
      <c r="F1211" s="138" t="str">
        <v>Do NOT pass the bill to increase our costs. Encourage solar power - Arizona should be a leader in solar, not dragging our feet!</v>
      </c>
      <c r="G1211" s="100" t="str">
        <v>https://docket.images.azcc.gov/E000049142.pdf</v>
      </c>
      <c r="H1211" s="151" t="s">
        <v>4485</v>
      </c>
      <c r="I1211" s="115" t="str">
        <v>RCPw/R3-47</v>
      </c>
      <c r="J1211" s="110" t="str">
        <v>No</v>
      </c>
      <c r="K1211" s="101" t="str">
        <v>No</v>
      </c>
      <c r="L1211" s="138" t="str">
        <v>Yes</v>
      </c>
      <c r="M1211" s="101" t="str">
        <v>No</v>
      </c>
      <c r="N1211" s="135" t="str">
        <v>No</v>
      </c>
      <c r="O1211" s="120" t="str">
        <v>Yes</v>
      </c>
      <c r="P1211" s="102" t="str">
        <v>N</v>
      </c>
      <c r="Q1211" s="123">
        <v>46058</v>
      </c>
      <c r="R1211" s="141">
        <v>0</v>
      </c>
      <c r="S1211" s="98">
        <v>0</v>
      </c>
      <c r="T1211" s="98">
        <v>0</v>
      </c>
      <c r="U1211" s="143">
        <v>0</v>
      </c>
      <c r="V1211" s="126" t="str">
        <f t="shared" si="36"/>
        <v>✅ On Best Plan</v>
      </c>
      <c r="W1211" s="130">
        <f>IFERROR(_xlfn.XLOOKUP(TEXT(H1211,"0000000000"),'📞 Call Tracker'!A$2:A$2000,'📞 Call Tracker'!B$2:B$2000,""),"")</f>
        <v>0</v>
      </c>
      <c r="X1211" s="96">
        <f>IFERROR(_xlfn.XLOOKUP(TEXT(H1211,"0000000000"),'📞 Call Tracker'!A$2:A$2000,'📞 Call Tracker'!C$2:C$2000,""),"")</f>
        <v>0</v>
      </c>
      <c r="Y1211" s="95">
        <f>IFERROR(_xlfn.XLOOKUP(TEXT(H1211,"0000000000"),'📞 Call Tracker'!A$2:A$2000,'📞 Call Tracker'!D$2:D$2000,""),"")</f>
        <v>0</v>
      </c>
      <c r="Z1211" s="95">
        <f>IFERROR(_xlfn.XLOOKUP(TEXT(H1211,"0000000000"),'📞 Call Tracker'!A$2:A$2000,'📞 Call Tracker'!E$2:E$2000,""),"")</f>
        <v>0</v>
      </c>
      <c r="AA1211" s="145">
        <f>IFERROR(_xlfn.XLOOKUP(TEXT(H1211,"0000000000"),'📞 Call Tracker'!A$2:A$2000,'📞 Call Tracker'!F$2:F$2000,""),"")</f>
        <v>0</v>
      </c>
      <c r="AB1211" s="132">
        <f t="shared" si="37"/>
        <v>99</v>
      </c>
      <c r="AC1211" s="79"/>
    </row>
    <row r="1212" spans="1:29" ht="20.100000000000001" customHeight="1">
      <c r="A1212" s="97">
        <v>46056</v>
      </c>
      <c r="B1212" s="98" t="str">
        <v>Stittleburg</v>
      </c>
      <c r="C1212" s="98" t="str">
        <v>Jan</v>
      </c>
      <c r="D1212" s="98" t="str">
        <v>Sun City West</v>
      </c>
      <c r="E1212" s="99">
        <v>85375</v>
      </c>
      <c r="F1212" s="138" t="str">
        <v>we just can not afford all these increases. Especially not when we see the savings being passed on to the large customers in terms of lower rates.</v>
      </c>
      <c r="G1212" s="100" t="str">
        <v>https://docket.images.azcc.gov/E000049176.pdf</v>
      </c>
      <c r="H1212" s="151" t="s">
        <v>4489</v>
      </c>
      <c r="I1212" s="115" t="str">
        <v>RCPw/RTOUE47</v>
      </c>
      <c r="J1212" s="110" t="str">
        <v>No</v>
      </c>
      <c r="K1212" s="101" t="str">
        <v>No</v>
      </c>
      <c r="L1212" s="138" t="str">
        <v>Yes</v>
      </c>
      <c r="M1212" s="101" t="str">
        <v>No</v>
      </c>
      <c r="N1212" s="135" t="str">
        <v>No</v>
      </c>
      <c r="O1212" s="120" t="str">
        <v>Yes</v>
      </c>
      <c r="P1212" s="102" t="str">
        <v>N</v>
      </c>
      <c r="Q1212" s="123">
        <v>46062</v>
      </c>
      <c r="R1212" s="141">
        <v>0</v>
      </c>
      <c r="S1212" s="98">
        <v>0</v>
      </c>
      <c r="T1212" s="98">
        <v>0</v>
      </c>
      <c r="U1212" s="143">
        <v>0</v>
      </c>
      <c r="V1212" s="126" t="str">
        <f t="shared" si="36"/>
        <v>✅ On Best Plan</v>
      </c>
      <c r="W1212" s="130">
        <f>IFERROR(_xlfn.XLOOKUP(TEXT(H1212,"0000000000"),'📞 Call Tracker'!A$2:A$2000,'📞 Call Tracker'!B$2:B$2000,""),"")</f>
        <v>0</v>
      </c>
      <c r="X1212" s="96">
        <f>IFERROR(_xlfn.XLOOKUP(TEXT(H1212,"0000000000"),'📞 Call Tracker'!A$2:A$2000,'📞 Call Tracker'!C$2:C$2000,""),"")</f>
        <v>0</v>
      </c>
      <c r="Y1212" s="95">
        <f>IFERROR(_xlfn.XLOOKUP(TEXT(H1212,"0000000000"),'📞 Call Tracker'!A$2:A$2000,'📞 Call Tracker'!D$2:D$2000,""),"")</f>
        <v>0</v>
      </c>
      <c r="Z1212" s="95">
        <f>IFERROR(_xlfn.XLOOKUP(TEXT(H1212,"0000000000"),'📞 Call Tracker'!A$2:A$2000,'📞 Call Tracker'!E$2:E$2000,""),"")</f>
        <v>0</v>
      </c>
      <c r="AA1212" s="145">
        <f>IFERROR(_xlfn.XLOOKUP(TEXT(H1212,"0000000000"),'📞 Call Tracker'!A$2:A$2000,'📞 Call Tracker'!F$2:F$2000,""),"")</f>
        <v>0</v>
      </c>
      <c r="AB1212" s="132">
        <f t="shared" si="37"/>
        <v>99</v>
      </c>
      <c r="AC1212" s="79"/>
    </row>
    <row r="1213" spans="1:29" ht="20.100000000000001" customHeight="1">
      <c r="A1213" s="97">
        <v>46056</v>
      </c>
      <c r="B1213" s="98" t="str">
        <v>Larson</v>
      </c>
      <c r="C1213" s="98" t="str">
        <v>Antoinette</v>
      </c>
      <c r="D1213" s="98" t="str">
        <v>Phoenix</v>
      </c>
      <c r="E1213" s="99">
        <v>85029</v>
      </c>
      <c r="F1213" s="138" t="str">
        <v>As someone who works n education, I am often home during the summer months and the ever rising costs for utilities sting quite a</v>
      </c>
      <c r="G1213" s="100" t="str">
        <v>https://docket.images.azcc.gov/E000049176.pdf</v>
      </c>
      <c r="H1213" s="151" t="s">
        <v>4492</v>
      </c>
      <c r="I1213" s="115" t="str">
        <v>R3-47</v>
      </c>
      <c r="J1213" s="110" t="str">
        <v>No</v>
      </c>
      <c r="K1213" s="101" t="str">
        <v>No</v>
      </c>
      <c r="L1213" s="138" t="str">
        <v>Yes</v>
      </c>
      <c r="M1213" s="101" t="str">
        <v>Yes</v>
      </c>
      <c r="N1213" s="135">
        <v>450.33</v>
      </c>
      <c r="O1213" s="120" t="str">
        <v>Yes</v>
      </c>
      <c r="P1213" s="102">
        <v>0</v>
      </c>
      <c r="Q1213" s="123">
        <v>44966</v>
      </c>
      <c r="R1213" s="141" t="str">
        <v>May need information for additional assistance programs?</v>
      </c>
      <c r="S1213" s="98">
        <v>0</v>
      </c>
      <c r="T1213" s="98">
        <v>0</v>
      </c>
      <c r="U1213" s="143">
        <v>0</v>
      </c>
      <c r="V1213" s="126" t="str">
        <f t="shared" si="36"/>
        <v>✅ On Best Plan</v>
      </c>
      <c r="W1213" s="130">
        <f>IFERROR(_xlfn.XLOOKUP(TEXT(H1213,"0000000000"),'📞 Call Tracker'!A$2:A$2000,'📞 Call Tracker'!B$2:B$2000,""),"")</f>
        <v>0</v>
      </c>
      <c r="X1213" s="96">
        <f>IFERROR(_xlfn.XLOOKUP(TEXT(H1213,"0000000000"),'📞 Call Tracker'!A$2:A$2000,'📞 Call Tracker'!C$2:C$2000,""),"")</f>
        <v>0</v>
      </c>
      <c r="Y1213" s="95">
        <f>IFERROR(_xlfn.XLOOKUP(TEXT(H1213,"0000000000"),'📞 Call Tracker'!A$2:A$2000,'📞 Call Tracker'!D$2:D$2000,""),"")</f>
        <v>0</v>
      </c>
      <c r="Z1213" s="95">
        <f>IFERROR(_xlfn.XLOOKUP(TEXT(H1213,"0000000000"),'📞 Call Tracker'!A$2:A$2000,'📞 Call Tracker'!E$2:E$2000,""),"")</f>
        <v>0</v>
      </c>
      <c r="AA1213" s="145">
        <f>IFERROR(_xlfn.XLOOKUP(TEXT(H1213,"0000000000"),'📞 Call Tracker'!A$2:A$2000,'📞 Call Tracker'!F$2:F$2000,""),"")</f>
        <v>0</v>
      </c>
      <c r="AB1213" s="132">
        <f t="shared" si="37"/>
        <v>99</v>
      </c>
      <c r="AC1213" s="79"/>
    </row>
    <row r="1214" spans="1:29" ht="20.100000000000001" customHeight="1">
      <c r="A1214" s="97">
        <v>46056</v>
      </c>
      <c r="B1214" s="98" t="str">
        <v>Thayer</v>
      </c>
      <c r="C1214" s="98" t="str">
        <v>Brad</v>
      </c>
      <c r="D1214" s="98" t="str">
        <v>Buckeye</v>
      </c>
      <c r="E1214" s="99">
        <v>85396</v>
      </c>
      <c r="F1214" s="138" t="str">
        <v>No on APS rate increase until they stop all advertising at the Phoenix Suns! Do they have a suite there? No to data centers</v>
      </c>
      <c r="G1214" s="100" t="str">
        <v>https://docket.images.azcc.gov/E000049176.pdf</v>
      </c>
      <c r="H1214" s="151" t="s">
        <v>4499</v>
      </c>
      <c r="I1214" s="115" t="str">
        <v>R-BASIC</v>
      </c>
      <c r="J1214" s="110" t="str">
        <v>No</v>
      </c>
      <c r="K1214" s="101" t="str">
        <v>No</v>
      </c>
      <c r="L1214" s="138" t="str">
        <v>Yes</v>
      </c>
      <c r="M1214" s="101" t="str">
        <v>No</v>
      </c>
      <c r="N1214" s="135" t="str">
        <v>No</v>
      </c>
      <c r="O1214" s="120" t="str">
        <v>Yes</v>
      </c>
      <c r="P1214" s="102" t="str">
        <v>N</v>
      </c>
      <c r="Q1214" s="123">
        <v>46062</v>
      </c>
      <c r="R1214" s="141">
        <v>0</v>
      </c>
      <c r="S1214" s="98">
        <v>0</v>
      </c>
      <c r="T1214" s="98">
        <v>0</v>
      </c>
      <c r="U1214" s="143">
        <v>0</v>
      </c>
      <c r="V1214" s="126" t="str">
        <f t="shared" si="36"/>
        <v>✅ On Best Plan</v>
      </c>
      <c r="W1214" s="130">
        <f>IFERROR(_xlfn.XLOOKUP(TEXT(H1214,"0000000000"),'📞 Call Tracker'!A$2:A$2000,'📞 Call Tracker'!B$2:B$2000,""),"")</f>
        <v>0</v>
      </c>
      <c r="X1214" s="96">
        <f>IFERROR(_xlfn.XLOOKUP(TEXT(H1214,"0000000000"),'📞 Call Tracker'!A$2:A$2000,'📞 Call Tracker'!C$2:C$2000,""),"")</f>
        <v>0</v>
      </c>
      <c r="Y1214" s="95">
        <f>IFERROR(_xlfn.XLOOKUP(TEXT(H1214,"0000000000"),'📞 Call Tracker'!A$2:A$2000,'📞 Call Tracker'!D$2:D$2000,""),"")</f>
        <v>0</v>
      </c>
      <c r="Z1214" s="95">
        <f>IFERROR(_xlfn.XLOOKUP(TEXT(H1214,"0000000000"),'📞 Call Tracker'!A$2:A$2000,'📞 Call Tracker'!E$2:E$2000,""),"")</f>
        <v>0</v>
      </c>
      <c r="AA1214" s="145">
        <f>IFERROR(_xlfn.XLOOKUP(TEXT(H1214,"0000000000"),'📞 Call Tracker'!A$2:A$2000,'📞 Call Tracker'!F$2:F$2000,""),"")</f>
        <v>0</v>
      </c>
      <c r="AB1214" s="132">
        <f t="shared" si="37"/>
        <v>99</v>
      </c>
      <c r="AC1214" s="79"/>
    </row>
    <row r="1215" spans="1:29" ht="20.100000000000001" customHeight="1">
      <c r="A1215" s="97">
        <v>46058</v>
      </c>
      <c r="B1215" s="98" t="str">
        <v>Wederski</v>
      </c>
      <c r="C1215" s="98" t="str">
        <v>Lonnie and Billie</v>
      </c>
      <c r="D1215" s="98" t="str">
        <v>Prescott</v>
      </c>
      <c r="E1215" s="99">
        <v>86305</v>
      </c>
      <c r="F1215" s="138" t="str">
        <v>I'm writing to request a no vot on the FRM which would allow APS free reign to raise rates</v>
      </c>
      <c r="G1215" s="100" t="str">
        <v>https://docket.images.azcc.gov/E000049260.pdf</v>
      </c>
      <c r="H1215" s="151" t="s">
        <v>4503</v>
      </c>
      <c r="I1215" s="115" t="str">
        <v>R3-47</v>
      </c>
      <c r="J1215" s="110" t="str">
        <v>No</v>
      </c>
      <c r="K1215" s="101" t="str">
        <v>No</v>
      </c>
      <c r="L1215" s="138" t="str">
        <v>Yes</v>
      </c>
      <c r="M1215" s="101" t="str">
        <v>No</v>
      </c>
      <c r="N1215" s="135" t="str">
        <v>No</v>
      </c>
      <c r="O1215" s="120" t="str">
        <v>Yes</v>
      </c>
      <c r="P1215" s="102" t="str">
        <v>N</v>
      </c>
      <c r="Q1215" s="123">
        <v>46062</v>
      </c>
      <c r="R1215" s="141">
        <v>0</v>
      </c>
      <c r="S1215" s="98">
        <v>0</v>
      </c>
      <c r="T1215" s="98">
        <v>0</v>
      </c>
      <c r="U1215" s="143">
        <v>0</v>
      </c>
      <c r="V1215" s="126" t="str">
        <f t="shared" si="36"/>
        <v>✅ On Best Plan</v>
      </c>
      <c r="W1215" s="130">
        <f>IFERROR(_xlfn.XLOOKUP(TEXT(H1215,"0000000000"),'📞 Call Tracker'!A$2:A$2000,'📞 Call Tracker'!B$2:B$2000,""),"")</f>
        <v>0</v>
      </c>
      <c r="X1215" s="96">
        <f>IFERROR(_xlfn.XLOOKUP(TEXT(H1215,"0000000000"),'📞 Call Tracker'!A$2:A$2000,'📞 Call Tracker'!C$2:C$2000,""),"")</f>
        <v>0</v>
      </c>
      <c r="Y1215" s="95">
        <f>IFERROR(_xlfn.XLOOKUP(TEXT(H1215,"0000000000"),'📞 Call Tracker'!A$2:A$2000,'📞 Call Tracker'!D$2:D$2000,""),"")</f>
        <v>0</v>
      </c>
      <c r="Z1215" s="95">
        <f>IFERROR(_xlfn.XLOOKUP(TEXT(H1215,"0000000000"),'📞 Call Tracker'!A$2:A$2000,'📞 Call Tracker'!E$2:E$2000,""),"")</f>
        <v>0</v>
      </c>
      <c r="AA1215" s="145">
        <f>IFERROR(_xlfn.XLOOKUP(TEXT(H1215,"0000000000"),'📞 Call Tracker'!A$2:A$2000,'📞 Call Tracker'!F$2:F$2000,""),"")</f>
        <v>0</v>
      </c>
      <c r="AB1215" s="132">
        <f t="shared" si="37"/>
        <v>99</v>
      </c>
      <c r="AC1215" s="79"/>
    </row>
    <row r="1216" spans="1:29" ht="20.100000000000001" customHeight="1">
      <c r="A1216" s="97">
        <v>46058</v>
      </c>
      <c r="B1216" s="98" t="str">
        <v>Valenzuela</v>
      </c>
      <c r="C1216" s="98" t="str">
        <v>Maura</v>
      </c>
      <c r="D1216" s="98" t="str">
        <v>Somerton</v>
      </c>
      <c r="E1216" s="99">
        <v>85350</v>
      </c>
      <c r="F1216" s="138" t="str">
        <v>*Spanish comments*</v>
      </c>
      <c r="G1216" s="100" t="str">
        <v>https://docket.images.azcc.gov/E000049260.pdf</v>
      </c>
      <c r="H1216" s="151" t="s">
        <v>4509</v>
      </c>
      <c r="I1216" s="115" t="str">
        <v>R-2</v>
      </c>
      <c r="J1216" s="110" t="str">
        <v>No</v>
      </c>
      <c r="K1216" s="101" t="str">
        <v>No</v>
      </c>
      <c r="L1216" s="138" t="str">
        <v>Frozen Plan</v>
      </c>
      <c r="M1216" s="101" t="str">
        <v>No</v>
      </c>
      <c r="N1216" s="135" t="str">
        <v>No</v>
      </c>
      <c r="O1216" s="120" t="str">
        <v>Yes</v>
      </c>
      <c r="P1216" s="102" t="str">
        <v>N</v>
      </c>
      <c r="Q1216" s="123">
        <v>46062</v>
      </c>
      <c r="R1216" s="141">
        <v>0</v>
      </c>
      <c r="S1216" s="98">
        <v>0</v>
      </c>
      <c r="T1216" s="98">
        <v>0</v>
      </c>
      <c r="U1216" s="143">
        <v>0</v>
      </c>
      <c r="V1216" s="126" t="str">
        <f t="shared" si="36"/>
        <v>❄ Frozen Rate</v>
      </c>
      <c r="W1216" s="130">
        <f>IFERROR(_xlfn.XLOOKUP(TEXT(H1216,"0000000000"),'📞 Call Tracker'!A$2:A$2000,'📞 Call Tracker'!B$2:B$2000,""),"")</f>
        <v>0</v>
      </c>
      <c r="X1216" s="96">
        <f>IFERROR(_xlfn.XLOOKUP(TEXT(H1216,"0000000000"),'📞 Call Tracker'!A$2:A$2000,'📞 Call Tracker'!C$2:C$2000,""),"")</f>
        <v>0</v>
      </c>
      <c r="Y1216" s="95">
        <f>IFERROR(_xlfn.XLOOKUP(TEXT(H1216,"0000000000"),'📞 Call Tracker'!A$2:A$2000,'📞 Call Tracker'!D$2:D$2000,""),"")</f>
        <v>0</v>
      </c>
      <c r="Z1216" s="95">
        <f>IFERROR(_xlfn.XLOOKUP(TEXT(H1216,"0000000000"),'📞 Call Tracker'!A$2:A$2000,'📞 Call Tracker'!E$2:E$2000,""),"")</f>
        <v>0</v>
      </c>
      <c r="AA1216" s="145">
        <f>IFERROR(_xlfn.XLOOKUP(TEXT(H1216,"0000000000"),'📞 Call Tracker'!A$2:A$2000,'📞 Call Tracker'!F$2:F$2000,""),"")</f>
        <v>0</v>
      </c>
      <c r="AB1216" s="132">
        <f t="shared" si="37"/>
        <v>99</v>
      </c>
      <c r="AC1216" s="79"/>
    </row>
    <row r="1217" spans="1:29" ht="20.100000000000001" customHeight="1">
      <c r="A1217" s="97">
        <v>46058</v>
      </c>
      <c r="B1217" s="98" t="str">
        <v>Morrison</v>
      </c>
      <c r="C1217" s="98" t="str">
        <v>Nancy</v>
      </c>
      <c r="D1217" s="98" t="str">
        <v>Goodyear</v>
      </c>
      <c r="E1217" s="99">
        <v>85338</v>
      </c>
      <c r="F1217" s="138" t="str">
        <v>As a military family with a son, we strongly oppose this rate increase. It is not fair that regular families are being charged more while big corp get discounts</v>
      </c>
      <c r="G1217" s="100" t="str">
        <v>https://docket.images.azcc.gov/E000049260.pdf</v>
      </c>
      <c r="H1217" s="151" t="s">
        <v>4512</v>
      </c>
      <c r="I1217" s="115" t="str">
        <v>RCPw/RTOUE47</v>
      </c>
      <c r="J1217" s="110" t="str">
        <v>No</v>
      </c>
      <c r="K1217" s="101" t="str">
        <v>No</v>
      </c>
      <c r="L1217" s="138" t="str">
        <v>No MEP R3-47 ($27.99)</v>
      </c>
      <c r="M1217" s="101" t="str">
        <v>No</v>
      </c>
      <c r="N1217" s="135" t="str">
        <v>No</v>
      </c>
      <c r="O1217" s="120" t="str">
        <v>Yes</v>
      </c>
      <c r="P1217" s="102" t="str">
        <v>N</v>
      </c>
      <c r="Q1217" s="123">
        <v>46062</v>
      </c>
      <c r="R1217" s="141">
        <v>0</v>
      </c>
      <c r="S1217" s="98">
        <v>0</v>
      </c>
      <c r="T1217" s="98">
        <v>0</v>
      </c>
      <c r="U1217" s="143">
        <v>0</v>
      </c>
      <c r="V1217" s="126" t="str">
        <f t="shared" si="36"/>
        <v>❌ Not on Best Plan</v>
      </c>
      <c r="W1217" s="130">
        <f>IFERROR(_xlfn.XLOOKUP(TEXT(H1217,"0000000000"),'📞 Call Tracker'!A$2:A$2000,'📞 Call Tracker'!B$2:B$2000,""),"")</f>
        <v>0</v>
      </c>
      <c r="X1217" s="96">
        <f>IFERROR(_xlfn.XLOOKUP(TEXT(H1217,"0000000000"),'📞 Call Tracker'!A$2:A$2000,'📞 Call Tracker'!C$2:C$2000,""),"")</f>
        <v>0</v>
      </c>
      <c r="Y1217" s="95">
        <f>IFERROR(_xlfn.XLOOKUP(TEXT(H1217,"0000000000"),'📞 Call Tracker'!A$2:A$2000,'📞 Call Tracker'!D$2:D$2000,""),"")</f>
        <v>0</v>
      </c>
      <c r="Z1217" s="95">
        <f>IFERROR(_xlfn.XLOOKUP(TEXT(H1217,"0000000000"),'📞 Call Tracker'!A$2:A$2000,'📞 Call Tracker'!E$2:E$2000,""),"")</f>
        <v>0</v>
      </c>
      <c r="AA1217" s="145">
        <f>IFERROR(_xlfn.XLOOKUP(TEXT(H1217,"0000000000"),'📞 Call Tracker'!A$2:A$2000,'📞 Call Tracker'!F$2:F$2000,""),"")</f>
        <v>0</v>
      </c>
      <c r="AB1217" s="132">
        <f t="shared" si="37"/>
        <v>99</v>
      </c>
      <c r="AC1217" s="79"/>
    </row>
    <row r="1218" spans="1:29" ht="20.100000000000001" customHeight="1">
      <c r="A1218" s="97">
        <v>46059</v>
      </c>
      <c r="B1218" s="98" t="str">
        <v>Ostreicher</v>
      </c>
      <c r="C1218" s="98" t="str">
        <v>Derek</v>
      </c>
      <c r="D1218" s="98" t="str">
        <v>Phoenix</v>
      </c>
      <c r="E1218" s="99">
        <v>85028</v>
      </c>
      <c r="F1218" s="138" t="str">
        <v>As a single father of 2 kids, a 14% rate increase in just over a year is ridiculous</v>
      </c>
      <c r="G1218" s="100" t="str">
        <v>https://docket.images.azcc.gov/E000049265.pdf</v>
      </c>
      <c r="H1218" s="151" t="s">
        <v>4515</v>
      </c>
      <c r="I1218" s="115" t="str">
        <v>R3-47</v>
      </c>
      <c r="J1218" s="110" t="str">
        <v>No</v>
      </c>
      <c r="K1218" s="101" t="str">
        <v>No</v>
      </c>
      <c r="L1218" s="138" t="str">
        <v>Yes</v>
      </c>
      <c r="M1218" s="101" t="str">
        <v>No</v>
      </c>
      <c r="N1218" s="135" t="str">
        <v>No</v>
      </c>
      <c r="O1218" s="120" t="str">
        <v>Yes</v>
      </c>
      <c r="P1218" s="102" t="str">
        <v>N</v>
      </c>
      <c r="Q1218" s="123">
        <v>46062</v>
      </c>
      <c r="R1218" s="141" t="str">
        <v>COR is linked to multiple accounts</v>
      </c>
      <c r="S1218" s="98">
        <v>0</v>
      </c>
      <c r="T1218" s="98">
        <v>0</v>
      </c>
      <c r="U1218" s="143">
        <v>0</v>
      </c>
      <c r="V1218" s="126" t="str">
        <f t="shared" si="36"/>
        <v>✅ On Best Plan</v>
      </c>
      <c r="W1218" s="130">
        <f>IFERROR(_xlfn.XLOOKUP(TEXT(H1218,"0000000000"),'📞 Call Tracker'!A$2:A$2000,'📞 Call Tracker'!B$2:B$2000,""),"")</f>
        <v>0</v>
      </c>
      <c r="X1218" s="96">
        <f>IFERROR(_xlfn.XLOOKUP(TEXT(H1218,"0000000000"),'📞 Call Tracker'!A$2:A$2000,'📞 Call Tracker'!C$2:C$2000,""),"")</f>
        <v>0</v>
      </c>
      <c r="Y1218" s="95">
        <f>IFERROR(_xlfn.XLOOKUP(TEXT(H1218,"0000000000"),'📞 Call Tracker'!A$2:A$2000,'📞 Call Tracker'!D$2:D$2000,""),"")</f>
        <v>0</v>
      </c>
      <c r="Z1218" s="95">
        <f>IFERROR(_xlfn.XLOOKUP(TEXT(H1218,"0000000000"),'📞 Call Tracker'!A$2:A$2000,'📞 Call Tracker'!E$2:E$2000,""),"")</f>
        <v>0</v>
      </c>
      <c r="AA1218" s="145">
        <f>IFERROR(_xlfn.XLOOKUP(TEXT(H1218,"0000000000"),'📞 Call Tracker'!A$2:A$2000,'📞 Call Tracker'!F$2:F$2000,""),"")</f>
        <v>0</v>
      </c>
      <c r="AB1218" s="132">
        <f t="shared" si="37"/>
        <v>99</v>
      </c>
      <c r="AC1218" s="79"/>
    </row>
    <row r="1219" spans="1:29" ht="20.100000000000001" customHeight="1">
      <c r="A1219" s="97">
        <v>46062</v>
      </c>
      <c r="B1219" s="98" t="str">
        <v>Lewis</v>
      </c>
      <c r="C1219" s="98" t="str">
        <v>Timothy</v>
      </c>
      <c r="D1219" s="98" t="str">
        <v>Chandler</v>
      </c>
      <c r="E1219" s="99">
        <v>85225</v>
      </c>
      <c r="F1219" s="138" t="str">
        <v>I been living in my place for 24 years. I get low-income discounts and equalizer. I will start setting my AC to 85.</v>
      </c>
      <c r="G1219" s="100" t="str">
        <v>https://docket.images.azcc.gov/E000049336.pdf</v>
      </c>
      <c r="H1219" s="151" t="s">
        <v>4524</v>
      </c>
      <c r="I1219" s="115" t="str">
        <v>R-XS</v>
      </c>
      <c r="J1219" s="110" t="str">
        <v>Yes</v>
      </c>
      <c r="K1219" s="101" t="str">
        <v>No</v>
      </c>
      <c r="L1219" s="138" t="str">
        <v>Yes</v>
      </c>
      <c r="M1219" s="101" t="str">
        <v>No</v>
      </c>
      <c r="N1219" s="135" t="str">
        <v>No</v>
      </c>
      <c r="O1219" s="120" t="str">
        <v>Yes</v>
      </c>
      <c r="P1219" s="102" t="str">
        <v>N</v>
      </c>
      <c r="Q1219" s="123">
        <v>46062</v>
      </c>
      <c r="R1219" s="141">
        <v>0</v>
      </c>
      <c r="S1219" s="98">
        <v>0</v>
      </c>
      <c r="T1219" s="98">
        <v>0</v>
      </c>
      <c r="U1219" s="143">
        <v>0</v>
      </c>
      <c r="V1219" s="126" t="str">
        <f t="shared" ref="V1219:V1282" si="38">IF(OR(LEFT(TRIM(L1219),3)="Yes",TRIM(L1219)="Y"),"✅ On Best Plan",IF(OR(L1219="Frozen Rate",L1219="Frozen Plan"),"❄ Frozen Rate",IF(OR(L1219="Not able to Compare",L1219="Info Not Avail",L1219="NA",L1219=""),"⚠ Unknown","❌ Not on Best Plan")))</f>
        <v>✅ On Best Plan</v>
      </c>
      <c r="W1219" s="130">
        <f>IFERROR(_xlfn.XLOOKUP(TEXT(H1219,"0000000000"),'📞 Call Tracker'!A$2:A$2000,'📞 Call Tracker'!B$2:B$2000,""),"")</f>
        <v>0</v>
      </c>
      <c r="X1219" s="96">
        <f>IFERROR(_xlfn.XLOOKUP(TEXT(H1219,"0000000000"),'📞 Call Tracker'!A$2:A$2000,'📞 Call Tracker'!C$2:C$2000,""),"")</f>
        <v>0</v>
      </c>
      <c r="Y1219" s="95">
        <f>IFERROR(_xlfn.XLOOKUP(TEXT(H1219,"0000000000"),'📞 Call Tracker'!A$2:A$2000,'📞 Call Tracker'!D$2:D$2000,""),"")</f>
        <v>0</v>
      </c>
      <c r="Z1219" s="95">
        <f>IFERROR(_xlfn.XLOOKUP(TEXT(H1219,"0000000000"),'📞 Call Tracker'!A$2:A$2000,'📞 Call Tracker'!E$2:E$2000,""),"")</f>
        <v>0</v>
      </c>
      <c r="AA1219" s="145">
        <f>IFERROR(_xlfn.XLOOKUP(TEXT(H1219,"0000000000"),'📞 Call Tracker'!A$2:A$2000,'📞 Call Tracker'!F$2:F$2000,""),"")</f>
        <v>0</v>
      </c>
      <c r="AB1219" s="132">
        <f t="shared" ref="AB1219:AB1282" si="39">IF(OR(H1219="",X1219&lt;&gt;""),99,IF(AND(NOT(OR(LEFT(TRIM(L1219),3)="Yes",TRIM(L1219)="Y",L1219="Frozen Rate",L1219="Frozen Plan",L1219="Not able to Compare",L1219="Info Not Avail",L1219="NA",L1219="")),AND(N1219&lt;&gt;"No",N1219&lt;&gt;"")),1,IF(NOT(OR(LEFT(TRIM(L1219),3)="Yes",TRIM(L1219)="Y",L1219="Frozen Rate",L1219="Frozen Plan",L1219="Not able to Compare",L1219="Info Not Avail",L1219="NA",L1219="")),2,IF(AND(N1219&lt;&gt;"No",N1219&lt;&gt;""),3,4))))</f>
        <v>99</v>
      </c>
      <c r="AC1219" s="79"/>
    </row>
    <row r="1220" spans="1:29" ht="20.100000000000001" customHeight="1">
      <c r="A1220" s="97">
        <v>46062</v>
      </c>
      <c r="B1220" s="98" t="str">
        <v>Gerkin</v>
      </c>
      <c r="C1220" s="98" t="str">
        <v>David</v>
      </c>
      <c r="D1220" s="98" t="str">
        <v>Phoenix</v>
      </c>
      <c r="E1220" s="99">
        <v>85022</v>
      </c>
      <c r="F1220" s="138" t="str">
        <v>$240 extra per year for the average household. I am retired and on a fixed income, so I and many others like me, cannot afford</v>
      </c>
      <c r="G1220" s="100" t="str">
        <v>https://docket.images.azcc.gov/E000049336.pdf</v>
      </c>
      <c r="H1220" s="151" t="s">
        <v>4527</v>
      </c>
      <c r="I1220" s="115" t="str">
        <v>R3-47</v>
      </c>
      <c r="J1220" s="110" t="str">
        <v>No</v>
      </c>
      <c r="K1220" s="101" t="str">
        <v>No</v>
      </c>
      <c r="L1220" s="138" t="str">
        <v>Yes</v>
      </c>
      <c r="M1220" s="101" t="str">
        <v>No</v>
      </c>
      <c r="N1220" s="135" t="str">
        <v>No</v>
      </c>
      <c r="O1220" s="120" t="str">
        <v>Yes</v>
      </c>
      <c r="P1220" s="102" t="str">
        <v>N</v>
      </c>
      <c r="Q1220" s="123">
        <v>46062</v>
      </c>
      <c r="R1220" s="141" t="str">
        <v>Solar Partner Program</v>
      </c>
      <c r="S1220" s="98">
        <v>0</v>
      </c>
      <c r="T1220" s="98">
        <v>0</v>
      </c>
      <c r="U1220" s="143">
        <v>0</v>
      </c>
      <c r="V1220" s="126" t="str">
        <f t="shared" si="38"/>
        <v>✅ On Best Plan</v>
      </c>
      <c r="W1220" s="130">
        <f>IFERROR(_xlfn.XLOOKUP(TEXT(H1220,"0000000000"),'📞 Call Tracker'!A$2:A$2000,'📞 Call Tracker'!B$2:B$2000,""),"")</f>
        <v>0</v>
      </c>
      <c r="X1220" s="96">
        <f>IFERROR(_xlfn.XLOOKUP(TEXT(H1220,"0000000000"),'📞 Call Tracker'!A$2:A$2000,'📞 Call Tracker'!C$2:C$2000,""),"")</f>
        <v>0</v>
      </c>
      <c r="Y1220" s="95">
        <f>IFERROR(_xlfn.XLOOKUP(TEXT(H1220,"0000000000"),'📞 Call Tracker'!A$2:A$2000,'📞 Call Tracker'!D$2:D$2000,""),"")</f>
        <v>0</v>
      </c>
      <c r="Z1220" s="95">
        <f>IFERROR(_xlfn.XLOOKUP(TEXT(H1220,"0000000000"),'📞 Call Tracker'!A$2:A$2000,'📞 Call Tracker'!E$2:E$2000,""),"")</f>
        <v>0</v>
      </c>
      <c r="AA1220" s="145">
        <f>IFERROR(_xlfn.XLOOKUP(TEXT(H1220,"0000000000"),'📞 Call Tracker'!A$2:A$2000,'📞 Call Tracker'!F$2:F$2000,""),"")</f>
        <v>0</v>
      </c>
      <c r="AB1220" s="132">
        <f t="shared" si="39"/>
        <v>99</v>
      </c>
      <c r="AC1220" s="79"/>
    </row>
    <row r="1221" spans="1:29" ht="20.100000000000001" customHeight="1">
      <c r="A1221" s="97">
        <v>46064</v>
      </c>
      <c r="B1221" s="98" t="str">
        <v>Graham</v>
      </c>
      <c r="C1221" s="98" t="str">
        <v>Michael</v>
      </c>
      <c r="D1221" s="98" t="str">
        <v>Sun City</v>
      </c>
      <c r="E1221" s="99">
        <v>85351</v>
      </c>
      <c r="F1221" s="138" t="str">
        <v>86 y/o, lives alone, Social Security Cost of Living 2.8 percent</v>
      </c>
      <c r="G1221" s="100" t="str">
        <v>https://docket.images.azcc.gov/E000049357.pdf</v>
      </c>
      <c r="H1221" s="151" t="s">
        <v>4541</v>
      </c>
      <c r="I1221" s="115" t="str">
        <v>R3-47</v>
      </c>
      <c r="J1221" s="110" t="str">
        <v>No</v>
      </c>
      <c r="K1221" s="101" t="str">
        <v>No</v>
      </c>
      <c r="L1221" s="138" t="str">
        <v>Yes</v>
      </c>
      <c r="M1221" s="101" t="str">
        <v>No</v>
      </c>
      <c r="N1221" s="135" t="str">
        <v>No</v>
      </c>
      <c r="O1221" s="120" t="str">
        <v>Yes</v>
      </c>
      <c r="P1221" s="102" t="str">
        <v>N</v>
      </c>
      <c r="Q1221" s="123">
        <v>46066</v>
      </c>
      <c r="R1221" s="141">
        <v>0</v>
      </c>
      <c r="S1221" s="98">
        <v>0</v>
      </c>
      <c r="T1221" s="98">
        <v>0</v>
      </c>
      <c r="U1221" s="143">
        <v>0</v>
      </c>
      <c r="V1221" s="126" t="str">
        <f t="shared" si="38"/>
        <v>✅ On Best Plan</v>
      </c>
      <c r="W1221" s="130">
        <f>IFERROR(_xlfn.XLOOKUP(TEXT(H1221,"0000000000"),'📞 Call Tracker'!A$2:A$2000,'📞 Call Tracker'!B$2:B$2000,""),"")</f>
        <v>0</v>
      </c>
      <c r="X1221" s="96">
        <f>IFERROR(_xlfn.XLOOKUP(TEXT(H1221,"0000000000"),'📞 Call Tracker'!A$2:A$2000,'📞 Call Tracker'!C$2:C$2000,""),"")</f>
        <v>0</v>
      </c>
      <c r="Y1221" s="95">
        <f>IFERROR(_xlfn.XLOOKUP(TEXT(H1221,"0000000000"),'📞 Call Tracker'!A$2:A$2000,'📞 Call Tracker'!D$2:D$2000,""),"")</f>
        <v>0</v>
      </c>
      <c r="Z1221" s="95">
        <f>IFERROR(_xlfn.XLOOKUP(TEXT(H1221,"0000000000"),'📞 Call Tracker'!A$2:A$2000,'📞 Call Tracker'!E$2:E$2000,""),"")</f>
        <v>0</v>
      </c>
      <c r="AA1221" s="145">
        <f>IFERROR(_xlfn.XLOOKUP(TEXT(H1221,"0000000000"),'📞 Call Tracker'!A$2:A$2000,'📞 Call Tracker'!F$2:F$2000,""),"")</f>
        <v>0</v>
      </c>
      <c r="AB1221" s="132">
        <f t="shared" si="39"/>
        <v>99</v>
      </c>
      <c r="AC1221" s="79"/>
    </row>
    <row r="1222" spans="1:29" ht="20.100000000000001" customHeight="1">
      <c r="A1222" s="97">
        <v>46064</v>
      </c>
      <c r="B1222" s="98" t="str">
        <v>Litke</v>
      </c>
      <c r="C1222" s="98" t="str">
        <v>Katherine</v>
      </c>
      <c r="D1222" s="98" t="str">
        <v>Prescott</v>
      </c>
      <c r="E1222" s="99">
        <v>86303</v>
      </c>
      <c r="F1222" s="138" t="str">
        <v>Senior living in subsidized housing on a low income</v>
      </c>
      <c r="G1222" s="100" t="str">
        <v>https://docket.images.azcc.gov/E000049357.pdf</v>
      </c>
      <c r="H1222" s="151" t="s">
        <v>4545</v>
      </c>
      <c r="I1222" s="115" t="str">
        <v>R-XS</v>
      </c>
      <c r="J1222" s="110" t="str">
        <v>Yes</v>
      </c>
      <c r="K1222" s="101" t="str">
        <v>No</v>
      </c>
      <c r="L1222" s="138" t="str">
        <v>Yes</v>
      </c>
      <c r="M1222" s="101" t="str">
        <v>No</v>
      </c>
      <c r="N1222" s="135" t="str">
        <v>No</v>
      </c>
      <c r="O1222" s="120" t="str">
        <v>Yes</v>
      </c>
      <c r="P1222" s="102" t="str">
        <v>N</v>
      </c>
      <c r="Q1222" s="123">
        <v>46066</v>
      </c>
      <c r="R1222" s="141">
        <v>0</v>
      </c>
      <c r="S1222" s="98">
        <v>0</v>
      </c>
      <c r="T1222" s="98">
        <v>0</v>
      </c>
      <c r="U1222" s="143">
        <v>0</v>
      </c>
      <c r="V1222" s="126" t="str">
        <f t="shared" si="38"/>
        <v>✅ On Best Plan</v>
      </c>
      <c r="W1222" s="130">
        <f>IFERROR(_xlfn.XLOOKUP(TEXT(H1222,"0000000000"),'📞 Call Tracker'!A$2:A$2000,'📞 Call Tracker'!B$2:B$2000,""),"")</f>
        <v>0</v>
      </c>
      <c r="X1222" s="96">
        <f>IFERROR(_xlfn.XLOOKUP(TEXT(H1222,"0000000000"),'📞 Call Tracker'!A$2:A$2000,'📞 Call Tracker'!C$2:C$2000,""),"")</f>
        <v>0</v>
      </c>
      <c r="Y1222" s="95">
        <f>IFERROR(_xlfn.XLOOKUP(TEXT(H1222,"0000000000"),'📞 Call Tracker'!A$2:A$2000,'📞 Call Tracker'!D$2:D$2000,""),"")</f>
        <v>0</v>
      </c>
      <c r="Z1222" s="95">
        <f>IFERROR(_xlfn.XLOOKUP(TEXT(H1222,"0000000000"),'📞 Call Tracker'!A$2:A$2000,'📞 Call Tracker'!E$2:E$2000,""),"")</f>
        <v>0</v>
      </c>
      <c r="AA1222" s="145">
        <f>IFERROR(_xlfn.XLOOKUP(TEXT(H1222,"0000000000"),'📞 Call Tracker'!A$2:A$2000,'📞 Call Tracker'!F$2:F$2000,""),"")</f>
        <v>0</v>
      </c>
      <c r="AB1222" s="132">
        <f t="shared" si="39"/>
        <v>99</v>
      </c>
      <c r="AC1222" s="79"/>
    </row>
    <row r="1223" spans="1:29" ht="20.100000000000001" customHeight="1">
      <c r="A1223" s="97">
        <v>46064</v>
      </c>
      <c r="B1223" s="98" t="str">
        <v>Valladares</v>
      </c>
      <c r="C1223" s="98" t="str">
        <v>Diana</v>
      </c>
      <c r="D1223" s="98" t="str">
        <v>Phoenix</v>
      </c>
      <c r="E1223" s="99">
        <v>85008</v>
      </c>
      <c r="F1223" s="138" t="str">
        <v>Data Centers are ready to work with the water and electricity.</v>
      </c>
      <c r="G1223" s="100" t="str">
        <v>https://docket.images.azcc.gov/E000049357.pdf</v>
      </c>
      <c r="H1223" s="151" t="s">
        <v>4389</v>
      </c>
      <c r="I1223" s="115" t="str">
        <v>RTOUE47</v>
      </c>
      <c r="J1223" s="110" t="str">
        <v>No</v>
      </c>
      <c r="K1223" s="101" t="str">
        <v>No</v>
      </c>
      <c r="L1223" s="138" t="str">
        <v>No MEP R3-47 ($248.22)</v>
      </c>
      <c r="M1223" s="101" t="str">
        <v>No</v>
      </c>
      <c r="N1223" s="135" t="str">
        <v>No</v>
      </c>
      <c r="O1223" s="120" t="str">
        <v>Yes</v>
      </c>
      <c r="P1223" s="102">
        <v>0</v>
      </c>
      <c r="Q1223" s="123">
        <v>46066</v>
      </c>
      <c r="R1223" s="141" t="str">
        <v>SPANISH PREFERRED CUSTOMER - Please contact customer regarding plan options</v>
      </c>
      <c r="S1223" s="98">
        <v>0</v>
      </c>
      <c r="T1223" s="98">
        <v>0</v>
      </c>
      <c r="U1223" s="143">
        <v>0</v>
      </c>
      <c r="V1223" s="126" t="str">
        <f t="shared" si="38"/>
        <v>❌ Not on Best Plan</v>
      </c>
      <c r="W1223" s="130">
        <f>IFERROR(_xlfn.XLOOKUP(TEXT(H1223,"0000000000"),'📞 Call Tracker'!A$2:A$2000,'📞 Call Tracker'!B$2:B$2000,""),"")</f>
        <v>0</v>
      </c>
      <c r="X1223" s="96">
        <f>IFERROR(_xlfn.XLOOKUP(TEXT(H1223,"0000000000"),'📞 Call Tracker'!A$2:A$2000,'📞 Call Tracker'!C$2:C$2000,""),"")</f>
        <v>0</v>
      </c>
      <c r="Y1223" s="95">
        <f>IFERROR(_xlfn.XLOOKUP(TEXT(H1223,"0000000000"),'📞 Call Tracker'!A$2:A$2000,'📞 Call Tracker'!D$2:D$2000,""),"")</f>
        <v>0</v>
      </c>
      <c r="Z1223" s="95">
        <f>IFERROR(_xlfn.XLOOKUP(TEXT(H1223,"0000000000"),'📞 Call Tracker'!A$2:A$2000,'📞 Call Tracker'!E$2:E$2000,""),"")</f>
        <v>0</v>
      </c>
      <c r="AA1223" s="145">
        <f>IFERROR(_xlfn.XLOOKUP(TEXT(H1223,"0000000000"),'📞 Call Tracker'!A$2:A$2000,'📞 Call Tracker'!F$2:F$2000,""),"")</f>
        <v>0</v>
      </c>
      <c r="AB1223" s="132">
        <f t="shared" si="39"/>
        <v>99</v>
      </c>
      <c r="AC1223" s="79"/>
    </row>
    <row r="1224" spans="1:29" ht="20.100000000000001" customHeight="1">
      <c r="A1224" s="97">
        <v>46064</v>
      </c>
      <c r="B1224" s="98" t="str">
        <v>Varanauski</v>
      </c>
      <c r="C1224" s="98" t="str">
        <v>Joan</v>
      </c>
      <c r="D1224" s="98" t="str">
        <v>Sun City</v>
      </c>
      <c r="E1224" s="99">
        <v>85351</v>
      </c>
      <c r="F1224" s="138" t="str">
        <v>A nearly 15% increase on my utility bill is an excessive financial burden that l simply cannot afford.</v>
      </c>
      <c r="G1224" s="100" t="str">
        <v>https://docket.images.azcc.gov/E000049357.pdf</v>
      </c>
      <c r="H1224" s="151" t="s">
        <v>4553</v>
      </c>
      <c r="I1224" s="115" t="str">
        <v>RCPw/R-2</v>
      </c>
      <c r="J1224" s="110" t="str">
        <v>No</v>
      </c>
      <c r="K1224" s="101" t="str">
        <v>No</v>
      </c>
      <c r="L1224" s="138" t="str">
        <v>Frozen Plan</v>
      </c>
      <c r="M1224" s="101" t="str">
        <v>No</v>
      </c>
      <c r="N1224" s="135" t="str">
        <v>No</v>
      </c>
      <c r="O1224" s="120" t="str">
        <v>Yes</v>
      </c>
      <c r="P1224" s="102" t="str">
        <v>N</v>
      </c>
      <c r="Q1224" s="123">
        <v>46066</v>
      </c>
      <c r="R1224" s="141">
        <v>0</v>
      </c>
      <c r="S1224" s="98">
        <v>0</v>
      </c>
      <c r="T1224" s="98">
        <v>0</v>
      </c>
      <c r="U1224" s="143">
        <v>0</v>
      </c>
      <c r="V1224" s="126" t="str">
        <f t="shared" si="38"/>
        <v>❄ Frozen Rate</v>
      </c>
      <c r="W1224" s="130">
        <f>IFERROR(_xlfn.XLOOKUP(TEXT(H1224,"0000000000"),'📞 Call Tracker'!A$2:A$2000,'📞 Call Tracker'!B$2:B$2000,""),"")</f>
        <v>0</v>
      </c>
      <c r="X1224" s="96">
        <f>IFERROR(_xlfn.XLOOKUP(TEXT(H1224,"0000000000"),'📞 Call Tracker'!A$2:A$2000,'📞 Call Tracker'!C$2:C$2000,""),"")</f>
        <v>0</v>
      </c>
      <c r="Y1224" s="95">
        <f>IFERROR(_xlfn.XLOOKUP(TEXT(H1224,"0000000000"),'📞 Call Tracker'!A$2:A$2000,'📞 Call Tracker'!D$2:D$2000,""),"")</f>
        <v>0</v>
      </c>
      <c r="Z1224" s="95">
        <f>IFERROR(_xlfn.XLOOKUP(TEXT(H1224,"0000000000"),'📞 Call Tracker'!A$2:A$2000,'📞 Call Tracker'!E$2:E$2000,""),"")</f>
        <v>0</v>
      </c>
      <c r="AA1224" s="145">
        <f>IFERROR(_xlfn.XLOOKUP(TEXT(H1224,"0000000000"),'📞 Call Tracker'!A$2:A$2000,'📞 Call Tracker'!F$2:F$2000,""),"")</f>
        <v>0</v>
      </c>
      <c r="AB1224" s="132">
        <f t="shared" si="39"/>
        <v>99</v>
      </c>
      <c r="AC1224" s="79"/>
    </row>
    <row r="1225" spans="1:29" ht="20.100000000000001" customHeight="1">
      <c r="A1225" s="97">
        <v>46064</v>
      </c>
      <c r="B1225" s="98" t="str">
        <v>Valladares</v>
      </c>
      <c r="C1225" s="98" t="str">
        <v>Rosalva</v>
      </c>
      <c r="D1225" s="98" t="str">
        <v>Phoenix</v>
      </c>
      <c r="E1225" s="99">
        <v>85016</v>
      </c>
      <c r="F1225" s="138" t="str">
        <v>If APS really cares about its customers look into blocking these data centers from moving to Arizona</v>
      </c>
      <c r="G1225" s="100" t="str">
        <v>https://docket.images.azcc.gov/E000049357.pdf</v>
      </c>
      <c r="H1225" s="151" t="s">
        <v>4046</v>
      </c>
      <c r="I1225" s="115" t="str">
        <v>RTOUE47</v>
      </c>
      <c r="J1225" s="110" t="str">
        <v>No</v>
      </c>
      <c r="K1225" s="101" t="str">
        <v>No</v>
      </c>
      <c r="L1225" s="138" t="str">
        <v>No MEP R3-47 ($64.75)</v>
      </c>
      <c r="M1225" s="101" t="str">
        <v>Yes</v>
      </c>
      <c r="N1225" s="135">
        <v>472.1</v>
      </c>
      <c r="O1225" s="120" t="str">
        <v>Yes</v>
      </c>
      <c r="P1225" s="102">
        <v>0</v>
      </c>
      <c r="Q1225" s="123">
        <v>46066</v>
      </c>
      <c r="R1225" s="141" t="str">
        <v>Please contact customer regarding plan options and additional assistance programs?</v>
      </c>
      <c r="S1225" s="98">
        <v>0</v>
      </c>
      <c r="T1225" s="98">
        <v>0</v>
      </c>
      <c r="U1225" s="143">
        <v>0</v>
      </c>
      <c r="V1225" s="126" t="str">
        <f t="shared" si="38"/>
        <v>❌ Not on Best Plan</v>
      </c>
      <c r="W1225" s="130">
        <f>IFERROR(_xlfn.XLOOKUP(TEXT(H1225,"0000000000"),'📞 Call Tracker'!A$2:A$2000,'📞 Call Tracker'!B$2:B$2000,""),"")</f>
        <v>0</v>
      </c>
      <c r="X1225" s="96">
        <f>IFERROR(_xlfn.XLOOKUP(TEXT(H1225,"0000000000"),'📞 Call Tracker'!A$2:A$2000,'📞 Call Tracker'!C$2:C$2000,""),"")</f>
        <v>0</v>
      </c>
      <c r="Y1225" s="95">
        <f>IFERROR(_xlfn.XLOOKUP(TEXT(H1225,"0000000000"),'📞 Call Tracker'!A$2:A$2000,'📞 Call Tracker'!D$2:D$2000,""),"")</f>
        <v>0</v>
      </c>
      <c r="Z1225" s="95">
        <f>IFERROR(_xlfn.XLOOKUP(TEXT(H1225,"0000000000"),'📞 Call Tracker'!A$2:A$2000,'📞 Call Tracker'!E$2:E$2000,""),"")</f>
        <v>0</v>
      </c>
      <c r="AA1225" s="145">
        <f>IFERROR(_xlfn.XLOOKUP(TEXT(H1225,"0000000000"),'📞 Call Tracker'!A$2:A$2000,'📞 Call Tracker'!F$2:F$2000,""),"")</f>
        <v>0</v>
      </c>
      <c r="AB1225" s="132">
        <f t="shared" si="39"/>
        <v>99</v>
      </c>
      <c r="AC1225" s="79"/>
    </row>
    <row r="1226" spans="1:29" ht="20.100000000000001" customHeight="1">
      <c r="A1226" s="97">
        <v>46064</v>
      </c>
      <c r="B1226" s="98" t="str">
        <v>Malter</v>
      </c>
      <c r="C1226" s="98" t="str">
        <v>Rosalie</v>
      </c>
      <c r="D1226" s="98" t="str">
        <v>Cottonwood</v>
      </c>
      <c r="E1226" s="99">
        <v>86326</v>
      </c>
      <c r="F1226" s="138" t="str">
        <v>APS greed is causing suffering among people like us 80+ aged seniors.</v>
      </c>
      <c r="G1226" s="100" t="str">
        <v>https://docket.images.azcc.gov/E000049357.pdf</v>
      </c>
      <c r="H1226" s="151" t="s">
        <v>4559</v>
      </c>
      <c r="I1226" s="115" t="str">
        <v>EPR6w/E-12</v>
      </c>
      <c r="J1226" s="110" t="str">
        <v>No</v>
      </c>
      <c r="K1226" s="101" t="str">
        <v>No</v>
      </c>
      <c r="L1226" s="138" t="str">
        <v>Frozen Plan</v>
      </c>
      <c r="M1226" s="101" t="str">
        <v>No</v>
      </c>
      <c r="N1226" s="135" t="str">
        <v>No</v>
      </c>
      <c r="O1226" s="120" t="str">
        <v>Yes</v>
      </c>
      <c r="P1226" s="102" t="str">
        <v>N</v>
      </c>
      <c r="Q1226" s="123">
        <v>46066</v>
      </c>
      <c r="R1226" s="141" t="str">
        <v>AMI Opt Out</v>
      </c>
      <c r="S1226" s="98">
        <v>0</v>
      </c>
      <c r="T1226" s="98">
        <v>0</v>
      </c>
      <c r="U1226" s="143">
        <v>0</v>
      </c>
      <c r="V1226" s="126" t="str">
        <f t="shared" si="38"/>
        <v>❄ Frozen Rate</v>
      </c>
      <c r="W1226" s="130">
        <f>IFERROR(_xlfn.XLOOKUP(TEXT(H1226,"0000000000"),'📞 Call Tracker'!A$2:A$2000,'📞 Call Tracker'!B$2:B$2000,""),"")</f>
        <v>0</v>
      </c>
      <c r="X1226" s="96">
        <f>IFERROR(_xlfn.XLOOKUP(TEXT(H1226,"0000000000"),'📞 Call Tracker'!A$2:A$2000,'📞 Call Tracker'!C$2:C$2000,""),"")</f>
        <v>0</v>
      </c>
      <c r="Y1226" s="95">
        <f>IFERROR(_xlfn.XLOOKUP(TEXT(H1226,"0000000000"),'📞 Call Tracker'!A$2:A$2000,'📞 Call Tracker'!D$2:D$2000,""),"")</f>
        <v>0</v>
      </c>
      <c r="Z1226" s="95">
        <f>IFERROR(_xlfn.XLOOKUP(TEXT(H1226,"0000000000"),'📞 Call Tracker'!A$2:A$2000,'📞 Call Tracker'!E$2:E$2000,""),"")</f>
        <v>0</v>
      </c>
      <c r="AA1226" s="145">
        <f>IFERROR(_xlfn.XLOOKUP(TEXT(H1226,"0000000000"),'📞 Call Tracker'!A$2:A$2000,'📞 Call Tracker'!F$2:F$2000,""),"")</f>
        <v>0</v>
      </c>
      <c r="AB1226" s="132">
        <f t="shared" si="39"/>
        <v>99</v>
      </c>
      <c r="AC1226" s="79"/>
    </row>
    <row r="1227" spans="1:29" ht="20.100000000000001" customHeight="1">
      <c r="A1227" s="97">
        <v>46064</v>
      </c>
      <c r="B1227" s="98" t="str">
        <v>Sherman</v>
      </c>
      <c r="C1227" s="98" t="str">
        <v>Jennifer</v>
      </c>
      <c r="D1227" s="98" t="str">
        <v>Parks</v>
      </c>
      <c r="E1227" s="99">
        <v>86018</v>
      </c>
      <c r="F1227" s="138" t="str">
        <v>express my concern with APS's proposed rate increases, particularl the solar Grid Access Charge alongside the continued erosion of affordability for Arizona families.</v>
      </c>
      <c r="G1227" s="100" t="str">
        <v>https://docket.images.azcc.gov/E000049383.pdf</v>
      </c>
      <c r="H1227" s="151" t="s">
        <v>4563</v>
      </c>
      <c r="I1227" s="115" t="str">
        <v>RCPw/RTOUE47</v>
      </c>
      <c r="J1227" s="110" t="str">
        <v>No</v>
      </c>
      <c r="K1227" s="101" t="str">
        <v>No</v>
      </c>
      <c r="L1227" s="138" t="str">
        <v>Not eligible yet</v>
      </c>
      <c r="M1227" s="101" t="str">
        <v>No</v>
      </c>
      <c r="N1227" s="135" t="str">
        <v>No</v>
      </c>
      <c r="O1227" s="120" t="str">
        <v>Yes</v>
      </c>
      <c r="P1227" s="102" t="str">
        <v>N</v>
      </c>
      <c r="Q1227" s="123">
        <v>46066</v>
      </c>
      <c r="R1227" s="141">
        <v>0</v>
      </c>
      <c r="S1227" s="98">
        <v>0</v>
      </c>
      <c r="T1227" s="98">
        <v>0</v>
      </c>
      <c r="U1227" s="143">
        <v>0</v>
      </c>
      <c r="V1227" s="126" t="str">
        <f t="shared" si="38"/>
        <v>❌ Not on Best Plan</v>
      </c>
      <c r="W1227" s="130">
        <f>IFERROR(_xlfn.XLOOKUP(TEXT(H1227,"0000000000"),'📞 Call Tracker'!A$2:A$2000,'📞 Call Tracker'!B$2:B$2000,""),"")</f>
        <v>0</v>
      </c>
      <c r="X1227" s="96">
        <f>IFERROR(_xlfn.XLOOKUP(TEXT(H1227,"0000000000"),'📞 Call Tracker'!A$2:A$2000,'📞 Call Tracker'!C$2:C$2000,""),"")</f>
        <v>0</v>
      </c>
      <c r="Y1227" s="95">
        <f>IFERROR(_xlfn.XLOOKUP(TEXT(H1227,"0000000000"),'📞 Call Tracker'!A$2:A$2000,'📞 Call Tracker'!D$2:D$2000,""),"")</f>
        <v>0</v>
      </c>
      <c r="Z1227" s="95">
        <f>IFERROR(_xlfn.XLOOKUP(TEXT(H1227,"0000000000"),'📞 Call Tracker'!A$2:A$2000,'📞 Call Tracker'!E$2:E$2000,""),"")</f>
        <v>0</v>
      </c>
      <c r="AA1227" s="145">
        <f>IFERROR(_xlfn.XLOOKUP(TEXT(H1227,"0000000000"),'📞 Call Tracker'!A$2:A$2000,'📞 Call Tracker'!F$2:F$2000,""),"")</f>
        <v>0</v>
      </c>
      <c r="AB1227" s="132">
        <f t="shared" si="39"/>
        <v>99</v>
      </c>
      <c r="AC1227" s="79"/>
    </row>
    <row r="1228" spans="1:29" ht="20.100000000000001" customHeight="1">
      <c r="A1228" s="97">
        <v>46064</v>
      </c>
      <c r="B1228" s="98" t="str">
        <v>Conner</v>
      </c>
      <c r="C1228" s="98" t="str">
        <v>Alan</v>
      </c>
      <c r="D1228" s="98" t="str">
        <v>Phoenix</v>
      </c>
      <c r="E1228" s="99">
        <v>85050</v>
      </c>
      <c r="F1228" s="138" t="str">
        <v xml:space="preserve">I am a retiree on a fixed income and am very concerned about the continuing raising costs of living. </v>
      </c>
      <c r="G1228" s="100" t="str">
        <v>https://docket.images.azcc.gov/E000049383.pdf</v>
      </c>
      <c r="H1228" s="151" t="s">
        <v>4569</v>
      </c>
      <c r="I1228" s="115" t="str">
        <v>RCPw/RTOUE47</v>
      </c>
      <c r="J1228" s="110" t="str">
        <v>No</v>
      </c>
      <c r="K1228" s="101" t="str">
        <v>No</v>
      </c>
      <c r="L1228" s="138" t="str">
        <v>Yes</v>
      </c>
      <c r="M1228" s="101" t="str">
        <v>No</v>
      </c>
      <c r="N1228" s="135" t="str">
        <v>No</v>
      </c>
      <c r="O1228" s="120" t="str">
        <v>Yes</v>
      </c>
      <c r="P1228" s="102" t="str">
        <v>N</v>
      </c>
      <c r="Q1228" s="123">
        <v>46066</v>
      </c>
      <c r="R1228" s="141">
        <v>0</v>
      </c>
      <c r="S1228" s="98">
        <v>0</v>
      </c>
      <c r="T1228" s="98">
        <v>0</v>
      </c>
      <c r="U1228" s="143">
        <v>0</v>
      </c>
      <c r="V1228" s="126" t="str">
        <f t="shared" si="38"/>
        <v>✅ On Best Plan</v>
      </c>
      <c r="W1228" s="130">
        <f>IFERROR(_xlfn.XLOOKUP(TEXT(H1228,"0000000000"),'📞 Call Tracker'!A$2:A$2000,'📞 Call Tracker'!B$2:B$2000,""),"")</f>
        <v>0</v>
      </c>
      <c r="X1228" s="96">
        <f>IFERROR(_xlfn.XLOOKUP(TEXT(H1228,"0000000000"),'📞 Call Tracker'!A$2:A$2000,'📞 Call Tracker'!C$2:C$2000,""),"")</f>
        <v>0</v>
      </c>
      <c r="Y1228" s="95">
        <f>IFERROR(_xlfn.XLOOKUP(TEXT(H1228,"0000000000"),'📞 Call Tracker'!A$2:A$2000,'📞 Call Tracker'!D$2:D$2000,""),"")</f>
        <v>0</v>
      </c>
      <c r="Z1228" s="95">
        <f>IFERROR(_xlfn.XLOOKUP(TEXT(H1228,"0000000000"),'📞 Call Tracker'!A$2:A$2000,'📞 Call Tracker'!E$2:E$2000,""),"")</f>
        <v>0</v>
      </c>
      <c r="AA1228" s="145">
        <f>IFERROR(_xlfn.XLOOKUP(TEXT(H1228,"0000000000"),'📞 Call Tracker'!A$2:A$2000,'📞 Call Tracker'!F$2:F$2000,""),"")</f>
        <v>0</v>
      </c>
      <c r="AB1228" s="132">
        <f t="shared" si="39"/>
        <v>99</v>
      </c>
      <c r="AC1228" s="79"/>
    </row>
    <row r="1229" spans="1:29" ht="20.100000000000001" customHeight="1">
      <c r="A1229" s="97">
        <v>46064</v>
      </c>
      <c r="B1229" s="98" t="str">
        <v>Pappin</v>
      </c>
      <c r="C1229" s="98" t="str">
        <v>William</v>
      </c>
      <c r="D1229" s="98" t="str">
        <v>Yuma</v>
      </c>
      <c r="E1229" s="99">
        <v>85364</v>
      </c>
      <c r="F1229" s="138" t="str">
        <v>My wife and I are retired and our only income is from My Navy Retirement and Social Security Benefits. You should limit the rate increase to the COLA increase.</v>
      </c>
      <c r="G1229" s="100" t="str">
        <v>https://docket.images.azcc.gov/E000049378.pdf</v>
      </c>
      <c r="H1229" s="151" t="s">
        <v>4577</v>
      </c>
      <c r="I1229" s="115" t="str">
        <v>R3-47</v>
      </c>
      <c r="J1229" s="110" t="str">
        <v>No</v>
      </c>
      <c r="K1229" s="101" t="str">
        <v>No</v>
      </c>
      <c r="L1229" s="138" t="str">
        <v>Yes</v>
      </c>
      <c r="M1229" s="101" t="str">
        <v>No</v>
      </c>
      <c r="N1229" s="135" t="str">
        <v>No</v>
      </c>
      <c r="O1229" s="120" t="str">
        <v>Yes</v>
      </c>
      <c r="P1229" s="102" t="str">
        <v>N</v>
      </c>
      <c r="Q1229" s="123">
        <v>46066</v>
      </c>
      <c r="R1229" s="141" t="str">
        <v>Docketed 2x</v>
      </c>
      <c r="S1229" s="98">
        <v>0</v>
      </c>
      <c r="T1229" s="98">
        <v>0</v>
      </c>
      <c r="U1229" s="143">
        <v>0</v>
      </c>
      <c r="V1229" s="126" t="str">
        <f t="shared" si="38"/>
        <v>✅ On Best Plan</v>
      </c>
      <c r="W1229" s="130">
        <f>IFERROR(_xlfn.XLOOKUP(TEXT(H1229,"0000000000"),'📞 Call Tracker'!A$2:A$2000,'📞 Call Tracker'!B$2:B$2000,""),"")</f>
        <v>0</v>
      </c>
      <c r="X1229" s="96">
        <f>IFERROR(_xlfn.XLOOKUP(TEXT(H1229,"0000000000"),'📞 Call Tracker'!A$2:A$2000,'📞 Call Tracker'!C$2:C$2000,""),"")</f>
        <v>0</v>
      </c>
      <c r="Y1229" s="95">
        <f>IFERROR(_xlfn.XLOOKUP(TEXT(H1229,"0000000000"),'📞 Call Tracker'!A$2:A$2000,'📞 Call Tracker'!D$2:D$2000,""),"")</f>
        <v>0</v>
      </c>
      <c r="Z1229" s="95">
        <f>IFERROR(_xlfn.XLOOKUP(TEXT(H1229,"0000000000"),'📞 Call Tracker'!A$2:A$2000,'📞 Call Tracker'!E$2:E$2000,""),"")</f>
        <v>0</v>
      </c>
      <c r="AA1229" s="145">
        <f>IFERROR(_xlfn.XLOOKUP(TEXT(H1229,"0000000000"),'📞 Call Tracker'!A$2:A$2000,'📞 Call Tracker'!F$2:F$2000,""),"")</f>
        <v>0</v>
      </c>
      <c r="AB1229" s="132">
        <f t="shared" si="39"/>
        <v>99</v>
      </c>
      <c r="AC1229" s="79"/>
    </row>
    <row r="1230" spans="1:29" ht="20.100000000000001" customHeight="1">
      <c r="A1230" s="97">
        <v>46064</v>
      </c>
      <c r="B1230" s="98" t="str">
        <v>Stoop</v>
      </c>
      <c r="C1230" s="98" t="str">
        <v>Carol</v>
      </c>
      <c r="D1230" s="98" t="str">
        <v>Buckeye</v>
      </c>
      <c r="E1230" s="99">
        <v>85396</v>
      </c>
      <c r="F1230" s="138" t="str">
        <v>I would like to know if The ACC is requiring APS to keep Four Corners Online?</v>
      </c>
      <c r="G1230" s="100" t="str">
        <v>https://docket.images.azcc.gov/E000049379.pdf</v>
      </c>
      <c r="H1230" s="151" t="s">
        <v>4583</v>
      </c>
      <c r="I1230" s="115" t="str">
        <v>RCPw/RTOUE47</v>
      </c>
      <c r="J1230" s="110" t="str">
        <v>No</v>
      </c>
      <c r="K1230" s="101" t="str">
        <v>No</v>
      </c>
      <c r="L1230" s="138" t="str">
        <v>Yes</v>
      </c>
      <c r="M1230" s="101" t="str">
        <v>No</v>
      </c>
      <c r="N1230" s="135" t="str">
        <v>No</v>
      </c>
      <c r="O1230" s="120" t="str">
        <v>Yes</v>
      </c>
      <c r="P1230" s="102" t="str">
        <v>N</v>
      </c>
      <c r="Q1230" s="123">
        <v>46066</v>
      </c>
      <c r="R1230" s="141">
        <v>0</v>
      </c>
      <c r="S1230" s="98">
        <v>0</v>
      </c>
      <c r="T1230" s="98">
        <v>0</v>
      </c>
      <c r="U1230" s="143">
        <v>0</v>
      </c>
      <c r="V1230" s="126" t="str">
        <f t="shared" si="38"/>
        <v>✅ On Best Plan</v>
      </c>
      <c r="W1230" s="130">
        <f>IFERROR(_xlfn.XLOOKUP(TEXT(H1230,"0000000000"),'📞 Call Tracker'!A$2:A$2000,'📞 Call Tracker'!B$2:B$2000,""),"")</f>
        <v>0</v>
      </c>
      <c r="X1230" s="96">
        <f>IFERROR(_xlfn.XLOOKUP(TEXT(H1230,"0000000000"),'📞 Call Tracker'!A$2:A$2000,'📞 Call Tracker'!C$2:C$2000,""),"")</f>
        <v>0</v>
      </c>
      <c r="Y1230" s="95">
        <f>IFERROR(_xlfn.XLOOKUP(TEXT(H1230,"0000000000"),'📞 Call Tracker'!A$2:A$2000,'📞 Call Tracker'!D$2:D$2000,""),"")</f>
        <v>0</v>
      </c>
      <c r="Z1230" s="95">
        <f>IFERROR(_xlfn.XLOOKUP(TEXT(H1230,"0000000000"),'📞 Call Tracker'!A$2:A$2000,'📞 Call Tracker'!E$2:E$2000,""),"")</f>
        <v>0</v>
      </c>
      <c r="AA1230" s="145">
        <f>IFERROR(_xlfn.XLOOKUP(TEXT(H1230,"0000000000"),'📞 Call Tracker'!A$2:A$2000,'📞 Call Tracker'!F$2:F$2000,""),"")</f>
        <v>0</v>
      </c>
      <c r="AB1230" s="132">
        <f t="shared" si="39"/>
        <v>99</v>
      </c>
      <c r="AC1230" s="79"/>
    </row>
    <row r="1231" spans="1:29" ht="20.100000000000001" customHeight="1">
      <c r="A1231" s="97">
        <v>46064</v>
      </c>
      <c r="B1231" s="98" t="str">
        <v>Bean</v>
      </c>
      <c r="C1231" s="98" t="str">
        <v>Jodi</v>
      </c>
      <c r="D1231" s="98" t="str">
        <v>Wittmann</v>
      </c>
      <c r="E1231" s="99">
        <v>85361</v>
      </c>
      <c r="F1231" s="138" t="str">
        <v>I dent think APS needs another 14% rate hike people are barely making ends meet.</v>
      </c>
      <c r="G1231" s="100" t="str">
        <v>https://docket.images.azcc.gov/E000049379.pdf</v>
      </c>
      <c r="H1231" s="151" t="s">
        <v>4586</v>
      </c>
      <c r="I1231" s="115" t="str">
        <v>RTOUE47</v>
      </c>
      <c r="J1231" s="110" t="str">
        <v>No</v>
      </c>
      <c r="K1231" s="101" t="str">
        <v>No</v>
      </c>
      <c r="L1231" s="138" t="str">
        <v>No MEP R3-47 ($326.85)</v>
      </c>
      <c r="M1231" s="101" t="str">
        <v>Yes</v>
      </c>
      <c r="N1231" s="135">
        <v>409.95</v>
      </c>
      <c r="O1231" s="120" t="str">
        <v>Yes</v>
      </c>
      <c r="P1231" s="102">
        <v>0</v>
      </c>
      <c r="Q1231" s="123">
        <v>46066</v>
      </c>
      <c r="R1231" s="141" t="str">
        <v>Docketed 2x Please contact customer regarding plan options and additional assistance programs?</v>
      </c>
      <c r="S1231" s="98">
        <v>0</v>
      </c>
      <c r="T1231" s="98">
        <v>0</v>
      </c>
      <c r="U1231" s="143">
        <v>0</v>
      </c>
      <c r="V1231" s="126" t="str">
        <f t="shared" si="38"/>
        <v>❌ Not on Best Plan</v>
      </c>
      <c r="W1231" s="130">
        <f>IFERROR(_xlfn.XLOOKUP(TEXT(H1231,"0000000000"),'📞 Call Tracker'!A$2:A$2000,'📞 Call Tracker'!B$2:B$2000,""),"")</f>
        <v>0</v>
      </c>
      <c r="X1231" s="96">
        <f>IFERROR(_xlfn.XLOOKUP(TEXT(H1231,"0000000000"),'📞 Call Tracker'!A$2:A$2000,'📞 Call Tracker'!C$2:C$2000,""),"")</f>
        <v>0</v>
      </c>
      <c r="Y1231" s="95">
        <f>IFERROR(_xlfn.XLOOKUP(TEXT(H1231,"0000000000"),'📞 Call Tracker'!A$2:A$2000,'📞 Call Tracker'!D$2:D$2000,""),"")</f>
        <v>0</v>
      </c>
      <c r="Z1231" s="95">
        <f>IFERROR(_xlfn.XLOOKUP(TEXT(H1231,"0000000000"),'📞 Call Tracker'!A$2:A$2000,'📞 Call Tracker'!E$2:E$2000,""),"")</f>
        <v>0</v>
      </c>
      <c r="AA1231" s="145">
        <f>IFERROR(_xlfn.XLOOKUP(TEXT(H1231,"0000000000"),'📞 Call Tracker'!A$2:A$2000,'📞 Call Tracker'!F$2:F$2000,""),"")</f>
        <v>0</v>
      </c>
      <c r="AB1231" s="132">
        <f t="shared" si="39"/>
        <v>99</v>
      </c>
      <c r="AC1231" s="79"/>
    </row>
    <row r="1232" spans="1:29" ht="20.100000000000001" customHeight="1">
      <c r="A1232" s="97">
        <v>46065</v>
      </c>
      <c r="B1232" s="98" t="str">
        <v>Williams</v>
      </c>
      <c r="C1232" s="98" t="str">
        <v>Jesse</v>
      </c>
      <c r="D1232" s="98" t="str">
        <v>Phoenix</v>
      </c>
      <c r="E1232" s="99">
        <v>0</v>
      </c>
      <c r="F1232" s="138" t="str">
        <v>not all that long ago that APS did not need to have an "on peak/offpeak" ... renewable energy sources are driving up costs.</v>
      </c>
      <c r="G1232" s="100" t="str">
        <v>https://docket.images.azcc.gov/E000049400.pdf</v>
      </c>
      <c r="H1232" s="151" t="s">
        <v>4590</v>
      </c>
      <c r="I1232" s="115" t="str">
        <v>R3-47</v>
      </c>
      <c r="J1232" s="110" t="str">
        <v>No</v>
      </c>
      <c r="K1232" s="101" t="str">
        <v>No</v>
      </c>
      <c r="L1232" s="138" t="str">
        <v>Yes</v>
      </c>
      <c r="M1232" s="101" t="str">
        <v>No</v>
      </c>
      <c r="N1232" s="135" t="str">
        <v>No</v>
      </c>
      <c r="O1232" s="120" t="str">
        <v>Yes</v>
      </c>
      <c r="P1232" s="102" t="str">
        <v>N</v>
      </c>
      <c r="Q1232" s="123">
        <v>46066</v>
      </c>
      <c r="R1232" s="141">
        <v>0</v>
      </c>
      <c r="S1232" s="98">
        <v>0</v>
      </c>
      <c r="T1232" s="98">
        <v>0</v>
      </c>
      <c r="U1232" s="143">
        <v>0</v>
      </c>
      <c r="V1232" s="126" t="str">
        <f t="shared" si="38"/>
        <v>✅ On Best Plan</v>
      </c>
      <c r="W1232" s="130">
        <f>IFERROR(_xlfn.XLOOKUP(TEXT(H1232,"0000000000"),'📞 Call Tracker'!A$2:A$2000,'📞 Call Tracker'!B$2:B$2000,""),"")</f>
        <v>0</v>
      </c>
      <c r="X1232" s="96">
        <f>IFERROR(_xlfn.XLOOKUP(TEXT(H1232,"0000000000"),'📞 Call Tracker'!A$2:A$2000,'📞 Call Tracker'!C$2:C$2000,""),"")</f>
        <v>0</v>
      </c>
      <c r="Y1232" s="95">
        <f>IFERROR(_xlfn.XLOOKUP(TEXT(H1232,"0000000000"),'📞 Call Tracker'!A$2:A$2000,'📞 Call Tracker'!D$2:D$2000,""),"")</f>
        <v>0</v>
      </c>
      <c r="Z1232" s="95">
        <f>IFERROR(_xlfn.XLOOKUP(TEXT(H1232,"0000000000"),'📞 Call Tracker'!A$2:A$2000,'📞 Call Tracker'!E$2:E$2000,""),"")</f>
        <v>0</v>
      </c>
      <c r="AA1232" s="145">
        <f>IFERROR(_xlfn.XLOOKUP(TEXT(H1232,"0000000000"),'📞 Call Tracker'!A$2:A$2000,'📞 Call Tracker'!F$2:F$2000,""),"")</f>
        <v>0</v>
      </c>
      <c r="AB1232" s="132">
        <f t="shared" si="39"/>
        <v>99</v>
      </c>
      <c r="AC1232" s="79"/>
    </row>
    <row r="1233" spans="1:29" ht="20.100000000000001" customHeight="1">
      <c r="A1233" s="97">
        <v>46065</v>
      </c>
      <c r="B1233" s="98" t="str">
        <v>Murphy</v>
      </c>
      <c r="C1233" s="98" t="str">
        <v>Kathleen</v>
      </c>
      <c r="D1233" s="98" t="str">
        <v>Prescott</v>
      </c>
      <c r="E1233" s="99">
        <v>86303</v>
      </c>
      <c r="F1233" s="138" t="str">
        <v>We had a rateincrease of 8% in 2024 another 8% increase in 2025 and now you expect that we should allow another increase of 14%</v>
      </c>
      <c r="G1233" s="100" t="str">
        <v>https://docket.images.azcc.gov/E000049400.pdf</v>
      </c>
      <c r="H1233" s="151" t="s">
        <v>4593</v>
      </c>
      <c r="I1233" s="115" t="str">
        <v>R-XS</v>
      </c>
      <c r="J1233" s="110" t="str">
        <v>No</v>
      </c>
      <c r="K1233" s="101" t="str">
        <v>No</v>
      </c>
      <c r="L1233" s="138" t="str">
        <v>Yes</v>
      </c>
      <c r="M1233" s="101" t="str">
        <v>No</v>
      </c>
      <c r="N1233" s="135" t="str">
        <v>No</v>
      </c>
      <c r="O1233" s="120" t="str">
        <v>Yes</v>
      </c>
      <c r="P1233" s="102" t="str">
        <v>N</v>
      </c>
      <c r="Q1233" s="123">
        <v>46066</v>
      </c>
      <c r="R1233" s="141">
        <v>0</v>
      </c>
      <c r="S1233" s="98">
        <v>0</v>
      </c>
      <c r="T1233" s="98">
        <v>0</v>
      </c>
      <c r="U1233" s="143">
        <v>0</v>
      </c>
      <c r="V1233" s="126" t="str">
        <f t="shared" si="38"/>
        <v>✅ On Best Plan</v>
      </c>
      <c r="W1233" s="130" t="str">
        <f>IFERROR(_xlfn.XLOOKUP(TEXT(H1233,"0000000000"),'📞 Call Tracker'!A$2:A$2000,'📞 Call Tracker'!B$2:B$2000,""),"")</f>
        <v>Joaquin</v>
      </c>
      <c r="X1233" s="96">
        <f>IFERROR(_xlfn.XLOOKUP(TEXT(H1233,"0000000000"),'📞 Call Tracker'!A$2:A$2000,'📞 Call Tracker'!C$2:C$2000,""),"")</f>
        <v>46081</v>
      </c>
      <c r="Y1233" s="95" t="str">
        <f>IFERROR(_xlfn.XLOOKUP(TEXT(H1233,"0000000000"),'📞 Call Tracker'!A$2:A$2000,'📞 Call Tracker'!D$2:D$2000,""),"")</f>
        <v>NO</v>
      </c>
      <c r="Z1233" s="95" t="str">
        <f>IFERROR(_xlfn.XLOOKUP(TEXT(H1233,"0000000000"),'📞 Call Tracker'!A$2:A$2000,'📞 Call Tracker'!E$2:E$2000,""),"")</f>
        <v>General Education</v>
      </c>
      <c r="AA1233" s="145" t="str">
        <f>IFERROR(_xlfn.XLOOKUP(TEXT(H1233,"0000000000"),'📞 Call Tracker'!A$2:A$2000,'📞 Call Tracker'!F$2:F$2000,""),"")</f>
        <v>NOT  FOR RATE INCREASE</v>
      </c>
      <c r="AB1233" s="132">
        <f t="shared" si="39"/>
        <v>99</v>
      </c>
      <c r="AC1233" s="79"/>
    </row>
    <row r="1234" spans="1:29" ht="20.100000000000001" customHeight="1">
      <c r="A1234" s="97">
        <v>46065</v>
      </c>
      <c r="B1234" s="98" t="str">
        <v>Little</v>
      </c>
      <c r="C1234" s="98" t="str">
        <v>Wesley</v>
      </c>
      <c r="D1234" s="98" t="str">
        <v>Sedona</v>
      </c>
      <c r="E1234" s="99">
        <v>86336</v>
      </c>
      <c r="F1234" s="138" t="str">
        <v>Despite ratepayers using virtually the same or fewer KWHs, we are now being asked AGAIN to accommodate a rate increase. Let those that use the most, pay the most.</v>
      </c>
      <c r="G1234" s="100" t="str">
        <v>https://docket.images.azcc.gov/E000049387.pdf</v>
      </c>
      <c r="H1234" s="151" t="s">
        <v>4600</v>
      </c>
      <c r="I1234" s="115" t="str">
        <v>RCPw/RTOUE47</v>
      </c>
      <c r="J1234" s="110" t="str">
        <v>No</v>
      </c>
      <c r="K1234" s="101" t="str">
        <v>No</v>
      </c>
      <c r="L1234" s="138" t="str">
        <v>Yes</v>
      </c>
      <c r="M1234" s="101" t="str">
        <v>No</v>
      </c>
      <c r="N1234" s="135" t="str">
        <v>No</v>
      </c>
      <c r="O1234" s="120" t="str">
        <v>Yes</v>
      </c>
      <c r="P1234" s="102" t="str">
        <v>N</v>
      </c>
      <c r="Q1234" s="123">
        <v>46066</v>
      </c>
      <c r="R1234" s="141">
        <v>0</v>
      </c>
      <c r="S1234" s="98">
        <v>0</v>
      </c>
      <c r="T1234" s="98">
        <v>0</v>
      </c>
      <c r="U1234" s="143">
        <v>0</v>
      </c>
      <c r="V1234" s="126" t="str">
        <f t="shared" si="38"/>
        <v>✅ On Best Plan</v>
      </c>
      <c r="W1234" s="130">
        <f>IFERROR(_xlfn.XLOOKUP(TEXT(H1234,"0000000000"),'📞 Call Tracker'!A$2:A$2000,'📞 Call Tracker'!B$2:B$2000,""),"")</f>
        <v>0</v>
      </c>
      <c r="X1234" s="96">
        <f>IFERROR(_xlfn.XLOOKUP(TEXT(H1234,"0000000000"),'📞 Call Tracker'!A$2:A$2000,'📞 Call Tracker'!C$2:C$2000,""),"")</f>
        <v>0</v>
      </c>
      <c r="Y1234" s="95">
        <f>IFERROR(_xlfn.XLOOKUP(TEXT(H1234,"0000000000"),'📞 Call Tracker'!A$2:A$2000,'📞 Call Tracker'!D$2:D$2000,""),"")</f>
        <v>0</v>
      </c>
      <c r="Z1234" s="95">
        <f>IFERROR(_xlfn.XLOOKUP(TEXT(H1234,"0000000000"),'📞 Call Tracker'!A$2:A$2000,'📞 Call Tracker'!E$2:E$2000,""),"")</f>
        <v>0</v>
      </c>
      <c r="AA1234" s="145">
        <f>IFERROR(_xlfn.XLOOKUP(TEXT(H1234,"0000000000"),'📞 Call Tracker'!A$2:A$2000,'📞 Call Tracker'!F$2:F$2000,""),"")</f>
        <v>0</v>
      </c>
      <c r="AB1234" s="132">
        <f t="shared" si="39"/>
        <v>99</v>
      </c>
      <c r="AC1234" s="79"/>
    </row>
    <row r="1235" spans="1:29" ht="20.100000000000001" customHeight="1">
      <c r="A1235" s="97">
        <v>46065</v>
      </c>
      <c r="B1235" s="98" t="str">
        <v>St Clair</v>
      </c>
      <c r="C1235" s="98" t="str">
        <v>Kelly</v>
      </c>
      <c r="D1235" s="98" t="str">
        <v>Sedona</v>
      </c>
      <c r="E1235" s="99">
        <v>86336</v>
      </c>
      <c r="F1235" s="138" t="str">
        <v>APS rate increase. When is enough, enough!?!? No more rate increases. It's outrageous!</v>
      </c>
      <c r="G1235" s="100" t="str">
        <v>https://docket.images.azcc.gov/E000049387.pdf</v>
      </c>
      <c r="H1235" s="151" t="s">
        <v>4603</v>
      </c>
      <c r="I1235" s="115" t="str">
        <v>R3-47</v>
      </c>
      <c r="J1235" s="110" t="str">
        <v>No</v>
      </c>
      <c r="K1235" s="101" t="str">
        <v>No</v>
      </c>
      <c r="L1235" s="138" t="str">
        <v>Yes</v>
      </c>
      <c r="M1235" s="101" t="str">
        <v>No</v>
      </c>
      <c r="N1235" s="135" t="str">
        <v>No</v>
      </c>
      <c r="O1235" s="120" t="str">
        <v>Yes</v>
      </c>
      <c r="P1235" s="102" t="str">
        <v>N</v>
      </c>
      <c r="Q1235" s="123">
        <v>46066</v>
      </c>
      <c r="R1235" s="141">
        <v>0</v>
      </c>
      <c r="S1235" s="98">
        <v>0</v>
      </c>
      <c r="T1235" s="98">
        <v>0</v>
      </c>
      <c r="U1235" s="143">
        <v>0</v>
      </c>
      <c r="V1235" s="126" t="str">
        <f t="shared" si="38"/>
        <v>✅ On Best Plan</v>
      </c>
      <c r="W1235" s="130">
        <f>IFERROR(_xlfn.XLOOKUP(TEXT(H1235,"0000000000"),'📞 Call Tracker'!A$2:A$2000,'📞 Call Tracker'!B$2:B$2000,""),"")</f>
        <v>0</v>
      </c>
      <c r="X1235" s="96">
        <f>IFERROR(_xlfn.XLOOKUP(TEXT(H1235,"0000000000"),'📞 Call Tracker'!A$2:A$2000,'📞 Call Tracker'!C$2:C$2000,""),"")</f>
        <v>0</v>
      </c>
      <c r="Y1235" s="95">
        <f>IFERROR(_xlfn.XLOOKUP(TEXT(H1235,"0000000000"),'📞 Call Tracker'!A$2:A$2000,'📞 Call Tracker'!D$2:D$2000,""),"")</f>
        <v>0</v>
      </c>
      <c r="Z1235" s="95">
        <f>IFERROR(_xlfn.XLOOKUP(TEXT(H1235,"0000000000"),'📞 Call Tracker'!A$2:A$2000,'📞 Call Tracker'!E$2:E$2000,""),"")</f>
        <v>0</v>
      </c>
      <c r="AA1235" s="145">
        <f>IFERROR(_xlfn.XLOOKUP(TEXT(H1235,"0000000000"),'📞 Call Tracker'!A$2:A$2000,'📞 Call Tracker'!F$2:F$2000,""),"")</f>
        <v>0</v>
      </c>
      <c r="AB1235" s="132">
        <f t="shared" si="39"/>
        <v>99</v>
      </c>
      <c r="AC1235" s="79"/>
    </row>
    <row r="1236" spans="1:29" ht="20.100000000000001" customHeight="1">
      <c r="A1236" s="97">
        <v>46065</v>
      </c>
      <c r="B1236" s="98" t="str">
        <v>Bowman</v>
      </c>
      <c r="C1236" s="98" t="str">
        <v>Emily</v>
      </c>
      <c r="D1236" s="98" t="str">
        <v>Flagstaff</v>
      </c>
      <c r="E1236" s="99">
        <v>86004</v>
      </c>
      <c r="F1236" s="138" t="str">
        <v>My husband and I are both nurses and we have one child. Even living modestly with two professional degrees and employment, we struggle to keep up</v>
      </c>
      <c r="G1236" s="100" t="str">
        <v>https://docket.images.azcc.gov/E000049387.pdf</v>
      </c>
      <c r="H1236" s="151" t="s">
        <v>4053</v>
      </c>
      <c r="I1236" s="115" t="str">
        <v>R-XS</v>
      </c>
      <c r="J1236" s="110" t="str">
        <v>No</v>
      </c>
      <c r="K1236" s="101" t="str">
        <v>No</v>
      </c>
      <c r="L1236" s="138" t="str">
        <v>Yes</v>
      </c>
      <c r="M1236" s="101" t="str">
        <v>No</v>
      </c>
      <c r="N1236" s="135" t="str">
        <v>No</v>
      </c>
      <c r="O1236" s="120" t="str">
        <v>Yes</v>
      </c>
      <c r="P1236" s="102" t="str">
        <v>N</v>
      </c>
      <c r="Q1236" s="123">
        <v>46066</v>
      </c>
      <c r="R1236" s="141">
        <v>0</v>
      </c>
      <c r="S1236" s="98">
        <v>0</v>
      </c>
      <c r="T1236" s="98">
        <v>0</v>
      </c>
      <c r="U1236" s="143">
        <v>0</v>
      </c>
      <c r="V1236" s="126" t="str">
        <f t="shared" si="38"/>
        <v>✅ On Best Plan</v>
      </c>
      <c r="W1236" s="130">
        <f>IFERROR(_xlfn.XLOOKUP(TEXT(H1236,"0000000000"),'📞 Call Tracker'!A$2:A$2000,'📞 Call Tracker'!B$2:B$2000,""),"")</f>
        <v>0</v>
      </c>
      <c r="X1236" s="96">
        <f>IFERROR(_xlfn.XLOOKUP(TEXT(H1236,"0000000000"),'📞 Call Tracker'!A$2:A$2000,'📞 Call Tracker'!C$2:C$2000,""),"")</f>
        <v>0</v>
      </c>
      <c r="Y1236" s="95">
        <f>IFERROR(_xlfn.XLOOKUP(TEXT(H1236,"0000000000"),'📞 Call Tracker'!A$2:A$2000,'📞 Call Tracker'!D$2:D$2000,""),"")</f>
        <v>0</v>
      </c>
      <c r="Z1236" s="95">
        <f>IFERROR(_xlfn.XLOOKUP(TEXT(H1236,"0000000000"),'📞 Call Tracker'!A$2:A$2000,'📞 Call Tracker'!E$2:E$2000,""),"")</f>
        <v>0</v>
      </c>
      <c r="AA1236" s="145">
        <f>IFERROR(_xlfn.XLOOKUP(TEXT(H1236,"0000000000"),'📞 Call Tracker'!A$2:A$2000,'📞 Call Tracker'!F$2:F$2000,""),"")</f>
        <v>0</v>
      </c>
      <c r="AB1236" s="132">
        <f t="shared" si="39"/>
        <v>99</v>
      </c>
      <c r="AC1236" s="79"/>
    </row>
    <row r="1237" spans="1:29" ht="20.100000000000001" customHeight="1">
      <c r="A1237" s="97">
        <v>46065</v>
      </c>
      <c r="B1237" s="98" t="str">
        <v>Noyes</v>
      </c>
      <c r="C1237" s="98" t="str">
        <v>Mike</v>
      </c>
      <c r="D1237" s="98" t="str">
        <v>Gilbert</v>
      </c>
      <c r="E1237" s="99">
        <v>85234</v>
      </c>
      <c r="F1237" s="138" t="str">
        <v>Wage growth has not caught up to the rising costs of living, especially here in Arizona</v>
      </c>
      <c r="G1237" s="100" t="str">
        <v>https://docket.images.azcc.gov/E000049387.pdf</v>
      </c>
      <c r="H1237" s="151" t="s">
        <v>4607</v>
      </c>
      <c r="I1237" s="115" t="str">
        <v>R-2</v>
      </c>
      <c r="J1237" s="110" t="str">
        <v>No</v>
      </c>
      <c r="K1237" s="101" t="str">
        <v>No</v>
      </c>
      <c r="L1237" s="138" t="str">
        <v>Frozen Plan</v>
      </c>
      <c r="M1237" s="101" t="str">
        <v>No</v>
      </c>
      <c r="N1237" s="135" t="str">
        <v>No</v>
      </c>
      <c r="O1237" s="120" t="str">
        <v>Yes</v>
      </c>
      <c r="P1237" s="102" t="str">
        <v>N</v>
      </c>
      <c r="Q1237" s="123">
        <v>46066</v>
      </c>
      <c r="R1237" s="141">
        <v>0</v>
      </c>
      <c r="S1237" s="98">
        <v>0</v>
      </c>
      <c r="T1237" s="98">
        <v>0</v>
      </c>
      <c r="U1237" s="143">
        <v>0</v>
      </c>
      <c r="V1237" s="126" t="str">
        <f t="shared" si="38"/>
        <v>❄ Frozen Rate</v>
      </c>
      <c r="W1237" s="130">
        <f>IFERROR(_xlfn.XLOOKUP(TEXT(H1237,"0000000000"),'📞 Call Tracker'!A$2:A$2000,'📞 Call Tracker'!B$2:B$2000,""),"")</f>
        <v>0</v>
      </c>
      <c r="X1237" s="96">
        <f>IFERROR(_xlfn.XLOOKUP(TEXT(H1237,"0000000000"),'📞 Call Tracker'!A$2:A$2000,'📞 Call Tracker'!C$2:C$2000,""),"")</f>
        <v>0</v>
      </c>
      <c r="Y1237" s="95">
        <f>IFERROR(_xlfn.XLOOKUP(TEXT(H1237,"0000000000"),'📞 Call Tracker'!A$2:A$2000,'📞 Call Tracker'!D$2:D$2000,""),"")</f>
        <v>0</v>
      </c>
      <c r="Z1237" s="95">
        <f>IFERROR(_xlfn.XLOOKUP(TEXT(H1237,"0000000000"),'📞 Call Tracker'!A$2:A$2000,'📞 Call Tracker'!E$2:E$2000,""),"")</f>
        <v>0</v>
      </c>
      <c r="AA1237" s="145">
        <f>IFERROR(_xlfn.XLOOKUP(TEXT(H1237,"0000000000"),'📞 Call Tracker'!A$2:A$2000,'📞 Call Tracker'!F$2:F$2000,""),"")</f>
        <v>0</v>
      </c>
      <c r="AB1237" s="132">
        <f t="shared" si="39"/>
        <v>99</v>
      </c>
      <c r="AC1237" s="79"/>
    </row>
    <row r="1238" spans="1:29" ht="20.100000000000001" customHeight="1">
      <c r="A1238" s="97">
        <v>46065</v>
      </c>
      <c r="B1238" s="98" t="str">
        <v>Jack</v>
      </c>
      <c r="C1238" s="98" t="str">
        <v>Michelle</v>
      </c>
      <c r="D1238" s="98" t="str">
        <v>Sedona</v>
      </c>
      <c r="E1238" s="99">
        <v>86336</v>
      </c>
      <c r="F1238" s="138" t="str">
        <v>I am a native born Arizonan and always believed APS was here to serve the people who lived in Arizona.But I no longer feel that way.</v>
      </c>
      <c r="G1238" s="100" t="str">
        <v>https://docket.images.azcc.gov/E000049387.pdf</v>
      </c>
      <c r="H1238" s="151" t="s">
        <v>4611</v>
      </c>
      <c r="I1238" s="115" t="str">
        <v>R-XS</v>
      </c>
      <c r="J1238" s="110" t="str">
        <v>No</v>
      </c>
      <c r="K1238" s="101" t="str">
        <v>No</v>
      </c>
      <c r="L1238" s="138" t="str">
        <v>Yes</v>
      </c>
      <c r="M1238" s="101" t="str">
        <v>No</v>
      </c>
      <c r="N1238" s="135" t="str">
        <v>No</v>
      </c>
      <c r="O1238" s="120" t="str">
        <v>Yes</v>
      </c>
      <c r="P1238" s="102" t="str">
        <v>N</v>
      </c>
      <c r="Q1238" s="123">
        <v>46066</v>
      </c>
      <c r="R1238" s="141" t="str">
        <v>2 locations are AMI Opt Out</v>
      </c>
      <c r="S1238" s="98">
        <v>0</v>
      </c>
      <c r="T1238" s="98">
        <v>0</v>
      </c>
      <c r="U1238" s="143">
        <v>0</v>
      </c>
      <c r="V1238" s="126" t="str">
        <f t="shared" si="38"/>
        <v>✅ On Best Plan</v>
      </c>
      <c r="W1238" s="130">
        <f>IFERROR(_xlfn.XLOOKUP(TEXT(H1238,"0000000000"),'📞 Call Tracker'!A$2:A$2000,'📞 Call Tracker'!B$2:B$2000,""),"")</f>
        <v>0</v>
      </c>
      <c r="X1238" s="96">
        <f>IFERROR(_xlfn.XLOOKUP(TEXT(H1238,"0000000000"),'📞 Call Tracker'!A$2:A$2000,'📞 Call Tracker'!C$2:C$2000,""),"")</f>
        <v>0</v>
      </c>
      <c r="Y1238" s="95">
        <f>IFERROR(_xlfn.XLOOKUP(TEXT(H1238,"0000000000"),'📞 Call Tracker'!A$2:A$2000,'📞 Call Tracker'!D$2:D$2000,""),"")</f>
        <v>0</v>
      </c>
      <c r="Z1238" s="95">
        <f>IFERROR(_xlfn.XLOOKUP(TEXT(H1238,"0000000000"),'📞 Call Tracker'!A$2:A$2000,'📞 Call Tracker'!E$2:E$2000,""),"")</f>
        <v>0</v>
      </c>
      <c r="AA1238" s="145">
        <f>IFERROR(_xlfn.XLOOKUP(TEXT(H1238,"0000000000"),'📞 Call Tracker'!A$2:A$2000,'📞 Call Tracker'!F$2:F$2000,""),"")</f>
        <v>0</v>
      </c>
      <c r="AB1238" s="132">
        <f t="shared" si="39"/>
        <v>99</v>
      </c>
      <c r="AC1238" s="79"/>
    </row>
    <row r="1239" spans="1:29" ht="20.100000000000001" customHeight="1">
      <c r="A1239" s="97">
        <v>46065</v>
      </c>
      <c r="B1239" s="98" t="str">
        <v>Fleet</v>
      </c>
      <c r="C1239" s="98" t="str">
        <v>Cheryl</v>
      </c>
      <c r="D1239" s="98" t="str">
        <v>Sedona</v>
      </c>
      <c r="E1239" s="99">
        <v>86336</v>
      </c>
      <c r="F1239" s="138" t="str">
        <v>October 2023 $67 credit, October 2024 $71 credit, October 2025 $81 bill</v>
      </c>
      <c r="G1239" s="100" t="str">
        <v>https://docket.images.azcc.gov/E000049387.pdf</v>
      </c>
      <c r="H1239" s="151" t="s">
        <v>4616</v>
      </c>
      <c r="I1239" s="115" t="str">
        <v>RCPw/TOUE47</v>
      </c>
      <c r="J1239" s="110" t="str">
        <v>No</v>
      </c>
      <c r="K1239" s="101" t="str">
        <v>No</v>
      </c>
      <c r="L1239" s="138" t="str">
        <v>Yes</v>
      </c>
      <c r="M1239" s="101" t="str">
        <v>No</v>
      </c>
      <c r="N1239" s="135" t="str">
        <v>No</v>
      </c>
      <c r="O1239" s="120" t="str">
        <v>Yes</v>
      </c>
      <c r="P1239" s="102" t="str">
        <v>N</v>
      </c>
      <c r="Q1239" s="123">
        <v>46066</v>
      </c>
      <c r="R1239" s="141">
        <v>0</v>
      </c>
      <c r="S1239" s="98">
        <v>0</v>
      </c>
      <c r="T1239" s="98">
        <v>0</v>
      </c>
      <c r="U1239" s="143">
        <v>0</v>
      </c>
      <c r="V1239" s="126" t="str">
        <f t="shared" si="38"/>
        <v>✅ On Best Plan</v>
      </c>
      <c r="W1239" s="130" t="str">
        <f>IFERROR(_xlfn.XLOOKUP(TEXT(H1239,"0000000000"),'📞 Call Tracker'!A$2:A$2000,'📞 Call Tracker'!B$2:B$2000,""),"")</f>
        <v>Joaquin</v>
      </c>
      <c r="X1239" s="96">
        <f>IFERROR(_xlfn.XLOOKUP(TEXT(H1239,"0000000000"),'📞 Call Tracker'!A$2:A$2000,'📞 Call Tracker'!C$2:C$2000,""),"")</f>
        <v>45997</v>
      </c>
      <c r="Y1239" s="95" t="str">
        <f>IFERROR(_xlfn.XLOOKUP(TEXT(H1239,"0000000000"),'📞 Call Tracker'!A$2:A$2000,'📞 Call Tracker'!D$2:D$2000,""),"")</f>
        <v>YES</v>
      </c>
      <c r="Z1239" s="95">
        <f>IFERROR(_xlfn.XLOOKUP(TEXT(H1239,"0000000000"),'📞 Call Tracker'!A$2:A$2000,'📞 Call Tracker'!E$2:E$2000,""),"")</f>
        <v>0</v>
      </c>
      <c r="AA1239" s="145" t="str">
        <f>IFERROR(_xlfn.XLOOKUP(TEXT(H1239,"0000000000"),'📞 Call Tracker'!A$2:A$2000,'📞 Call Tracker'!F$2:F$2000,""),"")</f>
        <v>LEFT VOICE MAIL</v>
      </c>
      <c r="AB1239" s="132">
        <f t="shared" si="39"/>
        <v>99</v>
      </c>
      <c r="AC1239" s="79"/>
    </row>
    <row r="1240" spans="1:29" ht="20.100000000000001" customHeight="1">
      <c r="A1240" s="97">
        <v>46065</v>
      </c>
      <c r="B1240" s="98" t="str">
        <v>Solar United Neighbors</v>
      </c>
      <c r="C1240" s="98">
        <v>0</v>
      </c>
      <c r="D1240" s="98">
        <v>0</v>
      </c>
      <c r="E1240" s="99">
        <v>0</v>
      </c>
      <c r="F1240" s="138" t="str">
        <v>Organizational Comment Opposing APS's Proposed Grid Access Charge, Excessive ROE, and Unaffordable Rate Increase</v>
      </c>
      <c r="G1240" s="100" t="str">
        <v>https://docket.images.azcc.gov/E000049395.pdf</v>
      </c>
      <c r="H1240" s="151" t="s">
        <v>6484</v>
      </c>
      <c r="I1240" s="115">
        <v>0</v>
      </c>
      <c r="J1240" s="110">
        <v>0</v>
      </c>
      <c r="K1240" s="101">
        <v>0</v>
      </c>
      <c r="L1240" s="138">
        <v>0</v>
      </c>
      <c r="M1240" s="101">
        <v>0</v>
      </c>
      <c r="N1240" s="135">
        <v>0</v>
      </c>
      <c r="O1240" s="120">
        <v>0</v>
      </c>
      <c r="P1240" s="102">
        <v>0</v>
      </c>
      <c r="Q1240" s="123">
        <v>0</v>
      </c>
      <c r="R1240" s="141">
        <v>0</v>
      </c>
      <c r="S1240" s="98">
        <v>0</v>
      </c>
      <c r="T1240" s="98">
        <v>0</v>
      </c>
      <c r="U1240" s="143">
        <v>0</v>
      </c>
      <c r="V1240" s="126" t="str">
        <f t="shared" si="38"/>
        <v>❌ Not on Best Plan</v>
      </c>
      <c r="W1240" s="130">
        <f>IFERROR(_xlfn.XLOOKUP(TEXT(H1240,"0000000000"),'📞 Call Tracker'!A$2:A$2000,'📞 Call Tracker'!B$2:B$2000,""),"")</f>
        <v>0</v>
      </c>
      <c r="X1240" s="96">
        <f>IFERROR(_xlfn.XLOOKUP(TEXT(H1240,"0000000000"),'📞 Call Tracker'!A$2:A$2000,'📞 Call Tracker'!C$2:C$2000,""),"")</f>
        <v>0</v>
      </c>
      <c r="Y1240" s="95">
        <f>IFERROR(_xlfn.XLOOKUP(TEXT(H1240,"0000000000"),'📞 Call Tracker'!A$2:A$2000,'📞 Call Tracker'!D$2:D$2000,""),"")</f>
        <v>0</v>
      </c>
      <c r="Z1240" s="95">
        <f>IFERROR(_xlfn.XLOOKUP(TEXT(H1240,"0000000000"),'📞 Call Tracker'!A$2:A$2000,'📞 Call Tracker'!E$2:E$2000,""),"")</f>
        <v>0</v>
      </c>
      <c r="AA1240" s="145">
        <f>IFERROR(_xlfn.XLOOKUP(TEXT(H1240,"0000000000"),'📞 Call Tracker'!A$2:A$2000,'📞 Call Tracker'!F$2:F$2000,""),"")</f>
        <v>0</v>
      </c>
      <c r="AB1240" s="132">
        <f t="shared" si="39"/>
        <v>99</v>
      </c>
      <c r="AC1240" s="79"/>
    </row>
    <row r="1241" spans="1:29" ht="20.100000000000001" customHeight="1">
      <c r="A1241" s="97">
        <v>46070</v>
      </c>
      <c r="B1241" s="98" t="str">
        <v>Pine</v>
      </c>
      <c r="C1241" s="98" t="str">
        <v>Bob</v>
      </c>
      <c r="D1241" s="98" t="str">
        <v>Unknown</v>
      </c>
      <c r="E1241" s="99" t="str">
        <v>Unknown</v>
      </c>
      <c r="F1241" s="138" t="str">
        <v>Please vote against the APS rate increase application and any other increase application APS applies for</v>
      </c>
      <c r="G1241" s="100" t="str">
        <v>https://docket.images.azcc.gov/E000049441.pdf</v>
      </c>
      <c r="H1241" s="151" t="s">
        <v>6164</v>
      </c>
      <c r="I1241" s="115" t="str">
        <v>RCPw/RTOUE47</v>
      </c>
      <c r="J1241" s="110" t="str">
        <v>No</v>
      </c>
      <c r="K1241" s="101" t="str">
        <v>No</v>
      </c>
      <c r="L1241" s="138" t="str">
        <v>Not eligible yet</v>
      </c>
      <c r="M1241" s="101" t="str">
        <v>No</v>
      </c>
      <c r="N1241" s="135" t="str">
        <v>No</v>
      </c>
      <c r="O1241" s="120" t="str">
        <v>Yes</v>
      </c>
      <c r="P1241" s="102" t="str">
        <v>N</v>
      </c>
      <c r="Q1241" s="123">
        <v>46077</v>
      </c>
      <c r="R1241" s="141">
        <v>0</v>
      </c>
      <c r="S1241" s="98">
        <v>0</v>
      </c>
      <c r="T1241" s="98">
        <v>0</v>
      </c>
      <c r="U1241" s="143">
        <v>0</v>
      </c>
      <c r="V1241" s="126" t="str">
        <f t="shared" si="38"/>
        <v>❌ Not on Best Plan</v>
      </c>
      <c r="W1241" s="130">
        <f>IFERROR(_xlfn.XLOOKUP(TEXT(H1241,"0000000000"),'📞 Call Tracker'!A$2:A$2000,'📞 Call Tracker'!B$2:B$2000,""),"")</f>
        <v>0</v>
      </c>
      <c r="X1241" s="96">
        <f>IFERROR(_xlfn.XLOOKUP(TEXT(H1241,"0000000000"),'📞 Call Tracker'!A$2:A$2000,'📞 Call Tracker'!C$2:C$2000,""),"")</f>
        <v>0</v>
      </c>
      <c r="Y1241" s="95">
        <f>IFERROR(_xlfn.XLOOKUP(TEXT(H1241,"0000000000"),'📞 Call Tracker'!A$2:A$2000,'📞 Call Tracker'!D$2:D$2000,""),"")</f>
        <v>0</v>
      </c>
      <c r="Z1241" s="95">
        <f>IFERROR(_xlfn.XLOOKUP(TEXT(H1241,"0000000000"),'📞 Call Tracker'!A$2:A$2000,'📞 Call Tracker'!E$2:E$2000,""),"")</f>
        <v>0</v>
      </c>
      <c r="AA1241" s="145">
        <f>IFERROR(_xlfn.XLOOKUP(TEXT(H1241,"0000000000"),'📞 Call Tracker'!A$2:A$2000,'📞 Call Tracker'!F$2:F$2000,""),"")</f>
        <v>0</v>
      </c>
      <c r="AB1241" s="132">
        <f t="shared" si="39"/>
        <v>99</v>
      </c>
      <c r="AC1241" s="79"/>
    </row>
    <row r="1242" spans="1:29" ht="20.100000000000001" customHeight="1">
      <c r="A1242" s="97">
        <v>46070</v>
      </c>
      <c r="B1242" s="98" t="str">
        <v>Thompson</v>
      </c>
      <c r="C1242" s="98" t="str">
        <v>Carolyn</v>
      </c>
      <c r="D1242" s="98" t="str">
        <v>Surprise</v>
      </c>
      <c r="E1242" s="99">
        <v>85374</v>
      </c>
      <c r="F1242" s="138" t="str">
        <v>As a senior citizen the rate increase will impact me but I do have an income. My COLA from Social Security was 2.8% this past year.</v>
      </c>
      <c r="G1242" s="100" t="str">
        <v>https://docket.images.azcc.gov/E000049441.pdf</v>
      </c>
      <c r="H1242" s="151" t="s">
        <v>6485</v>
      </c>
      <c r="I1242" s="115" t="str">
        <v>R3-47</v>
      </c>
      <c r="J1242" s="110" t="str">
        <v>No</v>
      </c>
      <c r="K1242" s="101" t="str">
        <v>No</v>
      </c>
      <c r="L1242" s="138" t="str">
        <v>Yes</v>
      </c>
      <c r="M1242" s="101" t="str">
        <v>No</v>
      </c>
      <c r="N1242" s="135" t="str">
        <v>No</v>
      </c>
      <c r="O1242" s="120" t="str">
        <v>Yes</v>
      </c>
      <c r="P1242" s="102" t="str">
        <v>N</v>
      </c>
      <c r="Q1242" s="123">
        <v>46077</v>
      </c>
      <c r="R1242" s="141">
        <v>0</v>
      </c>
      <c r="S1242" s="98">
        <v>0</v>
      </c>
      <c r="T1242" s="98">
        <v>0</v>
      </c>
      <c r="U1242" s="143">
        <v>0</v>
      </c>
      <c r="V1242" s="126" t="str">
        <f t="shared" si="38"/>
        <v>✅ On Best Plan</v>
      </c>
      <c r="W1242" s="130">
        <f>IFERROR(_xlfn.XLOOKUP(TEXT(H1242,"0000000000"),'📞 Call Tracker'!A$2:A$2000,'📞 Call Tracker'!B$2:B$2000,""),"")</f>
        <v>0</v>
      </c>
      <c r="X1242" s="96">
        <f>IFERROR(_xlfn.XLOOKUP(TEXT(H1242,"0000000000"),'📞 Call Tracker'!A$2:A$2000,'📞 Call Tracker'!C$2:C$2000,""),"")</f>
        <v>0</v>
      </c>
      <c r="Y1242" s="95">
        <f>IFERROR(_xlfn.XLOOKUP(TEXT(H1242,"0000000000"),'📞 Call Tracker'!A$2:A$2000,'📞 Call Tracker'!D$2:D$2000,""),"")</f>
        <v>0</v>
      </c>
      <c r="Z1242" s="95">
        <f>IFERROR(_xlfn.XLOOKUP(TEXT(H1242,"0000000000"),'📞 Call Tracker'!A$2:A$2000,'📞 Call Tracker'!E$2:E$2000,""),"")</f>
        <v>0</v>
      </c>
      <c r="AA1242" s="145">
        <f>IFERROR(_xlfn.XLOOKUP(TEXT(H1242,"0000000000"),'📞 Call Tracker'!A$2:A$2000,'📞 Call Tracker'!F$2:F$2000,""),"")</f>
        <v>0</v>
      </c>
      <c r="AB1242" s="132">
        <f t="shared" si="39"/>
        <v>99</v>
      </c>
      <c r="AC1242" s="79"/>
    </row>
    <row r="1243" spans="1:29" ht="20.100000000000001" customHeight="1">
      <c r="A1243" s="97">
        <v>46070</v>
      </c>
      <c r="B1243" s="98" t="str">
        <v>Diaz</v>
      </c>
      <c r="C1243" s="98" t="str">
        <v>Sue</v>
      </c>
      <c r="D1243" s="98" t="str">
        <v>Phoenix</v>
      </c>
      <c r="E1243" s="99">
        <v>85029</v>
      </c>
      <c r="F1243" s="138" t="str">
        <v>Near retirement and invested in 34 solar panels to cover our long-term energy needs. Do not yet cover our full electrical costs and proposed increase will exacerbate this issue.</v>
      </c>
      <c r="G1243" s="100" t="str">
        <v>https://docket.images.azcc.gov/E000049487.pdf</v>
      </c>
      <c r="H1243" s="151" t="s">
        <v>6486</v>
      </c>
      <c r="I1243" s="115" t="str">
        <v>RCPw/RTOUE47</v>
      </c>
      <c r="J1243" s="110" t="str">
        <v>No</v>
      </c>
      <c r="K1243" s="101" t="str">
        <v>No</v>
      </c>
      <c r="L1243" s="138" t="str">
        <v>No MEP R3-47 ($14.60)</v>
      </c>
      <c r="M1243" s="101" t="str">
        <v>No</v>
      </c>
      <c r="N1243" s="135" t="str">
        <v>No</v>
      </c>
      <c r="O1243" s="120" t="str">
        <v>Yes</v>
      </c>
      <c r="P1243" s="102" t="str">
        <v>N</v>
      </c>
      <c r="Q1243" s="123">
        <v>46077</v>
      </c>
      <c r="R1243" s="141">
        <v>0</v>
      </c>
      <c r="S1243" s="98">
        <v>0</v>
      </c>
      <c r="T1243" s="98">
        <v>0</v>
      </c>
      <c r="U1243" s="143">
        <v>0</v>
      </c>
      <c r="V1243" s="126" t="str">
        <f t="shared" si="38"/>
        <v>❌ Not on Best Plan</v>
      </c>
      <c r="W1243" s="130">
        <f>IFERROR(_xlfn.XLOOKUP(TEXT(H1243,"0000000000"),'📞 Call Tracker'!A$2:A$2000,'📞 Call Tracker'!B$2:B$2000,""),"")</f>
        <v>0</v>
      </c>
      <c r="X1243" s="96">
        <f>IFERROR(_xlfn.XLOOKUP(TEXT(H1243,"0000000000"),'📞 Call Tracker'!A$2:A$2000,'📞 Call Tracker'!C$2:C$2000,""),"")</f>
        <v>0</v>
      </c>
      <c r="Y1243" s="95">
        <f>IFERROR(_xlfn.XLOOKUP(TEXT(H1243,"0000000000"),'📞 Call Tracker'!A$2:A$2000,'📞 Call Tracker'!D$2:D$2000,""),"")</f>
        <v>0</v>
      </c>
      <c r="Z1243" s="95">
        <f>IFERROR(_xlfn.XLOOKUP(TEXT(H1243,"0000000000"),'📞 Call Tracker'!A$2:A$2000,'📞 Call Tracker'!E$2:E$2000,""),"")</f>
        <v>0</v>
      </c>
      <c r="AA1243" s="145">
        <f>IFERROR(_xlfn.XLOOKUP(TEXT(H1243,"0000000000"),'📞 Call Tracker'!A$2:A$2000,'📞 Call Tracker'!F$2:F$2000,""),"")</f>
        <v>0</v>
      </c>
      <c r="AB1243" s="132">
        <f t="shared" si="39"/>
        <v>99</v>
      </c>
      <c r="AC1243" s="79"/>
    </row>
    <row r="1244" spans="1:29" ht="20.100000000000001" customHeight="1">
      <c r="A1244" s="97">
        <v>46070</v>
      </c>
      <c r="B1244" s="98" t="str">
        <v>Sapundzhiev</v>
      </c>
      <c r="C1244" s="98" t="str">
        <v>ILiya</v>
      </c>
      <c r="D1244" s="98" t="str">
        <v>Surprise</v>
      </c>
      <c r="E1244" s="99">
        <v>85374</v>
      </c>
      <c r="F1244" s="138" t="str">
        <v xml:space="preserve">I am an Arizona resident, a small business owner, and a solar customer since 2020. I am writing to strongly oppose. </v>
      </c>
      <c r="G1244" s="100" t="str">
        <v>https://docket.images.azcc.gov/E000049487.pdf</v>
      </c>
      <c r="H1244" s="151" t="s">
        <v>6487</v>
      </c>
      <c r="I1244" s="115" t="str">
        <v>RCPw/RTOUE47</v>
      </c>
      <c r="J1244" s="110" t="str">
        <v>No</v>
      </c>
      <c r="K1244" s="101" t="str">
        <v>Yes</v>
      </c>
      <c r="L1244" s="138" t="str">
        <v>Yes</v>
      </c>
      <c r="M1244" s="101" t="str">
        <v>No</v>
      </c>
      <c r="N1244" s="135" t="str">
        <v>No</v>
      </c>
      <c r="O1244" s="120" t="str">
        <v>Yes</v>
      </c>
      <c r="P1244" s="102" t="str">
        <v>N</v>
      </c>
      <c r="Q1244" s="123">
        <v>46077</v>
      </c>
      <c r="R1244" s="141">
        <v>0</v>
      </c>
      <c r="S1244" s="98">
        <v>0</v>
      </c>
      <c r="T1244" s="98">
        <v>0</v>
      </c>
      <c r="U1244" s="143">
        <v>0</v>
      </c>
      <c r="V1244" s="126" t="str">
        <f t="shared" si="38"/>
        <v>✅ On Best Plan</v>
      </c>
      <c r="W1244" s="130">
        <f>IFERROR(_xlfn.XLOOKUP(TEXT(H1244,"0000000000"),'📞 Call Tracker'!A$2:A$2000,'📞 Call Tracker'!B$2:B$2000,""),"")</f>
        <v>0</v>
      </c>
      <c r="X1244" s="96">
        <f>IFERROR(_xlfn.XLOOKUP(TEXT(H1244,"0000000000"),'📞 Call Tracker'!A$2:A$2000,'📞 Call Tracker'!C$2:C$2000,""),"")</f>
        <v>0</v>
      </c>
      <c r="Y1244" s="95">
        <f>IFERROR(_xlfn.XLOOKUP(TEXT(H1244,"0000000000"),'📞 Call Tracker'!A$2:A$2000,'📞 Call Tracker'!D$2:D$2000,""),"")</f>
        <v>0</v>
      </c>
      <c r="Z1244" s="95">
        <f>IFERROR(_xlfn.XLOOKUP(TEXT(H1244,"0000000000"),'📞 Call Tracker'!A$2:A$2000,'📞 Call Tracker'!E$2:E$2000,""),"")</f>
        <v>0</v>
      </c>
      <c r="AA1244" s="145">
        <f>IFERROR(_xlfn.XLOOKUP(TEXT(H1244,"0000000000"),'📞 Call Tracker'!A$2:A$2000,'📞 Call Tracker'!F$2:F$2000,""),"")</f>
        <v>0</v>
      </c>
      <c r="AB1244" s="132">
        <f t="shared" si="39"/>
        <v>99</v>
      </c>
      <c r="AC1244" s="79"/>
    </row>
    <row r="1245" spans="1:29" ht="20.100000000000001" customHeight="1">
      <c r="A1245" s="97">
        <v>46070</v>
      </c>
      <c r="B1245" s="98" t="str">
        <v>Dallam</v>
      </c>
      <c r="C1245" s="98" t="str">
        <v>Michael</v>
      </c>
      <c r="D1245" s="98" t="str">
        <v>Flagstaff</v>
      </c>
      <c r="E1245" s="99">
        <v>86001</v>
      </c>
      <c r="F1245" s="138" t="str">
        <v>Enough with these unnecessary rate increases! You folks campaigned on the promise of keeping rates reasonable, what happened to that?</v>
      </c>
      <c r="G1245" s="100" t="str">
        <v>https://docket.images.azcc.gov/E000049487.pdf</v>
      </c>
      <c r="H1245" s="151" t="s">
        <v>6133</v>
      </c>
      <c r="I1245" s="115" t="str">
        <v>RCPw/R3-47</v>
      </c>
      <c r="J1245" s="110" t="str">
        <v>No</v>
      </c>
      <c r="K1245" s="101" t="str">
        <v>No</v>
      </c>
      <c r="L1245" s="138" t="str">
        <v>Yes</v>
      </c>
      <c r="M1245" s="101" t="str">
        <v>No</v>
      </c>
      <c r="N1245" s="135" t="str">
        <v>No</v>
      </c>
      <c r="O1245" s="120" t="str">
        <v>Yes</v>
      </c>
      <c r="P1245" s="102" t="str">
        <v>N</v>
      </c>
      <c r="Q1245" s="123">
        <v>46077</v>
      </c>
      <c r="R1245" s="141">
        <v>0</v>
      </c>
      <c r="S1245" s="98">
        <v>0</v>
      </c>
      <c r="T1245" s="98">
        <v>0</v>
      </c>
      <c r="U1245" s="143">
        <v>0</v>
      </c>
      <c r="V1245" s="126" t="str">
        <f t="shared" si="38"/>
        <v>✅ On Best Plan</v>
      </c>
      <c r="W1245" s="130">
        <f>IFERROR(_xlfn.XLOOKUP(TEXT(H1245,"0000000000"),'📞 Call Tracker'!A$2:A$2000,'📞 Call Tracker'!B$2:B$2000,""),"")</f>
        <v>0</v>
      </c>
      <c r="X1245" s="96">
        <f>IFERROR(_xlfn.XLOOKUP(TEXT(H1245,"0000000000"),'📞 Call Tracker'!A$2:A$2000,'📞 Call Tracker'!C$2:C$2000,""),"")</f>
        <v>0</v>
      </c>
      <c r="Y1245" s="95">
        <f>IFERROR(_xlfn.XLOOKUP(TEXT(H1245,"0000000000"),'📞 Call Tracker'!A$2:A$2000,'📞 Call Tracker'!D$2:D$2000,""),"")</f>
        <v>0</v>
      </c>
      <c r="Z1245" s="95">
        <f>IFERROR(_xlfn.XLOOKUP(TEXT(H1245,"0000000000"),'📞 Call Tracker'!A$2:A$2000,'📞 Call Tracker'!E$2:E$2000,""),"")</f>
        <v>0</v>
      </c>
      <c r="AA1245" s="145">
        <f>IFERROR(_xlfn.XLOOKUP(TEXT(H1245,"0000000000"),'📞 Call Tracker'!A$2:A$2000,'📞 Call Tracker'!F$2:F$2000,""),"")</f>
        <v>0</v>
      </c>
      <c r="AB1245" s="132">
        <f t="shared" si="39"/>
        <v>99</v>
      </c>
      <c r="AC1245" s="79"/>
    </row>
    <row r="1246" spans="1:29" ht="20.100000000000001" customHeight="1">
      <c r="A1246" s="97">
        <v>46070</v>
      </c>
      <c r="B1246" s="98" t="str">
        <v>Johnson</v>
      </c>
      <c r="C1246" s="98" t="str">
        <v>Wayne</v>
      </c>
      <c r="D1246" s="98" t="str">
        <v>Glendale</v>
      </c>
      <c r="E1246" s="99">
        <v>85308</v>
      </c>
      <c r="F1246" s="138" t="str">
        <v>We don't need rate hikes, we need more investment in solar and other lower cost forms of power.</v>
      </c>
      <c r="G1246" s="100" t="str">
        <v>https://docket.images.azcc.gov/E000049487.pdf</v>
      </c>
      <c r="H1246" s="151" t="s">
        <v>6488</v>
      </c>
      <c r="I1246" s="115" t="str">
        <v>EPR6w/ET-1</v>
      </c>
      <c r="J1246" s="110" t="str">
        <v>No</v>
      </c>
      <c r="K1246" s="101" t="str">
        <v>No</v>
      </c>
      <c r="L1246" s="138" t="str">
        <v>Frozen Plan</v>
      </c>
      <c r="M1246" s="101" t="str">
        <v>No</v>
      </c>
      <c r="N1246" s="135" t="str">
        <v>No</v>
      </c>
      <c r="O1246" s="120" t="str">
        <v>Yes</v>
      </c>
      <c r="P1246" s="102" t="str">
        <v>N</v>
      </c>
      <c r="Q1246" s="123">
        <v>46077</v>
      </c>
      <c r="R1246" s="141">
        <v>0</v>
      </c>
      <c r="S1246" s="98">
        <v>0</v>
      </c>
      <c r="T1246" s="98">
        <v>0</v>
      </c>
      <c r="U1246" s="143">
        <v>0</v>
      </c>
      <c r="V1246" s="126" t="str">
        <f t="shared" si="38"/>
        <v>❄ Frozen Rate</v>
      </c>
      <c r="W1246" s="130">
        <f>IFERROR(_xlfn.XLOOKUP(TEXT(H1246,"0000000000"),'📞 Call Tracker'!A$2:A$2000,'📞 Call Tracker'!B$2:B$2000,""),"")</f>
        <v>0</v>
      </c>
      <c r="X1246" s="96">
        <f>IFERROR(_xlfn.XLOOKUP(TEXT(H1246,"0000000000"),'📞 Call Tracker'!A$2:A$2000,'📞 Call Tracker'!C$2:C$2000,""),"")</f>
        <v>0</v>
      </c>
      <c r="Y1246" s="95">
        <f>IFERROR(_xlfn.XLOOKUP(TEXT(H1246,"0000000000"),'📞 Call Tracker'!A$2:A$2000,'📞 Call Tracker'!D$2:D$2000,""),"")</f>
        <v>0</v>
      </c>
      <c r="Z1246" s="95">
        <f>IFERROR(_xlfn.XLOOKUP(TEXT(H1246,"0000000000"),'📞 Call Tracker'!A$2:A$2000,'📞 Call Tracker'!E$2:E$2000,""),"")</f>
        <v>0</v>
      </c>
      <c r="AA1246" s="145">
        <f>IFERROR(_xlfn.XLOOKUP(TEXT(H1246,"0000000000"),'📞 Call Tracker'!A$2:A$2000,'📞 Call Tracker'!F$2:F$2000,""),"")</f>
        <v>0</v>
      </c>
      <c r="AB1246" s="132">
        <f t="shared" si="39"/>
        <v>99</v>
      </c>
      <c r="AC1246" s="79"/>
    </row>
    <row r="1247" spans="1:29" ht="20.100000000000001" customHeight="1">
      <c r="A1247" s="97">
        <v>46070</v>
      </c>
      <c r="B1247" s="98" t="str">
        <v>Lipson</v>
      </c>
      <c r="C1247" s="98" t="str">
        <v>Leonard</v>
      </c>
      <c r="D1247" s="98" t="str">
        <v>Casa Grande</v>
      </c>
      <c r="E1247" s="99">
        <v>85122</v>
      </c>
      <c r="F1247" s="138" t="str">
        <v>Solar panels worth les Retired on fixed income Paying enough now.</v>
      </c>
      <c r="G1247" s="100" t="str">
        <v>https://docket.images.azcc.gov/E000049487.pdf</v>
      </c>
      <c r="H1247" s="151" t="s">
        <v>6489</v>
      </c>
      <c r="I1247" s="115" t="str">
        <v>RCPw/TOUE47</v>
      </c>
      <c r="J1247" s="110" t="str">
        <v>No</v>
      </c>
      <c r="K1247" s="101" t="str">
        <v>No</v>
      </c>
      <c r="L1247" s="138" t="str">
        <v>Yes</v>
      </c>
      <c r="M1247" s="101" t="str">
        <v>No</v>
      </c>
      <c r="N1247" s="135" t="str">
        <v>No</v>
      </c>
      <c r="O1247" s="120" t="str">
        <v>Yes</v>
      </c>
      <c r="P1247" s="102" t="str">
        <v>N</v>
      </c>
      <c r="Q1247" s="123">
        <v>46077</v>
      </c>
      <c r="R1247" s="141">
        <v>0</v>
      </c>
      <c r="S1247" s="98">
        <v>0</v>
      </c>
      <c r="T1247" s="98">
        <v>0</v>
      </c>
      <c r="U1247" s="143">
        <v>0</v>
      </c>
      <c r="V1247" s="126" t="str">
        <f t="shared" si="38"/>
        <v>✅ On Best Plan</v>
      </c>
      <c r="W1247" s="130">
        <f>IFERROR(_xlfn.XLOOKUP(TEXT(H1247,"0000000000"),'📞 Call Tracker'!A$2:A$2000,'📞 Call Tracker'!B$2:B$2000,""),"")</f>
        <v>0</v>
      </c>
      <c r="X1247" s="96">
        <f>IFERROR(_xlfn.XLOOKUP(TEXT(H1247,"0000000000"),'📞 Call Tracker'!A$2:A$2000,'📞 Call Tracker'!C$2:C$2000,""),"")</f>
        <v>0</v>
      </c>
      <c r="Y1247" s="95">
        <f>IFERROR(_xlfn.XLOOKUP(TEXT(H1247,"0000000000"),'📞 Call Tracker'!A$2:A$2000,'📞 Call Tracker'!D$2:D$2000,""),"")</f>
        <v>0</v>
      </c>
      <c r="Z1247" s="95">
        <f>IFERROR(_xlfn.XLOOKUP(TEXT(H1247,"0000000000"),'📞 Call Tracker'!A$2:A$2000,'📞 Call Tracker'!E$2:E$2000,""),"")</f>
        <v>0</v>
      </c>
      <c r="AA1247" s="145">
        <f>IFERROR(_xlfn.XLOOKUP(TEXT(H1247,"0000000000"),'📞 Call Tracker'!A$2:A$2000,'📞 Call Tracker'!F$2:F$2000,""),"")</f>
        <v>0</v>
      </c>
      <c r="AB1247" s="132">
        <f t="shared" si="39"/>
        <v>99</v>
      </c>
      <c r="AC1247" s="79"/>
    </row>
    <row r="1248" spans="1:29" ht="20.100000000000001" customHeight="1">
      <c r="A1248" s="97">
        <v>46070</v>
      </c>
      <c r="B1248" s="98" t="str">
        <v>Perez</v>
      </c>
      <c r="C1248" s="98" t="str">
        <v>David</v>
      </c>
      <c r="D1248" s="98" t="str">
        <v>Phoenix</v>
      </c>
      <c r="E1248" s="99">
        <v>85021</v>
      </c>
      <c r="F1248" s="138" t="str">
        <v>even with solar panels, I have to still pay APS bc of their rate increase through the years</v>
      </c>
      <c r="G1248" s="100" t="str">
        <v>https://docket.images.azcc.gov/E000049487.pdf</v>
      </c>
      <c r="H1248" s="151" t="s">
        <v>6490</v>
      </c>
      <c r="I1248" s="115" t="str">
        <v>RCPw/TOUE47</v>
      </c>
      <c r="J1248" s="110" t="str">
        <v>No</v>
      </c>
      <c r="K1248" s="101" t="str">
        <v>No</v>
      </c>
      <c r="L1248" s="138" t="str">
        <v>Yes</v>
      </c>
      <c r="M1248" s="101" t="str">
        <v>No</v>
      </c>
      <c r="N1248" s="135" t="str">
        <v>No</v>
      </c>
      <c r="O1248" s="120" t="str">
        <v>Yes</v>
      </c>
      <c r="P1248" s="102" t="str">
        <v>N</v>
      </c>
      <c r="Q1248" s="123">
        <v>46077</v>
      </c>
      <c r="R1248" s="141">
        <v>0</v>
      </c>
      <c r="S1248" s="98">
        <v>0</v>
      </c>
      <c r="T1248" s="98">
        <v>0</v>
      </c>
      <c r="U1248" s="143">
        <v>0</v>
      </c>
      <c r="V1248" s="126" t="str">
        <f t="shared" si="38"/>
        <v>✅ On Best Plan</v>
      </c>
      <c r="W1248" s="130">
        <f>IFERROR(_xlfn.XLOOKUP(TEXT(H1248,"0000000000"),'📞 Call Tracker'!A$2:A$2000,'📞 Call Tracker'!B$2:B$2000,""),"")</f>
        <v>0</v>
      </c>
      <c r="X1248" s="96">
        <f>IFERROR(_xlfn.XLOOKUP(TEXT(H1248,"0000000000"),'📞 Call Tracker'!A$2:A$2000,'📞 Call Tracker'!C$2:C$2000,""),"")</f>
        <v>0</v>
      </c>
      <c r="Y1248" s="95">
        <f>IFERROR(_xlfn.XLOOKUP(TEXT(H1248,"0000000000"),'📞 Call Tracker'!A$2:A$2000,'📞 Call Tracker'!D$2:D$2000,""),"")</f>
        <v>0</v>
      </c>
      <c r="Z1248" s="95">
        <f>IFERROR(_xlfn.XLOOKUP(TEXT(H1248,"0000000000"),'📞 Call Tracker'!A$2:A$2000,'📞 Call Tracker'!E$2:E$2000,""),"")</f>
        <v>0</v>
      </c>
      <c r="AA1248" s="145">
        <f>IFERROR(_xlfn.XLOOKUP(TEXT(H1248,"0000000000"),'📞 Call Tracker'!A$2:A$2000,'📞 Call Tracker'!F$2:F$2000,""),"")</f>
        <v>0</v>
      </c>
      <c r="AB1248" s="132">
        <f t="shared" si="39"/>
        <v>99</v>
      </c>
      <c r="AC1248" s="79"/>
    </row>
    <row r="1249" spans="1:29" ht="20.100000000000001" customHeight="1">
      <c r="A1249" s="97">
        <v>46070</v>
      </c>
      <c r="B1249" s="98" t="str">
        <v>Osborn</v>
      </c>
      <c r="C1249" s="98" t="str">
        <v>Dwayne</v>
      </c>
      <c r="D1249" s="98" t="str">
        <v>Tonopah</v>
      </c>
      <c r="E1249" s="99">
        <v>85354</v>
      </c>
      <c r="F1249" s="138" t="str">
        <v xml:space="preserve">fixed income, with solar, do not support any increase in APS rate increases while continuing to set record profits. </v>
      </c>
      <c r="G1249" s="100" t="str">
        <v>https://docket.images.azcc.gov/E000049487.pdf</v>
      </c>
      <c r="H1249" s="151" t="s">
        <v>6491</v>
      </c>
      <c r="I1249" s="115" t="str">
        <v>RCPw/RTOUE47</v>
      </c>
      <c r="J1249" s="110" t="str">
        <v>No</v>
      </c>
      <c r="K1249" s="101" t="str">
        <v>No</v>
      </c>
      <c r="L1249" s="138" t="str">
        <v>Yes</v>
      </c>
      <c r="M1249" s="101" t="str">
        <v>No</v>
      </c>
      <c r="N1249" s="135" t="str">
        <v>No</v>
      </c>
      <c r="O1249" s="120" t="str">
        <v>Yes</v>
      </c>
      <c r="P1249" s="102" t="str">
        <v>N</v>
      </c>
      <c r="Q1249" s="123">
        <v>45712</v>
      </c>
      <c r="R1249" s="141">
        <v>0</v>
      </c>
      <c r="S1249" s="98">
        <v>0</v>
      </c>
      <c r="T1249" s="98">
        <v>0</v>
      </c>
      <c r="U1249" s="143">
        <v>0</v>
      </c>
      <c r="V1249" s="126" t="str">
        <f t="shared" si="38"/>
        <v>✅ On Best Plan</v>
      </c>
      <c r="W1249" s="130">
        <f>IFERROR(_xlfn.XLOOKUP(TEXT(H1249,"0000000000"),'📞 Call Tracker'!A$2:A$2000,'📞 Call Tracker'!B$2:B$2000,""),"")</f>
        <v>0</v>
      </c>
      <c r="X1249" s="96">
        <f>IFERROR(_xlfn.XLOOKUP(TEXT(H1249,"0000000000"),'📞 Call Tracker'!A$2:A$2000,'📞 Call Tracker'!C$2:C$2000,""),"")</f>
        <v>0</v>
      </c>
      <c r="Y1249" s="95">
        <f>IFERROR(_xlfn.XLOOKUP(TEXT(H1249,"0000000000"),'📞 Call Tracker'!A$2:A$2000,'📞 Call Tracker'!D$2:D$2000,""),"")</f>
        <v>0</v>
      </c>
      <c r="Z1249" s="95">
        <f>IFERROR(_xlfn.XLOOKUP(TEXT(H1249,"0000000000"),'📞 Call Tracker'!A$2:A$2000,'📞 Call Tracker'!E$2:E$2000,""),"")</f>
        <v>0</v>
      </c>
      <c r="AA1249" s="145">
        <f>IFERROR(_xlfn.XLOOKUP(TEXT(H1249,"0000000000"),'📞 Call Tracker'!A$2:A$2000,'📞 Call Tracker'!F$2:F$2000,""),"")</f>
        <v>0</v>
      </c>
      <c r="AB1249" s="132">
        <f t="shared" si="39"/>
        <v>99</v>
      </c>
      <c r="AC1249" s="79"/>
    </row>
    <row r="1250" spans="1:29" ht="20.100000000000001" customHeight="1">
      <c r="A1250" s="97">
        <v>46070</v>
      </c>
      <c r="B1250" s="98" t="str">
        <v>Moreno</v>
      </c>
      <c r="C1250" s="98" t="str">
        <v>Michael</v>
      </c>
      <c r="D1250" s="98" t="str">
        <v>Phoenix</v>
      </c>
      <c r="E1250" s="99">
        <v>85020</v>
      </c>
      <c r="F1250" s="138" t="str">
        <v>Energy should be free! Tesla showed us that already. Stop being greedy. Stop stop stop you greedy miserable pople whoever you are</v>
      </c>
      <c r="G1250" s="100" t="str">
        <v>https://docket.images.azcc.gov/E000049487.pdf</v>
      </c>
      <c r="H1250" s="151" t="s">
        <v>6492</v>
      </c>
      <c r="I1250" s="115" t="str">
        <v>RCPw/RTOUE47</v>
      </c>
      <c r="J1250" s="110" t="str">
        <v>No</v>
      </c>
      <c r="K1250" s="101" t="str">
        <v>No</v>
      </c>
      <c r="L1250" s="138" t="str">
        <v>No MEP R3-47 ($73.15)</v>
      </c>
      <c r="M1250" s="101" t="str">
        <v>No</v>
      </c>
      <c r="N1250" s="135" t="str">
        <v>No</v>
      </c>
      <c r="O1250" s="120" t="str">
        <v>Yes</v>
      </c>
      <c r="P1250" s="102" t="str">
        <v>N</v>
      </c>
      <c r="Q1250" s="123">
        <v>45712</v>
      </c>
      <c r="R1250" s="141">
        <v>0</v>
      </c>
      <c r="S1250" s="98">
        <v>0</v>
      </c>
      <c r="T1250" s="98">
        <v>0</v>
      </c>
      <c r="U1250" s="143">
        <v>0</v>
      </c>
      <c r="V1250" s="126" t="str">
        <f t="shared" si="38"/>
        <v>❌ Not on Best Plan</v>
      </c>
      <c r="W1250" s="130">
        <f>IFERROR(_xlfn.XLOOKUP(TEXT(H1250,"0000000000"),'📞 Call Tracker'!A$2:A$2000,'📞 Call Tracker'!B$2:B$2000,""),"")</f>
        <v>0</v>
      </c>
      <c r="X1250" s="96">
        <f>IFERROR(_xlfn.XLOOKUP(TEXT(H1250,"0000000000"),'📞 Call Tracker'!A$2:A$2000,'📞 Call Tracker'!C$2:C$2000,""),"")</f>
        <v>0</v>
      </c>
      <c r="Y1250" s="95">
        <f>IFERROR(_xlfn.XLOOKUP(TEXT(H1250,"0000000000"),'📞 Call Tracker'!A$2:A$2000,'📞 Call Tracker'!D$2:D$2000,""),"")</f>
        <v>0</v>
      </c>
      <c r="Z1250" s="95">
        <f>IFERROR(_xlfn.XLOOKUP(TEXT(H1250,"0000000000"),'📞 Call Tracker'!A$2:A$2000,'📞 Call Tracker'!E$2:E$2000,""),"")</f>
        <v>0</v>
      </c>
      <c r="AA1250" s="145">
        <f>IFERROR(_xlfn.XLOOKUP(TEXT(H1250,"0000000000"),'📞 Call Tracker'!A$2:A$2000,'📞 Call Tracker'!F$2:F$2000,""),"")</f>
        <v>0</v>
      </c>
      <c r="AB1250" s="132">
        <f t="shared" si="39"/>
        <v>99</v>
      </c>
      <c r="AC1250" s="79"/>
    </row>
    <row r="1251" spans="1:29" ht="20.100000000000001" customHeight="1">
      <c r="A1251" s="97">
        <v>46070</v>
      </c>
      <c r="B1251" s="98" t="str">
        <v>Ceballos</v>
      </c>
      <c r="C1251" s="98" t="str">
        <v>Ruben</v>
      </c>
      <c r="D1251" s="98" t="str">
        <v>Flagstaff</v>
      </c>
      <c r="E1251" s="99">
        <v>86004</v>
      </c>
      <c r="F1251" s="138" t="str">
        <v>I am an elderly citizen of 86 yrs. I have had increasing APS bills over the years making it harder.</v>
      </c>
      <c r="G1251" s="100" t="str">
        <v>https://docket.images.azcc.gov/E000049487.pdf</v>
      </c>
      <c r="H1251" s="151" t="s">
        <v>6134</v>
      </c>
      <c r="I1251" s="115" t="str">
        <v>R-XS</v>
      </c>
      <c r="J1251" s="110" t="str">
        <v>No</v>
      </c>
      <c r="K1251" s="101" t="str">
        <v>No</v>
      </c>
      <c r="L1251" s="138" t="str">
        <v>No MEP R3-47 ($142.29)</v>
      </c>
      <c r="M1251" s="101" t="str">
        <v>No</v>
      </c>
      <c r="N1251" s="135" t="str">
        <v>No</v>
      </c>
      <c r="O1251" s="120" t="str">
        <v>Yes</v>
      </c>
      <c r="P1251" s="102">
        <v>0</v>
      </c>
      <c r="Q1251" s="123">
        <v>46077</v>
      </c>
      <c r="R1251" s="141" t="str">
        <v>Please contact customer regarding plan options</v>
      </c>
      <c r="S1251" s="98">
        <v>0</v>
      </c>
      <c r="T1251" s="98">
        <v>0</v>
      </c>
      <c r="U1251" s="143">
        <v>0</v>
      </c>
      <c r="V1251" s="126" t="str">
        <f t="shared" si="38"/>
        <v>❌ Not on Best Plan</v>
      </c>
      <c r="W1251" s="130">
        <f>IFERROR(_xlfn.XLOOKUP(TEXT(H1251,"0000000000"),'📞 Call Tracker'!A$2:A$2000,'📞 Call Tracker'!B$2:B$2000,""),"")</f>
        <v>0</v>
      </c>
      <c r="X1251" s="96">
        <f>IFERROR(_xlfn.XLOOKUP(TEXT(H1251,"0000000000"),'📞 Call Tracker'!A$2:A$2000,'📞 Call Tracker'!C$2:C$2000,""),"")</f>
        <v>0</v>
      </c>
      <c r="Y1251" s="95">
        <f>IFERROR(_xlfn.XLOOKUP(TEXT(H1251,"0000000000"),'📞 Call Tracker'!A$2:A$2000,'📞 Call Tracker'!D$2:D$2000,""),"")</f>
        <v>0</v>
      </c>
      <c r="Z1251" s="95">
        <f>IFERROR(_xlfn.XLOOKUP(TEXT(H1251,"0000000000"),'📞 Call Tracker'!A$2:A$2000,'📞 Call Tracker'!E$2:E$2000,""),"")</f>
        <v>0</v>
      </c>
      <c r="AA1251" s="145">
        <f>IFERROR(_xlfn.XLOOKUP(TEXT(H1251,"0000000000"),'📞 Call Tracker'!A$2:A$2000,'📞 Call Tracker'!F$2:F$2000,""),"")</f>
        <v>0</v>
      </c>
      <c r="AB1251" s="132">
        <f t="shared" si="39"/>
        <v>99</v>
      </c>
      <c r="AC1251" s="79"/>
    </row>
    <row r="1252" spans="1:29" ht="20.100000000000001" customHeight="1">
      <c r="A1252" s="97">
        <v>46070</v>
      </c>
      <c r="B1252" s="98" t="str">
        <v>Armstrong</v>
      </c>
      <c r="C1252" s="98" t="str">
        <v>Kathleen</v>
      </c>
      <c r="D1252" s="98" t="str">
        <v>Flagstaff</v>
      </c>
      <c r="E1252" s="99">
        <v>86004</v>
      </c>
      <c r="F1252" s="138" t="str">
        <v>It is criminal to ignore cheaper clearn energy like solar and wind. APS would not need to even consider a rate hike if they stopped ignoring clean</v>
      </c>
      <c r="G1252" s="100" t="str">
        <v>https://docket.images.azcc.gov/E000049487.pdf</v>
      </c>
      <c r="H1252" s="151" t="s">
        <v>6493</v>
      </c>
      <c r="I1252" s="115" t="str">
        <v>R-XS</v>
      </c>
      <c r="J1252" s="110" t="str">
        <v>No</v>
      </c>
      <c r="K1252" s="101" t="str">
        <v>No</v>
      </c>
      <c r="L1252" s="138" t="str">
        <v>Yes</v>
      </c>
      <c r="M1252" s="101" t="str">
        <v>No</v>
      </c>
      <c r="N1252" s="135" t="str">
        <v>No</v>
      </c>
      <c r="O1252" s="120" t="str">
        <v>Yes</v>
      </c>
      <c r="P1252" s="102" t="str">
        <v>N</v>
      </c>
      <c r="Q1252" s="123">
        <v>46077</v>
      </c>
      <c r="R1252" s="141">
        <v>0</v>
      </c>
      <c r="S1252" s="98">
        <v>0</v>
      </c>
      <c r="T1252" s="98">
        <v>0</v>
      </c>
      <c r="U1252" s="143">
        <v>0</v>
      </c>
      <c r="V1252" s="126" t="str">
        <f t="shared" si="38"/>
        <v>✅ On Best Plan</v>
      </c>
      <c r="W1252" s="130">
        <f>IFERROR(_xlfn.XLOOKUP(TEXT(H1252,"0000000000"),'📞 Call Tracker'!A$2:A$2000,'📞 Call Tracker'!B$2:B$2000,""),"")</f>
        <v>0</v>
      </c>
      <c r="X1252" s="96">
        <f>IFERROR(_xlfn.XLOOKUP(TEXT(H1252,"0000000000"),'📞 Call Tracker'!A$2:A$2000,'📞 Call Tracker'!C$2:C$2000,""),"")</f>
        <v>0</v>
      </c>
      <c r="Y1252" s="95">
        <f>IFERROR(_xlfn.XLOOKUP(TEXT(H1252,"0000000000"),'📞 Call Tracker'!A$2:A$2000,'📞 Call Tracker'!D$2:D$2000,""),"")</f>
        <v>0</v>
      </c>
      <c r="Z1252" s="95">
        <f>IFERROR(_xlfn.XLOOKUP(TEXT(H1252,"0000000000"),'📞 Call Tracker'!A$2:A$2000,'📞 Call Tracker'!E$2:E$2000,""),"")</f>
        <v>0</v>
      </c>
      <c r="AA1252" s="145">
        <f>IFERROR(_xlfn.XLOOKUP(TEXT(H1252,"0000000000"),'📞 Call Tracker'!A$2:A$2000,'📞 Call Tracker'!F$2:F$2000,""),"")</f>
        <v>0</v>
      </c>
      <c r="AB1252" s="132">
        <f t="shared" si="39"/>
        <v>99</v>
      </c>
      <c r="AC1252" s="79"/>
    </row>
    <row r="1253" spans="1:29" ht="20.100000000000001" customHeight="1">
      <c r="A1253" s="97">
        <v>46070</v>
      </c>
      <c r="B1253" s="98" t="str">
        <v>Martinez</v>
      </c>
      <c r="C1253" s="98" t="str">
        <v>Judy</v>
      </c>
      <c r="D1253" s="98" t="str">
        <v>Williams</v>
      </c>
      <c r="E1253" s="99">
        <v>86046</v>
      </c>
      <c r="F1253" s="138" t="str">
        <v>Families across this state already struggle to pay their mortgages, cover their bills and make ends meet</v>
      </c>
      <c r="G1253" s="100" t="str">
        <v>https://docket.images.azcc.gov/E000049487.pdf</v>
      </c>
      <c r="H1253" s="151" t="s">
        <v>6007</v>
      </c>
      <c r="I1253" s="115" t="str">
        <v>R3-47</v>
      </c>
      <c r="J1253" s="110" t="str">
        <v>No</v>
      </c>
      <c r="K1253" s="101" t="str">
        <v>No</v>
      </c>
      <c r="L1253" s="138" t="str">
        <v>Yes</v>
      </c>
      <c r="M1253" s="101" t="str">
        <v>No</v>
      </c>
      <c r="N1253" s="135" t="str">
        <v>No</v>
      </c>
      <c r="O1253" s="120" t="str">
        <v>Yes</v>
      </c>
      <c r="P1253" s="102" t="str">
        <v>N</v>
      </c>
      <c r="Q1253" s="123">
        <v>46077</v>
      </c>
      <c r="R1253" s="141">
        <v>0</v>
      </c>
      <c r="S1253" s="98">
        <v>0</v>
      </c>
      <c r="T1253" s="98">
        <v>0</v>
      </c>
      <c r="U1253" s="143">
        <v>0</v>
      </c>
      <c r="V1253" s="126" t="str">
        <f t="shared" si="38"/>
        <v>✅ On Best Plan</v>
      </c>
      <c r="W1253" s="130">
        <f>IFERROR(_xlfn.XLOOKUP(TEXT(H1253,"0000000000"),'📞 Call Tracker'!A$2:A$2000,'📞 Call Tracker'!B$2:B$2000,""),"")</f>
        <v>0</v>
      </c>
      <c r="X1253" s="96">
        <f>IFERROR(_xlfn.XLOOKUP(TEXT(H1253,"0000000000"),'📞 Call Tracker'!A$2:A$2000,'📞 Call Tracker'!C$2:C$2000,""),"")</f>
        <v>0</v>
      </c>
      <c r="Y1253" s="95">
        <f>IFERROR(_xlfn.XLOOKUP(TEXT(H1253,"0000000000"),'📞 Call Tracker'!A$2:A$2000,'📞 Call Tracker'!D$2:D$2000,""),"")</f>
        <v>0</v>
      </c>
      <c r="Z1253" s="95">
        <f>IFERROR(_xlfn.XLOOKUP(TEXT(H1253,"0000000000"),'📞 Call Tracker'!A$2:A$2000,'📞 Call Tracker'!E$2:E$2000,""),"")</f>
        <v>0</v>
      </c>
      <c r="AA1253" s="145">
        <f>IFERROR(_xlfn.XLOOKUP(TEXT(H1253,"0000000000"),'📞 Call Tracker'!A$2:A$2000,'📞 Call Tracker'!F$2:F$2000,""),"")</f>
        <v>0</v>
      </c>
      <c r="AB1253" s="132">
        <f t="shared" si="39"/>
        <v>99</v>
      </c>
      <c r="AC1253" s="79"/>
    </row>
    <row r="1254" spans="1:29" ht="20.100000000000001" customHeight="1">
      <c r="A1254" s="97">
        <v>46070</v>
      </c>
      <c r="B1254" s="98" t="str">
        <v>Newell</v>
      </c>
      <c r="C1254" s="98" t="str">
        <v>Shawn</v>
      </c>
      <c r="D1254" s="98" t="str">
        <v>Flagstaff</v>
      </c>
      <c r="E1254" s="99">
        <v>86004</v>
      </c>
      <c r="F1254" s="138" t="str">
        <v>when APS customers like me are struggling with affordability, APS should not be guaranteed higher profits</v>
      </c>
      <c r="G1254" s="100" t="str">
        <v>https://docket.images.azcc.gov/E000049487.pdf</v>
      </c>
      <c r="H1254" s="151" t="s">
        <v>6494</v>
      </c>
      <c r="I1254" s="115" t="str">
        <v>EPR6w/E-12</v>
      </c>
      <c r="J1254" s="110" t="str">
        <v>No</v>
      </c>
      <c r="K1254" s="101" t="str">
        <v>No</v>
      </c>
      <c r="L1254" s="138" t="str">
        <v>Frozen Plan</v>
      </c>
      <c r="M1254" s="101" t="str">
        <v>No</v>
      </c>
      <c r="N1254" s="135" t="str">
        <v>No</v>
      </c>
      <c r="O1254" s="120" t="str">
        <v>Yes</v>
      </c>
      <c r="P1254" s="102" t="str">
        <v>N</v>
      </c>
      <c r="Q1254" s="123">
        <v>46077</v>
      </c>
      <c r="R1254" s="141">
        <v>0</v>
      </c>
      <c r="S1254" s="98">
        <v>0</v>
      </c>
      <c r="T1254" s="98">
        <v>0</v>
      </c>
      <c r="U1254" s="143">
        <v>0</v>
      </c>
      <c r="V1254" s="126" t="str">
        <f t="shared" si="38"/>
        <v>❄ Frozen Rate</v>
      </c>
      <c r="W1254" s="130">
        <f>IFERROR(_xlfn.XLOOKUP(TEXT(H1254,"0000000000"),'📞 Call Tracker'!A$2:A$2000,'📞 Call Tracker'!B$2:B$2000,""),"")</f>
        <v>0</v>
      </c>
      <c r="X1254" s="96">
        <f>IFERROR(_xlfn.XLOOKUP(TEXT(H1254,"0000000000"),'📞 Call Tracker'!A$2:A$2000,'📞 Call Tracker'!C$2:C$2000,""),"")</f>
        <v>0</v>
      </c>
      <c r="Y1254" s="95">
        <f>IFERROR(_xlfn.XLOOKUP(TEXT(H1254,"0000000000"),'📞 Call Tracker'!A$2:A$2000,'📞 Call Tracker'!D$2:D$2000,""),"")</f>
        <v>0</v>
      </c>
      <c r="Z1254" s="95">
        <f>IFERROR(_xlfn.XLOOKUP(TEXT(H1254,"0000000000"),'📞 Call Tracker'!A$2:A$2000,'📞 Call Tracker'!E$2:E$2000,""),"")</f>
        <v>0</v>
      </c>
      <c r="AA1254" s="145">
        <f>IFERROR(_xlfn.XLOOKUP(TEXT(H1254,"0000000000"),'📞 Call Tracker'!A$2:A$2000,'📞 Call Tracker'!F$2:F$2000,""),"")</f>
        <v>0</v>
      </c>
      <c r="AB1254" s="132">
        <f t="shared" si="39"/>
        <v>99</v>
      </c>
      <c r="AC1254" s="79"/>
    </row>
    <row r="1255" spans="1:29" ht="20.100000000000001" customHeight="1">
      <c r="A1255" s="97">
        <v>46070</v>
      </c>
      <c r="B1255" s="98" t="str">
        <v>Budde</v>
      </c>
      <c r="C1255" s="98" t="str">
        <v>Jay</v>
      </c>
      <c r="D1255" s="98" t="str">
        <v>Peoria</v>
      </c>
      <c r="E1255" s="99">
        <v>85383</v>
      </c>
      <c r="F1255" s="138" t="str">
        <v>How about APS stop doing commercials using the money they charge us customers for</v>
      </c>
      <c r="G1255" s="100" t="str">
        <v>https://docket.images.azcc.gov/E000049487.pdf</v>
      </c>
      <c r="H1255" s="151" t="s">
        <v>6135</v>
      </c>
      <c r="I1255" s="115" t="str">
        <v>R3-47</v>
      </c>
      <c r="J1255" s="110" t="str">
        <v>No</v>
      </c>
      <c r="K1255" s="101" t="str">
        <v>No</v>
      </c>
      <c r="L1255" s="138" t="str">
        <v>Yes</v>
      </c>
      <c r="M1255" s="101" t="str">
        <v>No</v>
      </c>
      <c r="N1255" s="135" t="str">
        <v>No</v>
      </c>
      <c r="O1255" s="120" t="str">
        <v>Yes</v>
      </c>
      <c r="P1255" s="102" t="str">
        <v>N</v>
      </c>
      <c r="Q1255" s="123">
        <v>46077</v>
      </c>
      <c r="R1255" s="141">
        <v>0</v>
      </c>
      <c r="S1255" s="98">
        <v>0</v>
      </c>
      <c r="T1255" s="98">
        <v>0</v>
      </c>
      <c r="U1255" s="143">
        <v>0</v>
      </c>
      <c r="V1255" s="126" t="str">
        <f t="shared" si="38"/>
        <v>✅ On Best Plan</v>
      </c>
      <c r="W1255" s="130">
        <f>IFERROR(_xlfn.XLOOKUP(TEXT(H1255,"0000000000"),'📞 Call Tracker'!A$2:A$2000,'📞 Call Tracker'!B$2:B$2000,""),"")</f>
        <v>0</v>
      </c>
      <c r="X1255" s="96">
        <f>IFERROR(_xlfn.XLOOKUP(TEXT(H1255,"0000000000"),'📞 Call Tracker'!A$2:A$2000,'📞 Call Tracker'!C$2:C$2000,""),"")</f>
        <v>0</v>
      </c>
      <c r="Y1255" s="95">
        <f>IFERROR(_xlfn.XLOOKUP(TEXT(H1255,"0000000000"),'📞 Call Tracker'!A$2:A$2000,'📞 Call Tracker'!D$2:D$2000,""),"")</f>
        <v>0</v>
      </c>
      <c r="Z1255" s="95">
        <f>IFERROR(_xlfn.XLOOKUP(TEXT(H1255,"0000000000"),'📞 Call Tracker'!A$2:A$2000,'📞 Call Tracker'!E$2:E$2000,""),"")</f>
        <v>0</v>
      </c>
      <c r="AA1255" s="145">
        <f>IFERROR(_xlfn.XLOOKUP(TEXT(H1255,"0000000000"),'📞 Call Tracker'!A$2:A$2000,'📞 Call Tracker'!F$2:F$2000,""),"")</f>
        <v>0</v>
      </c>
      <c r="AB1255" s="132">
        <f t="shared" si="39"/>
        <v>99</v>
      </c>
      <c r="AC1255" s="79"/>
    </row>
    <row r="1256" spans="1:29" ht="20.100000000000001" customHeight="1">
      <c r="A1256" s="97">
        <v>46070</v>
      </c>
      <c r="B1256" s="98" t="str">
        <v>Morgan</v>
      </c>
      <c r="C1256" s="98" t="str">
        <v>Fred</v>
      </c>
      <c r="D1256" s="98" t="str">
        <v>Flagstaff</v>
      </c>
      <c r="E1256" s="99">
        <v>86004</v>
      </c>
      <c r="F1256" s="138" t="str">
        <v xml:space="preserve">Who let this happen? The correction in billing method should have been planned for </v>
      </c>
      <c r="G1256" s="100" t="str">
        <v>https://docket.images.azcc.gov/E000049487.pdf</v>
      </c>
      <c r="H1256" s="151" t="s">
        <v>6495</v>
      </c>
      <c r="I1256" s="115" t="str">
        <v>R-BASIC</v>
      </c>
      <c r="J1256" s="110" t="str">
        <v>No</v>
      </c>
      <c r="K1256" s="101" t="str">
        <v>No</v>
      </c>
      <c r="L1256" s="138" t="str">
        <v>No MEP R3-47 ($216.81)</v>
      </c>
      <c r="M1256" s="101" t="str">
        <v>No</v>
      </c>
      <c r="N1256" s="135" t="str">
        <v>No</v>
      </c>
      <c r="O1256" s="120" t="str">
        <v>Yes</v>
      </c>
      <c r="P1256" s="102">
        <v>0</v>
      </c>
      <c r="Q1256" s="123">
        <v>0</v>
      </c>
      <c r="R1256" s="141" t="str">
        <v>Please contact customer regarding plan options</v>
      </c>
      <c r="S1256" s="98">
        <v>0</v>
      </c>
      <c r="T1256" s="98">
        <v>0</v>
      </c>
      <c r="U1256" s="143">
        <v>0</v>
      </c>
      <c r="V1256" s="126" t="str">
        <f t="shared" si="38"/>
        <v>❌ Not on Best Plan</v>
      </c>
      <c r="W1256" s="130">
        <f>IFERROR(_xlfn.XLOOKUP(TEXT(H1256,"0000000000"),'📞 Call Tracker'!A$2:A$2000,'📞 Call Tracker'!B$2:B$2000,""),"")</f>
        <v>0</v>
      </c>
      <c r="X1256" s="96">
        <f>IFERROR(_xlfn.XLOOKUP(TEXT(H1256,"0000000000"),'📞 Call Tracker'!A$2:A$2000,'📞 Call Tracker'!C$2:C$2000,""),"")</f>
        <v>0</v>
      </c>
      <c r="Y1256" s="95">
        <f>IFERROR(_xlfn.XLOOKUP(TEXT(H1256,"0000000000"),'📞 Call Tracker'!A$2:A$2000,'📞 Call Tracker'!D$2:D$2000,""),"")</f>
        <v>0</v>
      </c>
      <c r="Z1256" s="95">
        <f>IFERROR(_xlfn.XLOOKUP(TEXT(H1256,"0000000000"),'📞 Call Tracker'!A$2:A$2000,'📞 Call Tracker'!E$2:E$2000,""),"")</f>
        <v>0</v>
      </c>
      <c r="AA1256" s="145">
        <f>IFERROR(_xlfn.XLOOKUP(TEXT(H1256,"0000000000"),'📞 Call Tracker'!A$2:A$2000,'📞 Call Tracker'!F$2:F$2000,""),"")</f>
        <v>0</v>
      </c>
      <c r="AB1256" s="132">
        <f t="shared" si="39"/>
        <v>99</v>
      </c>
      <c r="AC1256" s="79"/>
    </row>
    <row r="1257" spans="1:29" ht="20.100000000000001" customHeight="1">
      <c r="A1257" s="97">
        <v>46070</v>
      </c>
      <c r="B1257" s="98" t="str">
        <v>Martin</v>
      </c>
      <c r="C1257" s="98" t="str">
        <v>Mike</v>
      </c>
      <c r="D1257" s="98" t="str">
        <v>Phoenix</v>
      </c>
      <c r="E1257" s="99">
        <v>85012</v>
      </c>
      <c r="F1257" s="138" t="str">
        <v>l am a retired postal employee and on a pension. I am sick and tired of APS ripping off its Customers</v>
      </c>
      <c r="G1257" s="100" t="str">
        <v>https://docket.images.azcc.gov/E000049487.pdf</v>
      </c>
      <c r="H1257" s="151" t="s">
        <v>6496</v>
      </c>
      <c r="I1257" s="115" t="str">
        <v>RCPw/R3-47</v>
      </c>
      <c r="J1257" s="110" t="str">
        <v>No</v>
      </c>
      <c r="K1257" s="101" t="str">
        <v>No</v>
      </c>
      <c r="L1257" s="138" t="str">
        <v>Yes</v>
      </c>
      <c r="M1257" s="101" t="str">
        <v>No</v>
      </c>
      <c r="N1257" s="135" t="str">
        <v>No</v>
      </c>
      <c r="O1257" s="120" t="str">
        <v>Yes</v>
      </c>
      <c r="P1257" s="102" t="str">
        <v>N</v>
      </c>
      <c r="Q1257" s="123">
        <v>46077</v>
      </c>
      <c r="R1257" s="141">
        <v>0</v>
      </c>
      <c r="S1257" s="98">
        <v>0</v>
      </c>
      <c r="T1257" s="98">
        <v>0</v>
      </c>
      <c r="U1257" s="143">
        <v>0</v>
      </c>
      <c r="V1257" s="126" t="str">
        <f t="shared" si="38"/>
        <v>✅ On Best Plan</v>
      </c>
      <c r="W1257" s="130">
        <f>IFERROR(_xlfn.XLOOKUP(TEXT(H1257,"0000000000"),'📞 Call Tracker'!A$2:A$2000,'📞 Call Tracker'!B$2:B$2000,""),"")</f>
        <v>0</v>
      </c>
      <c r="X1257" s="96">
        <f>IFERROR(_xlfn.XLOOKUP(TEXT(H1257,"0000000000"),'📞 Call Tracker'!A$2:A$2000,'📞 Call Tracker'!C$2:C$2000,""),"")</f>
        <v>0</v>
      </c>
      <c r="Y1257" s="95">
        <f>IFERROR(_xlfn.XLOOKUP(TEXT(H1257,"0000000000"),'📞 Call Tracker'!A$2:A$2000,'📞 Call Tracker'!D$2:D$2000,""),"")</f>
        <v>0</v>
      </c>
      <c r="Z1257" s="95">
        <f>IFERROR(_xlfn.XLOOKUP(TEXT(H1257,"0000000000"),'📞 Call Tracker'!A$2:A$2000,'📞 Call Tracker'!E$2:E$2000,""),"")</f>
        <v>0</v>
      </c>
      <c r="AA1257" s="145">
        <f>IFERROR(_xlfn.XLOOKUP(TEXT(H1257,"0000000000"),'📞 Call Tracker'!A$2:A$2000,'📞 Call Tracker'!F$2:F$2000,""),"")</f>
        <v>0</v>
      </c>
      <c r="AB1257" s="132">
        <f t="shared" si="39"/>
        <v>99</v>
      </c>
      <c r="AC1257" s="79"/>
    </row>
    <row r="1258" spans="1:29" ht="20.100000000000001" customHeight="1">
      <c r="A1258" s="97">
        <v>46070</v>
      </c>
      <c r="B1258" s="98" t="str">
        <v>Morgan</v>
      </c>
      <c r="C1258" s="98" t="str">
        <v>Linda</v>
      </c>
      <c r="D1258" s="98" t="str">
        <v>Flagstaff</v>
      </c>
      <c r="E1258" s="99">
        <v>86004</v>
      </c>
      <c r="F1258" s="138" t="str">
        <v>I do not approve of allowing APS any new side steps to any rate hikes that by pass or skip the commission by the FRM</v>
      </c>
      <c r="G1258" s="100" t="str">
        <v>https://docket.images.azcc.gov/E000049487.pdf</v>
      </c>
      <c r="H1258" s="151" t="s">
        <v>6497</v>
      </c>
      <c r="I1258" s="115" t="str">
        <v>R-BASICL</v>
      </c>
      <c r="J1258" s="110" t="str">
        <v>No</v>
      </c>
      <c r="K1258" s="101" t="str">
        <v>No</v>
      </c>
      <c r="L1258" s="138" t="str">
        <v>No MEP R3-47 ($430.61)</v>
      </c>
      <c r="M1258" s="101" t="str">
        <v>No</v>
      </c>
      <c r="N1258" s="135" t="str">
        <v>No</v>
      </c>
      <c r="O1258" s="120" t="str">
        <v>Yes</v>
      </c>
      <c r="P1258" s="102">
        <v>0</v>
      </c>
      <c r="Q1258" s="123">
        <v>46077</v>
      </c>
      <c r="R1258" s="141" t="str">
        <v>Please contact customer regarding plan options</v>
      </c>
      <c r="S1258" s="98">
        <v>0</v>
      </c>
      <c r="T1258" s="98">
        <v>0</v>
      </c>
      <c r="U1258" s="143">
        <v>0</v>
      </c>
      <c r="V1258" s="126" t="str">
        <f t="shared" si="38"/>
        <v>❌ Not on Best Plan</v>
      </c>
      <c r="W1258" s="130">
        <f>IFERROR(_xlfn.XLOOKUP(TEXT(H1258,"0000000000"),'📞 Call Tracker'!A$2:A$2000,'📞 Call Tracker'!B$2:B$2000,""),"")</f>
        <v>0</v>
      </c>
      <c r="X1258" s="96">
        <f>IFERROR(_xlfn.XLOOKUP(TEXT(H1258,"0000000000"),'📞 Call Tracker'!A$2:A$2000,'📞 Call Tracker'!C$2:C$2000,""),"")</f>
        <v>0</v>
      </c>
      <c r="Y1258" s="95">
        <f>IFERROR(_xlfn.XLOOKUP(TEXT(H1258,"0000000000"),'📞 Call Tracker'!A$2:A$2000,'📞 Call Tracker'!D$2:D$2000,""),"")</f>
        <v>0</v>
      </c>
      <c r="Z1258" s="95">
        <f>IFERROR(_xlfn.XLOOKUP(TEXT(H1258,"0000000000"),'📞 Call Tracker'!A$2:A$2000,'📞 Call Tracker'!E$2:E$2000,""),"")</f>
        <v>0</v>
      </c>
      <c r="AA1258" s="145">
        <f>IFERROR(_xlfn.XLOOKUP(TEXT(H1258,"0000000000"),'📞 Call Tracker'!A$2:A$2000,'📞 Call Tracker'!F$2:F$2000,""),"")</f>
        <v>0</v>
      </c>
      <c r="AB1258" s="132">
        <f t="shared" si="39"/>
        <v>99</v>
      </c>
      <c r="AC1258" s="79"/>
    </row>
    <row r="1259" spans="1:29" ht="20.100000000000001" customHeight="1">
      <c r="A1259" s="97">
        <v>46071</v>
      </c>
      <c r="B1259" s="98" t="str">
        <v>Wesolowski</v>
      </c>
      <c r="C1259" s="98" t="str">
        <v>James</v>
      </c>
      <c r="D1259" s="98" t="str">
        <v>Tonto Basin</v>
      </c>
      <c r="E1259" s="99">
        <v>85553</v>
      </c>
      <c r="F1259" s="138" t="str">
        <v>Spent over 140k on solar to negate the costs of my electricity bills and used to actually get credit on my bill each month. 2025 I never once had a month where I got a credit</v>
      </c>
      <c r="G1259" s="100" t="str">
        <v>https://docket.images.azcc.gov/E000049493.pdf</v>
      </c>
      <c r="H1259" s="151" t="s">
        <v>6008</v>
      </c>
      <c r="I1259" s="115" t="str">
        <v>R-2</v>
      </c>
      <c r="J1259" s="110" t="str">
        <v>No</v>
      </c>
      <c r="K1259" s="101" t="str">
        <v>No</v>
      </c>
      <c r="L1259" s="138" t="str">
        <v>Frozen Plan</v>
      </c>
      <c r="M1259" s="101" t="str">
        <v>No</v>
      </c>
      <c r="N1259" s="135" t="str">
        <v>No</v>
      </c>
      <c r="O1259" s="120" t="str">
        <v>Yes</v>
      </c>
      <c r="P1259" s="102" t="str">
        <v>N</v>
      </c>
      <c r="Q1259" s="123">
        <v>46077</v>
      </c>
      <c r="R1259" s="141">
        <v>0</v>
      </c>
      <c r="S1259" s="98">
        <v>0</v>
      </c>
      <c r="T1259" s="98">
        <v>0</v>
      </c>
      <c r="U1259" s="143">
        <v>0</v>
      </c>
      <c r="V1259" s="126" t="str">
        <f t="shared" si="38"/>
        <v>❄ Frozen Rate</v>
      </c>
      <c r="W1259" s="130">
        <f>IFERROR(_xlfn.XLOOKUP(TEXT(H1259,"0000000000"),'📞 Call Tracker'!A$2:A$2000,'📞 Call Tracker'!B$2:B$2000,""),"")</f>
        <v>0</v>
      </c>
      <c r="X1259" s="96">
        <f>IFERROR(_xlfn.XLOOKUP(TEXT(H1259,"0000000000"),'📞 Call Tracker'!A$2:A$2000,'📞 Call Tracker'!C$2:C$2000,""),"")</f>
        <v>0</v>
      </c>
      <c r="Y1259" s="95">
        <f>IFERROR(_xlfn.XLOOKUP(TEXT(H1259,"0000000000"),'📞 Call Tracker'!A$2:A$2000,'📞 Call Tracker'!D$2:D$2000,""),"")</f>
        <v>0</v>
      </c>
      <c r="Z1259" s="95">
        <f>IFERROR(_xlfn.XLOOKUP(TEXT(H1259,"0000000000"),'📞 Call Tracker'!A$2:A$2000,'📞 Call Tracker'!E$2:E$2000,""),"")</f>
        <v>0</v>
      </c>
      <c r="AA1259" s="145">
        <f>IFERROR(_xlfn.XLOOKUP(TEXT(H1259,"0000000000"),'📞 Call Tracker'!A$2:A$2000,'📞 Call Tracker'!F$2:F$2000,""),"")</f>
        <v>0</v>
      </c>
      <c r="AB1259" s="132">
        <f t="shared" si="39"/>
        <v>99</v>
      </c>
      <c r="AC1259" s="79"/>
    </row>
    <row r="1260" spans="1:29" ht="20.100000000000001" customHeight="1">
      <c r="A1260" s="97">
        <v>46071</v>
      </c>
      <c r="B1260" s="98" t="str">
        <v>Pratt</v>
      </c>
      <c r="C1260" s="98" t="str">
        <v>Donald</v>
      </c>
      <c r="D1260" s="98" t="str">
        <v>Prescott</v>
      </c>
      <c r="E1260" s="99">
        <v>86303</v>
      </c>
      <c r="F1260" s="138" t="str">
        <v>As a retiree, fixed income, invested in solar, prior APS rate increase negated much of my actual financial benefit and anticipated return on investment.</v>
      </c>
      <c r="G1260" s="100" t="str">
        <v>https://docket.images.azcc.gov/E000049493.pdf</v>
      </c>
      <c r="H1260" s="151" t="s">
        <v>6498</v>
      </c>
      <c r="I1260" s="115" t="str">
        <v>RCPw/RTOUE47</v>
      </c>
      <c r="J1260" s="110" t="str">
        <v>No</v>
      </c>
      <c r="K1260" s="101" t="str">
        <v>No</v>
      </c>
      <c r="L1260" s="138" t="str">
        <v>Yes</v>
      </c>
      <c r="M1260" s="101" t="str">
        <v>No</v>
      </c>
      <c r="N1260" s="135" t="str">
        <v>No</v>
      </c>
      <c r="O1260" s="120" t="str">
        <v>Yes</v>
      </c>
      <c r="P1260" s="102" t="str">
        <v>N</v>
      </c>
      <c r="Q1260" s="123">
        <v>46077</v>
      </c>
      <c r="R1260" s="141">
        <v>0</v>
      </c>
      <c r="S1260" s="98">
        <v>0</v>
      </c>
      <c r="T1260" s="98">
        <v>0</v>
      </c>
      <c r="U1260" s="143">
        <v>0</v>
      </c>
      <c r="V1260" s="126" t="str">
        <f t="shared" si="38"/>
        <v>✅ On Best Plan</v>
      </c>
      <c r="W1260" s="130">
        <f>IFERROR(_xlfn.XLOOKUP(TEXT(H1260,"0000000000"),'📞 Call Tracker'!A$2:A$2000,'📞 Call Tracker'!B$2:B$2000,""),"")</f>
        <v>0</v>
      </c>
      <c r="X1260" s="96">
        <f>IFERROR(_xlfn.XLOOKUP(TEXT(H1260,"0000000000"),'📞 Call Tracker'!A$2:A$2000,'📞 Call Tracker'!C$2:C$2000,""),"")</f>
        <v>0</v>
      </c>
      <c r="Y1260" s="95">
        <f>IFERROR(_xlfn.XLOOKUP(TEXT(H1260,"0000000000"),'📞 Call Tracker'!A$2:A$2000,'📞 Call Tracker'!D$2:D$2000,""),"")</f>
        <v>0</v>
      </c>
      <c r="Z1260" s="95">
        <f>IFERROR(_xlfn.XLOOKUP(TEXT(H1260,"0000000000"),'📞 Call Tracker'!A$2:A$2000,'📞 Call Tracker'!E$2:E$2000,""),"")</f>
        <v>0</v>
      </c>
      <c r="AA1260" s="145">
        <f>IFERROR(_xlfn.XLOOKUP(TEXT(H1260,"0000000000"),'📞 Call Tracker'!A$2:A$2000,'📞 Call Tracker'!F$2:F$2000,""),"")</f>
        <v>0</v>
      </c>
      <c r="AB1260" s="132">
        <f t="shared" si="39"/>
        <v>99</v>
      </c>
      <c r="AC1260" s="79"/>
    </row>
    <row r="1261" spans="1:29" ht="20.100000000000001" customHeight="1">
      <c r="A1261" s="97">
        <v>46071</v>
      </c>
      <c r="B1261" s="98" t="str">
        <v>Hawthorne</v>
      </c>
      <c r="C1261" s="98" t="str">
        <v>Jewell</v>
      </c>
      <c r="D1261" s="98" t="str">
        <v>Phoenix</v>
      </c>
      <c r="E1261" s="99">
        <v>85027</v>
      </c>
      <c r="F1261" s="138" t="str">
        <v>Three rate hikes in the past three years. And to make matters worse, the utility's proposed "formula rates" would allow them to increase annually</v>
      </c>
      <c r="G1261" s="100" t="str">
        <v>https://docket.images.azcc.gov/E000049493.pdf</v>
      </c>
      <c r="H1261" s="151" t="s">
        <v>6499</v>
      </c>
      <c r="I1261" s="115" t="str">
        <v>EPR6w/E-12</v>
      </c>
      <c r="J1261" s="110" t="str">
        <v>No</v>
      </c>
      <c r="K1261" s="101" t="str">
        <v>No</v>
      </c>
      <c r="L1261" s="138" t="str">
        <v>Frozen Plan</v>
      </c>
      <c r="M1261" s="101" t="str">
        <v>No</v>
      </c>
      <c r="N1261" s="135" t="str">
        <v>No</v>
      </c>
      <c r="O1261" s="120" t="str">
        <v>Yes</v>
      </c>
      <c r="P1261" s="102" t="str">
        <v>N</v>
      </c>
      <c r="Q1261" s="123">
        <v>46077</v>
      </c>
      <c r="R1261" s="141" t="str">
        <v>Docketed 2x</v>
      </c>
      <c r="S1261" s="98">
        <v>0</v>
      </c>
      <c r="T1261" s="98">
        <v>0</v>
      </c>
      <c r="U1261" s="143">
        <v>0</v>
      </c>
      <c r="V1261" s="126" t="str">
        <f t="shared" si="38"/>
        <v>❄ Frozen Rate</v>
      </c>
      <c r="W1261" s="130">
        <f>IFERROR(_xlfn.XLOOKUP(TEXT(H1261,"0000000000"),'📞 Call Tracker'!A$2:A$2000,'📞 Call Tracker'!B$2:B$2000,""),"")</f>
        <v>0</v>
      </c>
      <c r="X1261" s="96">
        <f>IFERROR(_xlfn.XLOOKUP(TEXT(H1261,"0000000000"),'📞 Call Tracker'!A$2:A$2000,'📞 Call Tracker'!C$2:C$2000,""),"")</f>
        <v>0</v>
      </c>
      <c r="Y1261" s="95">
        <f>IFERROR(_xlfn.XLOOKUP(TEXT(H1261,"0000000000"),'📞 Call Tracker'!A$2:A$2000,'📞 Call Tracker'!D$2:D$2000,""),"")</f>
        <v>0</v>
      </c>
      <c r="Z1261" s="95">
        <f>IFERROR(_xlfn.XLOOKUP(TEXT(H1261,"0000000000"),'📞 Call Tracker'!A$2:A$2000,'📞 Call Tracker'!E$2:E$2000,""),"")</f>
        <v>0</v>
      </c>
      <c r="AA1261" s="145">
        <f>IFERROR(_xlfn.XLOOKUP(TEXT(H1261,"0000000000"),'📞 Call Tracker'!A$2:A$2000,'📞 Call Tracker'!F$2:F$2000,""),"")</f>
        <v>0</v>
      </c>
      <c r="AB1261" s="132">
        <f t="shared" si="39"/>
        <v>99</v>
      </c>
      <c r="AC1261" s="79"/>
    </row>
    <row r="1262" spans="1:29" ht="20.100000000000001" customHeight="1">
      <c r="A1262" s="97">
        <v>46071</v>
      </c>
      <c r="B1262" s="98" t="str">
        <v>McClellan</v>
      </c>
      <c r="C1262" s="98" t="str">
        <v>Katherine</v>
      </c>
      <c r="D1262" s="98" t="str">
        <v>Glendale</v>
      </c>
      <c r="E1262" s="99">
        <v>85308</v>
      </c>
      <c r="F1262" s="138" t="str">
        <v xml:space="preserve">I am putting in more energy to their grid with my solar panels then I take out and yet they have still found back door methods to take money from  me. </v>
      </c>
      <c r="G1262" s="100" t="str">
        <v>https://docket.images.azcc.gov/E000049493.pdf</v>
      </c>
      <c r="H1262" s="151" t="s">
        <v>6500</v>
      </c>
      <c r="I1262" s="115" t="str">
        <v>RCPw/R3-47</v>
      </c>
      <c r="J1262" s="110" t="str">
        <v>No</v>
      </c>
      <c r="K1262" s="101" t="str">
        <v>No</v>
      </c>
      <c r="L1262" s="138" t="str">
        <v>Yes</v>
      </c>
      <c r="M1262" s="101" t="str">
        <v>No</v>
      </c>
      <c r="N1262" s="135" t="str">
        <v>No</v>
      </c>
      <c r="O1262" s="120" t="str">
        <v>Yes</v>
      </c>
      <c r="P1262" s="102" t="str">
        <v>N</v>
      </c>
      <c r="Q1262" s="123">
        <v>46077</v>
      </c>
      <c r="R1262" s="141">
        <v>0</v>
      </c>
      <c r="S1262" s="98">
        <v>0</v>
      </c>
      <c r="T1262" s="98">
        <v>0</v>
      </c>
      <c r="U1262" s="143">
        <v>0</v>
      </c>
      <c r="V1262" s="126" t="str">
        <f t="shared" si="38"/>
        <v>✅ On Best Plan</v>
      </c>
      <c r="W1262" s="130">
        <f>IFERROR(_xlfn.XLOOKUP(TEXT(H1262,"0000000000"),'📞 Call Tracker'!A$2:A$2000,'📞 Call Tracker'!B$2:B$2000,""),"")</f>
        <v>0</v>
      </c>
      <c r="X1262" s="96">
        <f>IFERROR(_xlfn.XLOOKUP(TEXT(H1262,"0000000000"),'📞 Call Tracker'!A$2:A$2000,'📞 Call Tracker'!C$2:C$2000,""),"")</f>
        <v>0</v>
      </c>
      <c r="Y1262" s="95">
        <f>IFERROR(_xlfn.XLOOKUP(TEXT(H1262,"0000000000"),'📞 Call Tracker'!A$2:A$2000,'📞 Call Tracker'!D$2:D$2000,""),"")</f>
        <v>0</v>
      </c>
      <c r="Z1262" s="95">
        <f>IFERROR(_xlfn.XLOOKUP(TEXT(H1262,"0000000000"),'📞 Call Tracker'!A$2:A$2000,'📞 Call Tracker'!E$2:E$2000,""),"")</f>
        <v>0</v>
      </c>
      <c r="AA1262" s="145">
        <f>IFERROR(_xlfn.XLOOKUP(TEXT(H1262,"0000000000"),'📞 Call Tracker'!A$2:A$2000,'📞 Call Tracker'!F$2:F$2000,""),"")</f>
        <v>0</v>
      </c>
      <c r="AB1262" s="132">
        <f t="shared" si="39"/>
        <v>99</v>
      </c>
      <c r="AC1262" s="79"/>
    </row>
    <row r="1263" spans="1:29" ht="20.100000000000001" customHeight="1">
      <c r="A1263" s="97">
        <v>46071</v>
      </c>
      <c r="B1263" s="98" t="str">
        <v>Soto</v>
      </c>
      <c r="C1263" s="98" t="str">
        <v>Chris</v>
      </c>
      <c r="D1263" s="98" t="str">
        <v>Florence</v>
      </c>
      <c r="E1263" s="99">
        <v>85132</v>
      </c>
      <c r="F1263" s="138" t="str">
        <v xml:space="preserve">Ratepayers should not be asked to keep footing the bill for old, expensive coal plant when cleaner, cheaper options are available. </v>
      </c>
      <c r="G1263" s="100" t="str">
        <v>https://docket.images.azcc.gov/E000049493.pdf</v>
      </c>
      <c r="H1263" s="151" t="s">
        <v>6501</v>
      </c>
      <c r="I1263" s="115" t="str">
        <v>RCPw/RTOUE47</v>
      </c>
      <c r="J1263" s="110" t="str">
        <v>No</v>
      </c>
      <c r="K1263" s="101" t="str">
        <v>No</v>
      </c>
      <c r="L1263" s="138" t="str">
        <v>Yes</v>
      </c>
      <c r="M1263" s="101" t="str">
        <v>No</v>
      </c>
      <c r="N1263" s="135" t="str">
        <v>No</v>
      </c>
      <c r="O1263" s="120" t="str">
        <v>Yes</v>
      </c>
      <c r="P1263" s="102" t="str">
        <v>N</v>
      </c>
      <c r="Q1263" s="123">
        <v>46077</v>
      </c>
      <c r="R1263" s="141">
        <v>0</v>
      </c>
      <c r="S1263" s="98">
        <v>0</v>
      </c>
      <c r="T1263" s="98">
        <v>0</v>
      </c>
      <c r="U1263" s="143">
        <v>0</v>
      </c>
      <c r="V1263" s="126" t="str">
        <f t="shared" si="38"/>
        <v>✅ On Best Plan</v>
      </c>
      <c r="W1263" s="130">
        <f>IFERROR(_xlfn.XLOOKUP(TEXT(H1263,"0000000000"),'📞 Call Tracker'!A$2:A$2000,'📞 Call Tracker'!B$2:B$2000,""),"")</f>
        <v>0</v>
      </c>
      <c r="X1263" s="96">
        <f>IFERROR(_xlfn.XLOOKUP(TEXT(H1263,"0000000000"),'📞 Call Tracker'!A$2:A$2000,'📞 Call Tracker'!C$2:C$2000,""),"")</f>
        <v>0</v>
      </c>
      <c r="Y1263" s="95">
        <f>IFERROR(_xlfn.XLOOKUP(TEXT(H1263,"0000000000"),'📞 Call Tracker'!A$2:A$2000,'📞 Call Tracker'!D$2:D$2000,""),"")</f>
        <v>0</v>
      </c>
      <c r="Z1263" s="95">
        <f>IFERROR(_xlfn.XLOOKUP(TEXT(H1263,"0000000000"),'📞 Call Tracker'!A$2:A$2000,'📞 Call Tracker'!E$2:E$2000,""),"")</f>
        <v>0</v>
      </c>
      <c r="AA1263" s="145">
        <f>IFERROR(_xlfn.XLOOKUP(TEXT(H1263,"0000000000"),'📞 Call Tracker'!A$2:A$2000,'📞 Call Tracker'!F$2:F$2000,""),"")</f>
        <v>0</v>
      </c>
      <c r="AB1263" s="132">
        <f t="shared" si="39"/>
        <v>99</v>
      </c>
      <c r="AC1263" s="79"/>
    </row>
    <row r="1264" spans="1:29" ht="20.100000000000001" customHeight="1">
      <c r="A1264" s="97">
        <v>46071</v>
      </c>
      <c r="B1264" s="98" t="str">
        <v>Holmes</v>
      </c>
      <c r="C1264" s="98" t="str">
        <v>Andrea</v>
      </c>
      <c r="D1264" s="98" t="str">
        <v>Goodyear</v>
      </c>
      <c r="E1264" s="99">
        <v>85338</v>
      </c>
      <c r="F1264" s="138" t="str">
        <v>we need to stop this because we cannot afford these rate hikes. We are on fixed incomes.</v>
      </c>
      <c r="G1264" s="100" t="str">
        <v>https://docket.images.azcc.gov/E000049493.pdf</v>
      </c>
      <c r="H1264" s="151" t="s">
        <v>6502</v>
      </c>
      <c r="I1264" s="115" t="str">
        <v>EPR6w/ET-2</v>
      </c>
      <c r="J1264" s="110" t="str">
        <v>No</v>
      </c>
      <c r="K1264" s="101" t="str">
        <v>No</v>
      </c>
      <c r="L1264" s="138" t="str">
        <v>Frozen Plan</v>
      </c>
      <c r="M1264" s="101" t="str">
        <v>Yes</v>
      </c>
      <c r="N1264" s="135">
        <v>5.37</v>
      </c>
      <c r="O1264" s="120" t="str">
        <v>Yes</v>
      </c>
      <c r="P1264" s="102" t="str">
        <v>N</v>
      </c>
      <c r="Q1264" s="123">
        <v>46077</v>
      </c>
      <c r="R1264" s="141">
        <v>0</v>
      </c>
      <c r="S1264" s="98">
        <v>0</v>
      </c>
      <c r="T1264" s="98">
        <v>0</v>
      </c>
      <c r="U1264" s="143">
        <v>0</v>
      </c>
      <c r="V1264" s="126" t="str">
        <f t="shared" si="38"/>
        <v>❄ Frozen Rate</v>
      </c>
      <c r="W1264" s="130">
        <f>IFERROR(_xlfn.XLOOKUP(TEXT(H1264,"0000000000"),'📞 Call Tracker'!A$2:A$2000,'📞 Call Tracker'!B$2:B$2000,""),"")</f>
        <v>0</v>
      </c>
      <c r="X1264" s="96">
        <f>IFERROR(_xlfn.XLOOKUP(TEXT(H1264,"0000000000"),'📞 Call Tracker'!A$2:A$2000,'📞 Call Tracker'!C$2:C$2000,""),"")</f>
        <v>0</v>
      </c>
      <c r="Y1264" s="95">
        <f>IFERROR(_xlfn.XLOOKUP(TEXT(H1264,"0000000000"),'📞 Call Tracker'!A$2:A$2000,'📞 Call Tracker'!D$2:D$2000,""),"")</f>
        <v>0</v>
      </c>
      <c r="Z1264" s="95">
        <f>IFERROR(_xlfn.XLOOKUP(TEXT(H1264,"0000000000"),'📞 Call Tracker'!A$2:A$2000,'📞 Call Tracker'!E$2:E$2000,""),"")</f>
        <v>0</v>
      </c>
      <c r="AA1264" s="145">
        <f>IFERROR(_xlfn.XLOOKUP(TEXT(H1264,"0000000000"),'📞 Call Tracker'!A$2:A$2000,'📞 Call Tracker'!F$2:F$2000,""),"")</f>
        <v>0</v>
      </c>
      <c r="AB1264" s="132">
        <f t="shared" si="39"/>
        <v>99</v>
      </c>
      <c r="AC1264" s="79"/>
    </row>
    <row r="1265" spans="1:29" ht="20.100000000000001" customHeight="1">
      <c r="A1265" s="97">
        <v>46071</v>
      </c>
      <c r="B1265" s="98" t="str">
        <v>Ayyar</v>
      </c>
      <c r="C1265" s="98" t="str">
        <v>Adarsh</v>
      </c>
      <c r="D1265" s="98" t="str">
        <v>Paradise Valley</v>
      </c>
      <c r="E1265" s="99">
        <v>85253</v>
      </c>
      <c r="F1265" s="138" t="str">
        <v>concern with APS's proposed rate increases, particularly the solar Grid Access Charge</v>
      </c>
      <c r="G1265" s="100" t="str">
        <v>https://docket.images.azcc.gov/E000049493.pdf</v>
      </c>
      <c r="H1265" s="151" t="s">
        <v>6503</v>
      </c>
      <c r="I1265" s="115" t="str">
        <v>R-TOUE47</v>
      </c>
      <c r="J1265" s="110" t="str">
        <v>No</v>
      </c>
      <c r="K1265" s="101" t="str">
        <v>No</v>
      </c>
      <c r="L1265" s="138" t="str">
        <v>Yes</v>
      </c>
      <c r="M1265" s="101" t="str">
        <v>No</v>
      </c>
      <c r="N1265" s="135" t="str">
        <v>No</v>
      </c>
      <c r="O1265" s="120" t="str">
        <v>Yes</v>
      </c>
      <c r="P1265" s="102" t="str">
        <v>N</v>
      </c>
      <c r="Q1265" s="123">
        <v>46077</v>
      </c>
      <c r="R1265" s="141">
        <v>0</v>
      </c>
      <c r="S1265" s="98">
        <v>0</v>
      </c>
      <c r="T1265" s="98">
        <v>0</v>
      </c>
      <c r="U1265" s="143">
        <v>0</v>
      </c>
      <c r="V1265" s="126" t="str">
        <f t="shared" si="38"/>
        <v>✅ On Best Plan</v>
      </c>
      <c r="W1265" s="130">
        <f>IFERROR(_xlfn.XLOOKUP(TEXT(H1265,"0000000000"),'📞 Call Tracker'!A$2:A$2000,'📞 Call Tracker'!B$2:B$2000,""),"")</f>
        <v>0</v>
      </c>
      <c r="X1265" s="96">
        <f>IFERROR(_xlfn.XLOOKUP(TEXT(H1265,"0000000000"),'📞 Call Tracker'!A$2:A$2000,'📞 Call Tracker'!C$2:C$2000,""),"")</f>
        <v>0</v>
      </c>
      <c r="Y1265" s="95">
        <f>IFERROR(_xlfn.XLOOKUP(TEXT(H1265,"0000000000"),'📞 Call Tracker'!A$2:A$2000,'📞 Call Tracker'!D$2:D$2000,""),"")</f>
        <v>0</v>
      </c>
      <c r="Z1265" s="95">
        <f>IFERROR(_xlfn.XLOOKUP(TEXT(H1265,"0000000000"),'📞 Call Tracker'!A$2:A$2000,'📞 Call Tracker'!E$2:E$2000,""),"")</f>
        <v>0</v>
      </c>
      <c r="AA1265" s="145">
        <f>IFERROR(_xlfn.XLOOKUP(TEXT(H1265,"0000000000"),'📞 Call Tracker'!A$2:A$2000,'📞 Call Tracker'!F$2:F$2000,""),"")</f>
        <v>0</v>
      </c>
      <c r="AB1265" s="132">
        <f t="shared" si="39"/>
        <v>99</v>
      </c>
      <c r="AC1265" s="79"/>
    </row>
    <row r="1266" spans="1:29" ht="20.100000000000001" customHeight="1">
      <c r="A1266" s="97">
        <v>46071</v>
      </c>
      <c r="B1266" s="98" t="str">
        <v>Fero</v>
      </c>
      <c r="C1266" s="98" t="str">
        <v>David</v>
      </c>
      <c r="D1266" s="98" t="str">
        <v>Prescott</v>
      </c>
      <c r="E1266" s="99">
        <v>86301</v>
      </c>
      <c r="F1266" s="138" t="str">
        <v>example of the already unfair and irrational penalties placed on Solar contributors to the grid.</v>
      </c>
      <c r="G1266" s="100" t="str">
        <v>https://docket.images.azcc.gov/E000049493.pdf</v>
      </c>
      <c r="H1266" s="151" t="s">
        <v>6504</v>
      </c>
      <c r="I1266" s="115" t="str">
        <v>RCPw/R3-47</v>
      </c>
      <c r="J1266" s="110" t="str">
        <v>No</v>
      </c>
      <c r="K1266" s="101" t="str">
        <v>No</v>
      </c>
      <c r="L1266" s="138" t="str">
        <v>No MEP R3-47 ($81.32)</v>
      </c>
      <c r="M1266" s="101" t="str">
        <v>No</v>
      </c>
      <c r="N1266" s="135" t="str">
        <v>No</v>
      </c>
      <c r="O1266" s="120" t="str">
        <v>Yes</v>
      </c>
      <c r="P1266" s="102" t="str">
        <v>N</v>
      </c>
      <c r="Q1266" s="123">
        <v>46077</v>
      </c>
      <c r="R1266" s="141">
        <v>0</v>
      </c>
      <c r="S1266" s="98">
        <v>0</v>
      </c>
      <c r="T1266" s="98">
        <v>0</v>
      </c>
      <c r="U1266" s="143">
        <v>0</v>
      </c>
      <c r="V1266" s="126" t="str">
        <f t="shared" si="38"/>
        <v>❌ Not on Best Plan</v>
      </c>
      <c r="W1266" s="130">
        <f>IFERROR(_xlfn.XLOOKUP(TEXT(H1266,"0000000000"),'📞 Call Tracker'!A$2:A$2000,'📞 Call Tracker'!B$2:B$2000,""),"")</f>
        <v>0</v>
      </c>
      <c r="X1266" s="96">
        <f>IFERROR(_xlfn.XLOOKUP(TEXT(H1266,"0000000000"),'📞 Call Tracker'!A$2:A$2000,'📞 Call Tracker'!C$2:C$2000,""),"")</f>
        <v>0</v>
      </c>
      <c r="Y1266" s="95">
        <f>IFERROR(_xlfn.XLOOKUP(TEXT(H1266,"0000000000"),'📞 Call Tracker'!A$2:A$2000,'📞 Call Tracker'!D$2:D$2000,""),"")</f>
        <v>0</v>
      </c>
      <c r="Z1266" s="95">
        <f>IFERROR(_xlfn.XLOOKUP(TEXT(H1266,"0000000000"),'📞 Call Tracker'!A$2:A$2000,'📞 Call Tracker'!E$2:E$2000,""),"")</f>
        <v>0</v>
      </c>
      <c r="AA1266" s="145">
        <f>IFERROR(_xlfn.XLOOKUP(TEXT(H1266,"0000000000"),'📞 Call Tracker'!A$2:A$2000,'📞 Call Tracker'!F$2:F$2000,""),"")</f>
        <v>0</v>
      </c>
      <c r="AB1266" s="132">
        <f t="shared" si="39"/>
        <v>99</v>
      </c>
      <c r="AC1266" s="79"/>
    </row>
    <row r="1267" spans="1:29" ht="20.100000000000001" customHeight="1">
      <c r="A1267" s="97">
        <v>46071</v>
      </c>
      <c r="B1267" s="98" t="str">
        <v>Rings</v>
      </c>
      <c r="C1267" s="98" t="str">
        <v>Sally</v>
      </c>
      <c r="D1267" s="98" t="str">
        <v>Phoenix</v>
      </c>
      <c r="E1267" s="99">
        <v>85028</v>
      </c>
      <c r="F1267" s="138" t="str">
        <v xml:space="preserve">After rate increases in both 2023 and 2024, this is unconscionable, especially when APS profits last year were over $6 million. </v>
      </c>
      <c r="G1267" s="100" t="str">
        <v>https://docket.images.azcc.gov/E000049493.pdf</v>
      </c>
      <c r="H1267" s="151" t="s">
        <v>6505</v>
      </c>
      <c r="I1267" s="115" t="str">
        <v>EPR6w/E-12</v>
      </c>
      <c r="J1267" s="110" t="str">
        <v>No</v>
      </c>
      <c r="K1267" s="101" t="str">
        <v>No</v>
      </c>
      <c r="L1267" s="138" t="str">
        <v>Frozen Plan</v>
      </c>
      <c r="M1267" s="101" t="str">
        <v>No</v>
      </c>
      <c r="N1267" s="135" t="str">
        <v>No</v>
      </c>
      <c r="O1267" s="120" t="str">
        <v>Yes</v>
      </c>
      <c r="P1267" s="102" t="str">
        <v>N</v>
      </c>
      <c r="Q1267" s="123">
        <v>46077</v>
      </c>
      <c r="R1267" s="141">
        <v>0</v>
      </c>
      <c r="S1267" s="98">
        <v>0</v>
      </c>
      <c r="T1267" s="98">
        <v>0</v>
      </c>
      <c r="U1267" s="143">
        <v>0</v>
      </c>
      <c r="V1267" s="126" t="str">
        <f t="shared" si="38"/>
        <v>❄ Frozen Rate</v>
      </c>
      <c r="W1267" s="130">
        <f>IFERROR(_xlfn.XLOOKUP(TEXT(H1267,"0000000000"),'📞 Call Tracker'!A$2:A$2000,'📞 Call Tracker'!B$2:B$2000,""),"")</f>
        <v>0</v>
      </c>
      <c r="X1267" s="96">
        <f>IFERROR(_xlfn.XLOOKUP(TEXT(H1267,"0000000000"),'📞 Call Tracker'!A$2:A$2000,'📞 Call Tracker'!C$2:C$2000,""),"")</f>
        <v>0</v>
      </c>
      <c r="Y1267" s="95">
        <f>IFERROR(_xlfn.XLOOKUP(TEXT(H1267,"0000000000"),'📞 Call Tracker'!A$2:A$2000,'📞 Call Tracker'!D$2:D$2000,""),"")</f>
        <v>0</v>
      </c>
      <c r="Z1267" s="95">
        <f>IFERROR(_xlfn.XLOOKUP(TEXT(H1267,"0000000000"),'📞 Call Tracker'!A$2:A$2000,'📞 Call Tracker'!E$2:E$2000,""),"")</f>
        <v>0</v>
      </c>
      <c r="AA1267" s="145">
        <f>IFERROR(_xlfn.XLOOKUP(TEXT(H1267,"0000000000"),'📞 Call Tracker'!A$2:A$2000,'📞 Call Tracker'!F$2:F$2000,""),"")</f>
        <v>0</v>
      </c>
      <c r="AB1267" s="132">
        <f t="shared" si="39"/>
        <v>99</v>
      </c>
      <c r="AC1267" s="79"/>
    </row>
    <row r="1268" spans="1:29" ht="20.100000000000001" customHeight="1">
      <c r="A1268" s="97">
        <v>46071</v>
      </c>
      <c r="B1268" s="98" t="str">
        <v>Lyall</v>
      </c>
      <c r="C1268" s="98" t="str">
        <v>Barbara</v>
      </c>
      <c r="D1268" s="98" t="str">
        <v>Prescott Valley</v>
      </c>
      <c r="E1268" s="99">
        <v>86314</v>
      </c>
      <c r="F1268" s="138" t="str">
        <v xml:space="preserve">I am an 80 y/o low income senior citizen of Prescott Valley, AZ. I have trouble making ends meet on my Social Security income. </v>
      </c>
      <c r="G1268" s="100" t="str">
        <v>https://docket.images.azcc.gov/E000049524.pdf</v>
      </c>
      <c r="H1268" s="151" t="s">
        <v>4730</v>
      </c>
      <c r="I1268" s="115" t="str">
        <v>R-XS</v>
      </c>
      <c r="J1268" s="110" t="str">
        <v>Yes</v>
      </c>
      <c r="K1268" s="101" t="str">
        <v>No</v>
      </c>
      <c r="L1268" s="138" t="str">
        <v>Yes</v>
      </c>
      <c r="M1268" s="101" t="str">
        <v>No</v>
      </c>
      <c r="N1268" s="135" t="str">
        <v>No</v>
      </c>
      <c r="O1268" s="120" t="str">
        <v>Yes</v>
      </c>
      <c r="P1268" s="102" t="str">
        <v>N</v>
      </c>
      <c r="Q1268" s="123">
        <v>46077</v>
      </c>
      <c r="R1268" s="141">
        <v>0</v>
      </c>
      <c r="S1268" s="98">
        <v>0</v>
      </c>
      <c r="T1268" s="98">
        <v>0</v>
      </c>
      <c r="U1268" s="143">
        <v>0</v>
      </c>
      <c r="V1268" s="126" t="str">
        <f t="shared" si="38"/>
        <v>✅ On Best Plan</v>
      </c>
      <c r="W1268" s="130" t="str">
        <f>IFERROR(_xlfn.XLOOKUP(TEXT(H1268,"0000000000"),'📞 Call Tracker'!A$2:A$2000,'📞 Call Tracker'!B$2:B$2000,""),"")</f>
        <v/>
      </c>
      <c r="X1268" s="96" t="str">
        <f>IFERROR(_xlfn.XLOOKUP(TEXT(H1268,"0000000000"),'📞 Call Tracker'!A$2:A$2000,'📞 Call Tracker'!C$2:C$2000,""),"")</f>
        <v/>
      </c>
      <c r="Y1268" s="95" t="str">
        <f>IFERROR(_xlfn.XLOOKUP(TEXT(H1268,"0000000000"),'📞 Call Tracker'!A$2:A$2000,'📞 Call Tracker'!D$2:D$2000,""),"")</f>
        <v/>
      </c>
      <c r="Z1268" s="95" t="str">
        <f>IFERROR(_xlfn.XLOOKUP(TEXT(H1268,"0000000000"),'📞 Call Tracker'!A$2:A$2000,'📞 Call Tracker'!E$2:E$2000,""),"")</f>
        <v/>
      </c>
      <c r="AA1268" s="145" t="str">
        <f>IFERROR(_xlfn.XLOOKUP(TEXT(H1268,"0000000000"),'📞 Call Tracker'!A$2:A$2000,'📞 Call Tracker'!F$2:F$2000,""),"")</f>
        <v/>
      </c>
      <c r="AB1268" s="132">
        <f t="shared" si="39"/>
        <v>4</v>
      </c>
      <c r="AC1268" s="79"/>
    </row>
    <row r="1269" spans="1:29" ht="20.100000000000001" customHeight="1">
      <c r="A1269" s="97">
        <v>46071</v>
      </c>
      <c r="B1269" s="98" t="str">
        <v>Chuppa</v>
      </c>
      <c r="C1269" s="98" t="str">
        <v>Kimberly</v>
      </c>
      <c r="D1269" s="98" t="str">
        <v>Gilbert</v>
      </c>
      <c r="E1269" s="99">
        <v>85234</v>
      </c>
      <c r="F1269" s="138" t="str">
        <v xml:space="preserve">SRP is a not-for-profit entity... and works just fine. In cotnrast, APS is focused on making huge profits for inevestors and executieves. </v>
      </c>
      <c r="G1269" s="100" t="str">
        <v>https://docket.images.azcc.gov/E000049524.pdf</v>
      </c>
      <c r="H1269" s="151" t="s">
        <v>6136</v>
      </c>
      <c r="I1269" s="115" t="str">
        <v>R-TOUE47</v>
      </c>
      <c r="J1269" s="110" t="str">
        <v>No</v>
      </c>
      <c r="K1269" s="101" t="str">
        <v>No</v>
      </c>
      <c r="L1269" s="138" t="str">
        <v>No MEP R3-47 ($319.00)</v>
      </c>
      <c r="M1269" s="101" t="str">
        <v>No</v>
      </c>
      <c r="N1269" s="135" t="str">
        <v>No</v>
      </c>
      <c r="O1269" s="120" t="str">
        <v>Yes</v>
      </c>
      <c r="P1269" s="102">
        <v>0</v>
      </c>
      <c r="Q1269" s="123">
        <v>46077</v>
      </c>
      <c r="R1269" s="141" t="str">
        <v>Please contact customer regarding plan options</v>
      </c>
      <c r="S1269" s="98">
        <v>0</v>
      </c>
      <c r="T1269" s="98">
        <v>0</v>
      </c>
      <c r="U1269" s="143">
        <v>0</v>
      </c>
      <c r="V1269" s="126" t="str">
        <f t="shared" si="38"/>
        <v>❌ Not on Best Plan</v>
      </c>
      <c r="W1269" s="130">
        <f>IFERROR(_xlfn.XLOOKUP(TEXT(H1269,"0000000000"),'📞 Call Tracker'!A$2:A$2000,'📞 Call Tracker'!B$2:B$2000,""),"")</f>
        <v>0</v>
      </c>
      <c r="X1269" s="96">
        <f>IFERROR(_xlfn.XLOOKUP(TEXT(H1269,"0000000000"),'📞 Call Tracker'!A$2:A$2000,'📞 Call Tracker'!C$2:C$2000,""),"")</f>
        <v>0</v>
      </c>
      <c r="Y1269" s="95">
        <f>IFERROR(_xlfn.XLOOKUP(TEXT(H1269,"0000000000"),'📞 Call Tracker'!A$2:A$2000,'📞 Call Tracker'!D$2:D$2000,""),"")</f>
        <v>0</v>
      </c>
      <c r="Z1269" s="95">
        <f>IFERROR(_xlfn.XLOOKUP(TEXT(H1269,"0000000000"),'📞 Call Tracker'!A$2:A$2000,'📞 Call Tracker'!E$2:E$2000,""),"")</f>
        <v>0</v>
      </c>
      <c r="AA1269" s="145">
        <f>IFERROR(_xlfn.XLOOKUP(TEXT(H1269,"0000000000"),'📞 Call Tracker'!A$2:A$2000,'📞 Call Tracker'!F$2:F$2000,""),"")</f>
        <v>0</v>
      </c>
      <c r="AB1269" s="132">
        <f t="shared" si="39"/>
        <v>99</v>
      </c>
      <c r="AC1269" s="79"/>
    </row>
    <row r="1270" spans="1:29" ht="20.100000000000001" customHeight="1">
      <c r="A1270" s="97">
        <v>46071</v>
      </c>
      <c r="B1270" s="98" t="str">
        <v>Fine</v>
      </c>
      <c r="C1270" s="98" t="str">
        <v>Jovita</v>
      </c>
      <c r="D1270" s="98" t="str">
        <v>Prescott</v>
      </c>
      <c r="E1270" s="99">
        <v>86303</v>
      </c>
      <c r="F1270" s="138" t="str">
        <v>installed solar on my house a few years ago, which I appreciate having, but already APS uses most of the energy</v>
      </c>
      <c r="G1270" s="100" t="str">
        <v>https://docket.images.azcc.gov/E000049524.pdf</v>
      </c>
      <c r="H1270" s="151" t="s">
        <v>6506</v>
      </c>
      <c r="I1270" s="115" t="str">
        <v>RCPw/RTOUE47</v>
      </c>
      <c r="J1270" s="110" t="str">
        <v>No</v>
      </c>
      <c r="K1270" s="101" t="str">
        <v>No</v>
      </c>
      <c r="L1270" s="138" t="str">
        <v>Yes</v>
      </c>
      <c r="M1270" s="101" t="str">
        <v>No</v>
      </c>
      <c r="N1270" s="135" t="str">
        <v>No</v>
      </c>
      <c r="O1270" s="120" t="str">
        <v>Yes</v>
      </c>
      <c r="P1270" s="102" t="str">
        <v>N</v>
      </c>
      <c r="Q1270" s="123">
        <v>46077</v>
      </c>
      <c r="R1270" s="141">
        <v>0</v>
      </c>
      <c r="S1270" s="98">
        <v>0</v>
      </c>
      <c r="T1270" s="98">
        <v>0</v>
      </c>
      <c r="U1270" s="143">
        <v>0</v>
      </c>
      <c r="V1270" s="126" t="str">
        <f t="shared" si="38"/>
        <v>✅ On Best Plan</v>
      </c>
      <c r="W1270" s="130">
        <f>IFERROR(_xlfn.XLOOKUP(TEXT(H1270,"0000000000"),'📞 Call Tracker'!A$2:A$2000,'📞 Call Tracker'!B$2:B$2000,""),"")</f>
        <v>0</v>
      </c>
      <c r="X1270" s="96">
        <f>IFERROR(_xlfn.XLOOKUP(TEXT(H1270,"0000000000"),'📞 Call Tracker'!A$2:A$2000,'📞 Call Tracker'!C$2:C$2000,""),"")</f>
        <v>0</v>
      </c>
      <c r="Y1270" s="95">
        <f>IFERROR(_xlfn.XLOOKUP(TEXT(H1270,"0000000000"),'📞 Call Tracker'!A$2:A$2000,'📞 Call Tracker'!D$2:D$2000,""),"")</f>
        <v>0</v>
      </c>
      <c r="Z1270" s="95">
        <f>IFERROR(_xlfn.XLOOKUP(TEXT(H1270,"0000000000"),'📞 Call Tracker'!A$2:A$2000,'📞 Call Tracker'!E$2:E$2000,""),"")</f>
        <v>0</v>
      </c>
      <c r="AA1270" s="145">
        <f>IFERROR(_xlfn.XLOOKUP(TEXT(H1270,"0000000000"),'📞 Call Tracker'!A$2:A$2000,'📞 Call Tracker'!F$2:F$2000,""),"")</f>
        <v>0</v>
      </c>
      <c r="AB1270" s="132">
        <f t="shared" si="39"/>
        <v>99</v>
      </c>
      <c r="AC1270" s="79"/>
    </row>
    <row r="1271" spans="1:29" ht="20.100000000000001" customHeight="1">
      <c r="A1271" s="97">
        <v>46071</v>
      </c>
      <c r="B1271" s="98" t="str">
        <v>Daily</v>
      </c>
      <c r="C1271" s="98" t="str">
        <v>Kelly</v>
      </c>
      <c r="D1271" s="98" t="str">
        <v>Camp Verde</v>
      </c>
      <c r="E1271" s="99">
        <v>86322</v>
      </c>
      <c r="F1271" s="138" t="str">
        <v xml:space="preserve">I think that a 14 % rate increase is a little to much to ask for all at once. Our COLA increase this year doesn't come clos to that. </v>
      </c>
      <c r="G1271" s="100" t="str">
        <v>https://docket.images.azcc.gov/E000049524.pdf</v>
      </c>
      <c r="H1271" s="151" t="s">
        <v>6137</v>
      </c>
      <c r="I1271" s="115" t="str">
        <v>R-XS</v>
      </c>
      <c r="J1271" s="110" t="str">
        <v>Yes</v>
      </c>
      <c r="K1271" s="101" t="str">
        <v>No</v>
      </c>
      <c r="L1271" s="138" t="str">
        <v>Yes</v>
      </c>
      <c r="M1271" s="101" t="str">
        <v>No</v>
      </c>
      <c r="N1271" s="135" t="str">
        <v>No</v>
      </c>
      <c r="O1271" s="120" t="str">
        <v>Yes</v>
      </c>
      <c r="P1271" s="102" t="str">
        <v>N</v>
      </c>
      <c r="Q1271" s="123">
        <v>46077</v>
      </c>
      <c r="R1271" s="141">
        <v>0</v>
      </c>
      <c r="S1271" s="98">
        <v>0</v>
      </c>
      <c r="T1271" s="98">
        <v>0</v>
      </c>
      <c r="U1271" s="143">
        <v>0</v>
      </c>
      <c r="V1271" s="126" t="str">
        <f t="shared" si="38"/>
        <v>✅ On Best Plan</v>
      </c>
      <c r="W1271" s="130">
        <f>IFERROR(_xlfn.XLOOKUP(TEXT(H1271,"0000000000"),'📞 Call Tracker'!A$2:A$2000,'📞 Call Tracker'!B$2:B$2000,""),"")</f>
        <v>0</v>
      </c>
      <c r="X1271" s="96">
        <f>IFERROR(_xlfn.XLOOKUP(TEXT(H1271,"0000000000"),'📞 Call Tracker'!A$2:A$2000,'📞 Call Tracker'!C$2:C$2000,""),"")</f>
        <v>0</v>
      </c>
      <c r="Y1271" s="95">
        <f>IFERROR(_xlfn.XLOOKUP(TEXT(H1271,"0000000000"),'📞 Call Tracker'!A$2:A$2000,'📞 Call Tracker'!D$2:D$2000,""),"")</f>
        <v>0</v>
      </c>
      <c r="Z1271" s="95">
        <f>IFERROR(_xlfn.XLOOKUP(TEXT(H1271,"0000000000"),'📞 Call Tracker'!A$2:A$2000,'📞 Call Tracker'!E$2:E$2000,""),"")</f>
        <v>0</v>
      </c>
      <c r="AA1271" s="145">
        <f>IFERROR(_xlfn.XLOOKUP(TEXT(H1271,"0000000000"),'📞 Call Tracker'!A$2:A$2000,'📞 Call Tracker'!F$2:F$2000,""),"")</f>
        <v>0</v>
      </c>
      <c r="AB1271" s="132">
        <f t="shared" si="39"/>
        <v>99</v>
      </c>
      <c r="AC1271" s="79"/>
    </row>
    <row r="1272" spans="1:29" ht="20.100000000000001" customHeight="1">
      <c r="A1272" s="97">
        <v>46071</v>
      </c>
      <c r="B1272" s="98" t="str">
        <v>Bihary</v>
      </c>
      <c r="C1272" s="98" t="str">
        <v>Judith</v>
      </c>
      <c r="D1272" s="98" t="str">
        <v>Goodyear</v>
      </c>
      <c r="E1272" s="99">
        <v>85395</v>
      </c>
      <c r="F1272" s="138" t="str">
        <v xml:space="preserve">We need some assurances that rate hikes will have public oversight, so future rate hikes will not be easy for APS to put through. </v>
      </c>
      <c r="G1272" s="100" t="str">
        <v>https://docket.images.azcc.gov/E000049524.pdf</v>
      </c>
      <c r="H1272" s="151" t="s">
        <v>6507</v>
      </c>
      <c r="I1272" s="115" t="str">
        <v>R3-47</v>
      </c>
      <c r="J1272" s="110" t="str">
        <v>No</v>
      </c>
      <c r="K1272" s="101" t="str">
        <v>No</v>
      </c>
      <c r="L1272" s="138" t="str">
        <v>Yes</v>
      </c>
      <c r="M1272" s="101" t="str">
        <v>No</v>
      </c>
      <c r="N1272" s="135" t="str">
        <v>No</v>
      </c>
      <c r="O1272" s="120" t="str">
        <v>Yes</v>
      </c>
      <c r="P1272" s="102" t="str">
        <v>N</v>
      </c>
      <c r="Q1272" s="123">
        <v>46077</v>
      </c>
      <c r="R1272" s="141">
        <v>0</v>
      </c>
      <c r="S1272" s="98">
        <v>0</v>
      </c>
      <c r="T1272" s="98">
        <v>0</v>
      </c>
      <c r="U1272" s="143">
        <v>0</v>
      </c>
      <c r="V1272" s="126" t="str">
        <f t="shared" si="38"/>
        <v>✅ On Best Plan</v>
      </c>
      <c r="W1272" s="130">
        <f>IFERROR(_xlfn.XLOOKUP(TEXT(H1272,"0000000000"),'📞 Call Tracker'!A$2:A$2000,'📞 Call Tracker'!B$2:B$2000,""),"")</f>
        <v>0</v>
      </c>
      <c r="X1272" s="96">
        <f>IFERROR(_xlfn.XLOOKUP(TEXT(H1272,"0000000000"),'📞 Call Tracker'!A$2:A$2000,'📞 Call Tracker'!C$2:C$2000,""),"")</f>
        <v>0</v>
      </c>
      <c r="Y1272" s="95">
        <f>IFERROR(_xlfn.XLOOKUP(TEXT(H1272,"0000000000"),'📞 Call Tracker'!A$2:A$2000,'📞 Call Tracker'!D$2:D$2000,""),"")</f>
        <v>0</v>
      </c>
      <c r="Z1272" s="95">
        <f>IFERROR(_xlfn.XLOOKUP(TEXT(H1272,"0000000000"),'📞 Call Tracker'!A$2:A$2000,'📞 Call Tracker'!E$2:E$2000,""),"")</f>
        <v>0</v>
      </c>
      <c r="AA1272" s="145">
        <f>IFERROR(_xlfn.XLOOKUP(TEXT(H1272,"0000000000"),'📞 Call Tracker'!A$2:A$2000,'📞 Call Tracker'!F$2:F$2000,""),"")</f>
        <v>0</v>
      </c>
      <c r="AB1272" s="132">
        <f t="shared" si="39"/>
        <v>99</v>
      </c>
      <c r="AC1272" s="79"/>
    </row>
    <row r="1273" spans="1:29" ht="20.100000000000001" customHeight="1">
      <c r="A1273" s="97">
        <v>46071</v>
      </c>
      <c r="B1273" s="98" t="str">
        <v>Paul</v>
      </c>
      <c r="C1273" s="98" t="str">
        <v>Amy</v>
      </c>
      <c r="D1273" s="98" t="str">
        <v>Phoenix</v>
      </c>
      <c r="E1273" s="99">
        <v>85050</v>
      </c>
      <c r="F1273" s="138" t="str">
        <v xml:space="preserve">considering their profits, and that they should be charging the data centers the appropriate rates they will consume, I believe they need to give consideration to permanent residents first, partial residents secondary and then businesses. </v>
      </c>
      <c r="G1273" s="100" t="str">
        <v>https://docket.images.azcc.gov/E000049524.pdf</v>
      </c>
      <c r="H1273" s="151" t="s">
        <v>6508</v>
      </c>
      <c r="I1273" s="115" t="str">
        <v>EPR6w/ET-1</v>
      </c>
      <c r="J1273" s="110" t="str">
        <v>No</v>
      </c>
      <c r="K1273" s="101" t="str">
        <v>No</v>
      </c>
      <c r="L1273" s="138" t="str">
        <v>Frozen Plan</v>
      </c>
      <c r="M1273" s="101" t="str">
        <v>No</v>
      </c>
      <c r="N1273" s="135" t="str">
        <v>No</v>
      </c>
      <c r="O1273" s="120" t="str">
        <v>Yes</v>
      </c>
      <c r="P1273" s="102" t="str">
        <v>N</v>
      </c>
      <c r="Q1273" s="123">
        <v>46077</v>
      </c>
      <c r="R1273" s="141">
        <v>0</v>
      </c>
      <c r="S1273" s="98">
        <v>0</v>
      </c>
      <c r="T1273" s="98">
        <v>0</v>
      </c>
      <c r="U1273" s="143">
        <v>0</v>
      </c>
      <c r="V1273" s="126" t="str">
        <f t="shared" si="38"/>
        <v>❄ Frozen Rate</v>
      </c>
      <c r="W1273" s="130">
        <f>IFERROR(_xlfn.XLOOKUP(TEXT(H1273,"0000000000"),'📞 Call Tracker'!A$2:A$2000,'📞 Call Tracker'!B$2:B$2000,""),"")</f>
        <v>0</v>
      </c>
      <c r="X1273" s="96">
        <f>IFERROR(_xlfn.XLOOKUP(TEXT(H1273,"0000000000"),'📞 Call Tracker'!A$2:A$2000,'📞 Call Tracker'!C$2:C$2000,""),"")</f>
        <v>0</v>
      </c>
      <c r="Y1273" s="95">
        <f>IFERROR(_xlfn.XLOOKUP(TEXT(H1273,"0000000000"),'📞 Call Tracker'!A$2:A$2000,'📞 Call Tracker'!D$2:D$2000,""),"")</f>
        <v>0</v>
      </c>
      <c r="Z1273" s="95">
        <f>IFERROR(_xlfn.XLOOKUP(TEXT(H1273,"0000000000"),'📞 Call Tracker'!A$2:A$2000,'📞 Call Tracker'!E$2:E$2000,""),"")</f>
        <v>0</v>
      </c>
      <c r="AA1273" s="145">
        <f>IFERROR(_xlfn.XLOOKUP(TEXT(H1273,"0000000000"),'📞 Call Tracker'!A$2:A$2000,'📞 Call Tracker'!F$2:F$2000,""),"")</f>
        <v>0</v>
      </c>
      <c r="AB1273" s="132">
        <f t="shared" si="39"/>
        <v>99</v>
      </c>
      <c r="AC1273" s="79"/>
    </row>
    <row r="1274" spans="1:29" ht="20.100000000000001" customHeight="1">
      <c r="A1274" s="97">
        <v>46071</v>
      </c>
      <c r="B1274" s="98" t="str">
        <v>Stallcop</v>
      </c>
      <c r="C1274" s="98" t="str">
        <v>Leslie</v>
      </c>
      <c r="D1274" s="98" t="str">
        <v>Phoenix</v>
      </c>
      <c r="E1274" s="99">
        <v>85024</v>
      </c>
      <c r="F1274" s="138" t="str">
        <v>I vehemently oppose the "formula rates," which would allow the utility to fast-track rate increases every year</v>
      </c>
      <c r="G1274" s="100" t="str">
        <v>https://docket.images.azcc.gov/E000049524.pdf</v>
      </c>
      <c r="H1274" s="151" t="s">
        <v>6509</v>
      </c>
      <c r="I1274" s="115" t="str">
        <v>R3-47</v>
      </c>
      <c r="J1274" s="110" t="str">
        <v>No</v>
      </c>
      <c r="K1274" s="101" t="str">
        <v>No</v>
      </c>
      <c r="L1274" s="138" t="str">
        <v>Yes</v>
      </c>
      <c r="M1274" s="101" t="str">
        <v>No</v>
      </c>
      <c r="N1274" s="135" t="str">
        <v>No</v>
      </c>
      <c r="O1274" s="120" t="str">
        <v>Yes</v>
      </c>
      <c r="P1274" s="102" t="str">
        <v>N</v>
      </c>
      <c r="Q1274" s="123">
        <v>46077</v>
      </c>
      <c r="R1274" s="141">
        <v>0</v>
      </c>
      <c r="S1274" s="98">
        <v>0</v>
      </c>
      <c r="T1274" s="98">
        <v>0</v>
      </c>
      <c r="U1274" s="143">
        <v>0</v>
      </c>
      <c r="V1274" s="126" t="str">
        <f t="shared" si="38"/>
        <v>✅ On Best Plan</v>
      </c>
      <c r="W1274" s="130">
        <f>IFERROR(_xlfn.XLOOKUP(TEXT(H1274,"0000000000"),'📞 Call Tracker'!A$2:A$2000,'📞 Call Tracker'!B$2:B$2000,""),"")</f>
        <v>0</v>
      </c>
      <c r="X1274" s="96">
        <f>IFERROR(_xlfn.XLOOKUP(TEXT(H1274,"0000000000"),'📞 Call Tracker'!A$2:A$2000,'📞 Call Tracker'!C$2:C$2000,""),"")</f>
        <v>0</v>
      </c>
      <c r="Y1274" s="95">
        <f>IFERROR(_xlfn.XLOOKUP(TEXT(H1274,"0000000000"),'📞 Call Tracker'!A$2:A$2000,'📞 Call Tracker'!D$2:D$2000,""),"")</f>
        <v>0</v>
      </c>
      <c r="Z1274" s="95">
        <f>IFERROR(_xlfn.XLOOKUP(TEXT(H1274,"0000000000"),'📞 Call Tracker'!A$2:A$2000,'📞 Call Tracker'!E$2:E$2000,""),"")</f>
        <v>0</v>
      </c>
      <c r="AA1274" s="145">
        <f>IFERROR(_xlfn.XLOOKUP(TEXT(H1274,"0000000000"),'📞 Call Tracker'!A$2:A$2000,'📞 Call Tracker'!F$2:F$2000,""),"")</f>
        <v>0</v>
      </c>
      <c r="AB1274" s="132">
        <f t="shared" si="39"/>
        <v>99</v>
      </c>
      <c r="AC1274" s="79"/>
    </row>
    <row r="1275" spans="1:29" ht="20.100000000000001" customHeight="1">
      <c r="A1275" s="97">
        <v>46071</v>
      </c>
      <c r="B1275" s="98" t="str">
        <v>Finch</v>
      </c>
      <c r="C1275" s="98" t="str">
        <v>Jessie K</v>
      </c>
      <c r="D1275" s="98" t="str">
        <v>Flagstaff</v>
      </c>
      <c r="E1275" s="99">
        <v>86005</v>
      </c>
      <c r="F1275" s="138" t="str">
        <v>Please stop charging the people of Arizona TO MAKE A PROFIT on what should be a utility FOR THE PEOPLE.</v>
      </c>
      <c r="G1275" s="100" t="str">
        <v>https://docket.images.azcc.gov/E000049524.pdf</v>
      </c>
      <c r="H1275" s="151" t="s">
        <v>6510</v>
      </c>
      <c r="I1275" s="115" t="str">
        <v>RCPw/RTOUE47</v>
      </c>
      <c r="J1275" s="110" t="str">
        <v>No</v>
      </c>
      <c r="K1275" s="101" t="str">
        <v>No</v>
      </c>
      <c r="L1275" s="138" t="str">
        <v>No MEP R3-47 ($56.37)</v>
      </c>
      <c r="M1275" s="101" t="str">
        <v>No</v>
      </c>
      <c r="N1275" s="135" t="str">
        <v>No</v>
      </c>
      <c r="O1275" s="120" t="str">
        <v>Yes</v>
      </c>
      <c r="P1275" s="102" t="str">
        <v>N</v>
      </c>
      <c r="Q1275" s="123">
        <v>46077</v>
      </c>
      <c r="R1275" s="141">
        <v>0</v>
      </c>
      <c r="S1275" s="98">
        <v>0</v>
      </c>
      <c r="T1275" s="98">
        <v>0</v>
      </c>
      <c r="U1275" s="143">
        <v>0</v>
      </c>
      <c r="V1275" s="126" t="str">
        <f t="shared" si="38"/>
        <v>❌ Not on Best Plan</v>
      </c>
      <c r="W1275" s="130">
        <f>IFERROR(_xlfn.XLOOKUP(TEXT(H1275,"0000000000"),'📞 Call Tracker'!A$2:A$2000,'📞 Call Tracker'!B$2:B$2000,""),"")</f>
        <v>0</v>
      </c>
      <c r="X1275" s="96">
        <f>IFERROR(_xlfn.XLOOKUP(TEXT(H1275,"0000000000"),'📞 Call Tracker'!A$2:A$2000,'📞 Call Tracker'!C$2:C$2000,""),"")</f>
        <v>0</v>
      </c>
      <c r="Y1275" s="95">
        <f>IFERROR(_xlfn.XLOOKUP(TEXT(H1275,"0000000000"),'📞 Call Tracker'!A$2:A$2000,'📞 Call Tracker'!D$2:D$2000,""),"")</f>
        <v>0</v>
      </c>
      <c r="Z1275" s="95">
        <f>IFERROR(_xlfn.XLOOKUP(TEXT(H1275,"0000000000"),'📞 Call Tracker'!A$2:A$2000,'📞 Call Tracker'!E$2:E$2000,""),"")</f>
        <v>0</v>
      </c>
      <c r="AA1275" s="145">
        <f>IFERROR(_xlfn.XLOOKUP(TEXT(H1275,"0000000000"),'📞 Call Tracker'!A$2:A$2000,'📞 Call Tracker'!F$2:F$2000,""),"")</f>
        <v>0</v>
      </c>
      <c r="AB1275" s="132">
        <f t="shared" si="39"/>
        <v>99</v>
      </c>
      <c r="AC1275" s="79"/>
    </row>
    <row r="1276" spans="1:29" ht="20.100000000000001" customHeight="1">
      <c r="A1276" s="97">
        <v>46071</v>
      </c>
      <c r="B1276" s="98" t="str">
        <v>Sturnacle</v>
      </c>
      <c r="C1276" s="98" t="str">
        <v>Arwin</v>
      </c>
      <c r="D1276" s="98" t="str">
        <v>Flagstaff</v>
      </c>
      <c r="E1276" s="99">
        <v>86005</v>
      </c>
      <c r="F1276" s="138" t="str">
        <v>Requesting that Arizona Corporation Commission determine the relation of APS to Pinnacle West Capital Corporation</v>
      </c>
      <c r="G1276" s="100" t="str">
        <v>https://docket.images.azcc.gov/E000049524.pdf</v>
      </c>
      <c r="H1276" s="151" t="s">
        <v>6511</v>
      </c>
      <c r="I1276" s="115" t="str">
        <v>R-BASIC</v>
      </c>
      <c r="J1276" s="110" t="str">
        <v>No</v>
      </c>
      <c r="K1276" s="101" t="str">
        <v>No</v>
      </c>
      <c r="L1276" s="138" t="str">
        <v>AMI Opt-Out</v>
      </c>
      <c r="M1276" s="101" t="str">
        <v>No</v>
      </c>
      <c r="N1276" s="135" t="str">
        <v>No</v>
      </c>
      <c r="O1276" s="120" t="str">
        <v>Yes</v>
      </c>
      <c r="P1276" s="102" t="str">
        <v>N</v>
      </c>
      <c r="Q1276" s="123">
        <v>46077</v>
      </c>
      <c r="R1276" s="141">
        <v>0</v>
      </c>
      <c r="S1276" s="98">
        <v>0</v>
      </c>
      <c r="T1276" s="98">
        <v>0</v>
      </c>
      <c r="U1276" s="143">
        <v>0</v>
      </c>
      <c r="V1276" s="126" t="str">
        <f t="shared" si="38"/>
        <v>❌ Not on Best Plan</v>
      </c>
      <c r="W1276" s="130">
        <f>IFERROR(_xlfn.XLOOKUP(TEXT(H1276,"0000000000"),'📞 Call Tracker'!A$2:A$2000,'📞 Call Tracker'!B$2:B$2000,""),"")</f>
        <v>0</v>
      </c>
      <c r="X1276" s="96">
        <f>IFERROR(_xlfn.XLOOKUP(TEXT(H1276,"0000000000"),'📞 Call Tracker'!A$2:A$2000,'📞 Call Tracker'!C$2:C$2000,""),"")</f>
        <v>0</v>
      </c>
      <c r="Y1276" s="95">
        <f>IFERROR(_xlfn.XLOOKUP(TEXT(H1276,"0000000000"),'📞 Call Tracker'!A$2:A$2000,'📞 Call Tracker'!D$2:D$2000,""),"")</f>
        <v>0</v>
      </c>
      <c r="Z1276" s="95">
        <f>IFERROR(_xlfn.XLOOKUP(TEXT(H1276,"0000000000"),'📞 Call Tracker'!A$2:A$2000,'📞 Call Tracker'!E$2:E$2000,""),"")</f>
        <v>0</v>
      </c>
      <c r="AA1276" s="145">
        <f>IFERROR(_xlfn.XLOOKUP(TEXT(H1276,"0000000000"),'📞 Call Tracker'!A$2:A$2000,'📞 Call Tracker'!F$2:F$2000,""),"")</f>
        <v>0</v>
      </c>
      <c r="AB1276" s="132">
        <f t="shared" si="39"/>
        <v>99</v>
      </c>
      <c r="AC1276" s="79"/>
    </row>
    <row r="1277" spans="1:29" ht="20.100000000000001" customHeight="1">
      <c r="A1277" s="97">
        <v>46071</v>
      </c>
      <c r="B1277" s="98" t="str">
        <v>Scott</v>
      </c>
      <c r="C1277" s="98" t="str">
        <v>Jim</v>
      </c>
      <c r="D1277" s="98" t="str">
        <v>Sun City West</v>
      </c>
      <c r="E1277" s="99">
        <v>85375</v>
      </c>
      <c r="F1277" s="138" t="str">
        <v xml:space="preserve">Member of Sun City PORA, with solar. </v>
      </c>
      <c r="G1277" s="100" t="str">
        <v>https://docket.images.azcc.gov/0000216207.pdf</v>
      </c>
      <c r="H1277" s="151" t="s">
        <v>6512</v>
      </c>
      <c r="I1277" s="115" t="str">
        <v>RCPw/RTOUE47</v>
      </c>
      <c r="J1277" s="110" t="str">
        <v>No</v>
      </c>
      <c r="K1277" s="101" t="str">
        <v>No</v>
      </c>
      <c r="L1277" s="138" t="str">
        <v>No MEP R3-47 ($15.82)</v>
      </c>
      <c r="M1277" s="101" t="str">
        <v>No</v>
      </c>
      <c r="N1277" s="135" t="str">
        <v>No</v>
      </c>
      <c r="O1277" s="120" t="str">
        <v>Yes</v>
      </c>
      <c r="P1277" s="102" t="str">
        <v>N</v>
      </c>
      <c r="Q1277" s="123">
        <v>46077</v>
      </c>
      <c r="R1277" s="141">
        <v>0</v>
      </c>
      <c r="S1277" s="98">
        <v>0</v>
      </c>
      <c r="T1277" s="98">
        <v>0</v>
      </c>
      <c r="U1277" s="143">
        <v>0</v>
      </c>
      <c r="V1277" s="126" t="str">
        <f t="shared" si="38"/>
        <v>❌ Not on Best Plan</v>
      </c>
      <c r="W1277" s="130">
        <f>IFERROR(_xlfn.XLOOKUP(TEXT(H1277,"0000000000"),'📞 Call Tracker'!A$2:A$2000,'📞 Call Tracker'!B$2:B$2000,""),"")</f>
        <v>0</v>
      </c>
      <c r="X1277" s="96">
        <f>IFERROR(_xlfn.XLOOKUP(TEXT(H1277,"0000000000"),'📞 Call Tracker'!A$2:A$2000,'📞 Call Tracker'!C$2:C$2000,""),"")</f>
        <v>0</v>
      </c>
      <c r="Y1277" s="95">
        <f>IFERROR(_xlfn.XLOOKUP(TEXT(H1277,"0000000000"),'📞 Call Tracker'!A$2:A$2000,'📞 Call Tracker'!D$2:D$2000,""),"")</f>
        <v>0</v>
      </c>
      <c r="Z1277" s="95">
        <f>IFERROR(_xlfn.XLOOKUP(TEXT(H1277,"0000000000"),'📞 Call Tracker'!A$2:A$2000,'📞 Call Tracker'!E$2:E$2000,""),"")</f>
        <v>0</v>
      </c>
      <c r="AA1277" s="145">
        <f>IFERROR(_xlfn.XLOOKUP(TEXT(H1277,"0000000000"),'📞 Call Tracker'!A$2:A$2000,'📞 Call Tracker'!F$2:F$2000,""),"")</f>
        <v>0</v>
      </c>
      <c r="AB1277" s="132">
        <f t="shared" si="39"/>
        <v>99</v>
      </c>
      <c r="AC1277" s="79"/>
    </row>
    <row r="1278" spans="1:29" ht="20.100000000000001" customHeight="1">
      <c r="A1278" s="97">
        <v>46072</v>
      </c>
      <c r="B1278" s="98" t="str">
        <v>Hakari</v>
      </c>
      <c r="C1278" s="98" t="str">
        <v>Lana</v>
      </c>
      <c r="D1278" s="98" t="str">
        <v>Sun City</v>
      </c>
      <c r="E1278" s="99">
        <v>85373</v>
      </c>
      <c r="F1278" s="138" t="str">
        <v>The considerable increase of 14% would disproportionately affect fixed-income customers, such as myself</v>
      </c>
      <c r="G1278" s="100" t="str">
        <v>https://docket.images.azcc.gov/E000049528.pdf</v>
      </c>
      <c r="H1278" s="151" t="s">
        <v>6138</v>
      </c>
      <c r="I1278" s="115" t="str">
        <v>R-BASIC</v>
      </c>
      <c r="J1278" s="110" t="str">
        <v>No</v>
      </c>
      <c r="K1278" s="101" t="str">
        <v>No</v>
      </c>
      <c r="L1278" s="138" t="str">
        <v>Yes</v>
      </c>
      <c r="M1278" s="101" t="str">
        <v>No</v>
      </c>
      <c r="N1278" s="135" t="str">
        <v>No</v>
      </c>
      <c r="O1278" s="120" t="str">
        <v>Yes</v>
      </c>
      <c r="P1278" s="102" t="str">
        <v>N</v>
      </c>
      <c r="Q1278" s="123">
        <v>46077</v>
      </c>
      <c r="R1278" s="141">
        <v>0</v>
      </c>
      <c r="S1278" s="98">
        <v>0</v>
      </c>
      <c r="T1278" s="98">
        <v>0</v>
      </c>
      <c r="U1278" s="143">
        <v>0</v>
      </c>
      <c r="V1278" s="126" t="str">
        <f t="shared" si="38"/>
        <v>✅ On Best Plan</v>
      </c>
      <c r="W1278" s="130">
        <f>IFERROR(_xlfn.XLOOKUP(TEXT(H1278,"0000000000"),'📞 Call Tracker'!A$2:A$2000,'📞 Call Tracker'!B$2:B$2000,""),"")</f>
        <v>0</v>
      </c>
      <c r="X1278" s="96">
        <f>IFERROR(_xlfn.XLOOKUP(TEXT(H1278,"0000000000"),'📞 Call Tracker'!A$2:A$2000,'📞 Call Tracker'!C$2:C$2000,""),"")</f>
        <v>0</v>
      </c>
      <c r="Y1278" s="95">
        <f>IFERROR(_xlfn.XLOOKUP(TEXT(H1278,"0000000000"),'📞 Call Tracker'!A$2:A$2000,'📞 Call Tracker'!D$2:D$2000,""),"")</f>
        <v>0</v>
      </c>
      <c r="Z1278" s="95">
        <f>IFERROR(_xlfn.XLOOKUP(TEXT(H1278,"0000000000"),'📞 Call Tracker'!A$2:A$2000,'📞 Call Tracker'!E$2:E$2000,""),"")</f>
        <v>0</v>
      </c>
      <c r="AA1278" s="145">
        <f>IFERROR(_xlfn.XLOOKUP(TEXT(H1278,"0000000000"),'📞 Call Tracker'!A$2:A$2000,'📞 Call Tracker'!F$2:F$2000,""),"")</f>
        <v>0</v>
      </c>
      <c r="AB1278" s="132">
        <f t="shared" si="39"/>
        <v>99</v>
      </c>
      <c r="AC1278" s="79"/>
    </row>
    <row r="1279" spans="1:29" ht="20.100000000000001" customHeight="1">
      <c r="A1279" s="97">
        <v>46072</v>
      </c>
      <c r="B1279" s="98" t="str">
        <v>Peterson</v>
      </c>
      <c r="C1279" s="98" t="str">
        <v>Karen</v>
      </c>
      <c r="D1279" s="98" t="str">
        <v>Phoenix</v>
      </c>
      <c r="E1279" s="99">
        <v>85020</v>
      </c>
      <c r="F1279" s="138" t="str">
        <v xml:space="preserve">I feel that APS is unfairly raising bills on homeowners without requiring the new chip manufacturers and the housing developers to pay their share of the rate increases. </v>
      </c>
      <c r="G1279" s="100" t="str">
        <v>https://docket.images.azcc.gov/E000049528.pdf</v>
      </c>
      <c r="H1279" s="151" t="s">
        <v>6139</v>
      </c>
      <c r="I1279" s="115" t="str">
        <v>RCPw/RTOUE</v>
      </c>
      <c r="J1279" s="110" t="str">
        <v>No</v>
      </c>
      <c r="K1279" s="101" t="str">
        <v>No</v>
      </c>
      <c r="L1279" s="138" t="str">
        <v>Yes</v>
      </c>
      <c r="M1279" s="101" t="str">
        <v>No</v>
      </c>
      <c r="N1279" s="135" t="str">
        <v>No</v>
      </c>
      <c r="O1279" s="120" t="str">
        <v>Yes</v>
      </c>
      <c r="P1279" s="102" t="str">
        <v>N</v>
      </c>
      <c r="Q1279" s="123">
        <v>45712</v>
      </c>
      <c r="R1279" s="141">
        <v>0</v>
      </c>
      <c r="S1279" s="98">
        <v>0</v>
      </c>
      <c r="T1279" s="98">
        <v>0</v>
      </c>
      <c r="U1279" s="143">
        <v>0</v>
      </c>
      <c r="V1279" s="126" t="str">
        <f t="shared" si="38"/>
        <v>✅ On Best Plan</v>
      </c>
      <c r="W1279" s="130">
        <f>IFERROR(_xlfn.XLOOKUP(TEXT(H1279,"0000000000"),'📞 Call Tracker'!A$2:A$2000,'📞 Call Tracker'!B$2:B$2000,""),"")</f>
        <v>0</v>
      </c>
      <c r="X1279" s="96">
        <f>IFERROR(_xlfn.XLOOKUP(TEXT(H1279,"0000000000"),'📞 Call Tracker'!A$2:A$2000,'📞 Call Tracker'!C$2:C$2000,""),"")</f>
        <v>0</v>
      </c>
      <c r="Y1279" s="95">
        <f>IFERROR(_xlfn.XLOOKUP(TEXT(H1279,"0000000000"),'📞 Call Tracker'!A$2:A$2000,'📞 Call Tracker'!D$2:D$2000,""),"")</f>
        <v>0</v>
      </c>
      <c r="Z1279" s="95">
        <f>IFERROR(_xlfn.XLOOKUP(TEXT(H1279,"0000000000"),'📞 Call Tracker'!A$2:A$2000,'📞 Call Tracker'!E$2:E$2000,""),"")</f>
        <v>0</v>
      </c>
      <c r="AA1279" s="145">
        <f>IFERROR(_xlfn.XLOOKUP(TEXT(H1279,"0000000000"),'📞 Call Tracker'!A$2:A$2000,'📞 Call Tracker'!F$2:F$2000,""),"")</f>
        <v>0</v>
      </c>
      <c r="AB1279" s="132">
        <f t="shared" si="39"/>
        <v>99</v>
      </c>
      <c r="AC1279" s="79"/>
    </row>
    <row r="1280" spans="1:29" ht="20.100000000000001" customHeight="1">
      <c r="A1280" s="97">
        <v>46072</v>
      </c>
      <c r="B1280" s="98" t="str">
        <v>Brame</v>
      </c>
      <c r="C1280" s="98" t="str">
        <v>Jeffrey</v>
      </c>
      <c r="D1280" s="98" t="str">
        <v>Sedona</v>
      </c>
      <c r="E1280" s="99">
        <v>86351</v>
      </c>
      <c r="F1280" s="138" t="str">
        <v>conern with APS's proposed rate increases, particularly the solar Grid Access Charge</v>
      </c>
      <c r="G1280" s="100" t="str">
        <v>https://docket.images.azcc.gov/E000049547.pdf</v>
      </c>
      <c r="H1280" s="151" t="s">
        <v>6513</v>
      </c>
      <c r="I1280" s="115" t="str">
        <v>R-XS</v>
      </c>
      <c r="J1280" s="110" t="str">
        <v>No</v>
      </c>
      <c r="K1280" s="101" t="str">
        <v>NO</v>
      </c>
      <c r="L1280" s="138" t="str">
        <v>Yes</v>
      </c>
      <c r="M1280" s="101" t="str">
        <v>No</v>
      </c>
      <c r="N1280" s="135" t="str">
        <v>No</v>
      </c>
      <c r="O1280" s="120" t="str">
        <v>Yes</v>
      </c>
      <c r="P1280" s="102" t="str">
        <v>N</v>
      </c>
      <c r="Q1280" s="123">
        <v>46077</v>
      </c>
      <c r="R1280" s="141">
        <v>0</v>
      </c>
      <c r="S1280" s="98">
        <v>0</v>
      </c>
      <c r="T1280" s="98">
        <v>0</v>
      </c>
      <c r="U1280" s="143">
        <v>0</v>
      </c>
      <c r="V1280" s="126" t="str">
        <f t="shared" si="38"/>
        <v>✅ On Best Plan</v>
      </c>
      <c r="W1280" s="130">
        <f>IFERROR(_xlfn.XLOOKUP(TEXT(H1280,"0000000000"),'📞 Call Tracker'!A$2:A$2000,'📞 Call Tracker'!B$2:B$2000,""),"")</f>
        <v>0</v>
      </c>
      <c r="X1280" s="96">
        <f>IFERROR(_xlfn.XLOOKUP(TEXT(H1280,"0000000000"),'📞 Call Tracker'!A$2:A$2000,'📞 Call Tracker'!C$2:C$2000,""),"")</f>
        <v>0</v>
      </c>
      <c r="Y1280" s="95">
        <f>IFERROR(_xlfn.XLOOKUP(TEXT(H1280,"0000000000"),'📞 Call Tracker'!A$2:A$2000,'📞 Call Tracker'!D$2:D$2000,""),"")</f>
        <v>0</v>
      </c>
      <c r="Z1280" s="95">
        <f>IFERROR(_xlfn.XLOOKUP(TEXT(H1280,"0000000000"),'📞 Call Tracker'!A$2:A$2000,'📞 Call Tracker'!E$2:E$2000,""),"")</f>
        <v>0</v>
      </c>
      <c r="AA1280" s="145">
        <f>IFERROR(_xlfn.XLOOKUP(TEXT(H1280,"0000000000"),'📞 Call Tracker'!A$2:A$2000,'📞 Call Tracker'!F$2:F$2000,""),"")</f>
        <v>0</v>
      </c>
      <c r="AB1280" s="132">
        <f t="shared" si="39"/>
        <v>99</v>
      </c>
      <c r="AC1280" s="79"/>
    </row>
    <row r="1281" spans="1:29" ht="20.100000000000001" customHeight="1">
      <c r="A1281" s="97">
        <v>46072</v>
      </c>
      <c r="B1281" s="98" t="str">
        <v>Kerata</v>
      </c>
      <c r="C1281" s="98" t="str">
        <v>Jan</v>
      </c>
      <c r="D1281" s="98" t="str">
        <v>Flagstaff</v>
      </c>
      <c r="E1281" s="99">
        <v>86004</v>
      </c>
      <c r="F1281" s="138" t="str">
        <v>Pleas consider supporting solar power, solar tax credits and infrastructure so these electricity rates start to Go Down instead of continually UP.</v>
      </c>
      <c r="G1281" s="100" t="str">
        <v>https://docket.images.azcc.gov/E000049547.pdf</v>
      </c>
      <c r="H1281" s="151" t="s">
        <v>6514</v>
      </c>
      <c r="I1281" s="115" t="str">
        <v>R-XS</v>
      </c>
      <c r="J1281" s="110" t="str">
        <v>No</v>
      </c>
      <c r="K1281" s="101" t="str">
        <v>No</v>
      </c>
      <c r="L1281" s="138" t="str">
        <v>Yes</v>
      </c>
      <c r="M1281" s="101" t="str">
        <v>No</v>
      </c>
      <c r="N1281" s="135" t="str">
        <v>No</v>
      </c>
      <c r="O1281" s="120" t="str">
        <v>Yes</v>
      </c>
      <c r="P1281" s="102" t="str">
        <v>N</v>
      </c>
      <c r="Q1281" s="123">
        <v>46077</v>
      </c>
      <c r="R1281" s="141">
        <v>0</v>
      </c>
      <c r="S1281" s="98">
        <v>0</v>
      </c>
      <c r="T1281" s="98">
        <v>0</v>
      </c>
      <c r="U1281" s="143">
        <v>0</v>
      </c>
      <c r="V1281" s="126" t="str">
        <f t="shared" si="38"/>
        <v>✅ On Best Plan</v>
      </c>
      <c r="W1281" s="130">
        <f>IFERROR(_xlfn.XLOOKUP(TEXT(H1281,"0000000000"),'📞 Call Tracker'!A$2:A$2000,'📞 Call Tracker'!B$2:B$2000,""),"")</f>
        <v>0</v>
      </c>
      <c r="X1281" s="96">
        <f>IFERROR(_xlfn.XLOOKUP(TEXT(H1281,"0000000000"),'📞 Call Tracker'!A$2:A$2000,'📞 Call Tracker'!C$2:C$2000,""),"")</f>
        <v>0</v>
      </c>
      <c r="Y1281" s="95">
        <f>IFERROR(_xlfn.XLOOKUP(TEXT(H1281,"0000000000"),'📞 Call Tracker'!A$2:A$2000,'📞 Call Tracker'!D$2:D$2000,""),"")</f>
        <v>0</v>
      </c>
      <c r="Z1281" s="95">
        <f>IFERROR(_xlfn.XLOOKUP(TEXT(H1281,"0000000000"),'📞 Call Tracker'!A$2:A$2000,'📞 Call Tracker'!E$2:E$2000,""),"")</f>
        <v>0</v>
      </c>
      <c r="AA1281" s="145">
        <f>IFERROR(_xlfn.XLOOKUP(TEXT(H1281,"0000000000"),'📞 Call Tracker'!A$2:A$2000,'📞 Call Tracker'!F$2:F$2000,""),"")</f>
        <v>0</v>
      </c>
      <c r="AB1281" s="132">
        <f t="shared" si="39"/>
        <v>99</v>
      </c>
      <c r="AC1281" s="79"/>
    </row>
    <row r="1282" spans="1:29" ht="20.100000000000001" customHeight="1">
      <c r="A1282" s="97">
        <v>46073</v>
      </c>
      <c r="B1282" s="98" t="str">
        <v>Engelman</v>
      </c>
      <c r="C1282" s="98" t="str">
        <v>Carol</v>
      </c>
      <c r="D1282" s="98" t="str">
        <v>Peoria</v>
      </c>
      <c r="E1282" s="99">
        <v>85383</v>
      </c>
      <c r="F1282" s="138" t="str">
        <v xml:space="preserve">try living in the AZ heat with minimal air conditioning such as this. Try it, and I can assure you, you would never approve a rate hike. </v>
      </c>
      <c r="G1282" s="100" t="str">
        <v>https://docket.images.azcc.gov/E000049561.pdf</v>
      </c>
      <c r="H1282" s="151" t="s">
        <v>6515</v>
      </c>
      <c r="I1282" s="115" t="str">
        <v>RCPw/RTOUE</v>
      </c>
      <c r="J1282" s="110" t="str">
        <v>No</v>
      </c>
      <c r="K1282" s="101" t="str">
        <v>No</v>
      </c>
      <c r="L1282" s="138" t="str">
        <v>Yes</v>
      </c>
      <c r="M1282" s="101" t="str">
        <v>No</v>
      </c>
      <c r="N1282" s="135" t="str">
        <v>No</v>
      </c>
      <c r="O1282" s="120" t="str">
        <v>Yes</v>
      </c>
      <c r="P1282" s="102" t="str">
        <v>N</v>
      </c>
      <c r="Q1282" s="123">
        <v>46077</v>
      </c>
      <c r="R1282" s="141">
        <v>0</v>
      </c>
      <c r="S1282" s="98">
        <v>0</v>
      </c>
      <c r="T1282" s="98">
        <v>0</v>
      </c>
      <c r="U1282" s="143">
        <v>0</v>
      </c>
      <c r="V1282" s="126" t="str">
        <f t="shared" si="38"/>
        <v>✅ On Best Plan</v>
      </c>
      <c r="W1282" s="130">
        <f>IFERROR(_xlfn.XLOOKUP(TEXT(H1282,"0000000000"),'📞 Call Tracker'!A$2:A$2000,'📞 Call Tracker'!B$2:B$2000,""),"")</f>
        <v>0</v>
      </c>
      <c r="X1282" s="96">
        <f>IFERROR(_xlfn.XLOOKUP(TEXT(H1282,"0000000000"),'📞 Call Tracker'!A$2:A$2000,'📞 Call Tracker'!C$2:C$2000,""),"")</f>
        <v>0</v>
      </c>
      <c r="Y1282" s="95">
        <f>IFERROR(_xlfn.XLOOKUP(TEXT(H1282,"0000000000"),'📞 Call Tracker'!A$2:A$2000,'📞 Call Tracker'!D$2:D$2000,""),"")</f>
        <v>0</v>
      </c>
      <c r="Z1282" s="95">
        <f>IFERROR(_xlfn.XLOOKUP(TEXT(H1282,"0000000000"),'📞 Call Tracker'!A$2:A$2000,'📞 Call Tracker'!E$2:E$2000,""),"")</f>
        <v>0</v>
      </c>
      <c r="AA1282" s="145">
        <f>IFERROR(_xlfn.XLOOKUP(TEXT(H1282,"0000000000"),'📞 Call Tracker'!A$2:A$2000,'📞 Call Tracker'!F$2:F$2000,""),"")</f>
        <v>0</v>
      </c>
      <c r="AB1282" s="132">
        <f t="shared" si="39"/>
        <v>99</v>
      </c>
      <c r="AC1282" s="79"/>
    </row>
    <row r="1283" spans="1:29" ht="20.100000000000001" customHeight="1">
      <c r="A1283" s="97">
        <v>46073</v>
      </c>
      <c r="B1283" s="98" t="str">
        <v>Arnon</v>
      </c>
      <c r="C1283" s="98" t="str">
        <v>Lee</v>
      </c>
      <c r="D1283" s="98" t="str">
        <v>Phoenix</v>
      </c>
      <c r="E1283" s="99">
        <v>85020</v>
      </c>
      <c r="F1283" s="138" t="str">
        <v xml:space="preserve">Oppose rate increase, FRM, APS will not allow solar customer to operate stand-alone facilities, deny Grid Access Charge, abandoned their clean energy goals. </v>
      </c>
      <c r="G1283" s="100" t="str">
        <v>https://docket.images.azcc.gov/E000049585.pdf</v>
      </c>
      <c r="H1283" s="151" t="s">
        <v>6516</v>
      </c>
      <c r="I1283" s="115" t="str">
        <v>R-TOUE47</v>
      </c>
      <c r="J1283" s="110" t="str">
        <v>No</v>
      </c>
      <c r="K1283" s="101" t="str">
        <v>No</v>
      </c>
      <c r="L1283" s="138" t="str">
        <v>No MEP R3-47 ($310.50)</v>
      </c>
      <c r="M1283" s="101" t="str">
        <v>No</v>
      </c>
      <c r="N1283" s="135" t="str">
        <v>No</v>
      </c>
      <c r="O1283" s="120" t="str">
        <v>Yes</v>
      </c>
      <c r="P1283" s="102">
        <v>0</v>
      </c>
      <c r="Q1283" s="123">
        <v>45712</v>
      </c>
      <c r="R1283" s="141" t="str">
        <v>Please contact customer regarding plan options</v>
      </c>
      <c r="S1283" s="98">
        <v>0</v>
      </c>
      <c r="T1283" s="98">
        <v>0</v>
      </c>
      <c r="U1283" s="143">
        <v>0</v>
      </c>
      <c r="V1283" s="126" t="str">
        <f t="shared" ref="V1283:V1310" si="40">IF(OR(LEFT(TRIM(L1283),3)="Yes",TRIM(L1283)="Y"),"✅ On Best Plan",IF(OR(L1283="Frozen Rate",L1283="Frozen Plan"),"❄ Frozen Rate",IF(OR(L1283="Not able to Compare",L1283="Info Not Avail",L1283="NA",L1283=""),"⚠ Unknown","❌ Not on Best Plan")))</f>
        <v>❌ Not on Best Plan</v>
      </c>
      <c r="W1283" s="130">
        <f>IFERROR(_xlfn.XLOOKUP(TEXT(H1283,"0000000000"),'📞 Call Tracker'!A$2:A$2000,'📞 Call Tracker'!B$2:B$2000,""),"")</f>
        <v>0</v>
      </c>
      <c r="X1283" s="96">
        <f>IFERROR(_xlfn.XLOOKUP(TEXT(H1283,"0000000000"),'📞 Call Tracker'!A$2:A$2000,'📞 Call Tracker'!C$2:C$2000,""),"")</f>
        <v>0</v>
      </c>
      <c r="Y1283" s="95">
        <f>IFERROR(_xlfn.XLOOKUP(TEXT(H1283,"0000000000"),'📞 Call Tracker'!A$2:A$2000,'📞 Call Tracker'!D$2:D$2000,""),"")</f>
        <v>0</v>
      </c>
      <c r="Z1283" s="95">
        <f>IFERROR(_xlfn.XLOOKUP(TEXT(H1283,"0000000000"),'📞 Call Tracker'!A$2:A$2000,'📞 Call Tracker'!E$2:E$2000,""),"")</f>
        <v>0</v>
      </c>
      <c r="AA1283" s="145">
        <f>IFERROR(_xlfn.XLOOKUP(TEXT(H1283,"0000000000"),'📞 Call Tracker'!A$2:A$2000,'📞 Call Tracker'!F$2:F$2000,""),"")</f>
        <v>0</v>
      </c>
      <c r="AB1283" s="132">
        <f t="shared" ref="AB1283:AB1310" si="41">IF(OR(H1283="",X1283&lt;&gt;""),99,IF(AND(NOT(OR(LEFT(TRIM(L1283),3)="Yes",TRIM(L1283)="Y",L1283="Frozen Rate",L1283="Frozen Plan",L1283="Not able to Compare",L1283="Info Not Avail",L1283="NA",L1283="")),AND(N1283&lt;&gt;"No",N1283&lt;&gt;"")),1,IF(NOT(OR(LEFT(TRIM(L1283),3)="Yes",TRIM(L1283)="Y",L1283="Frozen Rate",L1283="Frozen Plan",L1283="Not able to Compare",L1283="Info Not Avail",L1283="NA",L1283="")),2,IF(AND(N1283&lt;&gt;"No",N1283&lt;&gt;""),3,4))))</f>
        <v>99</v>
      </c>
      <c r="AC1283" s="79"/>
    </row>
    <row r="1284" spans="1:29" ht="20.100000000000001" customHeight="1">
      <c r="A1284" s="97"/>
      <c r="B1284" s="98"/>
      <c r="C1284" s="98"/>
      <c r="D1284" s="98"/>
      <c r="E1284" s="99"/>
      <c r="F1284" s="138"/>
      <c r="G1284" s="100"/>
      <c r="H1284" s="151" t="s">
        <v>6140</v>
      </c>
      <c r="I1284" s="115"/>
      <c r="J1284" s="110"/>
      <c r="K1284" s="101"/>
      <c r="L1284" s="138"/>
      <c r="M1284" s="101"/>
      <c r="N1284" s="135"/>
      <c r="O1284" s="120"/>
      <c r="P1284" s="102"/>
      <c r="Q1284" s="123"/>
      <c r="R1284" s="141"/>
      <c r="S1284" s="98"/>
      <c r="T1284" s="98"/>
      <c r="U1284" s="143"/>
      <c r="V1284" s="126" t="str">
        <f t="shared" si="40"/>
        <v>⚠ Unknown</v>
      </c>
      <c r="W1284" s="130">
        <f>IFERROR(_xlfn.XLOOKUP(TEXT(H1284,"0000000000"),'📞 Call Tracker'!A$2:A$2000,'📞 Call Tracker'!B$2:B$2000,""),"")</f>
        <v>0</v>
      </c>
      <c r="X1284" s="96">
        <f>IFERROR(_xlfn.XLOOKUP(TEXT(H1284,"0000000000"),'📞 Call Tracker'!A$2:A$2000,'📞 Call Tracker'!C$2:C$2000,""),"")</f>
        <v>0</v>
      </c>
      <c r="Y1284" s="95">
        <f>IFERROR(_xlfn.XLOOKUP(TEXT(H1284,"0000000000"),'📞 Call Tracker'!A$2:A$2000,'📞 Call Tracker'!D$2:D$2000,""),"")</f>
        <v>0</v>
      </c>
      <c r="Z1284" s="95">
        <f>IFERROR(_xlfn.XLOOKUP(TEXT(H1284,"0000000000"),'📞 Call Tracker'!A$2:A$2000,'📞 Call Tracker'!E$2:E$2000,""),"")</f>
        <v>0</v>
      </c>
      <c r="AA1284" s="145">
        <f>IFERROR(_xlfn.XLOOKUP(TEXT(H1284,"0000000000"),'📞 Call Tracker'!A$2:A$2000,'📞 Call Tracker'!F$2:F$2000,""),"")</f>
        <v>0</v>
      </c>
      <c r="AB1284" s="132">
        <f t="shared" si="41"/>
        <v>99</v>
      </c>
      <c r="AC1284" s="79"/>
    </row>
    <row r="1285" spans="1:29" ht="20.100000000000001" customHeight="1">
      <c r="A1285" s="97"/>
      <c r="B1285" s="98"/>
      <c r="C1285" s="98"/>
      <c r="D1285" s="98"/>
      <c r="E1285" s="99"/>
      <c r="F1285" s="138"/>
      <c r="G1285" s="100"/>
      <c r="H1285" s="151" t="s">
        <v>6517</v>
      </c>
      <c r="I1285" s="115"/>
      <c r="J1285" s="110"/>
      <c r="K1285" s="101"/>
      <c r="L1285" s="138"/>
      <c r="M1285" s="101"/>
      <c r="N1285" s="135"/>
      <c r="O1285" s="120"/>
      <c r="P1285" s="102"/>
      <c r="Q1285" s="123"/>
      <c r="R1285" s="141"/>
      <c r="S1285" s="98"/>
      <c r="T1285" s="98"/>
      <c r="U1285" s="143"/>
      <c r="V1285" s="126" t="str">
        <f t="shared" si="40"/>
        <v>⚠ Unknown</v>
      </c>
      <c r="W1285" s="130">
        <f>IFERROR(_xlfn.XLOOKUP(TEXT(H1285,"0000000000"),'📞 Call Tracker'!A$2:A$2000,'📞 Call Tracker'!B$2:B$2000,""),"")</f>
        <v>0</v>
      </c>
      <c r="X1285" s="96">
        <f>IFERROR(_xlfn.XLOOKUP(TEXT(H1285,"0000000000"),'📞 Call Tracker'!A$2:A$2000,'📞 Call Tracker'!C$2:C$2000,""),"")</f>
        <v>0</v>
      </c>
      <c r="Y1285" s="95">
        <f>IFERROR(_xlfn.XLOOKUP(TEXT(H1285,"0000000000"),'📞 Call Tracker'!A$2:A$2000,'📞 Call Tracker'!D$2:D$2000,""),"")</f>
        <v>0</v>
      </c>
      <c r="Z1285" s="95">
        <f>IFERROR(_xlfn.XLOOKUP(TEXT(H1285,"0000000000"),'📞 Call Tracker'!A$2:A$2000,'📞 Call Tracker'!E$2:E$2000,""),"")</f>
        <v>0</v>
      </c>
      <c r="AA1285" s="145">
        <f>IFERROR(_xlfn.XLOOKUP(TEXT(H1285,"0000000000"),'📞 Call Tracker'!A$2:A$2000,'📞 Call Tracker'!F$2:F$2000,""),"")</f>
        <v>0</v>
      </c>
      <c r="AB1285" s="132">
        <f t="shared" si="41"/>
        <v>99</v>
      </c>
      <c r="AC1285" s="79"/>
    </row>
    <row r="1286" spans="1:29" ht="20.100000000000001" customHeight="1">
      <c r="A1286" s="97"/>
      <c r="B1286" s="98"/>
      <c r="C1286" s="98"/>
      <c r="D1286" s="98"/>
      <c r="E1286" s="99"/>
      <c r="F1286" s="138"/>
      <c r="G1286" s="100"/>
      <c r="H1286" s="151" t="s">
        <v>6141</v>
      </c>
      <c r="I1286" s="115"/>
      <c r="J1286" s="110"/>
      <c r="K1286" s="101"/>
      <c r="L1286" s="138"/>
      <c r="M1286" s="101"/>
      <c r="N1286" s="135"/>
      <c r="O1286" s="120"/>
      <c r="P1286" s="102"/>
      <c r="Q1286" s="123"/>
      <c r="R1286" s="141"/>
      <c r="S1286" s="98"/>
      <c r="T1286" s="98"/>
      <c r="U1286" s="143"/>
      <c r="V1286" s="126" t="str">
        <f t="shared" si="40"/>
        <v>⚠ Unknown</v>
      </c>
      <c r="W1286" s="130">
        <f>IFERROR(_xlfn.XLOOKUP(TEXT(H1286,"0000000000"),'📞 Call Tracker'!A$2:A$2000,'📞 Call Tracker'!B$2:B$2000,""),"")</f>
        <v>0</v>
      </c>
      <c r="X1286" s="96">
        <f>IFERROR(_xlfn.XLOOKUP(TEXT(H1286,"0000000000"),'📞 Call Tracker'!A$2:A$2000,'📞 Call Tracker'!C$2:C$2000,""),"")</f>
        <v>0</v>
      </c>
      <c r="Y1286" s="95">
        <f>IFERROR(_xlfn.XLOOKUP(TEXT(H1286,"0000000000"),'📞 Call Tracker'!A$2:A$2000,'📞 Call Tracker'!D$2:D$2000,""),"")</f>
        <v>0</v>
      </c>
      <c r="Z1286" s="95">
        <f>IFERROR(_xlfn.XLOOKUP(TEXT(H1286,"0000000000"),'📞 Call Tracker'!A$2:A$2000,'📞 Call Tracker'!E$2:E$2000,""),"")</f>
        <v>0</v>
      </c>
      <c r="AA1286" s="145">
        <f>IFERROR(_xlfn.XLOOKUP(TEXT(H1286,"0000000000"),'📞 Call Tracker'!A$2:A$2000,'📞 Call Tracker'!F$2:F$2000,""),"")</f>
        <v>0</v>
      </c>
      <c r="AB1286" s="132">
        <f t="shared" si="41"/>
        <v>99</v>
      </c>
      <c r="AC1286" s="79"/>
    </row>
    <row r="1287" spans="1:29" ht="20.100000000000001" customHeight="1">
      <c r="A1287" s="97"/>
      <c r="B1287" s="98"/>
      <c r="C1287" s="98"/>
      <c r="D1287" s="98"/>
      <c r="E1287" s="99"/>
      <c r="F1287" s="138"/>
      <c r="G1287" s="100"/>
      <c r="H1287" s="151" t="s">
        <v>6518</v>
      </c>
      <c r="I1287" s="115"/>
      <c r="J1287" s="110"/>
      <c r="K1287" s="101"/>
      <c r="L1287" s="138"/>
      <c r="M1287" s="101"/>
      <c r="N1287" s="135"/>
      <c r="O1287" s="120"/>
      <c r="P1287" s="102"/>
      <c r="Q1287" s="123"/>
      <c r="R1287" s="141"/>
      <c r="S1287" s="98"/>
      <c r="T1287" s="98"/>
      <c r="U1287" s="143"/>
      <c r="V1287" s="126" t="str">
        <f t="shared" si="40"/>
        <v>⚠ Unknown</v>
      </c>
      <c r="W1287" s="130">
        <f>IFERROR(_xlfn.XLOOKUP(TEXT(H1287,"0000000000"),'📞 Call Tracker'!A$2:A$2000,'📞 Call Tracker'!B$2:B$2000,""),"")</f>
        <v>0</v>
      </c>
      <c r="X1287" s="96">
        <f>IFERROR(_xlfn.XLOOKUP(TEXT(H1287,"0000000000"),'📞 Call Tracker'!A$2:A$2000,'📞 Call Tracker'!C$2:C$2000,""),"")</f>
        <v>0</v>
      </c>
      <c r="Y1287" s="95">
        <f>IFERROR(_xlfn.XLOOKUP(TEXT(H1287,"0000000000"),'📞 Call Tracker'!A$2:A$2000,'📞 Call Tracker'!D$2:D$2000,""),"")</f>
        <v>0</v>
      </c>
      <c r="Z1287" s="95">
        <f>IFERROR(_xlfn.XLOOKUP(TEXT(H1287,"0000000000"),'📞 Call Tracker'!A$2:A$2000,'📞 Call Tracker'!E$2:E$2000,""),"")</f>
        <v>0</v>
      </c>
      <c r="AA1287" s="145">
        <f>IFERROR(_xlfn.XLOOKUP(TEXT(H1287,"0000000000"),'📞 Call Tracker'!A$2:A$2000,'📞 Call Tracker'!F$2:F$2000,""),"")</f>
        <v>0</v>
      </c>
      <c r="AB1287" s="132">
        <f t="shared" si="41"/>
        <v>99</v>
      </c>
      <c r="AC1287" s="79"/>
    </row>
    <row r="1288" spans="1:29" ht="20.100000000000001" customHeight="1">
      <c r="A1288" s="97"/>
      <c r="B1288" s="98"/>
      <c r="C1288" s="98"/>
      <c r="D1288" s="98"/>
      <c r="E1288" s="99"/>
      <c r="F1288" s="138"/>
      <c r="G1288" s="100"/>
      <c r="H1288" s="151" t="s">
        <v>6519</v>
      </c>
      <c r="I1288" s="115"/>
      <c r="J1288" s="110"/>
      <c r="K1288" s="101"/>
      <c r="L1288" s="138"/>
      <c r="M1288" s="101"/>
      <c r="N1288" s="135"/>
      <c r="O1288" s="120"/>
      <c r="P1288" s="102"/>
      <c r="Q1288" s="123"/>
      <c r="R1288" s="141"/>
      <c r="S1288" s="98"/>
      <c r="T1288" s="98"/>
      <c r="U1288" s="143"/>
      <c r="V1288" s="126" t="str">
        <f t="shared" si="40"/>
        <v>⚠ Unknown</v>
      </c>
      <c r="W1288" s="130">
        <f>IFERROR(_xlfn.XLOOKUP(TEXT(H1288,"0000000000"),'📞 Call Tracker'!A$2:A$2000,'📞 Call Tracker'!B$2:B$2000,""),"")</f>
        <v>0</v>
      </c>
      <c r="X1288" s="96">
        <f>IFERROR(_xlfn.XLOOKUP(TEXT(H1288,"0000000000"),'📞 Call Tracker'!A$2:A$2000,'📞 Call Tracker'!C$2:C$2000,""),"")</f>
        <v>0</v>
      </c>
      <c r="Y1288" s="95">
        <f>IFERROR(_xlfn.XLOOKUP(TEXT(H1288,"0000000000"),'📞 Call Tracker'!A$2:A$2000,'📞 Call Tracker'!D$2:D$2000,""),"")</f>
        <v>0</v>
      </c>
      <c r="Z1288" s="95">
        <f>IFERROR(_xlfn.XLOOKUP(TEXT(H1288,"0000000000"),'📞 Call Tracker'!A$2:A$2000,'📞 Call Tracker'!E$2:E$2000,""),"")</f>
        <v>0</v>
      </c>
      <c r="AA1288" s="145">
        <f>IFERROR(_xlfn.XLOOKUP(TEXT(H1288,"0000000000"),'📞 Call Tracker'!A$2:A$2000,'📞 Call Tracker'!F$2:F$2000,""),"")</f>
        <v>0</v>
      </c>
      <c r="AB1288" s="132">
        <f t="shared" si="41"/>
        <v>99</v>
      </c>
      <c r="AC1288" s="79"/>
    </row>
    <row r="1289" spans="1:29" ht="20.100000000000001" customHeight="1">
      <c r="A1289" s="97"/>
      <c r="B1289" s="98"/>
      <c r="C1289" s="98"/>
      <c r="D1289" s="98"/>
      <c r="E1289" s="99"/>
      <c r="F1289" s="138"/>
      <c r="G1289" s="100"/>
      <c r="H1289" s="151" t="s">
        <v>6520</v>
      </c>
      <c r="I1289" s="115"/>
      <c r="J1289" s="110"/>
      <c r="K1289" s="101"/>
      <c r="L1289" s="138"/>
      <c r="M1289" s="101"/>
      <c r="N1289" s="135"/>
      <c r="O1289" s="120"/>
      <c r="P1289" s="102"/>
      <c r="Q1289" s="123"/>
      <c r="R1289" s="141"/>
      <c r="S1289" s="98"/>
      <c r="T1289" s="98"/>
      <c r="U1289" s="143"/>
      <c r="V1289" s="126" t="str">
        <f t="shared" si="40"/>
        <v>⚠ Unknown</v>
      </c>
      <c r="W1289" s="130">
        <f>IFERROR(_xlfn.XLOOKUP(TEXT(H1289,"0000000000"),'📞 Call Tracker'!A$2:A$2000,'📞 Call Tracker'!B$2:B$2000,""),"")</f>
        <v>0</v>
      </c>
      <c r="X1289" s="96">
        <f>IFERROR(_xlfn.XLOOKUP(TEXT(H1289,"0000000000"),'📞 Call Tracker'!A$2:A$2000,'📞 Call Tracker'!C$2:C$2000,""),"")</f>
        <v>0</v>
      </c>
      <c r="Y1289" s="95">
        <f>IFERROR(_xlfn.XLOOKUP(TEXT(H1289,"0000000000"),'📞 Call Tracker'!A$2:A$2000,'📞 Call Tracker'!D$2:D$2000,""),"")</f>
        <v>0</v>
      </c>
      <c r="Z1289" s="95">
        <f>IFERROR(_xlfn.XLOOKUP(TEXT(H1289,"0000000000"),'📞 Call Tracker'!A$2:A$2000,'📞 Call Tracker'!E$2:E$2000,""),"")</f>
        <v>0</v>
      </c>
      <c r="AA1289" s="145">
        <f>IFERROR(_xlfn.XLOOKUP(TEXT(H1289,"0000000000"),'📞 Call Tracker'!A$2:A$2000,'📞 Call Tracker'!F$2:F$2000,""),"")</f>
        <v>0</v>
      </c>
      <c r="AB1289" s="132">
        <f t="shared" si="41"/>
        <v>99</v>
      </c>
      <c r="AC1289" s="79"/>
    </row>
    <row r="1290" spans="1:29" ht="20.100000000000001" customHeight="1">
      <c r="A1290" s="97"/>
      <c r="B1290" s="98"/>
      <c r="C1290" s="98"/>
      <c r="D1290" s="98"/>
      <c r="E1290" s="99"/>
      <c r="F1290" s="138"/>
      <c r="G1290" s="100"/>
      <c r="H1290" s="151" t="s">
        <v>6521</v>
      </c>
      <c r="I1290" s="115"/>
      <c r="J1290" s="110"/>
      <c r="K1290" s="101"/>
      <c r="L1290" s="138"/>
      <c r="M1290" s="101"/>
      <c r="N1290" s="135"/>
      <c r="O1290" s="120"/>
      <c r="P1290" s="102"/>
      <c r="Q1290" s="123"/>
      <c r="R1290" s="141"/>
      <c r="S1290" s="98"/>
      <c r="T1290" s="98"/>
      <c r="U1290" s="143"/>
      <c r="V1290" s="126" t="str">
        <f t="shared" si="40"/>
        <v>⚠ Unknown</v>
      </c>
      <c r="W1290" s="130">
        <f>IFERROR(_xlfn.XLOOKUP(TEXT(H1290,"0000000000"),'📞 Call Tracker'!A$2:A$2000,'📞 Call Tracker'!B$2:B$2000,""),"")</f>
        <v>0</v>
      </c>
      <c r="X1290" s="96">
        <f>IFERROR(_xlfn.XLOOKUP(TEXT(H1290,"0000000000"),'📞 Call Tracker'!A$2:A$2000,'📞 Call Tracker'!C$2:C$2000,""),"")</f>
        <v>0</v>
      </c>
      <c r="Y1290" s="95">
        <f>IFERROR(_xlfn.XLOOKUP(TEXT(H1290,"0000000000"),'📞 Call Tracker'!A$2:A$2000,'📞 Call Tracker'!D$2:D$2000,""),"")</f>
        <v>0</v>
      </c>
      <c r="Z1290" s="95">
        <f>IFERROR(_xlfn.XLOOKUP(TEXT(H1290,"0000000000"),'📞 Call Tracker'!A$2:A$2000,'📞 Call Tracker'!E$2:E$2000,""),"")</f>
        <v>0</v>
      </c>
      <c r="AA1290" s="145">
        <f>IFERROR(_xlfn.XLOOKUP(TEXT(H1290,"0000000000"),'📞 Call Tracker'!A$2:A$2000,'📞 Call Tracker'!F$2:F$2000,""),"")</f>
        <v>0</v>
      </c>
      <c r="AB1290" s="132">
        <f t="shared" si="41"/>
        <v>99</v>
      </c>
      <c r="AC1290" s="79"/>
    </row>
    <row r="1291" spans="1:29" ht="20.100000000000001" customHeight="1">
      <c r="A1291" s="97"/>
      <c r="B1291" s="98"/>
      <c r="C1291" s="98"/>
      <c r="D1291" s="98"/>
      <c r="E1291" s="99"/>
      <c r="F1291" s="138"/>
      <c r="G1291" s="100"/>
      <c r="H1291" s="151" t="s">
        <v>6522</v>
      </c>
      <c r="I1291" s="115"/>
      <c r="J1291" s="110"/>
      <c r="K1291" s="101"/>
      <c r="L1291" s="138"/>
      <c r="M1291" s="101"/>
      <c r="N1291" s="135"/>
      <c r="O1291" s="120"/>
      <c r="P1291" s="102"/>
      <c r="Q1291" s="123"/>
      <c r="R1291" s="141"/>
      <c r="S1291" s="98"/>
      <c r="T1291" s="98"/>
      <c r="U1291" s="143"/>
      <c r="V1291" s="126" t="str">
        <f t="shared" si="40"/>
        <v>⚠ Unknown</v>
      </c>
      <c r="W1291" s="130">
        <f>IFERROR(_xlfn.XLOOKUP(TEXT(H1291,"0000000000"),'📞 Call Tracker'!A$2:A$2000,'📞 Call Tracker'!B$2:B$2000,""),"")</f>
        <v>0</v>
      </c>
      <c r="X1291" s="96">
        <f>IFERROR(_xlfn.XLOOKUP(TEXT(H1291,"0000000000"),'📞 Call Tracker'!A$2:A$2000,'📞 Call Tracker'!C$2:C$2000,""),"")</f>
        <v>0</v>
      </c>
      <c r="Y1291" s="95">
        <f>IFERROR(_xlfn.XLOOKUP(TEXT(H1291,"0000000000"),'📞 Call Tracker'!A$2:A$2000,'📞 Call Tracker'!D$2:D$2000,""),"")</f>
        <v>0</v>
      </c>
      <c r="Z1291" s="95">
        <f>IFERROR(_xlfn.XLOOKUP(TEXT(H1291,"0000000000"),'📞 Call Tracker'!A$2:A$2000,'📞 Call Tracker'!E$2:E$2000,""),"")</f>
        <v>0</v>
      </c>
      <c r="AA1291" s="145">
        <f>IFERROR(_xlfn.XLOOKUP(TEXT(H1291,"0000000000"),'📞 Call Tracker'!A$2:A$2000,'📞 Call Tracker'!F$2:F$2000,""),"")</f>
        <v>0</v>
      </c>
      <c r="AB1291" s="132">
        <f t="shared" si="41"/>
        <v>99</v>
      </c>
      <c r="AC1291" s="79"/>
    </row>
    <row r="1292" spans="1:29" ht="20.100000000000001" customHeight="1">
      <c r="A1292" s="97"/>
      <c r="B1292" s="98"/>
      <c r="C1292" s="98"/>
      <c r="D1292" s="98"/>
      <c r="E1292" s="99"/>
      <c r="F1292" s="138"/>
      <c r="G1292" s="100"/>
      <c r="H1292" s="151" t="s">
        <v>6165</v>
      </c>
      <c r="I1292" s="115"/>
      <c r="J1292" s="110"/>
      <c r="K1292" s="101"/>
      <c r="L1292" s="138"/>
      <c r="M1292" s="101"/>
      <c r="N1292" s="135"/>
      <c r="O1292" s="120"/>
      <c r="P1292" s="102"/>
      <c r="Q1292" s="123"/>
      <c r="R1292" s="141"/>
      <c r="S1292" s="98"/>
      <c r="T1292" s="98"/>
      <c r="U1292" s="143"/>
      <c r="V1292" s="126" t="str">
        <f t="shared" si="40"/>
        <v>⚠ Unknown</v>
      </c>
      <c r="W1292" s="130">
        <f>IFERROR(_xlfn.XLOOKUP(TEXT(H1292,"0000000000"),'📞 Call Tracker'!A$2:A$2000,'📞 Call Tracker'!B$2:B$2000,""),"")</f>
        <v>0</v>
      </c>
      <c r="X1292" s="96">
        <f>IFERROR(_xlfn.XLOOKUP(TEXT(H1292,"0000000000"),'📞 Call Tracker'!A$2:A$2000,'📞 Call Tracker'!C$2:C$2000,""),"")</f>
        <v>0</v>
      </c>
      <c r="Y1292" s="95">
        <f>IFERROR(_xlfn.XLOOKUP(TEXT(H1292,"0000000000"),'📞 Call Tracker'!A$2:A$2000,'📞 Call Tracker'!D$2:D$2000,""),"")</f>
        <v>0</v>
      </c>
      <c r="Z1292" s="95">
        <f>IFERROR(_xlfn.XLOOKUP(TEXT(H1292,"0000000000"),'📞 Call Tracker'!A$2:A$2000,'📞 Call Tracker'!E$2:E$2000,""),"")</f>
        <v>0</v>
      </c>
      <c r="AA1292" s="145">
        <f>IFERROR(_xlfn.XLOOKUP(TEXT(H1292,"0000000000"),'📞 Call Tracker'!A$2:A$2000,'📞 Call Tracker'!F$2:F$2000,""),"")</f>
        <v>0</v>
      </c>
      <c r="AB1292" s="132">
        <f t="shared" si="41"/>
        <v>99</v>
      </c>
      <c r="AC1292" s="79"/>
    </row>
    <row r="1293" spans="1:29" ht="20.100000000000001" customHeight="1">
      <c r="A1293" s="97"/>
      <c r="B1293" s="98"/>
      <c r="C1293" s="98"/>
      <c r="D1293" s="98"/>
      <c r="E1293" s="99"/>
      <c r="F1293" s="138"/>
      <c r="G1293" s="100"/>
      <c r="H1293" s="151" t="s">
        <v>6523</v>
      </c>
      <c r="I1293" s="115"/>
      <c r="J1293" s="110"/>
      <c r="K1293" s="101"/>
      <c r="L1293" s="138"/>
      <c r="M1293" s="101"/>
      <c r="N1293" s="135"/>
      <c r="O1293" s="120"/>
      <c r="P1293" s="102"/>
      <c r="Q1293" s="123"/>
      <c r="R1293" s="141"/>
      <c r="S1293" s="98"/>
      <c r="T1293" s="98"/>
      <c r="U1293" s="143"/>
      <c r="V1293" s="126" t="str">
        <f t="shared" si="40"/>
        <v>⚠ Unknown</v>
      </c>
      <c r="W1293" s="130">
        <f>IFERROR(_xlfn.XLOOKUP(TEXT(H1293,"0000000000"),'📞 Call Tracker'!A$2:A$2000,'📞 Call Tracker'!B$2:B$2000,""),"")</f>
        <v>0</v>
      </c>
      <c r="X1293" s="96">
        <f>IFERROR(_xlfn.XLOOKUP(TEXT(H1293,"0000000000"),'📞 Call Tracker'!A$2:A$2000,'📞 Call Tracker'!C$2:C$2000,""),"")</f>
        <v>0</v>
      </c>
      <c r="Y1293" s="95">
        <f>IFERROR(_xlfn.XLOOKUP(TEXT(H1293,"0000000000"),'📞 Call Tracker'!A$2:A$2000,'📞 Call Tracker'!D$2:D$2000,""),"")</f>
        <v>0</v>
      </c>
      <c r="Z1293" s="95">
        <f>IFERROR(_xlfn.XLOOKUP(TEXT(H1293,"0000000000"),'📞 Call Tracker'!A$2:A$2000,'📞 Call Tracker'!E$2:E$2000,""),"")</f>
        <v>0</v>
      </c>
      <c r="AA1293" s="145">
        <f>IFERROR(_xlfn.XLOOKUP(TEXT(H1293,"0000000000"),'📞 Call Tracker'!A$2:A$2000,'📞 Call Tracker'!F$2:F$2000,""),"")</f>
        <v>0</v>
      </c>
      <c r="AB1293" s="132">
        <f t="shared" si="41"/>
        <v>99</v>
      </c>
      <c r="AC1293" s="79"/>
    </row>
    <row r="1294" spans="1:29" ht="20.100000000000001" customHeight="1">
      <c r="A1294" s="97"/>
      <c r="B1294" s="98"/>
      <c r="C1294" s="98"/>
      <c r="D1294" s="98"/>
      <c r="E1294" s="99"/>
      <c r="F1294" s="138"/>
      <c r="G1294" s="100"/>
      <c r="H1294" s="151" t="s">
        <v>6142</v>
      </c>
      <c r="I1294" s="115"/>
      <c r="J1294" s="110"/>
      <c r="K1294" s="101"/>
      <c r="L1294" s="138"/>
      <c r="M1294" s="101"/>
      <c r="N1294" s="135"/>
      <c r="O1294" s="120"/>
      <c r="P1294" s="102"/>
      <c r="Q1294" s="123"/>
      <c r="R1294" s="141"/>
      <c r="S1294" s="98"/>
      <c r="T1294" s="98"/>
      <c r="U1294" s="143"/>
      <c r="V1294" s="126" t="str">
        <f t="shared" si="40"/>
        <v>⚠ Unknown</v>
      </c>
      <c r="W1294" s="130">
        <f>IFERROR(_xlfn.XLOOKUP(TEXT(H1294,"0000000000"),'📞 Call Tracker'!A$2:A$2000,'📞 Call Tracker'!B$2:B$2000,""),"")</f>
        <v>0</v>
      </c>
      <c r="X1294" s="96">
        <f>IFERROR(_xlfn.XLOOKUP(TEXT(H1294,"0000000000"),'📞 Call Tracker'!A$2:A$2000,'📞 Call Tracker'!C$2:C$2000,""),"")</f>
        <v>0</v>
      </c>
      <c r="Y1294" s="95">
        <f>IFERROR(_xlfn.XLOOKUP(TEXT(H1294,"0000000000"),'📞 Call Tracker'!A$2:A$2000,'📞 Call Tracker'!D$2:D$2000,""),"")</f>
        <v>0</v>
      </c>
      <c r="Z1294" s="95">
        <f>IFERROR(_xlfn.XLOOKUP(TEXT(H1294,"0000000000"),'📞 Call Tracker'!A$2:A$2000,'📞 Call Tracker'!E$2:E$2000,""),"")</f>
        <v>0</v>
      </c>
      <c r="AA1294" s="145">
        <f>IFERROR(_xlfn.XLOOKUP(TEXT(H1294,"0000000000"),'📞 Call Tracker'!A$2:A$2000,'📞 Call Tracker'!F$2:F$2000,""),"")</f>
        <v>0</v>
      </c>
      <c r="AB1294" s="132">
        <f t="shared" si="41"/>
        <v>99</v>
      </c>
      <c r="AC1294" s="79"/>
    </row>
    <row r="1295" spans="1:29" ht="20.100000000000001" customHeight="1">
      <c r="A1295" s="97"/>
      <c r="B1295" s="98"/>
      <c r="C1295" s="98"/>
      <c r="D1295" s="98"/>
      <c r="E1295" s="99"/>
      <c r="F1295" s="138"/>
      <c r="G1295" s="100"/>
      <c r="H1295" s="151" t="s">
        <v>6524</v>
      </c>
      <c r="I1295" s="115"/>
      <c r="J1295" s="110"/>
      <c r="K1295" s="101"/>
      <c r="L1295" s="138"/>
      <c r="M1295" s="101"/>
      <c r="N1295" s="135"/>
      <c r="O1295" s="120"/>
      <c r="P1295" s="102"/>
      <c r="Q1295" s="123"/>
      <c r="R1295" s="141"/>
      <c r="S1295" s="98"/>
      <c r="T1295" s="98"/>
      <c r="U1295" s="143"/>
      <c r="V1295" s="126" t="str">
        <f t="shared" si="40"/>
        <v>⚠ Unknown</v>
      </c>
      <c r="W1295" s="130">
        <f>IFERROR(_xlfn.XLOOKUP(TEXT(H1295,"0000000000"),'📞 Call Tracker'!A$2:A$2000,'📞 Call Tracker'!B$2:B$2000,""),"")</f>
        <v>0</v>
      </c>
      <c r="X1295" s="96">
        <f>IFERROR(_xlfn.XLOOKUP(TEXT(H1295,"0000000000"),'📞 Call Tracker'!A$2:A$2000,'📞 Call Tracker'!C$2:C$2000,""),"")</f>
        <v>0</v>
      </c>
      <c r="Y1295" s="95">
        <f>IFERROR(_xlfn.XLOOKUP(TEXT(H1295,"0000000000"),'📞 Call Tracker'!A$2:A$2000,'📞 Call Tracker'!D$2:D$2000,""),"")</f>
        <v>0</v>
      </c>
      <c r="Z1295" s="95">
        <f>IFERROR(_xlfn.XLOOKUP(TEXT(H1295,"0000000000"),'📞 Call Tracker'!A$2:A$2000,'📞 Call Tracker'!E$2:E$2000,""),"")</f>
        <v>0</v>
      </c>
      <c r="AA1295" s="145">
        <f>IFERROR(_xlfn.XLOOKUP(TEXT(H1295,"0000000000"),'📞 Call Tracker'!A$2:A$2000,'📞 Call Tracker'!F$2:F$2000,""),"")</f>
        <v>0</v>
      </c>
      <c r="AB1295" s="132">
        <f t="shared" si="41"/>
        <v>99</v>
      </c>
      <c r="AC1295" s="79"/>
    </row>
    <row r="1296" spans="1:29" ht="20.100000000000001" customHeight="1">
      <c r="A1296" s="97"/>
      <c r="B1296" s="98"/>
      <c r="C1296" s="98"/>
      <c r="D1296" s="98"/>
      <c r="E1296" s="99"/>
      <c r="F1296" s="138"/>
      <c r="G1296" s="100"/>
      <c r="H1296" s="151" t="s">
        <v>6525</v>
      </c>
      <c r="I1296" s="115"/>
      <c r="J1296" s="110"/>
      <c r="K1296" s="101"/>
      <c r="L1296" s="138"/>
      <c r="M1296" s="101"/>
      <c r="N1296" s="135"/>
      <c r="O1296" s="120"/>
      <c r="P1296" s="102"/>
      <c r="Q1296" s="123"/>
      <c r="R1296" s="141"/>
      <c r="S1296" s="98"/>
      <c r="T1296" s="98"/>
      <c r="U1296" s="143"/>
      <c r="V1296" s="126" t="str">
        <f t="shared" si="40"/>
        <v>⚠ Unknown</v>
      </c>
      <c r="W1296" s="130">
        <f>IFERROR(_xlfn.XLOOKUP(TEXT(H1296,"0000000000"),'📞 Call Tracker'!A$2:A$2000,'📞 Call Tracker'!B$2:B$2000,""),"")</f>
        <v>0</v>
      </c>
      <c r="X1296" s="96">
        <f>IFERROR(_xlfn.XLOOKUP(TEXT(H1296,"0000000000"),'📞 Call Tracker'!A$2:A$2000,'📞 Call Tracker'!C$2:C$2000,""),"")</f>
        <v>0</v>
      </c>
      <c r="Y1296" s="95">
        <f>IFERROR(_xlfn.XLOOKUP(TEXT(H1296,"0000000000"),'📞 Call Tracker'!A$2:A$2000,'📞 Call Tracker'!D$2:D$2000,""),"")</f>
        <v>0</v>
      </c>
      <c r="Z1296" s="95">
        <f>IFERROR(_xlfn.XLOOKUP(TEXT(H1296,"0000000000"),'📞 Call Tracker'!A$2:A$2000,'📞 Call Tracker'!E$2:E$2000,""),"")</f>
        <v>0</v>
      </c>
      <c r="AA1296" s="145">
        <f>IFERROR(_xlfn.XLOOKUP(TEXT(H1296,"0000000000"),'📞 Call Tracker'!A$2:A$2000,'📞 Call Tracker'!F$2:F$2000,""),"")</f>
        <v>0</v>
      </c>
      <c r="AB1296" s="132">
        <f t="shared" si="41"/>
        <v>99</v>
      </c>
      <c r="AC1296" s="79"/>
    </row>
    <row r="1297" spans="1:29" ht="20.100000000000001" customHeight="1">
      <c r="A1297" s="97"/>
      <c r="B1297" s="98"/>
      <c r="C1297" s="98"/>
      <c r="D1297" s="98"/>
      <c r="E1297" s="99"/>
      <c r="F1297" s="138"/>
      <c r="G1297" s="100"/>
      <c r="H1297" s="151" t="s">
        <v>6143</v>
      </c>
      <c r="I1297" s="115"/>
      <c r="J1297" s="110"/>
      <c r="K1297" s="101"/>
      <c r="L1297" s="138"/>
      <c r="M1297" s="101"/>
      <c r="N1297" s="135"/>
      <c r="O1297" s="120"/>
      <c r="P1297" s="102"/>
      <c r="Q1297" s="123"/>
      <c r="R1297" s="141"/>
      <c r="S1297" s="98"/>
      <c r="T1297" s="98"/>
      <c r="U1297" s="143"/>
      <c r="V1297" s="126" t="str">
        <f t="shared" si="40"/>
        <v>⚠ Unknown</v>
      </c>
      <c r="W1297" s="130">
        <f>IFERROR(_xlfn.XLOOKUP(TEXT(H1297,"0000000000"),'📞 Call Tracker'!A$2:A$2000,'📞 Call Tracker'!B$2:B$2000,""),"")</f>
        <v>0</v>
      </c>
      <c r="X1297" s="96">
        <f>IFERROR(_xlfn.XLOOKUP(TEXT(H1297,"0000000000"),'📞 Call Tracker'!A$2:A$2000,'📞 Call Tracker'!C$2:C$2000,""),"")</f>
        <v>0</v>
      </c>
      <c r="Y1297" s="95">
        <f>IFERROR(_xlfn.XLOOKUP(TEXT(H1297,"0000000000"),'📞 Call Tracker'!A$2:A$2000,'📞 Call Tracker'!D$2:D$2000,""),"")</f>
        <v>0</v>
      </c>
      <c r="Z1297" s="95">
        <f>IFERROR(_xlfn.XLOOKUP(TEXT(H1297,"0000000000"),'📞 Call Tracker'!A$2:A$2000,'📞 Call Tracker'!E$2:E$2000,""),"")</f>
        <v>0</v>
      </c>
      <c r="AA1297" s="145">
        <f>IFERROR(_xlfn.XLOOKUP(TEXT(H1297,"0000000000"),'📞 Call Tracker'!A$2:A$2000,'📞 Call Tracker'!F$2:F$2000,""),"")</f>
        <v>0</v>
      </c>
      <c r="AB1297" s="132">
        <f t="shared" si="41"/>
        <v>99</v>
      </c>
      <c r="AC1297" s="79"/>
    </row>
    <row r="1298" spans="1:29" ht="20.100000000000001" customHeight="1">
      <c r="A1298" s="97"/>
      <c r="B1298" s="98"/>
      <c r="C1298" s="98"/>
      <c r="D1298" s="98"/>
      <c r="E1298" s="99"/>
      <c r="F1298" s="138"/>
      <c r="G1298" s="100"/>
      <c r="H1298" s="151" t="s">
        <v>6526</v>
      </c>
      <c r="I1298" s="115"/>
      <c r="J1298" s="110"/>
      <c r="K1298" s="101"/>
      <c r="L1298" s="138"/>
      <c r="M1298" s="101"/>
      <c r="N1298" s="135"/>
      <c r="O1298" s="120"/>
      <c r="P1298" s="102"/>
      <c r="Q1298" s="123"/>
      <c r="R1298" s="141"/>
      <c r="S1298" s="98"/>
      <c r="T1298" s="98"/>
      <c r="U1298" s="143"/>
      <c r="V1298" s="126" t="str">
        <f t="shared" si="40"/>
        <v>⚠ Unknown</v>
      </c>
      <c r="W1298" s="130">
        <f>IFERROR(_xlfn.XLOOKUP(TEXT(H1298,"0000000000"),'📞 Call Tracker'!A$2:A$2000,'📞 Call Tracker'!B$2:B$2000,""),"")</f>
        <v>0</v>
      </c>
      <c r="X1298" s="96">
        <f>IFERROR(_xlfn.XLOOKUP(TEXT(H1298,"0000000000"),'📞 Call Tracker'!A$2:A$2000,'📞 Call Tracker'!C$2:C$2000,""),"")</f>
        <v>0</v>
      </c>
      <c r="Y1298" s="95">
        <f>IFERROR(_xlfn.XLOOKUP(TEXT(H1298,"0000000000"),'📞 Call Tracker'!A$2:A$2000,'📞 Call Tracker'!D$2:D$2000,""),"")</f>
        <v>0</v>
      </c>
      <c r="Z1298" s="95">
        <f>IFERROR(_xlfn.XLOOKUP(TEXT(H1298,"0000000000"),'📞 Call Tracker'!A$2:A$2000,'📞 Call Tracker'!E$2:E$2000,""),"")</f>
        <v>0</v>
      </c>
      <c r="AA1298" s="145">
        <f>IFERROR(_xlfn.XLOOKUP(TEXT(H1298,"0000000000"),'📞 Call Tracker'!A$2:A$2000,'📞 Call Tracker'!F$2:F$2000,""),"")</f>
        <v>0</v>
      </c>
      <c r="AB1298" s="132">
        <f t="shared" si="41"/>
        <v>99</v>
      </c>
      <c r="AC1298" s="79"/>
    </row>
    <row r="1299" spans="1:29" ht="20.100000000000001" customHeight="1">
      <c r="A1299" s="97"/>
      <c r="B1299" s="98"/>
      <c r="C1299" s="98"/>
      <c r="D1299" s="98"/>
      <c r="E1299" s="99"/>
      <c r="F1299" s="138"/>
      <c r="G1299" s="100"/>
      <c r="H1299" s="151" t="s">
        <v>6527</v>
      </c>
      <c r="I1299" s="115"/>
      <c r="J1299" s="110"/>
      <c r="K1299" s="101"/>
      <c r="L1299" s="138"/>
      <c r="M1299" s="101"/>
      <c r="N1299" s="135"/>
      <c r="O1299" s="120"/>
      <c r="P1299" s="102"/>
      <c r="Q1299" s="123"/>
      <c r="R1299" s="141"/>
      <c r="S1299" s="98"/>
      <c r="T1299" s="98"/>
      <c r="U1299" s="143"/>
      <c r="V1299" s="126" t="str">
        <f t="shared" si="40"/>
        <v>⚠ Unknown</v>
      </c>
      <c r="W1299" s="130">
        <f>IFERROR(_xlfn.XLOOKUP(TEXT(H1299,"0000000000"),'📞 Call Tracker'!A$2:A$2000,'📞 Call Tracker'!B$2:B$2000,""),"")</f>
        <v>0</v>
      </c>
      <c r="X1299" s="96">
        <f>IFERROR(_xlfn.XLOOKUP(TEXT(H1299,"0000000000"),'📞 Call Tracker'!A$2:A$2000,'📞 Call Tracker'!C$2:C$2000,""),"")</f>
        <v>0</v>
      </c>
      <c r="Y1299" s="95">
        <f>IFERROR(_xlfn.XLOOKUP(TEXT(H1299,"0000000000"),'📞 Call Tracker'!A$2:A$2000,'📞 Call Tracker'!D$2:D$2000,""),"")</f>
        <v>0</v>
      </c>
      <c r="Z1299" s="95">
        <f>IFERROR(_xlfn.XLOOKUP(TEXT(H1299,"0000000000"),'📞 Call Tracker'!A$2:A$2000,'📞 Call Tracker'!E$2:E$2000,""),"")</f>
        <v>0</v>
      </c>
      <c r="AA1299" s="145">
        <f>IFERROR(_xlfn.XLOOKUP(TEXT(H1299,"0000000000"),'📞 Call Tracker'!A$2:A$2000,'📞 Call Tracker'!F$2:F$2000,""),"")</f>
        <v>0</v>
      </c>
      <c r="AB1299" s="132">
        <f t="shared" si="41"/>
        <v>99</v>
      </c>
      <c r="AC1299" s="79"/>
    </row>
    <row r="1300" spans="1:29" ht="20.100000000000001" customHeight="1">
      <c r="A1300" s="97"/>
      <c r="B1300" s="98"/>
      <c r="C1300" s="98"/>
      <c r="D1300" s="98"/>
      <c r="E1300" s="99"/>
      <c r="F1300" s="138"/>
      <c r="G1300" s="100"/>
      <c r="H1300" s="151" t="s">
        <v>6528</v>
      </c>
      <c r="I1300" s="115"/>
      <c r="J1300" s="110"/>
      <c r="K1300" s="101"/>
      <c r="L1300" s="138"/>
      <c r="M1300" s="101"/>
      <c r="N1300" s="135"/>
      <c r="O1300" s="120"/>
      <c r="P1300" s="102"/>
      <c r="Q1300" s="123"/>
      <c r="R1300" s="141"/>
      <c r="S1300" s="98"/>
      <c r="T1300" s="98"/>
      <c r="U1300" s="143"/>
      <c r="V1300" s="126" t="str">
        <f t="shared" si="40"/>
        <v>⚠ Unknown</v>
      </c>
      <c r="W1300" s="130">
        <f>IFERROR(_xlfn.XLOOKUP(TEXT(H1300,"0000000000"),'📞 Call Tracker'!A$2:A$2000,'📞 Call Tracker'!B$2:B$2000,""),"")</f>
        <v>0</v>
      </c>
      <c r="X1300" s="96">
        <f>IFERROR(_xlfn.XLOOKUP(TEXT(H1300,"0000000000"),'📞 Call Tracker'!A$2:A$2000,'📞 Call Tracker'!C$2:C$2000,""),"")</f>
        <v>0</v>
      </c>
      <c r="Y1300" s="95">
        <f>IFERROR(_xlfn.XLOOKUP(TEXT(H1300,"0000000000"),'📞 Call Tracker'!A$2:A$2000,'📞 Call Tracker'!D$2:D$2000,""),"")</f>
        <v>0</v>
      </c>
      <c r="Z1300" s="95">
        <f>IFERROR(_xlfn.XLOOKUP(TEXT(H1300,"0000000000"),'📞 Call Tracker'!A$2:A$2000,'📞 Call Tracker'!E$2:E$2000,""),"")</f>
        <v>0</v>
      </c>
      <c r="AA1300" s="145">
        <f>IFERROR(_xlfn.XLOOKUP(TEXT(H1300,"0000000000"),'📞 Call Tracker'!A$2:A$2000,'📞 Call Tracker'!F$2:F$2000,""),"")</f>
        <v>0</v>
      </c>
      <c r="AB1300" s="132">
        <f t="shared" si="41"/>
        <v>99</v>
      </c>
      <c r="AC1300" s="79"/>
    </row>
    <row r="1301" spans="1:29" ht="20.100000000000001" customHeight="1">
      <c r="A1301" s="97"/>
      <c r="B1301" s="98"/>
      <c r="C1301" s="98"/>
      <c r="D1301" s="98"/>
      <c r="E1301" s="99"/>
      <c r="F1301" s="138"/>
      <c r="G1301" s="100"/>
      <c r="H1301" s="151" t="s">
        <v>6529</v>
      </c>
      <c r="I1301" s="115"/>
      <c r="J1301" s="110"/>
      <c r="K1301" s="101"/>
      <c r="L1301" s="138"/>
      <c r="M1301" s="101"/>
      <c r="N1301" s="135"/>
      <c r="O1301" s="120"/>
      <c r="P1301" s="102"/>
      <c r="Q1301" s="123"/>
      <c r="R1301" s="141"/>
      <c r="S1301" s="98"/>
      <c r="T1301" s="98"/>
      <c r="U1301" s="143"/>
      <c r="V1301" s="126" t="str">
        <f t="shared" si="40"/>
        <v>⚠ Unknown</v>
      </c>
      <c r="W1301" s="130">
        <f>IFERROR(_xlfn.XLOOKUP(TEXT(H1301,"0000000000"),'📞 Call Tracker'!A$2:A$2000,'📞 Call Tracker'!B$2:B$2000,""),"")</f>
        <v>0</v>
      </c>
      <c r="X1301" s="96">
        <f>IFERROR(_xlfn.XLOOKUP(TEXT(H1301,"0000000000"),'📞 Call Tracker'!A$2:A$2000,'📞 Call Tracker'!C$2:C$2000,""),"")</f>
        <v>0</v>
      </c>
      <c r="Y1301" s="95">
        <f>IFERROR(_xlfn.XLOOKUP(TEXT(H1301,"0000000000"),'📞 Call Tracker'!A$2:A$2000,'📞 Call Tracker'!D$2:D$2000,""),"")</f>
        <v>0</v>
      </c>
      <c r="Z1301" s="95">
        <f>IFERROR(_xlfn.XLOOKUP(TEXT(H1301,"0000000000"),'📞 Call Tracker'!A$2:A$2000,'📞 Call Tracker'!E$2:E$2000,""),"")</f>
        <v>0</v>
      </c>
      <c r="AA1301" s="145">
        <f>IFERROR(_xlfn.XLOOKUP(TEXT(H1301,"0000000000"),'📞 Call Tracker'!A$2:A$2000,'📞 Call Tracker'!F$2:F$2000,""),"")</f>
        <v>0</v>
      </c>
      <c r="AB1301" s="132">
        <f t="shared" si="41"/>
        <v>99</v>
      </c>
      <c r="AC1301" s="79"/>
    </row>
    <row r="1302" spans="1:29" ht="20.100000000000001" customHeight="1">
      <c r="A1302" s="97"/>
      <c r="B1302" s="98"/>
      <c r="C1302" s="98"/>
      <c r="D1302" s="98"/>
      <c r="E1302" s="99"/>
      <c r="F1302" s="138"/>
      <c r="G1302" s="100"/>
      <c r="H1302" s="151" t="s">
        <v>6530</v>
      </c>
      <c r="I1302" s="115"/>
      <c r="J1302" s="110"/>
      <c r="K1302" s="101"/>
      <c r="L1302" s="138"/>
      <c r="M1302" s="101"/>
      <c r="N1302" s="135"/>
      <c r="O1302" s="120"/>
      <c r="P1302" s="102"/>
      <c r="Q1302" s="123"/>
      <c r="R1302" s="141"/>
      <c r="S1302" s="98"/>
      <c r="T1302" s="98"/>
      <c r="U1302" s="143"/>
      <c r="V1302" s="126" t="str">
        <f t="shared" si="40"/>
        <v>⚠ Unknown</v>
      </c>
      <c r="W1302" s="130">
        <f>IFERROR(_xlfn.XLOOKUP(TEXT(H1302,"0000000000"),'📞 Call Tracker'!A$2:A$2000,'📞 Call Tracker'!B$2:B$2000,""),"")</f>
        <v>0</v>
      </c>
      <c r="X1302" s="96">
        <f>IFERROR(_xlfn.XLOOKUP(TEXT(H1302,"0000000000"),'📞 Call Tracker'!A$2:A$2000,'📞 Call Tracker'!C$2:C$2000,""),"")</f>
        <v>0</v>
      </c>
      <c r="Y1302" s="95">
        <f>IFERROR(_xlfn.XLOOKUP(TEXT(H1302,"0000000000"),'📞 Call Tracker'!A$2:A$2000,'📞 Call Tracker'!D$2:D$2000,""),"")</f>
        <v>0</v>
      </c>
      <c r="Z1302" s="95">
        <f>IFERROR(_xlfn.XLOOKUP(TEXT(H1302,"0000000000"),'📞 Call Tracker'!A$2:A$2000,'📞 Call Tracker'!E$2:E$2000,""),"")</f>
        <v>0</v>
      </c>
      <c r="AA1302" s="145">
        <f>IFERROR(_xlfn.XLOOKUP(TEXT(H1302,"0000000000"),'📞 Call Tracker'!A$2:A$2000,'📞 Call Tracker'!F$2:F$2000,""),"")</f>
        <v>0</v>
      </c>
      <c r="AB1302" s="132">
        <f t="shared" si="41"/>
        <v>99</v>
      </c>
      <c r="AC1302" s="79"/>
    </row>
    <row r="1303" spans="1:29" ht="20.100000000000001" customHeight="1">
      <c r="A1303" s="97"/>
      <c r="B1303" s="98"/>
      <c r="C1303" s="98"/>
      <c r="D1303" s="98"/>
      <c r="E1303" s="99"/>
      <c r="F1303" s="138"/>
      <c r="G1303" s="100"/>
      <c r="H1303" s="151" t="s">
        <v>6144</v>
      </c>
      <c r="I1303" s="115"/>
      <c r="J1303" s="110"/>
      <c r="K1303" s="101"/>
      <c r="L1303" s="138"/>
      <c r="M1303" s="101"/>
      <c r="N1303" s="135"/>
      <c r="O1303" s="120"/>
      <c r="P1303" s="102"/>
      <c r="Q1303" s="123"/>
      <c r="R1303" s="141"/>
      <c r="S1303" s="98"/>
      <c r="T1303" s="98"/>
      <c r="U1303" s="143"/>
      <c r="V1303" s="126" t="str">
        <f t="shared" si="40"/>
        <v>⚠ Unknown</v>
      </c>
      <c r="W1303" s="130">
        <f>IFERROR(_xlfn.XLOOKUP(TEXT(H1303,"0000000000"),'📞 Call Tracker'!A$2:A$2000,'📞 Call Tracker'!B$2:B$2000,""),"")</f>
        <v>0</v>
      </c>
      <c r="X1303" s="96">
        <f>IFERROR(_xlfn.XLOOKUP(TEXT(H1303,"0000000000"),'📞 Call Tracker'!A$2:A$2000,'📞 Call Tracker'!C$2:C$2000,""),"")</f>
        <v>0</v>
      </c>
      <c r="Y1303" s="95">
        <f>IFERROR(_xlfn.XLOOKUP(TEXT(H1303,"0000000000"),'📞 Call Tracker'!A$2:A$2000,'📞 Call Tracker'!D$2:D$2000,""),"")</f>
        <v>0</v>
      </c>
      <c r="Z1303" s="95">
        <f>IFERROR(_xlfn.XLOOKUP(TEXT(H1303,"0000000000"),'📞 Call Tracker'!A$2:A$2000,'📞 Call Tracker'!E$2:E$2000,""),"")</f>
        <v>0</v>
      </c>
      <c r="AA1303" s="145">
        <f>IFERROR(_xlfn.XLOOKUP(TEXT(H1303,"0000000000"),'📞 Call Tracker'!A$2:A$2000,'📞 Call Tracker'!F$2:F$2000,""),"")</f>
        <v>0</v>
      </c>
      <c r="AB1303" s="132">
        <f t="shared" si="41"/>
        <v>99</v>
      </c>
      <c r="AC1303" s="79"/>
    </row>
    <row r="1304" spans="1:29" ht="20.100000000000001" customHeight="1">
      <c r="A1304" s="97"/>
      <c r="B1304" s="98"/>
      <c r="C1304" s="98"/>
      <c r="D1304" s="98"/>
      <c r="E1304" s="99"/>
      <c r="F1304" s="138"/>
      <c r="G1304" s="100"/>
      <c r="H1304" s="151" t="s">
        <v>6145</v>
      </c>
      <c r="I1304" s="115"/>
      <c r="J1304" s="110"/>
      <c r="K1304" s="101"/>
      <c r="L1304" s="138"/>
      <c r="M1304" s="101"/>
      <c r="N1304" s="135"/>
      <c r="O1304" s="120"/>
      <c r="P1304" s="102"/>
      <c r="Q1304" s="123"/>
      <c r="R1304" s="141"/>
      <c r="S1304" s="98"/>
      <c r="T1304" s="98"/>
      <c r="U1304" s="143"/>
      <c r="V1304" s="126" t="str">
        <f t="shared" si="40"/>
        <v>⚠ Unknown</v>
      </c>
      <c r="W1304" s="130">
        <f>IFERROR(_xlfn.XLOOKUP(TEXT(H1304,"0000000000"),'📞 Call Tracker'!A$2:A$2000,'📞 Call Tracker'!B$2:B$2000,""),"")</f>
        <v>0</v>
      </c>
      <c r="X1304" s="96">
        <f>IFERROR(_xlfn.XLOOKUP(TEXT(H1304,"0000000000"),'📞 Call Tracker'!A$2:A$2000,'📞 Call Tracker'!C$2:C$2000,""),"")</f>
        <v>0</v>
      </c>
      <c r="Y1304" s="95">
        <f>IFERROR(_xlfn.XLOOKUP(TEXT(H1304,"0000000000"),'📞 Call Tracker'!A$2:A$2000,'📞 Call Tracker'!D$2:D$2000,""),"")</f>
        <v>0</v>
      </c>
      <c r="Z1304" s="95">
        <f>IFERROR(_xlfn.XLOOKUP(TEXT(H1304,"0000000000"),'📞 Call Tracker'!A$2:A$2000,'📞 Call Tracker'!E$2:E$2000,""),"")</f>
        <v>0</v>
      </c>
      <c r="AA1304" s="145">
        <f>IFERROR(_xlfn.XLOOKUP(TEXT(H1304,"0000000000"),'📞 Call Tracker'!A$2:A$2000,'📞 Call Tracker'!F$2:F$2000,""),"")</f>
        <v>0</v>
      </c>
      <c r="AB1304" s="132">
        <f t="shared" si="41"/>
        <v>99</v>
      </c>
      <c r="AC1304" s="79"/>
    </row>
    <row r="1305" spans="1:29" ht="20.100000000000001" customHeight="1">
      <c r="A1305" s="97"/>
      <c r="B1305" s="98"/>
      <c r="C1305" s="98"/>
      <c r="D1305" s="98"/>
      <c r="E1305" s="99"/>
      <c r="F1305" s="138"/>
      <c r="G1305" s="100"/>
      <c r="H1305" s="151" t="s">
        <v>6146</v>
      </c>
      <c r="I1305" s="115"/>
      <c r="J1305" s="110"/>
      <c r="K1305" s="101"/>
      <c r="L1305" s="138"/>
      <c r="M1305" s="101"/>
      <c r="N1305" s="135"/>
      <c r="O1305" s="120"/>
      <c r="P1305" s="102"/>
      <c r="Q1305" s="123"/>
      <c r="R1305" s="141"/>
      <c r="S1305" s="98"/>
      <c r="T1305" s="98"/>
      <c r="U1305" s="143"/>
      <c r="V1305" s="126" t="str">
        <f t="shared" si="40"/>
        <v>⚠ Unknown</v>
      </c>
      <c r="W1305" s="130">
        <f>IFERROR(_xlfn.XLOOKUP(TEXT(H1305,"0000000000"),'📞 Call Tracker'!A$2:A$2000,'📞 Call Tracker'!B$2:B$2000,""),"")</f>
        <v>0</v>
      </c>
      <c r="X1305" s="96">
        <f>IFERROR(_xlfn.XLOOKUP(TEXT(H1305,"0000000000"),'📞 Call Tracker'!A$2:A$2000,'📞 Call Tracker'!C$2:C$2000,""),"")</f>
        <v>0</v>
      </c>
      <c r="Y1305" s="95">
        <f>IFERROR(_xlfn.XLOOKUP(TEXT(H1305,"0000000000"),'📞 Call Tracker'!A$2:A$2000,'📞 Call Tracker'!D$2:D$2000,""),"")</f>
        <v>0</v>
      </c>
      <c r="Z1305" s="95">
        <f>IFERROR(_xlfn.XLOOKUP(TEXT(H1305,"0000000000"),'📞 Call Tracker'!A$2:A$2000,'📞 Call Tracker'!E$2:E$2000,""),"")</f>
        <v>0</v>
      </c>
      <c r="AA1305" s="145">
        <f>IFERROR(_xlfn.XLOOKUP(TEXT(H1305,"0000000000"),'📞 Call Tracker'!A$2:A$2000,'📞 Call Tracker'!F$2:F$2000,""),"")</f>
        <v>0</v>
      </c>
      <c r="AB1305" s="132">
        <f t="shared" si="41"/>
        <v>99</v>
      </c>
      <c r="AC1305" s="79"/>
    </row>
    <row r="1306" spans="1:29" ht="20.100000000000001" customHeight="1">
      <c r="A1306" s="97"/>
      <c r="B1306" s="98"/>
      <c r="C1306" s="98"/>
      <c r="D1306" s="98"/>
      <c r="E1306" s="99"/>
      <c r="F1306" s="138"/>
      <c r="G1306" s="100"/>
      <c r="H1306" s="151" t="s">
        <v>6531</v>
      </c>
      <c r="I1306" s="115"/>
      <c r="J1306" s="110"/>
      <c r="K1306" s="101"/>
      <c r="L1306" s="138"/>
      <c r="M1306" s="101"/>
      <c r="N1306" s="135"/>
      <c r="O1306" s="120"/>
      <c r="P1306" s="102"/>
      <c r="Q1306" s="123"/>
      <c r="R1306" s="141"/>
      <c r="S1306" s="98"/>
      <c r="T1306" s="98"/>
      <c r="U1306" s="143"/>
      <c r="V1306" s="126" t="str">
        <f t="shared" si="40"/>
        <v>⚠ Unknown</v>
      </c>
      <c r="W1306" s="130">
        <f>IFERROR(_xlfn.XLOOKUP(TEXT(H1306,"0000000000"),'📞 Call Tracker'!A$2:A$2000,'📞 Call Tracker'!B$2:B$2000,""),"")</f>
        <v>0</v>
      </c>
      <c r="X1306" s="96">
        <f>IFERROR(_xlfn.XLOOKUP(TEXT(H1306,"0000000000"),'📞 Call Tracker'!A$2:A$2000,'📞 Call Tracker'!C$2:C$2000,""),"")</f>
        <v>0</v>
      </c>
      <c r="Y1306" s="95">
        <f>IFERROR(_xlfn.XLOOKUP(TEXT(H1306,"0000000000"),'📞 Call Tracker'!A$2:A$2000,'📞 Call Tracker'!D$2:D$2000,""),"")</f>
        <v>0</v>
      </c>
      <c r="Z1306" s="95">
        <f>IFERROR(_xlfn.XLOOKUP(TEXT(H1306,"0000000000"),'📞 Call Tracker'!A$2:A$2000,'📞 Call Tracker'!E$2:E$2000,""),"")</f>
        <v>0</v>
      </c>
      <c r="AA1306" s="145">
        <f>IFERROR(_xlfn.XLOOKUP(TEXT(H1306,"0000000000"),'📞 Call Tracker'!A$2:A$2000,'📞 Call Tracker'!F$2:F$2000,""),"")</f>
        <v>0</v>
      </c>
      <c r="AB1306" s="132">
        <f t="shared" si="41"/>
        <v>99</v>
      </c>
      <c r="AC1306" s="79"/>
    </row>
    <row r="1307" spans="1:29" ht="20.100000000000001" customHeight="1">
      <c r="A1307" s="97"/>
      <c r="B1307" s="98"/>
      <c r="C1307" s="98"/>
      <c r="D1307" s="98"/>
      <c r="E1307" s="99"/>
      <c r="F1307" s="138"/>
      <c r="G1307" s="100"/>
      <c r="H1307" s="151" t="s">
        <v>6532</v>
      </c>
      <c r="I1307" s="115"/>
      <c r="J1307" s="110"/>
      <c r="K1307" s="101"/>
      <c r="L1307" s="138"/>
      <c r="M1307" s="101"/>
      <c r="N1307" s="135"/>
      <c r="O1307" s="120"/>
      <c r="P1307" s="102"/>
      <c r="Q1307" s="123"/>
      <c r="R1307" s="141"/>
      <c r="S1307" s="98"/>
      <c r="T1307" s="98"/>
      <c r="U1307" s="143"/>
      <c r="V1307" s="126" t="str">
        <f t="shared" si="40"/>
        <v>⚠ Unknown</v>
      </c>
      <c r="W1307" s="130">
        <f>IFERROR(_xlfn.XLOOKUP(TEXT(H1307,"0000000000"),'📞 Call Tracker'!A$2:A$2000,'📞 Call Tracker'!B$2:B$2000,""),"")</f>
        <v>0</v>
      </c>
      <c r="X1307" s="96">
        <f>IFERROR(_xlfn.XLOOKUP(TEXT(H1307,"0000000000"),'📞 Call Tracker'!A$2:A$2000,'📞 Call Tracker'!C$2:C$2000,""),"")</f>
        <v>0</v>
      </c>
      <c r="Y1307" s="95">
        <f>IFERROR(_xlfn.XLOOKUP(TEXT(H1307,"0000000000"),'📞 Call Tracker'!A$2:A$2000,'📞 Call Tracker'!D$2:D$2000,""),"")</f>
        <v>0</v>
      </c>
      <c r="Z1307" s="95">
        <f>IFERROR(_xlfn.XLOOKUP(TEXT(H1307,"0000000000"),'📞 Call Tracker'!A$2:A$2000,'📞 Call Tracker'!E$2:E$2000,""),"")</f>
        <v>0</v>
      </c>
      <c r="AA1307" s="145">
        <f>IFERROR(_xlfn.XLOOKUP(TEXT(H1307,"0000000000"),'📞 Call Tracker'!A$2:A$2000,'📞 Call Tracker'!F$2:F$2000,""),"")</f>
        <v>0</v>
      </c>
      <c r="AB1307" s="132">
        <f t="shared" si="41"/>
        <v>99</v>
      </c>
      <c r="AC1307" s="79"/>
    </row>
    <row r="1308" spans="1:29" ht="20.100000000000001" customHeight="1">
      <c r="A1308" s="97"/>
      <c r="B1308" s="98"/>
      <c r="C1308" s="98"/>
      <c r="D1308" s="98"/>
      <c r="E1308" s="99"/>
      <c r="F1308" s="138"/>
      <c r="G1308" s="100"/>
      <c r="H1308" s="151" t="s">
        <v>6533</v>
      </c>
      <c r="I1308" s="115"/>
      <c r="J1308" s="110"/>
      <c r="K1308" s="101"/>
      <c r="L1308" s="138"/>
      <c r="M1308" s="101"/>
      <c r="N1308" s="135"/>
      <c r="O1308" s="120"/>
      <c r="P1308" s="102"/>
      <c r="Q1308" s="123"/>
      <c r="R1308" s="141"/>
      <c r="S1308" s="98"/>
      <c r="T1308" s="98"/>
      <c r="U1308" s="143"/>
      <c r="V1308" s="126" t="str">
        <f t="shared" si="40"/>
        <v>⚠ Unknown</v>
      </c>
      <c r="W1308" s="130">
        <f>IFERROR(_xlfn.XLOOKUP(TEXT(H1308,"0000000000"),'📞 Call Tracker'!A$2:A$2000,'📞 Call Tracker'!B$2:B$2000,""),"")</f>
        <v>0</v>
      </c>
      <c r="X1308" s="96">
        <f>IFERROR(_xlfn.XLOOKUP(TEXT(H1308,"0000000000"),'📞 Call Tracker'!A$2:A$2000,'📞 Call Tracker'!C$2:C$2000,""),"")</f>
        <v>0</v>
      </c>
      <c r="Y1308" s="95">
        <f>IFERROR(_xlfn.XLOOKUP(TEXT(H1308,"0000000000"),'📞 Call Tracker'!A$2:A$2000,'📞 Call Tracker'!D$2:D$2000,""),"")</f>
        <v>0</v>
      </c>
      <c r="Z1308" s="95">
        <f>IFERROR(_xlfn.XLOOKUP(TEXT(H1308,"0000000000"),'📞 Call Tracker'!A$2:A$2000,'📞 Call Tracker'!E$2:E$2000,""),"")</f>
        <v>0</v>
      </c>
      <c r="AA1308" s="145">
        <f>IFERROR(_xlfn.XLOOKUP(TEXT(H1308,"0000000000"),'📞 Call Tracker'!A$2:A$2000,'📞 Call Tracker'!F$2:F$2000,""),"")</f>
        <v>0</v>
      </c>
      <c r="AB1308" s="132">
        <f t="shared" si="41"/>
        <v>99</v>
      </c>
      <c r="AC1308" s="79"/>
    </row>
    <row r="1309" spans="1:29" ht="20.100000000000001" customHeight="1">
      <c r="A1309" s="97"/>
      <c r="B1309" s="98"/>
      <c r="C1309" s="98"/>
      <c r="D1309" s="98"/>
      <c r="E1309" s="99"/>
      <c r="F1309" s="138"/>
      <c r="G1309" s="100"/>
      <c r="H1309" s="151" t="s">
        <v>6534</v>
      </c>
      <c r="I1309" s="115"/>
      <c r="J1309" s="110"/>
      <c r="K1309" s="101"/>
      <c r="L1309" s="138"/>
      <c r="M1309" s="101"/>
      <c r="N1309" s="135"/>
      <c r="O1309" s="120"/>
      <c r="P1309" s="102"/>
      <c r="Q1309" s="123"/>
      <c r="R1309" s="141"/>
      <c r="S1309" s="98"/>
      <c r="T1309" s="98"/>
      <c r="U1309" s="143"/>
      <c r="V1309" s="126" t="str">
        <f t="shared" si="40"/>
        <v>⚠ Unknown</v>
      </c>
      <c r="W1309" s="130">
        <f>IFERROR(_xlfn.XLOOKUP(TEXT(H1309,"0000000000"),'📞 Call Tracker'!A$2:A$2000,'📞 Call Tracker'!B$2:B$2000,""),"")</f>
        <v>0</v>
      </c>
      <c r="X1309" s="96">
        <f>IFERROR(_xlfn.XLOOKUP(TEXT(H1309,"0000000000"),'📞 Call Tracker'!A$2:A$2000,'📞 Call Tracker'!C$2:C$2000,""),"")</f>
        <v>0</v>
      </c>
      <c r="Y1309" s="95">
        <f>IFERROR(_xlfn.XLOOKUP(TEXT(H1309,"0000000000"),'📞 Call Tracker'!A$2:A$2000,'📞 Call Tracker'!D$2:D$2000,""),"")</f>
        <v>0</v>
      </c>
      <c r="Z1309" s="95">
        <f>IFERROR(_xlfn.XLOOKUP(TEXT(H1309,"0000000000"),'📞 Call Tracker'!A$2:A$2000,'📞 Call Tracker'!E$2:E$2000,""),"")</f>
        <v>0</v>
      </c>
      <c r="AA1309" s="145">
        <f>IFERROR(_xlfn.XLOOKUP(TEXT(H1309,"0000000000"),'📞 Call Tracker'!A$2:A$2000,'📞 Call Tracker'!F$2:F$2000,""),"")</f>
        <v>0</v>
      </c>
      <c r="AB1309" s="132">
        <f t="shared" si="41"/>
        <v>99</v>
      </c>
      <c r="AC1309" s="79"/>
    </row>
    <row r="1310" spans="1:29" ht="20.100000000000001" customHeight="1">
      <c r="A1310" s="103"/>
      <c r="B1310" s="104"/>
      <c r="C1310" s="104"/>
      <c r="D1310" s="104"/>
      <c r="E1310" s="105"/>
      <c r="F1310" s="139"/>
      <c r="G1310" s="106"/>
      <c r="H1310" s="152" t="s">
        <v>6535</v>
      </c>
      <c r="I1310" s="116"/>
      <c r="J1310" s="111"/>
      <c r="K1310" s="107"/>
      <c r="L1310" s="139"/>
      <c r="M1310" s="107"/>
      <c r="N1310" s="136"/>
      <c r="O1310" s="121"/>
      <c r="P1310" s="108"/>
      <c r="Q1310" s="124"/>
      <c r="R1310" s="142"/>
      <c r="S1310" s="104"/>
      <c r="T1310" s="104"/>
      <c r="U1310" s="144"/>
      <c r="V1310" s="127" t="str">
        <f t="shared" si="40"/>
        <v>⚠ Unknown</v>
      </c>
      <c r="W1310" s="130">
        <f>IFERROR(_xlfn.XLOOKUP(TEXT(H1310,"0000000000"),'📞 Call Tracker'!A$2:A$2000,'📞 Call Tracker'!B$2:B$2000,""),"")</f>
        <v>0</v>
      </c>
      <c r="X1310" s="96">
        <f>IFERROR(_xlfn.XLOOKUP(TEXT(H1310,"0000000000"),'📞 Call Tracker'!A$2:A$2000,'📞 Call Tracker'!C$2:C$2000,""),"")</f>
        <v>0</v>
      </c>
      <c r="Y1310" s="95">
        <f>IFERROR(_xlfn.XLOOKUP(TEXT(H1310,"0000000000"),'📞 Call Tracker'!A$2:A$2000,'📞 Call Tracker'!D$2:D$2000,""),"")</f>
        <v>0</v>
      </c>
      <c r="Z1310" s="95">
        <f>IFERROR(_xlfn.XLOOKUP(TEXT(H1310,"0000000000"),'📞 Call Tracker'!A$2:A$2000,'📞 Call Tracker'!E$2:E$2000,""),"")</f>
        <v>0</v>
      </c>
      <c r="AA1310" s="145">
        <f>IFERROR(_xlfn.XLOOKUP(TEXT(H1310,"0000000000"),'📞 Call Tracker'!A$2:A$2000,'📞 Call Tracker'!F$2:F$2000,""),"")</f>
        <v>0</v>
      </c>
      <c r="AB1310" s="133">
        <f t="shared" si="41"/>
        <v>99</v>
      </c>
      <c r="AC1310" s="79"/>
    </row>
    <row r="1311" spans="1:29">
      <c r="A1311" s="77"/>
      <c r="B1311" s="80"/>
      <c r="C1311" s="80"/>
      <c r="D1311" s="80"/>
      <c r="E1311" s="78"/>
      <c r="F1311" s="80"/>
      <c r="G1311" s="80"/>
      <c r="H1311" s="153" t="s">
        <v>6737</v>
      </c>
      <c r="I1311" s="80"/>
      <c r="J1311" s="80"/>
      <c r="K1311" s="80"/>
      <c r="L1311" s="80"/>
      <c r="M1311" s="80"/>
      <c r="N1311" s="80"/>
      <c r="O1311" s="80"/>
      <c r="P1311" s="77"/>
      <c r="Q1311" s="77"/>
      <c r="R1311" s="80"/>
      <c r="S1311" s="80"/>
      <c r="T1311" s="80"/>
      <c r="U1311" s="80"/>
      <c r="V1311" s="72"/>
      <c r="W1311" s="130" t="str">
        <f>IFERROR(_xlfn.XLOOKUP(TEXT(H1311,"0000000000"),'📞 Call Tracker'!A$2:A$2000,'📞 Call Tracker'!B$2:B$2000,""),"")</f>
        <v/>
      </c>
      <c r="X1311" s="96" t="str">
        <f>IFERROR(_xlfn.XLOOKUP(TEXT(H1311,"0000000000"),'📞 Call Tracker'!A$2:A$2000,'📞 Call Tracker'!C$2:C$2000,""),"")</f>
        <v/>
      </c>
      <c r="Y1311" s="95" t="str">
        <f>IFERROR(_xlfn.XLOOKUP(TEXT(H1311,"0000000000"),'📞 Call Tracker'!A$2:A$2000,'📞 Call Tracker'!D$2:D$2000,""),"")</f>
        <v/>
      </c>
      <c r="Z1311" s="95" t="str">
        <f>IFERROR(_xlfn.XLOOKUP(TEXT(H1311,"0000000000"),'📞 Call Tracker'!A$2:A$2000,'📞 Call Tracker'!E$2:E$2000,""),"")</f>
        <v/>
      </c>
      <c r="AA1311" s="145" t="str">
        <f>IFERROR(_xlfn.XLOOKUP(TEXT(H1311,"0000000000"),'📞 Call Tracker'!A$2:A$2000,'📞 Call Tracker'!F$2:F$2000,""),"")</f>
        <v/>
      </c>
      <c r="AB1311" s="80"/>
    </row>
  </sheetData>
  <phoneticPr fontId="21" type="noConversion"/>
  <conditionalFormatting sqref="A2:A1310">
    <cfRule type="expression" dxfId="33" priority="30">
      <formula>$AB2=1</formula>
    </cfRule>
    <cfRule type="expression" dxfId="32" priority="31">
      <formula>$AB2=2</formula>
    </cfRule>
  </conditionalFormatting>
  <conditionalFormatting sqref="A2:U1310">
    <cfRule type="expression" dxfId="31" priority="29">
      <formula>$AB2=99</formula>
    </cfRule>
  </conditionalFormatting>
  <conditionalFormatting sqref="A2:AB2 A3:V1310 AB3:AB1310 W3:AA1311">
    <cfRule type="expression" dxfId="30" priority="19">
      <formula>MOD(ROW(),2)=0</formula>
    </cfRule>
  </conditionalFormatting>
  <conditionalFormatting sqref="A1046667:XFD1048574">
    <cfRule type="expression" dxfId="29" priority="17">
      <formula>AND(ISNUMBER($N2), $N2&lt;&gt;0)</formula>
    </cfRule>
  </conditionalFormatting>
  <conditionalFormatting sqref="A1048575:XFD1048576">
    <cfRule type="expression" dxfId="28" priority="6">
      <formula>AND(ISNUMBER($N1909), $N1909&lt;&gt;0)</formula>
    </cfRule>
  </conditionalFormatting>
  <conditionalFormatting sqref="V2:V1310">
    <cfRule type="containsText" dxfId="27" priority="25" operator="containsText" text="❌">
      <formula>NOT(ISERROR(SEARCH("❌",V2)))</formula>
    </cfRule>
    <cfRule type="containsText" dxfId="26" priority="26" operator="containsText" text="✅">
      <formula>NOT(ISERROR(SEARCH("✅",V2)))</formula>
    </cfRule>
    <cfRule type="containsText" dxfId="25" priority="27" operator="containsText" text="❄">
      <formula>NOT(ISERROR(SEARCH("❄",V2)))</formula>
    </cfRule>
    <cfRule type="containsText" dxfId="24" priority="28" operator="containsText" text="⚠">
      <formula>NOT(ISERROR(SEARCH("⚠",V2)))</formula>
    </cfRule>
  </conditionalFormatting>
  <conditionalFormatting sqref="AB2:AB1310">
    <cfRule type="cellIs" dxfId="23" priority="20" operator="equal">
      <formula>1</formula>
    </cfRule>
    <cfRule type="cellIs" dxfId="22" priority="21" operator="equal">
      <formula>2</formula>
    </cfRule>
    <cfRule type="cellIs" dxfId="21" priority="22" operator="equal">
      <formula>3</formula>
    </cfRule>
    <cfRule type="cellIs" dxfId="20" priority="23" operator="equal">
      <formula>4</formula>
    </cfRule>
    <cfRule type="cellIs" dxfId="19" priority="24" operator="equal">
      <formula>99</formula>
    </cfRule>
  </conditionalFormatting>
  <conditionalFormatting sqref="AC996:XFD996">
    <cfRule type="expression" dxfId="18" priority="10">
      <formula>AND(ISNUMBER(#REF!), #REF!&lt;&gt;0)</formula>
    </cfRule>
  </conditionalFormatting>
  <dataValidations count="2">
    <dataValidation type="list" allowBlank="1" showInputMessage="1" showErrorMessage="1" sqref="X1312:X1048576" xr:uid="{6122457B-003C-4E99-AE0D-419C98EEDF3D}">
      <formula1>"Yes,No"</formula1>
    </dataValidation>
    <dataValidation type="list" allowBlank="1" showInputMessage="1" showErrorMessage="1" sqref="V1311:V1048576" xr:uid="{5301A9B1-8E44-4CC0-914E-16EE0093F967}">
      <formula1>"Michelle,Joaquin"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DAA739A2274C40A31BE1DF67F2D411" ma:contentTypeVersion="3" ma:contentTypeDescription="Create a new document." ma:contentTypeScope="" ma:versionID="678e8f9f027e4377cda38ffb960c96b0">
  <xsd:schema xmlns:xsd="http://www.w3.org/2001/XMLSchema" xmlns:xs="http://www.w3.org/2001/XMLSchema" xmlns:p="http://schemas.microsoft.com/office/2006/metadata/properties" xmlns:ns2="fe49a302-7637-4812-975f-03f711f2c4e3" targetNamespace="http://schemas.microsoft.com/office/2006/metadata/properties" ma:root="true" ma:fieldsID="60b4c4a8e1e2ce691742be26293900b4" ns2:_="">
    <xsd:import namespace="fe49a302-7637-4812-975f-03f711f2c4e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49a302-7637-4812-975f-03f711f2c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07A7D00-3BFD-495E-8D8E-34880A3557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49a302-7637-4812-975f-03f711f2c4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2B07AC-1E2B-4EF5-9811-2D5CA0FA235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91CE0A0-C951-4A7E-921B-E2506F18E082}">
  <ds:schemaRefs>
    <ds:schemaRef ds:uri="http://schemas.microsoft.com/sharepoint/v3/contenttype/forms"/>
  </ds:schemaRefs>
</ds:datastoreItem>
</file>

<file path=customXml/itemProps4.xml><?xml version="1.0" encoding="utf-8"?>
<ds:datastoreItem xmlns:ds="http://schemas.openxmlformats.org/officeDocument/2006/customXml" ds:itemID="{1B8C5660-0C93-4171-9641-08D356A7CC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Call Tracker</vt:lpstr>
      <vt:lpstr>Summary</vt:lpstr>
      <vt:lpstr>Docketed Comments</vt:lpstr>
      <vt:lpstr>📋 Build Guides</vt:lpstr>
      <vt:lpstr>Call Queue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Knight, Scott</dc:creator>
  <cp:keywords/>
  <dc:description/>
  <cp:lastModifiedBy>Scott Knight</cp:lastModifiedBy>
  <cp:revision/>
  <dcterms:created xsi:type="dcterms:W3CDTF">2025-12-29T16:48:47Z</dcterms:created>
  <dcterms:modified xsi:type="dcterms:W3CDTF">2026-03-04T18:41:45Z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0x010100DEDAA739A2274C40A31BE1DF67F2D411</vt:lpwstr>
  </property>
</Properties>
</file>